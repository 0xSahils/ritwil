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70E09192-3915-40B4-982B-97A07181A24D}" xr6:coauthVersionLast="47" xr6:coauthVersionMax="47" xr10:uidLastSave="{00000000-0000-0000-0000-000000000000}"/>
  <bookViews>
    <workbookView xWindow="-108" yWindow="-108" windowWidth="23256" windowHeight="13176" xr2:uid="{61B84B15-9AEB-45B5-AC84-F5883234419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1" l="1"/>
  <c r="L94" i="1"/>
  <c r="L93" i="1"/>
  <c r="N92" i="1"/>
  <c r="N92" i="1" a="1"/>
  <c r="N91" i="1"/>
  <c r="N91" i="1" a="1"/>
  <c r="N88" i="1"/>
  <c r="N88" i="1" a="1"/>
  <c r="N87" i="1"/>
  <c r="N87" i="1" a="1"/>
  <c r="N86" i="1"/>
  <c r="N86" i="1" a="1"/>
  <c r="N85" i="1"/>
  <c r="N85" i="1" a="1"/>
  <c r="N84" i="1" a="1"/>
  <c r="N84" i="1" s="1"/>
  <c r="N78" i="1"/>
  <c r="N78" i="1" a="1"/>
  <c r="B77" i="1" a="1"/>
  <c r="L89" i="1" s="1"/>
  <c r="P89" i="1" s="1"/>
  <c r="A77" i="1"/>
  <c r="E75" i="1"/>
  <c r="H75" i="1" s="1" a="1"/>
  <c r="H75" i="1" s="1"/>
  <c r="D75" i="1"/>
  <c r="C75" i="1"/>
  <c r="L71" i="1"/>
  <c r="L70" i="1"/>
  <c r="L69" i="1"/>
  <c r="L68" i="1"/>
  <c r="B55" i="1" a="1"/>
  <c r="M67" i="1" s="1"/>
  <c r="N67" i="1" s="1" a="1"/>
  <c r="N67" i="1" s="1"/>
  <c r="A55" i="1"/>
  <c r="E53" i="1"/>
  <c r="H53" i="1" s="1" a="1"/>
  <c r="H53" i="1" s="1"/>
  <c r="D53" i="1"/>
  <c r="C53" i="1"/>
  <c r="L49" i="1"/>
  <c r="L48" i="1"/>
  <c r="L47" i="1"/>
  <c r="L46" i="1"/>
  <c r="L45" i="1"/>
  <c r="L44" i="1"/>
  <c r="L43" i="1"/>
  <c r="B34" i="1"/>
  <c r="M34" i="1" s="1"/>
  <c r="N34" i="1" s="1" a="1"/>
  <c r="N34" i="1" s="1"/>
  <c r="B34" i="1" a="1"/>
  <c r="M41" i="1" s="1"/>
  <c r="N41" i="1" s="1" a="1"/>
  <c r="N41" i="1" s="1"/>
  <c r="A34" i="1"/>
  <c r="H32" i="1" a="1"/>
  <c r="H32" i="1" s="1"/>
  <c r="E32" i="1"/>
  <c r="D32" i="1"/>
  <c r="C32" i="1"/>
  <c r="F29" i="1" a="1"/>
  <c r="F29" i="1" s="1"/>
  <c r="P26" i="1"/>
  <c r="O26" i="1"/>
  <c r="P25" i="1"/>
  <c r="O25" i="1"/>
  <c r="P24" i="1"/>
  <c r="O24" i="1"/>
  <c r="P23" i="1"/>
  <c r="O23" i="1"/>
  <c r="P22" i="1"/>
  <c r="O22" i="1"/>
  <c r="P21" i="1"/>
  <c r="O21" i="1"/>
  <c r="L20" i="1"/>
  <c r="P20" i="1" s="1"/>
  <c r="P19" i="1"/>
  <c r="N19" i="1" a="1"/>
  <c r="N19" i="1" s="1"/>
  <c r="N18" i="1"/>
  <c r="N18" i="1" a="1"/>
  <c r="N17" i="1" a="1"/>
  <c r="N17" i="1" s="1"/>
  <c r="N16" i="1" a="1"/>
  <c r="N16" i="1" s="1"/>
  <c r="O16" i="1" s="1"/>
  <c r="N15" i="1" a="1"/>
  <c r="N15" i="1" s="1"/>
  <c r="M15" i="1"/>
  <c r="N14" i="1" a="1"/>
  <c r="N14" i="1" s="1"/>
  <c r="N13" i="1" a="1"/>
  <c r="N13" i="1" s="1"/>
  <c r="O13" i="1" s="1"/>
  <c r="N12" i="1" a="1"/>
  <c r="N12" i="1" s="1"/>
  <c r="L12" i="1"/>
  <c r="P12" i="1" s="1"/>
  <c r="N11" i="1"/>
  <c r="N11" i="1" a="1"/>
  <c r="M9" i="1"/>
  <c r="N9" i="1" s="1" a="1"/>
  <c r="N9" i="1" s="1"/>
  <c r="L8" i="1"/>
  <c r="P8" i="1" s="1"/>
  <c r="N7" i="1" a="1"/>
  <c r="N7" i="1" s="1"/>
  <c r="N6" i="1"/>
  <c r="N6" i="1" a="1"/>
  <c r="B6" i="1" a="1"/>
  <c r="L19" i="1" s="1"/>
  <c r="A6" i="1"/>
  <c r="H4" i="1"/>
  <c r="H4" i="1" a="1"/>
  <c r="E4" i="1"/>
  <c r="D4" i="1"/>
  <c r="C4" i="1"/>
  <c r="B6" i="1" l="1"/>
  <c r="M10" i="1"/>
  <c r="N10" i="1" s="1" a="1"/>
  <c r="N10" i="1" s="1"/>
  <c r="O10" i="1" s="1"/>
  <c r="O11" i="1"/>
  <c r="O34" i="1"/>
  <c r="L36" i="1"/>
  <c r="P36" i="1" s="1"/>
  <c r="L40" i="1"/>
  <c r="P40" i="1" s="1"/>
  <c r="L58" i="1"/>
  <c r="P58" i="1" s="1"/>
  <c r="L62" i="1"/>
  <c r="P62" i="1" s="1"/>
  <c r="L66" i="1"/>
  <c r="P66" i="1" s="1"/>
  <c r="L79" i="1"/>
  <c r="P79" i="1" s="1"/>
  <c r="L83" i="1"/>
  <c r="P83" i="1" s="1"/>
  <c r="L86" i="1"/>
  <c r="P86" i="1" s="1"/>
  <c r="O87" i="1"/>
  <c r="M89" i="1"/>
  <c r="N89" i="1" s="1" a="1"/>
  <c r="N89" i="1" s="1"/>
  <c r="L92" i="1"/>
  <c r="P92" i="1" s="1"/>
  <c r="L10" i="1"/>
  <c r="P10" i="1" s="1"/>
  <c r="L13" i="1"/>
  <c r="P13" i="1" s="1"/>
  <c r="O14" i="1"/>
  <c r="L16" i="1"/>
  <c r="P16" i="1" s="1"/>
  <c r="O17" i="1"/>
  <c r="L6" i="1"/>
  <c r="P6" i="1" s="1"/>
  <c r="O7" i="1"/>
  <c r="L9" i="1"/>
  <c r="P9" i="1" s="1"/>
  <c r="L15" i="1"/>
  <c r="P15" i="1" s="1"/>
  <c r="L18" i="1"/>
  <c r="P18" i="1" s="1"/>
  <c r="O19" i="1"/>
  <c r="M36" i="1"/>
  <c r="N36" i="1" s="1" a="1"/>
  <c r="N36" i="1" s="1"/>
  <c r="M40" i="1"/>
  <c r="N40" i="1" s="1" a="1"/>
  <c r="N40" i="1" s="1"/>
  <c r="M58" i="1"/>
  <c r="N58" i="1" s="1" a="1"/>
  <c r="N58" i="1" s="1"/>
  <c r="O58" i="1" s="1"/>
  <c r="M62" i="1"/>
  <c r="N62" i="1" s="1" a="1"/>
  <c r="N62" i="1" s="1"/>
  <c r="M66" i="1"/>
  <c r="N66" i="1" s="1" a="1"/>
  <c r="N66" i="1" s="1"/>
  <c r="M79" i="1"/>
  <c r="N79" i="1" s="1" a="1"/>
  <c r="N79" i="1" s="1"/>
  <c r="M83" i="1"/>
  <c r="N83" i="1" s="1" a="1"/>
  <c r="N83" i="1" s="1"/>
  <c r="O84" i="1"/>
  <c r="L35" i="1"/>
  <c r="P35" i="1" s="1"/>
  <c r="L39" i="1"/>
  <c r="P39" i="1" s="1"/>
  <c r="O41" i="1"/>
  <c r="L57" i="1"/>
  <c r="P57" i="1" s="1"/>
  <c r="L61" i="1"/>
  <c r="P61" i="1" s="1"/>
  <c r="L65" i="1"/>
  <c r="P65" i="1" s="1"/>
  <c r="O67" i="1"/>
  <c r="L82" i="1"/>
  <c r="P82" i="1" s="1"/>
  <c r="L88" i="1"/>
  <c r="P88" i="1" s="1"/>
  <c r="L78" i="1"/>
  <c r="P78" i="1" s="1"/>
  <c r="M82" i="1"/>
  <c r="N82" i="1" s="1" a="1"/>
  <c r="N82" i="1" s="1"/>
  <c r="O82" i="1" s="1"/>
  <c r="L85" i="1"/>
  <c r="P85" i="1" s="1"/>
  <c r="O86" i="1"/>
  <c r="O89" i="1"/>
  <c r="L91" i="1"/>
  <c r="P91" i="1" s="1"/>
  <c r="O92" i="1"/>
  <c r="L56" i="1"/>
  <c r="P56" i="1" s="1"/>
  <c r="L60" i="1"/>
  <c r="P60" i="1" s="1"/>
  <c r="O62" i="1"/>
  <c r="L64" i="1"/>
  <c r="P64" i="1" s="1"/>
  <c r="O66" i="1"/>
  <c r="B77" i="1"/>
  <c r="M77" i="1" s="1"/>
  <c r="N77" i="1" s="1" a="1"/>
  <c r="N77" i="1" s="1"/>
  <c r="O77" i="1" s="1"/>
  <c r="F75" i="1" s="1"/>
  <c r="I75" i="1" s="1"/>
  <c r="J75" i="1" s="1"/>
  <c r="O79" i="1"/>
  <c r="L81" i="1"/>
  <c r="P81" i="1" s="1"/>
  <c r="O83" i="1"/>
  <c r="M38" i="1"/>
  <c r="N38" i="1" s="1" a="1"/>
  <c r="N38" i="1" s="1"/>
  <c r="O38" i="1" s="1"/>
  <c r="M42" i="1"/>
  <c r="N42" i="1" s="1" a="1"/>
  <c r="N42" i="1" s="1"/>
  <c r="O42" i="1" s="1"/>
  <c r="B55" i="1"/>
  <c r="M55" i="1" s="1"/>
  <c r="N55" i="1" s="1" a="1"/>
  <c r="N55" i="1" s="1"/>
  <c r="O55" i="1" s="1"/>
  <c r="M56" i="1"/>
  <c r="N56" i="1" s="1" a="1"/>
  <c r="N56" i="1" s="1"/>
  <c r="O56" i="1" s="1"/>
  <c r="M60" i="1"/>
  <c r="N60" i="1" s="1" a="1"/>
  <c r="N60" i="1" s="1"/>
  <c r="O60" i="1" s="1"/>
  <c r="M64" i="1"/>
  <c r="N64" i="1" s="1" a="1"/>
  <c r="N64" i="1" s="1"/>
  <c r="O64" i="1" s="1"/>
  <c r="L77" i="1"/>
  <c r="P77" i="1" s="1"/>
  <c r="M81" i="1"/>
  <c r="N81" i="1" s="1" a="1"/>
  <c r="N81" i="1" s="1"/>
  <c r="O81" i="1" s="1"/>
  <c r="L87" i="1"/>
  <c r="P87" i="1" s="1"/>
  <c r="O88" i="1"/>
  <c r="L90" i="1"/>
  <c r="P90" i="1" s="1"/>
  <c r="M35" i="1"/>
  <c r="N35" i="1" s="1" a="1"/>
  <c r="N35" i="1" s="1"/>
  <c r="M39" i="1"/>
  <c r="N39" i="1" s="1" a="1"/>
  <c r="N39" i="1" s="1"/>
  <c r="M57" i="1"/>
  <c r="N57" i="1" s="1" a="1"/>
  <c r="N57" i="1" s="1"/>
  <c r="M61" i="1"/>
  <c r="N61" i="1" s="1" a="1"/>
  <c r="N61" i="1" s="1"/>
  <c r="O61" i="1" s="1"/>
  <c r="M65" i="1"/>
  <c r="N65" i="1" s="1" a="1"/>
  <c r="N65" i="1" s="1"/>
  <c r="O6" i="1"/>
  <c r="M8" i="1"/>
  <c r="N8" i="1" s="1" a="1"/>
  <c r="N8" i="1" s="1"/>
  <c r="O8" i="1" s="1"/>
  <c r="L14" i="1"/>
  <c r="P14" i="1" s="1"/>
  <c r="L17" i="1"/>
  <c r="P17" i="1" s="1"/>
  <c r="O18" i="1"/>
  <c r="M20" i="1"/>
  <c r="N20" i="1" s="1" a="1"/>
  <c r="N20" i="1" s="1"/>
  <c r="O20" i="1" s="1"/>
  <c r="L34" i="1"/>
  <c r="P34" i="1" s="1"/>
  <c r="O36" i="1"/>
  <c r="L38" i="1"/>
  <c r="P38" i="1" s="1"/>
  <c r="O40" i="1"/>
  <c r="L42" i="1"/>
  <c r="P42" i="1" s="1"/>
  <c r="O9" i="1"/>
  <c r="L11" i="1"/>
  <c r="P11" i="1" s="1"/>
  <c r="O12" i="1"/>
  <c r="O15" i="1"/>
  <c r="L7" i="1"/>
  <c r="P7" i="1" s="1"/>
  <c r="O35" i="1"/>
  <c r="L37" i="1"/>
  <c r="P37" i="1" s="1"/>
  <c r="O39" i="1"/>
  <c r="L41" i="1"/>
  <c r="P41" i="1" s="1"/>
  <c r="L55" i="1"/>
  <c r="P55" i="1" s="1"/>
  <c r="O57" i="1"/>
  <c r="L59" i="1"/>
  <c r="P59" i="1" s="1"/>
  <c r="L63" i="1"/>
  <c r="P63" i="1" s="1"/>
  <c r="O65" i="1"/>
  <c r="L67" i="1"/>
  <c r="P67" i="1" s="1"/>
  <c r="O78" i="1"/>
  <c r="L80" i="1"/>
  <c r="P80" i="1" s="1"/>
  <c r="L84" i="1"/>
  <c r="P84" i="1" s="1"/>
  <c r="O85" i="1"/>
  <c r="M90" i="1"/>
  <c r="N90" i="1" s="1" a="1"/>
  <c r="N90" i="1" s="1"/>
  <c r="O90" i="1" s="1"/>
  <c r="O91" i="1"/>
  <c r="M37" i="1"/>
  <c r="N37" i="1" s="1" a="1"/>
  <c r="N37" i="1" s="1"/>
  <c r="O37" i="1" s="1"/>
  <c r="M59" i="1"/>
  <c r="N59" i="1" s="1" a="1"/>
  <c r="N59" i="1" s="1"/>
  <c r="O59" i="1" s="1"/>
  <c r="M63" i="1"/>
  <c r="N63" i="1" s="1" a="1"/>
  <c r="N63" i="1" s="1"/>
  <c r="O63" i="1" s="1"/>
  <c r="M80" i="1"/>
  <c r="N80" i="1" s="1" a="1"/>
  <c r="N80" i="1" s="1"/>
  <c r="O80" i="1" s="1"/>
  <c r="F53" i="1" l="1"/>
  <c r="I53" i="1" s="1"/>
  <c r="J53" i="1" s="1"/>
  <c r="G53" i="1"/>
  <c r="K53" i="1" s="1"/>
  <c r="G4" i="1"/>
  <c r="K4" i="1" s="1"/>
  <c r="F32" i="1"/>
  <c r="I32" i="1" s="1"/>
  <c r="J32" i="1" s="1"/>
  <c r="G75" i="1"/>
  <c r="K75" i="1" s="1"/>
  <c r="F4" i="1"/>
  <c r="I4" i="1" s="1"/>
  <c r="J4" i="1" s="1"/>
  <c r="G32" i="1"/>
  <c r="K3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<sst xmlns="http://schemas.openxmlformats.org/spreadsheetml/2006/main" count="128" uniqueCount="36">
  <si>
    <t xml:space="preserve">L2 Level </t>
  </si>
  <si>
    <t>Team</t>
  </si>
  <si>
    <t>L2 Name</t>
  </si>
  <si>
    <t>Team Lead</t>
  </si>
  <si>
    <t>Yearly Target</t>
  </si>
  <si>
    <t>Target Achieved %</t>
  </si>
  <si>
    <t>Revenue Generated</t>
  </si>
  <si>
    <t>Revenue Billed</t>
  </si>
  <si>
    <t>Slab qualified</t>
  </si>
  <si>
    <t>Total Incentive in USD</t>
  </si>
  <si>
    <t>Total Incentive in INR</t>
  </si>
  <si>
    <t>Incentive Qualified</t>
  </si>
  <si>
    <t>Incentive paid till date</t>
  </si>
  <si>
    <t>Vantedge</t>
  </si>
  <si>
    <t>Umar Mujahid Husain</t>
  </si>
  <si>
    <t>Recruiter Name</t>
  </si>
  <si>
    <t>Candidate Name</t>
  </si>
  <si>
    <t>DOJ</t>
  </si>
  <si>
    <t>Client</t>
  </si>
  <si>
    <t>Total Revenue</t>
  </si>
  <si>
    <t>Billing status</t>
  </si>
  <si>
    <t>DOQ</t>
  </si>
  <si>
    <t>Recruiter</t>
  </si>
  <si>
    <t>Sourcer</t>
  </si>
  <si>
    <t>Account Manager</t>
  </si>
  <si>
    <t>TL</t>
  </si>
  <si>
    <t>Days Completed</t>
  </si>
  <si>
    <t>Placement sharing</t>
  </si>
  <si>
    <t>Placement Credit</t>
  </si>
  <si>
    <t>Revenue as Lead</t>
  </si>
  <si>
    <t>Revenue Qualifier</t>
  </si>
  <si>
    <t>Individual</t>
  </si>
  <si>
    <t>Incentive in USD</t>
  </si>
  <si>
    <t>Mayank Saxena</t>
  </si>
  <si>
    <t>Raunak Tripathi</t>
  </si>
  <si>
    <t>Anshul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</si>
</sst>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%20(5).xlsx" TargetMode="External"/><Relationship Id="rId1" Type="http://schemas.openxmlformats.org/officeDocument/2006/relationships/externalLinkPath" Target="Data%20Sheet%20Incentive%20Calculator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 - L4 Vantedge"/>
      <sheetName val="Calculator-L4 Midlevel (FTE+Con"/>
      <sheetName val="Calculator-L4 Midlevel"/>
      <sheetName val="Calculator-L4 Midlevel - Titans"/>
      <sheetName val="Calculator-L4 Midlevel - Trust"/>
      <sheetName val="Calculator - L2 Midlevel"/>
      <sheetName val="Calculator - L2 Vantedge"/>
      <sheetName val="L4 dummy data"/>
      <sheetName val="Vantedge - dummy Placement data"/>
      <sheetName val="Vantedge - dummy Placement"/>
      <sheetName val="Vantedge - dummy Slabs "/>
      <sheetName val="Ach % - L4"/>
      <sheetName val="Ach % - L2"/>
      <sheetName val="Data Validation (2)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  <cell r="R1">
            <v>14</v>
          </cell>
          <cell r="S1">
            <v>15</v>
          </cell>
          <cell r="T1">
            <v>16</v>
          </cell>
          <cell r="U1">
            <v>17</v>
          </cell>
          <cell r="V1">
            <v>18</v>
          </cell>
          <cell r="W1">
            <v>19</v>
          </cell>
          <cell r="X1">
            <v>20</v>
          </cell>
          <cell r="Y1">
            <v>21</v>
          </cell>
          <cell r="Z1">
            <v>22</v>
          </cell>
          <cell r="AA1">
            <v>23</v>
          </cell>
        </row>
        <row r="2">
          <cell r="D2" t="str">
            <v>Placement credit</v>
          </cell>
          <cell r="E2" t="str">
            <v>Placement Name</v>
          </cell>
          <cell r="F2" t="str">
            <v>VB Account Manager</v>
          </cell>
          <cell r="G2" t="str">
            <v>TL</v>
          </cell>
          <cell r="H2" t="str">
            <v>Sales</v>
          </cell>
          <cell r="I2" t="str">
            <v>Sourcer/Researcher</v>
          </cell>
          <cell r="J2" t="str">
            <v>Month</v>
          </cell>
          <cell r="K2" t="str">
            <v>DOJ (MM/DD/YYYY)</v>
          </cell>
          <cell r="L2" t="str">
            <v>DOQ (MM/DD/YYYY)</v>
          </cell>
          <cell r="M2" t="str">
            <v>Client Name</v>
          </cell>
          <cell r="N2" t="str">
            <v>Client Resource Name</v>
          </cell>
          <cell r="O2" t="str">
            <v>Billable Amount</v>
          </cell>
          <cell r="P2" t="str">
            <v>Billed currency</v>
          </cell>
          <cell r="Q2" t="str">
            <v>Drop Revenue loss</v>
          </cell>
          <cell r="R2" t="str">
            <v>Billing status</v>
          </cell>
          <cell r="S2" t="str">
            <v>Date updated</v>
          </cell>
          <cell r="T2" t="str">
            <v>Team</v>
          </cell>
          <cell r="U2" t="str">
            <v>Column1</v>
          </cell>
          <cell r="V2" t="str">
            <v>Account Manager Credit</v>
          </cell>
          <cell r="W2" t="str">
            <v>TL Credit</v>
          </cell>
          <cell r="X2" t="str">
            <v>Recruiter Name</v>
          </cell>
          <cell r="Y2" t="str">
            <v>Client ID</v>
          </cell>
          <cell r="Z2" t="str">
            <v>JPC Id</v>
          </cell>
          <cell r="AA2" t="str">
            <v>Placement Type</v>
          </cell>
        </row>
        <row r="3">
          <cell r="D3" t="str">
            <v>Split</v>
          </cell>
          <cell r="E3" t="str">
            <v>David Mussan-Levy</v>
          </cell>
          <cell r="F3" t="str">
            <v>Raunak Tripathi</v>
          </cell>
          <cell r="G3" t="str">
            <v>Anshul Kumar</v>
          </cell>
          <cell r="H3" t="str">
            <v>Rashmi Bhatnagar</v>
          </cell>
          <cell r="I3" t="str">
            <v>Priyansh Khare</v>
          </cell>
          <cell r="J3" t="str">
            <v>January</v>
          </cell>
          <cell r="K3">
            <v>45659</v>
          </cell>
          <cell r="L3" t="str">
            <v>NA</v>
          </cell>
          <cell r="M3" t="str">
            <v>Visionet</v>
          </cell>
          <cell r="N3" t="str">
            <v>Shelza Tiwari</v>
          </cell>
          <cell r="O3">
            <v>30000</v>
          </cell>
          <cell r="P3" t="str">
            <v>USD</v>
          </cell>
          <cell r="R3" t="str">
            <v>Pending</v>
          </cell>
          <cell r="S3">
            <v>45763</v>
          </cell>
          <cell r="T3" t="str">
            <v>Vantedge</v>
          </cell>
          <cell r="U3" t="str">
            <v>Vantedge</v>
          </cell>
          <cell r="V3">
            <v>0.5</v>
          </cell>
          <cell r="W3">
            <v>0.5</v>
          </cell>
          <cell r="X3" t="str">
            <v>Anshul Kumar</v>
          </cell>
          <cell r="Y3">
            <v>150</v>
          </cell>
          <cell r="Z3" t="str">
            <v>JPC - 224892</v>
          </cell>
          <cell r="AA3" t="str">
            <v>FTE</v>
          </cell>
        </row>
        <row r="4">
          <cell r="D4" t="str">
            <v>Individual</v>
          </cell>
          <cell r="E4" t="str">
            <v>Arbindoo Sood</v>
          </cell>
          <cell r="F4" t="str">
            <v>Mayank Saxena</v>
          </cell>
          <cell r="G4" t="str">
            <v>Mayank Saxena</v>
          </cell>
          <cell r="H4" t="str">
            <v>Rashmi Bhatnagar</v>
          </cell>
          <cell r="I4" t="str">
            <v>Rohini Parihar</v>
          </cell>
          <cell r="J4" t="str">
            <v>January</v>
          </cell>
          <cell r="K4">
            <v>45665</v>
          </cell>
          <cell r="L4" t="str">
            <v>NA</v>
          </cell>
          <cell r="M4" t="str">
            <v>Myridius</v>
          </cell>
          <cell r="N4" t="str">
            <v>Abhinav Kohle</v>
          </cell>
          <cell r="O4">
            <v>27950</v>
          </cell>
          <cell r="P4" t="str">
            <v>USD</v>
          </cell>
          <cell r="R4" t="str">
            <v>Done</v>
          </cell>
          <cell r="S4">
            <v>45763</v>
          </cell>
          <cell r="T4" t="str">
            <v>Vantedge</v>
          </cell>
          <cell r="U4" t="str">
            <v>Vantedge</v>
          </cell>
          <cell r="V4">
            <v>0.5</v>
          </cell>
          <cell r="W4">
            <v>0.5</v>
          </cell>
          <cell r="X4" t="str">
            <v>Mayank Saxena</v>
          </cell>
          <cell r="Y4">
            <v>438</v>
          </cell>
          <cell r="Z4" t="str">
            <v>JPC - 224893</v>
          </cell>
          <cell r="AA4" t="str">
            <v>FTE</v>
          </cell>
        </row>
        <row r="5">
          <cell r="D5" t="str">
            <v>Split</v>
          </cell>
          <cell r="E5" t="str">
            <v>Sindhu Venkatesh</v>
          </cell>
          <cell r="F5" t="str">
            <v>Rohini Parihar</v>
          </cell>
          <cell r="G5" t="str">
            <v>Umar Mujahid Husain</v>
          </cell>
          <cell r="H5" t="str">
            <v>Dev Srivastava</v>
          </cell>
          <cell r="I5" t="str">
            <v>Tanya Mishra</v>
          </cell>
          <cell r="J5" t="str">
            <v>February</v>
          </cell>
          <cell r="K5">
            <v>45698</v>
          </cell>
          <cell r="L5" t="str">
            <v>NA</v>
          </cell>
          <cell r="M5" t="str">
            <v>QualiZeal</v>
          </cell>
          <cell r="N5" t="str">
            <v>Guru </v>
          </cell>
          <cell r="O5">
            <v>18750</v>
          </cell>
          <cell r="P5" t="str">
            <v>USD</v>
          </cell>
          <cell r="R5" t="str">
            <v>done</v>
          </cell>
          <cell r="S5">
            <v>45763</v>
          </cell>
          <cell r="T5" t="str">
            <v>Vantedge</v>
          </cell>
          <cell r="U5" t="str">
            <v>Vantedge</v>
          </cell>
          <cell r="V5">
            <v>0.5</v>
          </cell>
          <cell r="W5">
            <v>0.5</v>
          </cell>
          <cell r="X5" t="str">
            <v>Abhay Pratap Singh</v>
          </cell>
          <cell r="Y5">
            <v>432</v>
          </cell>
          <cell r="Z5" t="str">
            <v>JPC - 224894</v>
          </cell>
          <cell r="AA5" t="str">
            <v>FTE</v>
          </cell>
        </row>
        <row r="6">
          <cell r="D6" t="str">
            <v>Split</v>
          </cell>
          <cell r="E6" t="str">
            <v>John Donaldson</v>
          </cell>
          <cell r="F6" t="str">
            <v>Anshul Kumar</v>
          </cell>
          <cell r="G6" t="str">
            <v>Umar Mujahid Husain</v>
          </cell>
          <cell r="H6" t="str">
            <v>Dev Srivastava</v>
          </cell>
          <cell r="I6" t="str">
            <v>Anshul Kumar</v>
          </cell>
          <cell r="J6" t="str">
            <v>February</v>
          </cell>
          <cell r="K6">
            <v>45712</v>
          </cell>
          <cell r="L6" t="str">
            <v>NA</v>
          </cell>
          <cell r="M6" t="str">
            <v>WNS</v>
          </cell>
          <cell r="N6" t="str">
            <v>Sarita</v>
          </cell>
          <cell r="O6">
            <v>41250</v>
          </cell>
          <cell r="P6" t="str">
            <v>USD</v>
          </cell>
          <cell r="R6" t="str">
            <v>Done</v>
          </cell>
          <cell r="S6">
            <v>45763</v>
          </cell>
          <cell r="T6" t="str">
            <v>Vantedge</v>
          </cell>
          <cell r="U6" t="str">
            <v>Vantedge</v>
          </cell>
          <cell r="V6">
            <v>0.5</v>
          </cell>
          <cell r="W6">
            <v>0.5</v>
          </cell>
          <cell r="X6" t="str">
            <v>Umar Mujahid Husain</v>
          </cell>
          <cell r="Y6">
            <v>136</v>
          </cell>
          <cell r="Z6" t="str">
            <v>JPC - 224895</v>
          </cell>
          <cell r="AA6" t="str">
            <v>FTE</v>
          </cell>
        </row>
        <row r="7">
          <cell r="D7" t="str">
            <v>Individual</v>
          </cell>
          <cell r="E7" t="str">
            <v>Juan salazar</v>
          </cell>
          <cell r="F7" t="str">
            <v>Anshul Kumar</v>
          </cell>
          <cell r="G7" t="str">
            <v>Anshul Kumar</v>
          </cell>
          <cell r="H7" t="str">
            <v>Rashmi Bhatnagar</v>
          </cell>
          <cell r="I7" t="str">
            <v>Tanya Mishra</v>
          </cell>
          <cell r="J7" t="str">
            <v>February</v>
          </cell>
          <cell r="K7">
            <v>45705</v>
          </cell>
          <cell r="L7" t="str">
            <v>NA</v>
          </cell>
          <cell r="M7" t="str">
            <v>Myridius</v>
          </cell>
          <cell r="O7">
            <v>27300</v>
          </cell>
          <cell r="P7" t="str">
            <v>USD</v>
          </cell>
          <cell r="R7" t="str">
            <v>Done</v>
          </cell>
          <cell r="S7">
            <v>45763</v>
          </cell>
          <cell r="T7" t="str">
            <v>Vantedge</v>
          </cell>
          <cell r="U7" t="str">
            <v>Vantedge</v>
          </cell>
          <cell r="V7">
            <v>0.5</v>
          </cell>
          <cell r="W7">
            <v>0.5</v>
          </cell>
          <cell r="X7" t="str">
            <v>Shreya Singh</v>
          </cell>
          <cell r="Y7">
            <v>438</v>
          </cell>
          <cell r="Z7" t="str">
            <v>JPC - 224896</v>
          </cell>
          <cell r="AA7" t="str">
            <v>FTE</v>
          </cell>
        </row>
        <row r="8">
          <cell r="D8" t="str">
            <v>Individual</v>
          </cell>
          <cell r="E8" t="str">
            <v>Pooja Agarwal</v>
          </cell>
          <cell r="F8" t="str">
            <v>Umar Mujahid Husain</v>
          </cell>
          <cell r="G8" t="str">
            <v>Umar Mujahid Husain</v>
          </cell>
          <cell r="H8" t="str">
            <v>Dev Srivastava</v>
          </cell>
          <cell r="I8" t="str">
            <v>Nida Khan</v>
          </cell>
          <cell r="J8" t="str">
            <v>March</v>
          </cell>
          <cell r="K8">
            <v>45733</v>
          </cell>
          <cell r="L8" t="str">
            <v>NA</v>
          </cell>
          <cell r="M8" t="str">
            <v>Qualitest</v>
          </cell>
          <cell r="N8" t="str">
            <v>Ravi</v>
          </cell>
          <cell r="O8">
            <v>28500</v>
          </cell>
          <cell r="P8" t="str">
            <v>USD</v>
          </cell>
          <cell r="R8" t="str">
            <v>Done</v>
          </cell>
          <cell r="S8">
            <v>45763</v>
          </cell>
          <cell r="T8" t="str">
            <v>Vantedge</v>
          </cell>
          <cell r="U8" t="str">
            <v>Vantedge</v>
          </cell>
          <cell r="V8">
            <v>0.5</v>
          </cell>
          <cell r="W8">
            <v>0.5</v>
          </cell>
          <cell r="X8" t="str">
            <v>Abhay Pratap Singh</v>
          </cell>
          <cell r="Y8">
            <v>406</v>
          </cell>
          <cell r="Z8" t="str">
            <v>JPC - 224897</v>
          </cell>
          <cell r="AA8" t="str">
            <v>FTE</v>
          </cell>
        </row>
        <row r="9">
          <cell r="D9" t="str">
            <v>Individual</v>
          </cell>
          <cell r="E9" t="str">
            <v>David Smith</v>
          </cell>
          <cell r="F9" t="str">
            <v>Umar Mujahid Husain</v>
          </cell>
          <cell r="G9" t="str">
            <v>Umar Mujahid Husain</v>
          </cell>
          <cell r="H9" t="str">
            <v>Dev Srivastava</v>
          </cell>
          <cell r="I9" t="str">
            <v>Nida Khan</v>
          </cell>
          <cell r="J9" t="str">
            <v>March</v>
          </cell>
          <cell r="K9">
            <v>45734</v>
          </cell>
          <cell r="L9" t="str">
            <v>NA</v>
          </cell>
          <cell r="M9" t="str">
            <v>PocketFM</v>
          </cell>
          <cell r="N9" t="str">
            <v>Ashish</v>
          </cell>
          <cell r="O9">
            <v>43200</v>
          </cell>
          <cell r="P9" t="str">
            <v>USD</v>
          </cell>
          <cell r="R9" t="str">
            <v>Done</v>
          </cell>
          <cell r="S9">
            <v>45764</v>
          </cell>
          <cell r="T9" t="str">
            <v>Vantedge</v>
          </cell>
          <cell r="U9" t="str">
            <v>Vantedge</v>
          </cell>
          <cell r="V9">
            <v>0.5</v>
          </cell>
          <cell r="W9">
            <v>0.5</v>
          </cell>
          <cell r="X9" t="str">
            <v>Umar Mujahid Husain</v>
          </cell>
          <cell r="Y9">
            <v>393</v>
          </cell>
          <cell r="Z9" t="str">
            <v>JPC - 224898</v>
          </cell>
          <cell r="AA9" t="str">
            <v>FTE</v>
          </cell>
        </row>
        <row r="10">
          <cell r="D10" t="str">
            <v>Individual</v>
          </cell>
          <cell r="E10" t="str">
            <v>Kishore Ramakrishnan</v>
          </cell>
          <cell r="F10" t="str">
            <v>Mayank Saxena</v>
          </cell>
          <cell r="G10" t="str">
            <v>Mayank Saxena</v>
          </cell>
          <cell r="H10" t="str">
            <v>Rashmi Bhatnagar</v>
          </cell>
          <cell r="I10" t="str">
            <v>Richa Srivastava</v>
          </cell>
          <cell r="J10" t="str">
            <v>March</v>
          </cell>
          <cell r="K10">
            <v>45726</v>
          </cell>
          <cell r="L10" t="str">
            <v>NA</v>
          </cell>
          <cell r="M10" t="str">
            <v>Tredence</v>
          </cell>
          <cell r="N10" t="str">
            <v>Aamir</v>
          </cell>
          <cell r="O10">
            <v>12320</v>
          </cell>
          <cell r="P10" t="str">
            <v>USD</v>
          </cell>
          <cell r="R10" t="str">
            <v>Done</v>
          </cell>
          <cell r="S10">
            <v>45763</v>
          </cell>
          <cell r="T10" t="str">
            <v>Vantedge</v>
          </cell>
          <cell r="U10" t="str">
            <v>Vantedge</v>
          </cell>
          <cell r="V10">
            <v>0.5</v>
          </cell>
          <cell r="W10">
            <v>0.5</v>
          </cell>
          <cell r="X10" t="str">
            <v>Shruti Shukla</v>
          </cell>
          <cell r="Y10">
            <v>383</v>
          </cell>
          <cell r="Z10" t="str">
            <v>JPC - 224899</v>
          </cell>
          <cell r="AA10" t="str">
            <v>FTE</v>
          </cell>
        </row>
        <row r="11">
          <cell r="D11" t="str">
            <v>Individual</v>
          </cell>
          <cell r="E11" t="str">
            <v>Brandon Ross</v>
          </cell>
          <cell r="F11" t="str">
            <v>Anshul Kumar</v>
          </cell>
          <cell r="G11" t="str">
            <v>Anshul Kumar</v>
          </cell>
          <cell r="H11" t="str">
            <v>Dev Srivastava</v>
          </cell>
          <cell r="J11" t="str">
            <v>March</v>
          </cell>
          <cell r="K11">
            <v>45733</v>
          </cell>
          <cell r="L11" t="str">
            <v>NA</v>
          </cell>
          <cell r="M11" t="str">
            <v>VXI</v>
          </cell>
          <cell r="N11" t="str">
            <v>Regan</v>
          </cell>
          <cell r="O11">
            <v>20250</v>
          </cell>
          <cell r="P11" t="str">
            <v>USD</v>
          </cell>
          <cell r="R11" t="str">
            <v>Done</v>
          </cell>
          <cell r="S11">
            <v>45763</v>
          </cell>
          <cell r="T11" t="str">
            <v>Vantedge</v>
          </cell>
          <cell r="U11" t="str">
            <v>Vantedge</v>
          </cell>
          <cell r="V11">
            <v>0.5</v>
          </cell>
          <cell r="W11">
            <v>0.5</v>
          </cell>
          <cell r="X11" t="str">
            <v>Priyansh Khare</v>
          </cell>
          <cell r="Y11">
            <v>286</v>
          </cell>
          <cell r="Z11" t="str">
            <v>JPC - 224900</v>
          </cell>
          <cell r="AA11" t="str">
            <v>FTE</v>
          </cell>
        </row>
        <row r="12">
          <cell r="D12" t="str">
            <v>Individual</v>
          </cell>
          <cell r="E12" t="str">
            <v>David Jaime Illescas</v>
          </cell>
          <cell r="F12" t="str">
            <v>Anshul Kumar</v>
          </cell>
          <cell r="G12" t="str">
            <v>Anshul Kumar</v>
          </cell>
          <cell r="H12" t="str">
            <v>Dev Srivastava</v>
          </cell>
          <cell r="J12" t="str">
            <v>March</v>
          </cell>
          <cell r="K12">
            <v>45740</v>
          </cell>
          <cell r="L12" t="str">
            <v>NA</v>
          </cell>
          <cell r="M12" t="str">
            <v>ACL Digital</v>
          </cell>
          <cell r="N12" t="str">
            <v>Bhavin Shah</v>
          </cell>
          <cell r="O12">
            <v>39600</v>
          </cell>
          <cell r="P12" t="str">
            <v>USD</v>
          </cell>
          <cell r="R12" t="str">
            <v>Done</v>
          </cell>
          <cell r="S12">
            <v>45763</v>
          </cell>
          <cell r="T12" t="str">
            <v>Vantedge</v>
          </cell>
          <cell r="U12" t="str">
            <v>Vantedge</v>
          </cell>
          <cell r="V12">
            <v>0.5</v>
          </cell>
          <cell r="W12">
            <v>0.5</v>
          </cell>
          <cell r="X12" t="str">
            <v>Anshul Kumar</v>
          </cell>
          <cell r="Y12">
            <v>193</v>
          </cell>
          <cell r="Z12" t="str">
            <v>JPC - 224901</v>
          </cell>
          <cell r="AA12" t="str">
            <v>FTE</v>
          </cell>
        </row>
        <row r="13">
          <cell r="D13" t="str">
            <v>Split</v>
          </cell>
          <cell r="E13" t="str">
            <v>Alex Dee</v>
          </cell>
          <cell r="F13" t="str">
            <v>Anshul Kumar</v>
          </cell>
          <cell r="G13" t="str">
            <v>Raunak Tripathi</v>
          </cell>
          <cell r="H13" t="str">
            <v>Dev Srivastava</v>
          </cell>
          <cell r="I13" t="str">
            <v>Nida Khan</v>
          </cell>
          <cell r="J13" t="str">
            <v>March</v>
          </cell>
          <cell r="K13">
            <v>45747</v>
          </cell>
          <cell r="L13">
            <v>45762</v>
          </cell>
          <cell r="M13" t="str">
            <v>Waverly</v>
          </cell>
          <cell r="N13" t="str">
            <v>Raj</v>
          </cell>
          <cell r="O13">
            <v>0</v>
          </cell>
          <cell r="P13" t="str">
            <v>USD</v>
          </cell>
          <cell r="Q13">
            <v>35875</v>
          </cell>
          <cell r="R13" t="str">
            <v>No Bill No pay</v>
          </cell>
          <cell r="S13">
            <v>45763</v>
          </cell>
          <cell r="T13" t="str">
            <v>Vantedge</v>
          </cell>
          <cell r="U13" t="str">
            <v>Vantedge</v>
          </cell>
          <cell r="V13">
            <v>0.5</v>
          </cell>
          <cell r="W13">
            <v>0.5</v>
          </cell>
          <cell r="X13" t="str">
            <v>Devansh Mishra</v>
          </cell>
          <cell r="Y13">
            <v>1764</v>
          </cell>
          <cell r="Z13" t="str">
            <v>JPC - 224902</v>
          </cell>
          <cell r="AA13" t="str">
            <v>FTE</v>
          </cell>
        </row>
        <row r="14">
          <cell r="D14" t="str">
            <v>Individual</v>
          </cell>
          <cell r="E14" t="str">
            <v>Satish Manam</v>
          </cell>
          <cell r="F14" t="str">
            <v>Mayank Saxena</v>
          </cell>
          <cell r="G14" t="str">
            <v>Mayank Saxena</v>
          </cell>
          <cell r="H14" t="str">
            <v>Alok Mishra</v>
          </cell>
          <cell r="I14" t="str">
            <v>Tanya Mishra</v>
          </cell>
          <cell r="J14" t="str">
            <v>March</v>
          </cell>
          <cell r="K14">
            <v>45740</v>
          </cell>
          <cell r="L14" t="str">
            <v>NA</v>
          </cell>
          <cell r="M14" t="str">
            <v>Digitide</v>
          </cell>
          <cell r="N14" t="str">
            <v>Saket</v>
          </cell>
          <cell r="O14">
            <v>29900</v>
          </cell>
          <cell r="P14" t="str">
            <v>USD</v>
          </cell>
          <cell r="R14" t="str">
            <v>Pending</v>
          </cell>
          <cell r="S14">
            <v>45806</v>
          </cell>
          <cell r="T14" t="str">
            <v>Vantedge</v>
          </cell>
          <cell r="U14" t="str">
            <v>Vantedge</v>
          </cell>
          <cell r="V14">
            <v>0.5</v>
          </cell>
          <cell r="W14">
            <v>0.5</v>
          </cell>
          <cell r="X14" t="str">
            <v>Govind Srivastava</v>
          </cell>
          <cell r="Y14">
            <v>434</v>
          </cell>
          <cell r="Z14" t="str">
            <v>JPC - 224903</v>
          </cell>
          <cell r="AA14" t="str">
            <v>FTE</v>
          </cell>
        </row>
        <row r="15">
          <cell r="D15" t="str">
            <v>Individual</v>
          </cell>
          <cell r="E15" t="str">
            <v>Praveen Narayana</v>
          </cell>
          <cell r="F15" t="str">
            <v>Umar Mujahid Husain</v>
          </cell>
          <cell r="G15" t="str">
            <v>Umar Mujahid Husain</v>
          </cell>
          <cell r="H15" t="str">
            <v>Dev Srivastava</v>
          </cell>
          <cell r="J15" t="str">
            <v>April</v>
          </cell>
          <cell r="K15">
            <v>45761</v>
          </cell>
          <cell r="L15" t="str">
            <v>NA</v>
          </cell>
          <cell r="M15" t="str">
            <v>Tech Mahindra</v>
          </cell>
          <cell r="N15" t="str">
            <v>Kunwar</v>
          </cell>
          <cell r="O15">
            <v>20825</v>
          </cell>
          <cell r="P15" t="str">
            <v>USD</v>
          </cell>
          <cell r="R15" t="str">
            <v>Done</v>
          </cell>
          <cell r="S15">
            <v>45763</v>
          </cell>
          <cell r="T15" t="str">
            <v>Vantedge</v>
          </cell>
          <cell r="U15" t="str">
            <v>Vantedge</v>
          </cell>
          <cell r="V15">
            <v>0.5</v>
          </cell>
          <cell r="W15">
            <v>0.5</v>
          </cell>
          <cell r="X15" t="str">
            <v>Abhay Pratap Singh</v>
          </cell>
          <cell r="Y15">
            <v>8</v>
          </cell>
          <cell r="Z15" t="str">
            <v>JPC - 224904</v>
          </cell>
          <cell r="AA15" t="str">
            <v>FTE</v>
          </cell>
        </row>
        <row r="16">
          <cell r="D16" t="str">
            <v>Individual</v>
          </cell>
          <cell r="E16" t="str">
            <v>Helen Kim</v>
          </cell>
          <cell r="F16" t="str">
            <v>Raunak Tripathi</v>
          </cell>
          <cell r="G16" t="str">
            <v>Raunak Tripathi</v>
          </cell>
          <cell r="H16" t="str">
            <v>Alok Mishra</v>
          </cell>
          <cell r="I16" t="str">
            <v>Raunak Tripathi</v>
          </cell>
          <cell r="J16" t="str">
            <v>April</v>
          </cell>
          <cell r="K16">
            <v>45754</v>
          </cell>
          <cell r="L16" t="str">
            <v>NA</v>
          </cell>
          <cell r="M16" t="str">
            <v>Coforge</v>
          </cell>
          <cell r="N16" t="str">
            <v>Athiraj Balasubramanian</v>
          </cell>
          <cell r="O16">
            <v>33000</v>
          </cell>
          <cell r="P16" t="str">
            <v>USD</v>
          </cell>
          <cell r="R16" t="str">
            <v>Done</v>
          </cell>
          <cell r="S16">
            <v>45763</v>
          </cell>
          <cell r="T16" t="str">
            <v>Vantedge</v>
          </cell>
          <cell r="U16" t="str">
            <v>Vantedge</v>
          </cell>
          <cell r="V16">
            <v>0.5</v>
          </cell>
          <cell r="W16">
            <v>0.5</v>
          </cell>
          <cell r="X16" t="str">
            <v>Ranjeet Kumar</v>
          </cell>
          <cell r="Y16">
            <v>155</v>
          </cell>
          <cell r="Z16" t="str">
            <v>JPC - 224905</v>
          </cell>
          <cell r="AA16" t="str">
            <v>FTE</v>
          </cell>
        </row>
        <row r="17">
          <cell r="D17" t="str">
            <v>Individual</v>
          </cell>
          <cell r="E17" t="str">
            <v>Maria Flock</v>
          </cell>
          <cell r="F17" t="str">
            <v>Alok Mishra</v>
          </cell>
          <cell r="G17" t="str">
            <v>Alok Mishra</v>
          </cell>
          <cell r="H17" t="str">
            <v>Alok Mishra</v>
          </cell>
          <cell r="I17" t="str">
            <v>Rohini Parihar</v>
          </cell>
          <cell r="J17" t="str">
            <v>April</v>
          </cell>
          <cell r="K17">
            <v>45754</v>
          </cell>
          <cell r="L17" t="str">
            <v>NA</v>
          </cell>
          <cell r="M17" t="str">
            <v>Sutherland</v>
          </cell>
          <cell r="N17" t="str">
            <v>Mark Hess</v>
          </cell>
          <cell r="O17">
            <v>65000</v>
          </cell>
          <cell r="P17" t="str">
            <v>USD</v>
          </cell>
          <cell r="R17" t="str">
            <v>Done</v>
          </cell>
          <cell r="S17">
            <v>45763</v>
          </cell>
          <cell r="T17" t="str">
            <v>Vantedge</v>
          </cell>
          <cell r="U17" t="str">
            <v>Vantedge</v>
          </cell>
          <cell r="V17">
            <v>0.5</v>
          </cell>
          <cell r="W17">
            <v>0.5</v>
          </cell>
          <cell r="X17" t="str">
            <v>Alok Mishra</v>
          </cell>
          <cell r="Y17">
            <v>24</v>
          </cell>
          <cell r="Z17" t="str">
            <v>JPC - 224906</v>
          </cell>
          <cell r="AA17" t="str">
            <v>FTE</v>
          </cell>
        </row>
        <row r="18">
          <cell r="D18" t="str">
            <v>Individual</v>
          </cell>
          <cell r="E18" t="str">
            <v>Shekhar Patwardhan</v>
          </cell>
          <cell r="F18" t="str">
            <v>Mayank Saxena</v>
          </cell>
          <cell r="G18" t="str">
            <v>Mayank Saxena</v>
          </cell>
          <cell r="H18" t="str">
            <v>Rashmi Bhatnagar</v>
          </cell>
          <cell r="J18" t="str">
            <v>May</v>
          </cell>
          <cell r="K18">
            <v>45782</v>
          </cell>
          <cell r="L18" t="str">
            <v>NA</v>
          </cell>
          <cell r="M18" t="str">
            <v>Sutherland</v>
          </cell>
          <cell r="O18">
            <v>62500</v>
          </cell>
          <cell r="P18" t="str">
            <v>USD</v>
          </cell>
          <cell r="R18" t="str">
            <v>Pending</v>
          </cell>
          <cell r="S18">
            <v>45792</v>
          </cell>
          <cell r="T18" t="str">
            <v>Vantedge</v>
          </cell>
          <cell r="U18" t="str">
            <v>Vantedge</v>
          </cell>
          <cell r="V18">
            <v>0.5</v>
          </cell>
          <cell r="W18">
            <v>0.5</v>
          </cell>
          <cell r="X18" t="str">
            <v>Mayank Saxena</v>
          </cell>
          <cell r="Y18">
            <v>24</v>
          </cell>
          <cell r="Z18" t="str">
            <v>JPC - 224907</v>
          </cell>
          <cell r="AA18" t="str">
            <v>FTE</v>
          </cell>
        </row>
        <row r="19">
          <cell r="D19" t="str">
            <v>Split</v>
          </cell>
          <cell r="E19" t="str">
            <v>Donna Hulina</v>
          </cell>
          <cell r="F19" t="str">
            <v>Anshul Kumar</v>
          </cell>
          <cell r="G19" t="str">
            <v>Mayank Saxena</v>
          </cell>
          <cell r="H19" t="str">
            <v>Rashmi Bhatnagar</v>
          </cell>
          <cell r="J19" t="str">
            <v>May</v>
          </cell>
          <cell r="K19">
            <v>45789</v>
          </cell>
          <cell r="L19" t="str">
            <v>NA</v>
          </cell>
          <cell r="M19" t="str">
            <v>Myridius</v>
          </cell>
          <cell r="O19">
            <v>21600</v>
          </cell>
          <cell r="P19" t="str">
            <v>USD</v>
          </cell>
          <cell r="R19" t="str">
            <v>Done</v>
          </cell>
          <cell r="S19">
            <v>45792</v>
          </cell>
          <cell r="T19" t="str">
            <v>Vantedge</v>
          </cell>
          <cell r="U19" t="str">
            <v>Vantedge</v>
          </cell>
          <cell r="V19">
            <v>0.5</v>
          </cell>
          <cell r="W19">
            <v>0.5</v>
          </cell>
          <cell r="X19" t="str">
            <v>Govind Srivastava</v>
          </cell>
          <cell r="Y19">
            <v>438</v>
          </cell>
          <cell r="Z19" t="str">
            <v>JPC - 224908</v>
          </cell>
          <cell r="AA19" t="str">
            <v>FTE</v>
          </cell>
        </row>
        <row r="20">
          <cell r="D20" t="str">
            <v>Split</v>
          </cell>
          <cell r="E20" t="str">
            <v>Shawn Elkon</v>
          </cell>
          <cell r="F20" t="str">
            <v>Umar Mujahid Husain</v>
          </cell>
          <cell r="G20" t="str">
            <v>Anshul Kumar</v>
          </cell>
          <cell r="H20" t="str">
            <v>Dev Srivastava</v>
          </cell>
          <cell r="J20" t="str">
            <v>May</v>
          </cell>
          <cell r="K20">
            <v>45782</v>
          </cell>
          <cell r="L20" t="str">
            <v>NA</v>
          </cell>
          <cell r="M20" t="str">
            <v>Tech Mahindra</v>
          </cell>
          <cell r="N20" t="str">
            <v>Rahul KV</v>
          </cell>
          <cell r="O20">
            <v>18326</v>
          </cell>
          <cell r="P20" t="str">
            <v>USD</v>
          </cell>
          <cell r="Q20">
            <v>18326</v>
          </cell>
          <cell r="R20" t="str">
            <v>Done</v>
          </cell>
          <cell r="S20">
            <v>45926</v>
          </cell>
          <cell r="T20" t="str">
            <v>Vantedge</v>
          </cell>
          <cell r="U20" t="str">
            <v>Vantedge</v>
          </cell>
          <cell r="V20">
            <v>0.5</v>
          </cell>
          <cell r="W20">
            <v>0.5</v>
          </cell>
          <cell r="X20" t="str">
            <v>Priyansh Khare</v>
          </cell>
          <cell r="Y20">
            <v>8</v>
          </cell>
          <cell r="Z20" t="str">
            <v>JPC - 224909</v>
          </cell>
          <cell r="AA20" t="str">
            <v>FTE</v>
          </cell>
        </row>
        <row r="21">
          <cell r="D21" t="str">
            <v>Individual</v>
          </cell>
          <cell r="E21" t="str">
            <v>Sergei Smirnov</v>
          </cell>
          <cell r="F21" t="str">
            <v>Raunak Tripathi</v>
          </cell>
          <cell r="G21" t="str">
            <v>Raunak Tripathi</v>
          </cell>
          <cell r="H21" t="str">
            <v>Alok Mishra</v>
          </cell>
          <cell r="J21" t="str">
            <v>May</v>
          </cell>
          <cell r="K21">
            <v>45804</v>
          </cell>
          <cell r="L21" t="str">
            <v>NA</v>
          </cell>
          <cell r="M21" t="str">
            <v>Kale Logistics</v>
          </cell>
          <cell r="N21" t="str">
            <v>Chetan Khanna</v>
          </cell>
          <cell r="O21">
            <v>12524.311199999998</v>
          </cell>
          <cell r="P21" t="str">
            <v>USD</v>
          </cell>
          <cell r="R21" t="str">
            <v>Done</v>
          </cell>
          <cell r="S21">
            <v>45810</v>
          </cell>
          <cell r="T21" t="str">
            <v>Vantedge</v>
          </cell>
          <cell r="U21" t="str">
            <v>Vantedge</v>
          </cell>
          <cell r="V21">
            <v>0.5</v>
          </cell>
          <cell r="W21">
            <v>0.5</v>
          </cell>
          <cell r="X21" t="str">
            <v>Pulkit Prakash</v>
          </cell>
          <cell r="Y21">
            <v>427</v>
          </cell>
          <cell r="Z21" t="str">
            <v>JPC - 224910</v>
          </cell>
          <cell r="AA21" t="str">
            <v>FTE</v>
          </cell>
        </row>
        <row r="22">
          <cell r="D22" t="str">
            <v>Individual</v>
          </cell>
          <cell r="E22" t="str">
            <v>Taylor Carlson</v>
          </cell>
          <cell r="F22" t="str">
            <v>Umar Mujahid Husain</v>
          </cell>
          <cell r="G22" t="str">
            <v>Umar Mujahid Husain</v>
          </cell>
          <cell r="H22" t="str">
            <v>Dev Srivastava</v>
          </cell>
          <cell r="I22" t="str">
            <v>Nida Khan</v>
          </cell>
          <cell r="J22" t="str">
            <v>June</v>
          </cell>
          <cell r="K22">
            <v>45811</v>
          </cell>
          <cell r="L22" t="str">
            <v>NA</v>
          </cell>
          <cell r="M22" t="str">
            <v>PocketFM</v>
          </cell>
          <cell r="N22" t="str">
            <v>Ashish</v>
          </cell>
          <cell r="O22">
            <v>37600</v>
          </cell>
          <cell r="P22" t="str">
            <v>USD</v>
          </cell>
          <cell r="R22" t="str">
            <v>Done</v>
          </cell>
          <cell r="S22">
            <v>45824</v>
          </cell>
          <cell r="T22" t="str">
            <v>Vantedge</v>
          </cell>
          <cell r="U22" t="str">
            <v>Vantedge</v>
          </cell>
          <cell r="V22">
            <v>0.5</v>
          </cell>
          <cell r="W22">
            <v>0.5</v>
          </cell>
          <cell r="X22" t="str">
            <v>Umar Mujahid Husain</v>
          </cell>
          <cell r="Y22">
            <v>393</v>
          </cell>
          <cell r="Z22" t="str">
            <v>JPC - 224911</v>
          </cell>
          <cell r="AA22" t="str">
            <v>FTE</v>
          </cell>
        </row>
        <row r="23">
          <cell r="D23" t="str">
            <v>Individual</v>
          </cell>
          <cell r="E23" t="str">
            <v>Sandeep Sanon</v>
          </cell>
          <cell r="F23" t="str">
            <v>Raunak Tripathi</v>
          </cell>
          <cell r="G23" t="str">
            <v>Raunak Tripathi</v>
          </cell>
          <cell r="H23" t="str">
            <v>Alok Mishra</v>
          </cell>
          <cell r="J23" t="str">
            <v>June</v>
          </cell>
          <cell r="K23">
            <v>45810</v>
          </cell>
          <cell r="L23" t="str">
            <v>NA</v>
          </cell>
          <cell r="M23" t="str">
            <v>LTIMindtree</v>
          </cell>
          <cell r="N23" t="str">
            <v>Mohd Anas Khan</v>
          </cell>
          <cell r="O23">
            <v>28350</v>
          </cell>
          <cell r="P23" t="str">
            <v>USD</v>
          </cell>
          <cell r="Q23">
            <v>28350</v>
          </cell>
          <cell r="R23" t="str">
            <v>Done</v>
          </cell>
          <cell r="S23">
            <v>45824</v>
          </cell>
          <cell r="T23" t="str">
            <v>Vantedge</v>
          </cell>
          <cell r="U23" t="str">
            <v>Vantedge</v>
          </cell>
          <cell r="V23">
            <v>0.5</v>
          </cell>
          <cell r="W23">
            <v>0.5</v>
          </cell>
          <cell r="X23" t="str">
            <v>Pulkit Prakash</v>
          </cell>
          <cell r="Y23">
            <v>299</v>
          </cell>
          <cell r="Z23" t="str">
            <v>JPC - 224912</v>
          </cell>
          <cell r="AA23" t="str">
            <v>FTE</v>
          </cell>
        </row>
        <row r="24">
          <cell r="D24" t="str">
            <v>Split</v>
          </cell>
          <cell r="E24" t="str">
            <v>Inderpuneet Sohanpal</v>
          </cell>
          <cell r="F24" t="str">
            <v>Raunak Tripathi</v>
          </cell>
          <cell r="G24" t="str">
            <v>Mayank Saxena</v>
          </cell>
          <cell r="H24" t="str">
            <v>Rashmi Bhatnagar</v>
          </cell>
          <cell r="I24" t="str">
            <v>Nida Khan</v>
          </cell>
          <cell r="J24" t="str">
            <v>July</v>
          </cell>
          <cell r="K24">
            <v>45845</v>
          </cell>
          <cell r="L24" t="str">
            <v>NA</v>
          </cell>
          <cell r="M24" t="str">
            <v>Visionet</v>
          </cell>
          <cell r="N24" t="str">
            <v>Shelza </v>
          </cell>
          <cell r="O24">
            <v>40500</v>
          </cell>
          <cell r="P24" t="str">
            <v>USD</v>
          </cell>
          <cell r="R24" t="str">
            <v>Pending</v>
          </cell>
          <cell r="S24">
            <v>45853</v>
          </cell>
          <cell r="T24" t="str">
            <v>Vantedge</v>
          </cell>
          <cell r="U24" t="str">
            <v>Vantedge</v>
          </cell>
          <cell r="V24">
            <v>0.5</v>
          </cell>
          <cell r="W24">
            <v>0.5</v>
          </cell>
          <cell r="X24" t="str">
            <v>Govind Srivastava</v>
          </cell>
          <cell r="Y24">
            <v>150</v>
          </cell>
          <cell r="Z24" t="str">
            <v>JPC - 224913</v>
          </cell>
          <cell r="AA24" t="str">
            <v>FTE</v>
          </cell>
        </row>
        <row r="25">
          <cell r="D25" t="str">
            <v>Individual</v>
          </cell>
          <cell r="E25" t="str">
            <v>Ramkishen Kalyana</v>
          </cell>
          <cell r="F25" t="str">
            <v>Mayank Saxena</v>
          </cell>
          <cell r="G25" t="str">
            <v>Mayank Saxena</v>
          </cell>
          <cell r="H25" t="str">
            <v>Rashmi Bhatnagar</v>
          </cell>
          <cell r="J25" t="str">
            <v>July</v>
          </cell>
          <cell r="K25">
            <v>45840</v>
          </cell>
          <cell r="L25" t="str">
            <v>NA</v>
          </cell>
          <cell r="M25" t="str">
            <v>Sutherland</v>
          </cell>
          <cell r="N25" t="str">
            <v> Mark Hess</v>
          </cell>
          <cell r="O25">
            <v>57500</v>
          </cell>
          <cell r="P25" t="str">
            <v>USD</v>
          </cell>
          <cell r="R25" t="str">
            <v>Pending</v>
          </cell>
          <cell r="S25">
            <v>45854</v>
          </cell>
          <cell r="T25" t="str">
            <v>Vantedge</v>
          </cell>
          <cell r="U25" t="str">
            <v>Vantedge</v>
          </cell>
          <cell r="V25">
            <v>0.5</v>
          </cell>
          <cell r="W25">
            <v>0.5</v>
          </cell>
          <cell r="X25" t="str">
            <v>Umang Srivastava</v>
          </cell>
          <cell r="Y25">
            <v>24</v>
          </cell>
          <cell r="Z25" t="str">
            <v>JPC - 224914</v>
          </cell>
          <cell r="AA25" t="str">
            <v>FTE</v>
          </cell>
        </row>
        <row r="26">
          <cell r="D26" t="str">
            <v>Individual</v>
          </cell>
          <cell r="E26" t="str">
            <v>Satheesh Naik</v>
          </cell>
          <cell r="F26" t="str">
            <v>Mayank Saxena</v>
          </cell>
          <cell r="G26" t="str">
            <v>Mayank Saxena</v>
          </cell>
          <cell r="H26" t="str">
            <v>Rashmi Bhatnagar</v>
          </cell>
          <cell r="J26" t="str">
            <v>July</v>
          </cell>
          <cell r="K26">
            <v>45848</v>
          </cell>
          <cell r="L26" t="str">
            <v>NA</v>
          </cell>
          <cell r="M26" t="str">
            <v>Sutherland</v>
          </cell>
          <cell r="N26" t="str">
            <v> Mark Hess</v>
          </cell>
          <cell r="O26">
            <v>60000</v>
          </cell>
          <cell r="P26" t="str">
            <v>USD</v>
          </cell>
          <cell r="R26" t="str">
            <v>Pending</v>
          </cell>
          <cell r="S26">
            <v>45855</v>
          </cell>
          <cell r="T26" t="str">
            <v>Vantedge</v>
          </cell>
          <cell r="U26" t="str">
            <v>Vantedge</v>
          </cell>
          <cell r="V26">
            <v>0.5</v>
          </cell>
          <cell r="W26">
            <v>0.5</v>
          </cell>
          <cell r="X26" t="str">
            <v>Govind Srivastava</v>
          </cell>
          <cell r="Y26">
            <v>24</v>
          </cell>
          <cell r="Z26" t="str">
            <v>JPC - 224915</v>
          </cell>
          <cell r="AA26" t="str">
            <v>FTE</v>
          </cell>
        </row>
        <row r="27">
          <cell r="D27" t="str">
            <v>Individual</v>
          </cell>
          <cell r="E27" t="str">
            <v>Robert Gonzalez</v>
          </cell>
          <cell r="F27" t="str">
            <v>Raunak Tripathi</v>
          </cell>
          <cell r="G27" t="str">
            <v>Raunak Tripathi</v>
          </cell>
          <cell r="H27" t="str">
            <v>Alok Mishra</v>
          </cell>
          <cell r="J27" t="str">
            <v>July</v>
          </cell>
          <cell r="K27">
            <v>45848</v>
          </cell>
          <cell r="L27" t="str">
            <v>NA</v>
          </cell>
          <cell r="M27" t="str">
            <v>Kale Logistics</v>
          </cell>
          <cell r="N27" t="str">
            <v>Sanket Kavi</v>
          </cell>
          <cell r="O27">
            <v>15600</v>
          </cell>
          <cell r="P27" t="str">
            <v>USD</v>
          </cell>
          <cell r="R27" t="str">
            <v>Done</v>
          </cell>
          <cell r="S27">
            <v>45855</v>
          </cell>
          <cell r="T27" t="str">
            <v>Vantedge</v>
          </cell>
          <cell r="U27" t="str">
            <v>Vantedge</v>
          </cell>
          <cell r="V27">
            <v>0.5</v>
          </cell>
          <cell r="W27">
            <v>0.5</v>
          </cell>
          <cell r="X27" t="str">
            <v>Pulkit Prakash</v>
          </cell>
          <cell r="Y27">
            <v>427</v>
          </cell>
          <cell r="Z27" t="str">
            <v>JPC - 224916</v>
          </cell>
          <cell r="AA27" t="str">
            <v>FTE</v>
          </cell>
        </row>
        <row r="28">
          <cell r="D28" t="str">
            <v>Split</v>
          </cell>
          <cell r="E28" t="str">
            <v>Nestor Miranda</v>
          </cell>
          <cell r="F28" t="str">
            <v>Rashmi Bhatnagar</v>
          </cell>
          <cell r="G28" t="str">
            <v>Ankit Pandey</v>
          </cell>
          <cell r="H28" t="str">
            <v>Rashmi Bhatnagar</v>
          </cell>
          <cell r="J28" t="str">
            <v>July</v>
          </cell>
          <cell r="K28">
            <v>45846</v>
          </cell>
          <cell r="L28" t="str">
            <v>NA</v>
          </cell>
          <cell r="M28" t="str">
            <v>Sutherland</v>
          </cell>
          <cell r="N28" t="str">
            <v>Mark Hess</v>
          </cell>
          <cell r="O28">
            <v>30000</v>
          </cell>
          <cell r="P28" t="str">
            <v>USD</v>
          </cell>
          <cell r="R28" t="str">
            <v>Pending</v>
          </cell>
          <cell r="S28">
            <v>45855</v>
          </cell>
          <cell r="T28" t="str">
            <v>RPO+Vantedge</v>
          </cell>
          <cell r="U28" t="str">
            <v>Vantedge</v>
          </cell>
          <cell r="V28">
            <v>0.5</v>
          </cell>
          <cell r="W28">
            <v>0.5</v>
          </cell>
          <cell r="X28" t="str">
            <v>Sagar Chandani</v>
          </cell>
          <cell r="Y28">
            <v>24</v>
          </cell>
          <cell r="Z28" t="str">
            <v>JPC - 224917</v>
          </cell>
          <cell r="AA28" t="str">
            <v>FTE</v>
          </cell>
        </row>
        <row r="29">
          <cell r="D29" t="str">
            <v>Split</v>
          </cell>
          <cell r="E29" t="str">
            <v>Sandeep Padhye</v>
          </cell>
          <cell r="F29" t="str">
            <v>Anshul Kumar</v>
          </cell>
          <cell r="G29" t="str">
            <v>Umar Mujahid Husain</v>
          </cell>
          <cell r="H29" t="str">
            <v>Dev Srivastava</v>
          </cell>
          <cell r="I29" t="str">
            <v>Qausain Abbass</v>
          </cell>
          <cell r="J29" t="str">
            <v>July</v>
          </cell>
          <cell r="K29">
            <v>45859</v>
          </cell>
          <cell r="L29" t="str">
            <v>NA</v>
          </cell>
          <cell r="M29" t="str">
            <v>InfoBeans</v>
          </cell>
          <cell r="N29" t="str">
            <v> Harmeet Bhatia</v>
          </cell>
          <cell r="O29">
            <v>31500</v>
          </cell>
          <cell r="P29" t="str">
            <v>USD</v>
          </cell>
          <cell r="R29" t="str">
            <v>Done</v>
          </cell>
          <cell r="S29">
            <v>45869</v>
          </cell>
          <cell r="T29" t="str">
            <v>Vantedge</v>
          </cell>
          <cell r="U29" t="str">
            <v>Vantedge</v>
          </cell>
          <cell r="V29">
            <v>0.5</v>
          </cell>
          <cell r="W29">
            <v>0.5</v>
          </cell>
          <cell r="X29" t="str">
            <v>Syed Ahrar Abbas Zaidi</v>
          </cell>
          <cell r="Y29">
            <v>448</v>
          </cell>
          <cell r="Z29" t="str">
            <v>JPC - 224918</v>
          </cell>
          <cell r="AA29" t="str">
            <v>FTE</v>
          </cell>
        </row>
        <row r="30">
          <cell r="D30" t="str">
            <v>Individual</v>
          </cell>
          <cell r="E30" t="str">
            <v>Travis Leemreis</v>
          </cell>
          <cell r="F30" t="str">
            <v>Raunak Tripathi</v>
          </cell>
          <cell r="G30" t="str">
            <v>Raunak Tripathi</v>
          </cell>
          <cell r="H30" t="str">
            <v>Alok Mishra</v>
          </cell>
          <cell r="J30" t="str">
            <v>July</v>
          </cell>
          <cell r="K30">
            <v>45855</v>
          </cell>
          <cell r="L30" t="str">
            <v>NA</v>
          </cell>
          <cell r="M30" t="str">
            <v>Kale Logistics</v>
          </cell>
          <cell r="N30" t="str">
            <v>Sanket Kavi</v>
          </cell>
          <cell r="O30">
            <v>14400</v>
          </cell>
          <cell r="P30" t="str">
            <v>USD</v>
          </cell>
          <cell r="R30" t="str">
            <v>Done</v>
          </cell>
          <cell r="S30">
            <v>45869</v>
          </cell>
          <cell r="T30" t="str">
            <v>vantedge</v>
          </cell>
          <cell r="U30" t="str">
            <v>Vantedge</v>
          </cell>
          <cell r="V30">
            <v>0.5</v>
          </cell>
          <cell r="W30">
            <v>0.5</v>
          </cell>
          <cell r="X30" t="str">
            <v>Pulkit Prakash</v>
          </cell>
          <cell r="Y30">
            <v>427</v>
          </cell>
          <cell r="Z30" t="str">
            <v>JPC - 224919</v>
          </cell>
          <cell r="AA30" t="str">
            <v>FTE</v>
          </cell>
        </row>
        <row r="31">
          <cell r="D31" t="str">
            <v>Individual</v>
          </cell>
          <cell r="E31" t="str">
            <v>Leroy Cervantes</v>
          </cell>
          <cell r="F31" t="str">
            <v>Raunak Tripathi</v>
          </cell>
          <cell r="G31" t="str">
            <v>Raunak Tripathi</v>
          </cell>
          <cell r="H31" t="str">
            <v>Alok Mishra</v>
          </cell>
          <cell r="J31" t="str">
            <v>July</v>
          </cell>
          <cell r="K31">
            <v>45859</v>
          </cell>
          <cell r="L31">
            <v>45920</v>
          </cell>
          <cell r="M31" t="str">
            <v>Kale Logistics</v>
          </cell>
          <cell r="N31" t="str">
            <v>Sanket Kavi</v>
          </cell>
          <cell r="O31">
            <v>0</v>
          </cell>
          <cell r="P31" t="str">
            <v>USD</v>
          </cell>
          <cell r="Q31">
            <v>13800</v>
          </cell>
          <cell r="S31">
            <v>45869</v>
          </cell>
          <cell r="T31" t="str">
            <v>Vantedge</v>
          </cell>
          <cell r="U31" t="str">
            <v>Vantedge</v>
          </cell>
          <cell r="V31">
            <v>0.5</v>
          </cell>
          <cell r="W31">
            <v>0.5</v>
          </cell>
          <cell r="X31" t="str">
            <v>Pulkit Prakash</v>
          </cell>
          <cell r="Y31">
            <v>427</v>
          </cell>
          <cell r="Z31" t="str">
            <v>JPC - 224920</v>
          </cell>
          <cell r="AA31" t="str">
            <v>FTE</v>
          </cell>
        </row>
        <row r="32">
          <cell r="D32" t="str">
            <v>Individual</v>
          </cell>
          <cell r="E32" t="str">
            <v>Manish Hemrajani</v>
          </cell>
          <cell r="F32" t="str">
            <v>Rashmi Bhatnagar</v>
          </cell>
          <cell r="G32" t="str">
            <v>Rashmi Bhatnagar</v>
          </cell>
          <cell r="H32" t="str">
            <v>Rashmi Bhatnagar</v>
          </cell>
          <cell r="J32" t="str">
            <v>July</v>
          </cell>
          <cell r="K32">
            <v>45866</v>
          </cell>
          <cell r="L32" t="str">
            <v>NA</v>
          </cell>
          <cell r="M32" t="str">
            <v>Coforge</v>
          </cell>
          <cell r="N32" t="str">
            <v> Bala Submramanium</v>
          </cell>
          <cell r="O32">
            <v>45000</v>
          </cell>
          <cell r="P32" t="str">
            <v> USD</v>
          </cell>
          <cell r="R32" t="str">
            <v>Pending</v>
          </cell>
          <cell r="S32">
            <v>45870</v>
          </cell>
          <cell r="T32" t="str">
            <v>Vantedge</v>
          </cell>
          <cell r="U32" t="str">
            <v>Vantedge</v>
          </cell>
          <cell r="V32">
            <v>0.5</v>
          </cell>
          <cell r="W32">
            <v>0.5</v>
          </cell>
          <cell r="X32" t="str">
            <v>Rashmi Bhatnagar</v>
          </cell>
          <cell r="Y32">
            <v>155</v>
          </cell>
          <cell r="Z32" t="str">
            <v>JPC - 224921</v>
          </cell>
          <cell r="AA32" t="str">
            <v>FTE</v>
          </cell>
        </row>
        <row r="33">
          <cell r="D33" t="str">
            <v>Individual</v>
          </cell>
          <cell r="E33" t="str">
            <v>Mary Andrews</v>
          </cell>
          <cell r="F33" t="str">
            <v>Rashmi Bhatnagar</v>
          </cell>
          <cell r="G33" t="str">
            <v>Rashmi Bhatnagar</v>
          </cell>
          <cell r="H33" t="str">
            <v>Rashmi Bhatnagar</v>
          </cell>
          <cell r="J33" t="str">
            <v>March</v>
          </cell>
          <cell r="K33">
            <v>45728</v>
          </cell>
          <cell r="L33" t="str">
            <v>NA</v>
          </cell>
          <cell r="M33" t="str">
            <v>Sutherland</v>
          </cell>
          <cell r="N33" t="str">
            <v> Mark Hess</v>
          </cell>
          <cell r="O33">
            <v>4808</v>
          </cell>
          <cell r="P33" t="str">
            <v>USD</v>
          </cell>
          <cell r="R33" t="str">
            <v>Done</v>
          </cell>
          <cell r="S33">
            <v>45870</v>
          </cell>
          <cell r="T33" t="str">
            <v>Vantedge</v>
          </cell>
          <cell r="U33" t="str">
            <v>Vantedge</v>
          </cell>
          <cell r="V33">
            <v>0.5</v>
          </cell>
          <cell r="W33">
            <v>0.5</v>
          </cell>
          <cell r="X33" t="str">
            <v>Rashmi Bhatnagar</v>
          </cell>
          <cell r="Y33">
            <v>24</v>
          </cell>
          <cell r="Z33" t="str">
            <v>JPC - 224922</v>
          </cell>
          <cell r="AA33" t="str">
            <v>FTE</v>
          </cell>
        </row>
        <row r="34">
          <cell r="D34" t="str">
            <v>Individual</v>
          </cell>
          <cell r="E34" t="str">
            <v>N/A</v>
          </cell>
          <cell r="H34" t="str">
            <v>Alok Mishra</v>
          </cell>
          <cell r="J34" t="str">
            <v>June</v>
          </cell>
          <cell r="K34">
            <v>45822</v>
          </cell>
          <cell r="L34" t="str">
            <v>NA</v>
          </cell>
          <cell r="M34" t="str">
            <v>Friisberg &amp; Partners International</v>
          </cell>
          <cell r="O34">
            <v>1890</v>
          </cell>
          <cell r="S34">
            <v>45870</v>
          </cell>
          <cell r="T34" t="str">
            <v>Vantedge - UK</v>
          </cell>
          <cell r="U34" t="str">
            <v>Vantedge - UK</v>
          </cell>
          <cell r="V34">
            <v>0.5</v>
          </cell>
          <cell r="W34">
            <v>0.5</v>
          </cell>
          <cell r="Y34" t="e">
            <v>#N/A</v>
          </cell>
          <cell r="Z34" t="str">
            <v>JPC - 224923</v>
          </cell>
          <cell r="AA34" t="str">
            <v>FTE</v>
          </cell>
        </row>
        <row r="35">
          <cell r="D35" t="str">
            <v>Individual</v>
          </cell>
          <cell r="E35" t="str">
            <v>N/A</v>
          </cell>
          <cell r="H35" t="str">
            <v>Alok Mishra</v>
          </cell>
          <cell r="J35" t="str">
            <v>April</v>
          </cell>
          <cell r="K35">
            <v>45754</v>
          </cell>
          <cell r="L35" t="str">
            <v>NA</v>
          </cell>
          <cell r="M35" t="str">
            <v>Heads International</v>
          </cell>
          <cell r="O35">
            <v>4362.6239999999998</v>
          </cell>
          <cell r="S35">
            <v>45870</v>
          </cell>
          <cell r="T35" t="str">
            <v>Vantedge - UK</v>
          </cell>
          <cell r="U35" t="str">
            <v>Vantedge - UK</v>
          </cell>
          <cell r="V35">
            <v>0.5</v>
          </cell>
          <cell r="W35">
            <v>0.5</v>
          </cell>
          <cell r="Y35" t="e">
            <v>#N/A</v>
          </cell>
          <cell r="Z35" t="str">
            <v>JPC - 224924</v>
          </cell>
          <cell r="AA35" t="str">
            <v>FTE</v>
          </cell>
        </row>
        <row r="36">
          <cell r="D36" t="str">
            <v>Split</v>
          </cell>
          <cell r="E36" t="str">
            <v>Devin Currens</v>
          </cell>
          <cell r="F36" t="str">
            <v>Anshul Kumar</v>
          </cell>
          <cell r="G36" t="str">
            <v>Umar Mujahid Husain</v>
          </cell>
          <cell r="H36" t="str">
            <v>Dev Srivastava</v>
          </cell>
          <cell r="I36" t="str">
            <v>Qausain Abbass</v>
          </cell>
          <cell r="J36" t="str">
            <v>August</v>
          </cell>
          <cell r="K36">
            <v>45887</v>
          </cell>
          <cell r="L36" t="str">
            <v>NA</v>
          </cell>
          <cell r="M36" t="str">
            <v>InfoBeans</v>
          </cell>
          <cell r="N36" t="str">
            <v>Harmeet</v>
          </cell>
          <cell r="O36">
            <v>27000</v>
          </cell>
          <cell r="P36" t="str">
            <v>USD</v>
          </cell>
          <cell r="R36" t="str">
            <v>Done</v>
          </cell>
          <cell r="S36">
            <v>45888</v>
          </cell>
          <cell r="T36" t="str">
            <v>Vantedge</v>
          </cell>
          <cell r="U36" t="str">
            <v>Vantedge</v>
          </cell>
          <cell r="V36">
            <v>0.5</v>
          </cell>
          <cell r="W36">
            <v>0.5</v>
          </cell>
          <cell r="X36" t="str">
            <v>Syed Ahrar Abbas Zaidi</v>
          </cell>
          <cell r="Y36">
            <v>448</v>
          </cell>
          <cell r="Z36" t="str">
            <v>JPC - 224925</v>
          </cell>
          <cell r="AA36" t="str">
            <v>FTE</v>
          </cell>
        </row>
        <row r="37">
          <cell r="D37" t="str">
            <v>Split</v>
          </cell>
          <cell r="E37" t="str">
            <v>Natasha Allen</v>
          </cell>
          <cell r="F37" t="str">
            <v>Mayank Saxena</v>
          </cell>
          <cell r="G37" t="str">
            <v>Umar Mujahid Husain</v>
          </cell>
          <cell r="H37" t="str">
            <v>Alok Mishra</v>
          </cell>
          <cell r="J37" t="str">
            <v>August</v>
          </cell>
          <cell r="K37">
            <v>45887</v>
          </cell>
          <cell r="L37" t="str">
            <v>NA</v>
          </cell>
          <cell r="M37" t="str">
            <v>Fanatics</v>
          </cell>
          <cell r="N37" t="str">
            <v>Laura</v>
          </cell>
          <cell r="O37">
            <v>27000</v>
          </cell>
          <cell r="P37" t="str">
            <v>USD</v>
          </cell>
          <cell r="R37" t="str">
            <v>Done</v>
          </cell>
          <cell r="S37">
            <v>45888</v>
          </cell>
          <cell r="T37" t="str">
            <v>Vantedge</v>
          </cell>
          <cell r="U37" t="str">
            <v>Vantedge</v>
          </cell>
          <cell r="V37">
            <v>0.5</v>
          </cell>
          <cell r="W37">
            <v>0.5</v>
          </cell>
          <cell r="X37" t="str">
            <v>Syed Ahrar Abbas Zaidi</v>
          </cell>
          <cell r="Y37">
            <v>355</v>
          </cell>
          <cell r="Z37" t="str">
            <v>JPC - 224926</v>
          </cell>
          <cell r="AA37" t="str">
            <v>FTE</v>
          </cell>
        </row>
        <row r="38">
          <cell r="D38" t="str">
            <v>Split</v>
          </cell>
          <cell r="E38" t="str">
            <v>Brian Taylor</v>
          </cell>
          <cell r="F38" t="str">
            <v>Umar Mujahid Husain</v>
          </cell>
          <cell r="G38" t="str">
            <v>Anshul Kumar</v>
          </cell>
          <cell r="H38" t="str">
            <v>Dev Srivastava</v>
          </cell>
          <cell r="J38" t="str">
            <v>August</v>
          </cell>
          <cell r="K38">
            <v>45870</v>
          </cell>
          <cell r="L38" t="str">
            <v>NA</v>
          </cell>
          <cell r="M38" t="str">
            <v>FPT Software</v>
          </cell>
          <cell r="N38" t="str">
            <v>Pravin Tiwari</v>
          </cell>
          <cell r="O38">
            <v>22750</v>
          </cell>
          <cell r="P38" t="str">
            <v>USD</v>
          </cell>
          <cell r="R38" t="str">
            <v>Pending</v>
          </cell>
          <cell r="S38">
            <v>45888</v>
          </cell>
          <cell r="T38" t="str">
            <v>Vantedge</v>
          </cell>
          <cell r="U38" t="str">
            <v>Vantedge</v>
          </cell>
          <cell r="V38">
            <v>0.5</v>
          </cell>
          <cell r="W38">
            <v>0.5</v>
          </cell>
          <cell r="X38" t="str">
            <v>Shreya Singh</v>
          </cell>
          <cell r="Y38">
            <v>23</v>
          </cell>
          <cell r="Z38" t="str">
            <v>JPC - 224927</v>
          </cell>
          <cell r="AA38" t="str">
            <v>FTE</v>
          </cell>
        </row>
        <row r="39">
          <cell r="D39" t="str">
            <v>Split</v>
          </cell>
          <cell r="E39" t="str">
            <v>Taylor Brandon Grace</v>
          </cell>
          <cell r="F39" t="str">
            <v>Anshul Kumar</v>
          </cell>
          <cell r="G39" t="str">
            <v>Umar Mujahid Husain</v>
          </cell>
          <cell r="H39" t="str">
            <v>Dev Srivastava</v>
          </cell>
          <cell r="I39" t="str">
            <v>Qausain Abbass</v>
          </cell>
          <cell r="J39" t="str">
            <v>August</v>
          </cell>
          <cell r="K39">
            <v>45894</v>
          </cell>
          <cell r="L39" t="str">
            <v>NA</v>
          </cell>
          <cell r="M39" t="str">
            <v>InfoBeans</v>
          </cell>
          <cell r="N39" t="str">
            <v>Harmeet</v>
          </cell>
          <cell r="O39">
            <v>27000</v>
          </cell>
          <cell r="P39" t="str">
            <v>USD</v>
          </cell>
          <cell r="R39" t="str">
            <v>Done</v>
          </cell>
          <cell r="S39">
            <v>45894</v>
          </cell>
          <cell r="T39" t="str">
            <v>Vantedge</v>
          </cell>
          <cell r="U39" t="str">
            <v>Vantedge</v>
          </cell>
          <cell r="V39">
            <v>0.5</v>
          </cell>
          <cell r="W39">
            <v>0.5</v>
          </cell>
          <cell r="X39" t="str">
            <v>Syed Ahrar Abbas Zaidi</v>
          </cell>
          <cell r="Y39">
            <v>448</v>
          </cell>
          <cell r="Z39" t="str">
            <v>JPC - 224928</v>
          </cell>
          <cell r="AA39" t="str">
            <v>FTE</v>
          </cell>
        </row>
        <row r="40">
          <cell r="D40" t="str">
            <v>Individual</v>
          </cell>
          <cell r="E40" t="str">
            <v>Amrita Singh</v>
          </cell>
          <cell r="F40" t="str">
            <v>Anshul Kumar</v>
          </cell>
          <cell r="G40" t="str">
            <v>Anshul Kumar</v>
          </cell>
          <cell r="H40" t="str">
            <v>Dev Srivastava</v>
          </cell>
          <cell r="J40" t="str">
            <v> September</v>
          </cell>
          <cell r="K40">
            <v>45915</v>
          </cell>
          <cell r="L40" t="str">
            <v>NA</v>
          </cell>
          <cell r="M40" t="str">
            <v>InfoBeans</v>
          </cell>
          <cell r="N40" t="str">
            <v> Harmeet</v>
          </cell>
          <cell r="O40">
            <v>0</v>
          </cell>
          <cell r="P40" t="str">
            <v>USD</v>
          </cell>
          <cell r="Q40">
            <v>18000</v>
          </cell>
          <cell r="R40" t="str">
            <v>Pending</v>
          </cell>
          <cell r="S40">
            <v>45915</v>
          </cell>
          <cell r="T40" t="str">
            <v>Vantedge</v>
          </cell>
          <cell r="U40" t="str">
            <v>Vantedge</v>
          </cell>
          <cell r="V40">
            <v>0.5</v>
          </cell>
          <cell r="W40">
            <v>0.5</v>
          </cell>
          <cell r="X40" t="str">
            <v>Priyansh Khare</v>
          </cell>
          <cell r="Y40">
            <v>448</v>
          </cell>
          <cell r="Z40" t="str">
            <v>JPC - 224929</v>
          </cell>
          <cell r="AA40" t="str">
            <v>FTE</v>
          </cell>
        </row>
        <row r="41">
          <cell r="D41" t="str">
            <v>Individual</v>
          </cell>
          <cell r="E41" t="str">
            <v>Chandra Bhagi</v>
          </cell>
          <cell r="F41" t="str">
            <v>Raunak Tripathi</v>
          </cell>
          <cell r="G41" t="str">
            <v>Raunak Tripathi</v>
          </cell>
          <cell r="H41" t="str">
            <v>Rashmi Bhatnagar</v>
          </cell>
          <cell r="I41" t="str">
            <v>Nida Khan</v>
          </cell>
          <cell r="J41" t="str">
            <v> September</v>
          </cell>
          <cell r="K41">
            <v>45908</v>
          </cell>
          <cell r="L41" t="str">
            <v>NA</v>
          </cell>
          <cell r="M41" t="str">
            <v>Birlasoft</v>
          </cell>
          <cell r="N41" t="str">
            <v>Vivian</v>
          </cell>
          <cell r="O41">
            <v>28800</v>
          </cell>
          <cell r="P41" t="str">
            <v>USD</v>
          </cell>
          <cell r="R41" t="str">
            <v>Pending</v>
          </cell>
          <cell r="S41">
            <v>45915</v>
          </cell>
          <cell r="T41" t="str">
            <v>Vantedge</v>
          </cell>
          <cell r="U41" t="str">
            <v>Vantedge</v>
          </cell>
          <cell r="V41">
            <v>0.5</v>
          </cell>
          <cell r="W41">
            <v>0.5</v>
          </cell>
          <cell r="X41" t="str">
            <v>Ankit Maurya</v>
          </cell>
          <cell r="Y41">
            <v>6</v>
          </cell>
          <cell r="Z41" t="str">
            <v>JPC - 224930</v>
          </cell>
          <cell r="AA41" t="str">
            <v>FTE</v>
          </cell>
        </row>
        <row r="42">
          <cell r="D42" t="str">
            <v>Individual</v>
          </cell>
          <cell r="E42" t="str">
            <v>Minoji Thomas</v>
          </cell>
          <cell r="F42" t="str">
            <v>Raunak Tripathi</v>
          </cell>
          <cell r="G42" t="str">
            <v>Raunak Tripathi</v>
          </cell>
          <cell r="H42" t="str">
            <v>Alok Mishra</v>
          </cell>
          <cell r="I42" t="str">
            <v>Anam Hasan</v>
          </cell>
          <cell r="J42" t="str">
            <v> September</v>
          </cell>
          <cell r="K42">
            <v>45910</v>
          </cell>
          <cell r="L42" t="str">
            <v>NA</v>
          </cell>
          <cell r="M42" t="str">
            <v>Infogain</v>
          </cell>
          <cell r="N42" t="str">
            <v>Sreedhar Buddareddy </v>
          </cell>
          <cell r="O42">
            <v>37500</v>
          </cell>
          <cell r="P42" t="str">
            <v>USD</v>
          </cell>
          <cell r="R42" t="str">
            <v>Pending</v>
          </cell>
          <cell r="S42">
            <v>45915</v>
          </cell>
          <cell r="T42" t="str">
            <v>Vantedge</v>
          </cell>
          <cell r="U42" t="str">
            <v>Vantedge</v>
          </cell>
          <cell r="V42">
            <v>0.5</v>
          </cell>
          <cell r="W42">
            <v>0.5</v>
          </cell>
          <cell r="X42" t="str">
            <v>Devansh Mishra</v>
          </cell>
          <cell r="Y42" t="e">
            <v>#N/A</v>
          </cell>
          <cell r="Z42" t="str">
            <v>JPC - 224931</v>
          </cell>
          <cell r="AA42" t="str">
            <v>FTE</v>
          </cell>
        </row>
        <row r="43">
          <cell r="D43" t="str">
            <v>Individual</v>
          </cell>
          <cell r="E43" t="str">
            <v>Sachin Ahuja</v>
          </cell>
          <cell r="F43" t="str">
            <v>Anshul Kumar</v>
          </cell>
          <cell r="G43" t="str">
            <v>Anshul Kumar</v>
          </cell>
          <cell r="H43" t="str">
            <v>Dev Srivastava</v>
          </cell>
          <cell r="J43" t="str">
            <v> September</v>
          </cell>
          <cell r="K43">
            <v>45922</v>
          </cell>
          <cell r="L43" t="str">
            <v>NA</v>
          </cell>
          <cell r="M43" t="str">
            <v>LTTS</v>
          </cell>
          <cell r="N43" t="str">
            <v> Usha</v>
          </cell>
          <cell r="O43">
            <v>26500</v>
          </cell>
          <cell r="P43" t="str">
            <v>USD</v>
          </cell>
          <cell r="R43" t="str">
            <v>Pending</v>
          </cell>
          <cell r="S43">
            <v>45930</v>
          </cell>
          <cell r="T43" t="str">
            <v>Vantedge</v>
          </cell>
          <cell r="U43" t="str">
            <v>Vantedge</v>
          </cell>
          <cell r="V43">
            <v>0.5</v>
          </cell>
          <cell r="W43">
            <v>0.5</v>
          </cell>
          <cell r="X43" t="str">
            <v>Anshul Kumar</v>
          </cell>
          <cell r="Y43">
            <v>251</v>
          </cell>
          <cell r="Z43" t="str">
            <v>JPC - 224932</v>
          </cell>
          <cell r="AA43" t="str">
            <v>FTE</v>
          </cell>
        </row>
        <row r="44">
          <cell r="D44" t="str">
            <v>Split</v>
          </cell>
          <cell r="E44" t="str">
            <v>Ehab Abbas</v>
          </cell>
          <cell r="F44" t="str">
            <v>Anshul Kumar</v>
          </cell>
          <cell r="G44" t="str">
            <v>Umar Mujahid Husain</v>
          </cell>
          <cell r="H44" t="str">
            <v>Dev Srivastava</v>
          </cell>
          <cell r="I44" t="str">
            <v>Qausain Abbass</v>
          </cell>
          <cell r="J44" t="str">
            <v> September</v>
          </cell>
          <cell r="K44">
            <v>45929</v>
          </cell>
          <cell r="L44" t="str">
            <v>NA</v>
          </cell>
          <cell r="M44" t="str">
            <v>InfoBeans</v>
          </cell>
          <cell r="N44" t="str">
            <v>Harmeet</v>
          </cell>
          <cell r="O44">
            <v>32400</v>
          </cell>
          <cell r="P44" t="str">
            <v>USD</v>
          </cell>
          <cell r="R44" t="str">
            <v>Pending</v>
          </cell>
          <cell r="S44">
            <v>45930</v>
          </cell>
          <cell r="T44" t="str">
            <v>Vantedge</v>
          </cell>
          <cell r="U44" t="str">
            <v>Vantedge</v>
          </cell>
          <cell r="V44">
            <v>0.5</v>
          </cell>
          <cell r="W44">
            <v>0.5</v>
          </cell>
          <cell r="X44" t="str">
            <v>Syed Ahrar Abbas Zaidi</v>
          </cell>
          <cell r="Y44">
            <v>448</v>
          </cell>
          <cell r="Z44" t="str">
            <v>JPC - 224933</v>
          </cell>
          <cell r="AA44" t="str">
            <v>FTE</v>
          </cell>
        </row>
        <row r="45">
          <cell r="D45" t="str">
            <v>Split</v>
          </cell>
          <cell r="E45" t="str">
            <v>Pallav Sharma</v>
          </cell>
          <cell r="F45" t="str">
            <v>Umar Mujahid Husain</v>
          </cell>
          <cell r="G45" t="str">
            <v>Anshul Kumar</v>
          </cell>
          <cell r="H45" t="str">
            <v>Dev Srivastava</v>
          </cell>
          <cell r="J45" t="str">
            <v> September</v>
          </cell>
          <cell r="K45">
            <v>45930</v>
          </cell>
          <cell r="L45" t="str">
            <v>NA</v>
          </cell>
          <cell r="M45" t="str">
            <v>BirlaSoft</v>
          </cell>
          <cell r="N45" t="str">
            <v>Saral Bhatnagar</v>
          </cell>
          <cell r="O45">
            <v>36000</v>
          </cell>
          <cell r="P45" t="str">
            <v>USD</v>
          </cell>
          <cell r="R45" t="str">
            <v>Pending</v>
          </cell>
          <cell r="S45">
            <v>45930</v>
          </cell>
          <cell r="T45" t="str">
            <v>Vantedge</v>
          </cell>
          <cell r="U45" t="str">
            <v>Vantedge</v>
          </cell>
          <cell r="V45">
            <v>0.5</v>
          </cell>
          <cell r="W45">
            <v>0.5</v>
          </cell>
          <cell r="X45" t="str">
            <v>Shreya Singh</v>
          </cell>
          <cell r="Y45">
            <v>6</v>
          </cell>
          <cell r="Z45" t="str">
            <v>JPC - 224934</v>
          </cell>
          <cell r="AA45" t="str">
            <v>FTE</v>
          </cell>
        </row>
        <row r="46">
          <cell r="D46" t="str">
            <v>Split</v>
          </cell>
          <cell r="E46" t="str">
            <v>Anoop Nagaraj Sumithra</v>
          </cell>
          <cell r="F46" t="str">
            <v>Mayank Saxena</v>
          </cell>
          <cell r="G46" t="str">
            <v>Umar Mujahid Husain</v>
          </cell>
          <cell r="H46" t="str">
            <v>Alok Mishra</v>
          </cell>
          <cell r="J46" t="str">
            <v>October</v>
          </cell>
          <cell r="K46">
            <v>45943</v>
          </cell>
          <cell r="L46" t="str">
            <v>NA</v>
          </cell>
          <cell r="M46" t="str">
            <v>Fanatics</v>
          </cell>
          <cell r="N46" t="str">
            <v>Laura</v>
          </cell>
          <cell r="O46">
            <v>35250</v>
          </cell>
          <cell r="P46" t="str">
            <v>USD</v>
          </cell>
          <cell r="R46" t="str">
            <v>Pending</v>
          </cell>
          <cell r="S46">
            <v>45944</v>
          </cell>
          <cell r="T46" t="str">
            <v>Vantedge</v>
          </cell>
          <cell r="U46" t="str">
            <v>Vantedge</v>
          </cell>
          <cell r="V46">
            <v>0.5</v>
          </cell>
          <cell r="W46">
            <v>0.5</v>
          </cell>
          <cell r="X46" t="str">
            <v>Syed Ahrar Abbas Zaidi</v>
          </cell>
          <cell r="Y46">
            <v>355</v>
          </cell>
          <cell r="Z46" t="str">
            <v>JPC - 224935</v>
          </cell>
          <cell r="AA46" t="str">
            <v>FTE</v>
          </cell>
        </row>
        <row r="47">
          <cell r="D47" t="str">
            <v>Individual</v>
          </cell>
          <cell r="E47" t="str">
            <v>Abhishek Pandey</v>
          </cell>
          <cell r="F47" t="str">
            <v>Mayank Saxena</v>
          </cell>
          <cell r="G47" t="str">
            <v>Mayank Saxena</v>
          </cell>
          <cell r="H47" t="str">
            <v>Rashmi Bhatnagar</v>
          </cell>
          <cell r="J47" t="str">
            <v>October</v>
          </cell>
          <cell r="K47">
            <v>45945</v>
          </cell>
          <cell r="L47">
            <v>45960</v>
          </cell>
          <cell r="M47" t="str">
            <v>Coforge</v>
          </cell>
          <cell r="N47" t="str">
            <v>Kirti Agarwal</v>
          </cell>
          <cell r="O47">
            <v>0</v>
          </cell>
          <cell r="P47" t="str">
            <v>USD</v>
          </cell>
          <cell r="Q47">
            <v>48000</v>
          </cell>
          <cell r="R47" t="str">
            <v>Pending</v>
          </cell>
          <cell r="S47">
            <v>45961</v>
          </cell>
          <cell r="T47" t="str">
            <v>Vantedge</v>
          </cell>
          <cell r="U47" t="str">
            <v>Vantedge</v>
          </cell>
          <cell r="V47">
            <v>0.5</v>
          </cell>
          <cell r="W47">
            <v>0.5</v>
          </cell>
          <cell r="X47" t="str">
            <v>Mayank Saxena</v>
          </cell>
          <cell r="Y47">
            <v>155</v>
          </cell>
          <cell r="Z47" t="str">
            <v>JPC - 224936</v>
          </cell>
          <cell r="AA47" t="str">
            <v>FTE</v>
          </cell>
        </row>
        <row r="48">
          <cell r="D48" t="str">
            <v>Individual</v>
          </cell>
          <cell r="E48" t="str">
            <v>John Thornhill Williams</v>
          </cell>
          <cell r="F48" t="str">
            <v>Raunak Tripathi</v>
          </cell>
          <cell r="G48" t="str">
            <v>Raunak Tripathi</v>
          </cell>
          <cell r="H48" t="str">
            <v>Alok Mishra</v>
          </cell>
          <cell r="J48" t="str">
            <v>October</v>
          </cell>
          <cell r="K48">
            <v>45960</v>
          </cell>
          <cell r="L48" t="str">
            <v>NA</v>
          </cell>
          <cell r="M48" t="str">
            <v>LTIMindtree</v>
          </cell>
          <cell r="N48" t="str">
            <v>Anas</v>
          </cell>
          <cell r="O48">
            <v>28350</v>
          </cell>
          <cell r="P48" t="str">
            <v>USD</v>
          </cell>
          <cell r="R48" t="str">
            <v>Pending</v>
          </cell>
          <cell r="S48">
            <v>45961</v>
          </cell>
          <cell r="T48" t="str">
            <v>Vantedge</v>
          </cell>
          <cell r="U48" t="str">
            <v>Vantedge</v>
          </cell>
          <cell r="V48">
            <v>0.5</v>
          </cell>
          <cell r="W48">
            <v>0.5</v>
          </cell>
          <cell r="X48" t="str">
            <v>Ranjeet Kumar</v>
          </cell>
          <cell r="Y48">
            <v>299</v>
          </cell>
          <cell r="Z48" t="str">
            <v>JPC - 224937</v>
          </cell>
          <cell r="AA48" t="str">
            <v>FTE</v>
          </cell>
        </row>
        <row r="49">
          <cell r="D49" t="str">
            <v>Individual</v>
          </cell>
          <cell r="E49" t="str">
            <v>Mickael Mounien</v>
          </cell>
          <cell r="F49" t="str">
            <v>Raunak Tripathi</v>
          </cell>
          <cell r="G49" t="str">
            <v>Raunak Tripathi</v>
          </cell>
          <cell r="H49" t="str">
            <v>Alok Mishra</v>
          </cell>
          <cell r="J49" t="str">
            <v>October</v>
          </cell>
          <cell r="K49">
            <v>45936</v>
          </cell>
          <cell r="L49" t="str">
            <v>NA</v>
          </cell>
          <cell r="M49" t="str">
            <v>PocketFM</v>
          </cell>
          <cell r="N49" t="str">
            <v>Riti Jain</v>
          </cell>
          <cell r="O49">
            <v>3450</v>
          </cell>
          <cell r="P49" t="str">
            <v>USD</v>
          </cell>
          <cell r="R49" t="str">
            <v>Pending</v>
          </cell>
          <cell r="S49">
            <v>45961</v>
          </cell>
          <cell r="T49" t="str">
            <v>Vantedge</v>
          </cell>
          <cell r="U49" t="str">
            <v>Vantedge</v>
          </cell>
          <cell r="V49">
            <v>0.5</v>
          </cell>
          <cell r="W49">
            <v>0.5</v>
          </cell>
          <cell r="X49" t="str">
            <v>Prachi Pandey</v>
          </cell>
          <cell r="Y49">
            <v>393</v>
          </cell>
          <cell r="Z49" t="str">
            <v>JPC - 224938</v>
          </cell>
          <cell r="AA49" t="str">
            <v>FTE</v>
          </cell>
        </row>
      </sheetData>
      <sheetData sheetId="9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10"/>
      <sheetData sheetId="11"/>
      <sheetData sheetId="12">
        <row r="3">
          <cell r="A3" t="str">
            <v>Umar Mujahid Husain</v>
          </cell>
          <cell r="F3">
            <v>450000</v>
          </cell>
          <cell r="H3">
            <v>0.57128000000000001</v>
          </cell>
        </row>
        <row r="4">
          <cell r="A4" t="str">
            <v>Raunak Tripathi</v>
          </cell>
          <cell r="F4">
            <v>605000</v>
          </cell>
          <cell r="H4">
            <v>0.46130413223140498</v>
          </cell>
        </row>
        <row r="5">
          <cell r="A5" t="str">
            <v>Mayank Saxena</v>
          </cell>
          <cell r="F5">
            <v>425000</v>
          </cell>
          <cell r="H5">
            <v>0.81634117647058824</v>
          </cell>
        </row>
        <row r="6">
          <cell r="A6" t="str">
            <v>Anshul Kumar</v>
          </cell>
          <cell r="F6">
            <v>300000</v>
          </cell>
          <cell r="H6">
            <v>0.99533333333333329</v>
          </cell>
        </row>
        <row r="7">
          <cell r="A7" t="str">
            <v>Sourcing Team - Rohini</v>
          </cell>
          <cell r="F7" t="str">
            <v>-</v>
          </cell>
        </row>
        <row r="8">
          <cell r="A8" t="str">
            <v>Lucky Jain</v>
          </cell>
          <cell r="F8">
            <v>300000</v>
          </cell>
        </row>
        <row r="9">
          <cell r="A9" t="str">
            <v>Vinoth L</v>
          </cell>
          <cell r="F9">
            <v>175000</v>
          </cell>
        </row>
        <row r="10">
          <cell r="A10" t="str">
            <v>Akbar Ibrahim</v>
          </cell>
          <cell r="F10">
            <v>175000</v>
          </cell>
        </row>
      </sheetData>
      <sheetData sheetId="13">
        <row r="3">
          <cell r="B3" t="str">
            <v>Recruiters Name</v>
          </cell>
          <cell r="C3" t="str">
            <v>Team Lead</v>
          </cell>
        </row>
        <row r="4">
          <cell r="B4" t="str">
            <v>Umar Mujahid Husain</v>
          </cell>
          <cell r="C4" t="str">
            <v>Umar Mujahid Husain</v>
          </cell>
        </row>
        <row r="5">
          <cell r="B5" t="str">
            <v>Syed Ahrar Abbas Zaidi</v>
          </cell>
          <cell r="C5" t="str">
            <v>Umar Mujahid Husain</v>
          </cell>
        </row>
        <row r="6">
          <cell r="B6" t="str">
            <v>Abhay Pratap Singh</v>
          </cell>
          <cell r="C6" t="str">
            <v>Umar Mujahid Husain</v>
          </cell>
        </row>
        <row r="7">
          <cell r="B7" t="str">
            <v>Astha Srivastava</v>
          </cell>
          <cell r="C7" t="str">
            <v>Umar Mujahid Husain</v>
          </cell>
        </row>
        <row r="8">
          <cell r="B8" t="str">
            <v>Raunak Tripathi</v>
          </cell>
          <cell r="C8" t="str">
            <v>Raunak Tripathi</v>
          </cell>
        </row>
        <row r="9">
          <cell r="B9" t="str">
            <v>Ankit Maurya</v>
          </cell>
          <cell r="C9" t="str">
            <v>Raunak Tripathi</v>
          </cell>
        </row>
        <row r="10">
          <cell r="B10" t="str">
            <v>Prithvi Singh</v>
          </cell>
          <cell r="C10" t="str">
            <v>Raunak Tripathi</v>
          </cell>
        </row>
        <row r="11">
          <cell r="B11" t="str">
            <v>Ranjeet Kumar</v>
          </cell>
          <cell r="C11" t="str">
            <v>Raunak Tripathi</v>
          </cell>
        </row>
        <row r="12">
          <cell r="B12" t="str">
            <v>Devansh Mishra</v>
          </cell>
          <cell r="C12" t="str">
            <v>Raunak Tripathi</v>
          </cell>
        </row>
        <row r="13">
          <cell r="B13" t="str">
            <v>Prachi Pandey</v>
          </cell>
          <cell r="C13" t="str">
            <v>Raunak Tripathi</v>
          </cell>
        </row>
        <row r="14">
          <cell r="B14" t="str">
            <v>Pulkit prakash</v>
          </cell>
          <cell r="C14" t="str">
            <v>Raunak Tripathi</v>
          </cell>
        </row>
        <row r="15">
          <cell r="B15" t="str">
            <v>Mayank Saxena</v>
          </cell>
          <cell r="C15" t="str">
            <v>Mayank Saxena</v>
          </cell>
        </row>
        <row r="16">
          <cell r="B16" t="str">
            <v>Govind Srivastava</v>
          </cell>
          <cell r="C16" t="str">
            <v>Mayank Saxena</v>
          </cell>
        </row>
        <row r="17">
          <cell r="B17" t="str">
            <v>Umang Srivastava</v>
          </cell>
          <cell r="C17" t="str">
            <v>Mayank Saxena</v>
          </cell>
        </row>
        <row r="18">
          <cell r="B18" t="str">
            <v>Anshul Kumar</v>
          </cell>
          <cell r="C18" t="str">
            <v>Anshul Kumar</v>
          </cell>
        </row>
        <row r="19">
          <cell r="B19" t="str">
            <v>Priyansh Khare</v>
          </cell>
          <cell r="C19" t="str">
            <v>Anshul Kumar</v>
          </cell>
        </row>
        <row r="20">
          <cell r="B20" t="str">
            <v>Shreya Singh</v>
          </cell>
          <cell r="C20" t="str">
            <v>Anshul Kumar</v>
          </cell>
        </row>
        <row r="21">
          <cell r="B21" t="str">
            <v>Anamika Dwivedi</v>
          </cell>
          <cell r="C21" t="str">
            <v>Anshul Kumar</v>
          </cell>
        </row>
        <row r="22">
          <cell r="B22" t="str">
            <v>Smriti Jha</v>
          </cell>
          <cell r="C22" t="str">
            <v>Anshul Kumar</v>
          </cell>
        </row>
        <row r="23">
          <cell r="B23" t="str">
            <v>Abhishek Srivastava</v>
          </cell>
          <cell r="C23" t="str">
            <v>Anshul Kumar</v>
          </cell>
        </row>
        <row r="24">
          <cell r="B24" t="str">
            <v>Rashmi Bhatnagar</v>
          </cell>
          <cell r="C24" t="str">
            <v>Rashmi Bhatnagar</v>
          </cell>
        </row>
        <row r="25">
          <cell r="B25" t="str">
            <v>Shivanshu Mishra</v>
          </cell>
          <cell r="C25" t="str">
            <v>Rashmi Bhatnagar</v>
          </cell>
        </row>
        <row r="26">
          <cell r="B26" t="str">
            <v>Rohini Parihar</v>
          </cell>
          <cell r="C26" t="str">
            <v>Rohini Parihar</v>
          </cell>
        </row>
        <row r="27">
          <cell r="B27" t="str">
            <v>Kartikeya Singh</v>
          </cell>
          <cell r="C27" t="str">
            <v>Rohini Parihar</v>
          </cell>
        </row>
        <row r="28">
          <cell r="B28" t="str">
            <v>Qausain Abbass</v>
          </cell>
          <cell r="C28" t="str">
            <v>Rohini Parihar</v>
          </cell>
        </row>
        <row r="29">
          <cell r="B29" t="str">
            <v>Anam Hasan</v>
          </cell>
          <cell r="C29" t="str">
            <v>Rohini Parihar</v>
          </cell>
        </row>
        <row r="30">
          <cell r="B30" t="str">
            <v>Tanya Mishra</v>
          </cell>
          <cell r="C30" t="str">
            <v>Rohini Parihar</v>
          </cell>
        </row>
        <row r="31">
          <cell r="B31" t="str">
            <v>Devashish Sinha</v>
          </cell>
          <cell r="C31" t="str">
            <v>Rohini Parihar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F086-EF4B-49B5-9808-5A6225C48E2C}">
  <dimension ref="A1:P96"/>
  <sheetViews>
    <sheetView tabSelected="1" workbookViewId="0">
      <selection sqref="A1:XFD1048576"/>
    </sheetView>
  </sheetViews>
  <sheetFormatPr defaultColWidth="19.44140625" defaultRowHeight="14.4" x14ac:dyDescent="0.3"/>
  <cols>
    <col min="1" max="1" width="20.77734375" style="18" bestFit="1" customWidth="1"/>
    <col min="2" max="2" width="22.77734375" style="3" customWidth="1"/>
    <col min="3" max="3" width="20.77734375" style="3" bestFit="1" customWidth="1"/>
    <col min="4" max="4" width="14.21875" style="3" bestFit="1" customWidth="1"/>
    <col min="5" max="5" width="17.109375" style="3" bestFit="1" customWidth="1"/>
    <col min="6" max="6" width="18.6640625" style="3" bestFit="1" customWidth="1"/>
    <col min="7" max="7" width="13.88671875" style="3" bestFit="1" customWidth="1"/>
    <col min="8" max="8" width="21.5546875" style="3" bestFit="1" customWidth="1"/>
    <col min="9" max="9" width="20.109375" style="3" bestFit="1" customWidth="1"/>
    <col min="10" max="10" width="24.5546875" style="3" bestFit="1" customWidth="1"/>
    <col min="11" max="11" width="20.77734375" style="3" bestFit="1" customWidth="1"/>
    <col min="12" max="12" width="21.109375" style="3" bestFit="1" customWidth="1"/>
    <col min="13" max="13" width="17.109375" style="3" bestFit="1" customWidth="1"/>
    <col min="14" max="14" width="16.33203125" style="3" bestFit="1" customWidth="1"/>
    <col min="15" max="15" width="15.6640625" style="3" bestFit="1" customWidth="1"/>
    <col min="16" max="16" width="16.77734375" style="3" bestFit="1" customWidth="1"/>
    <col min="17" max="16384" width="19.44140625" style="3"/>
  </cols>
  <sheetData>
    <row r="1" spans="1:16" ht="25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6" x14ac:dyDescent="0.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7" t="s">
        <v>12</v>
      </c>
    </row>
    <row r="4" spans="1:16" x14ac:dyDescent="0.3">
      <c r="A4" s="8" t="s">
        <v>13</v>
      </c>
      <c r="B4" s="9" t="s">
        <v>14</v>
      </c>
      <c r="C4" s="7" t="str">
        <f>_xlfn.XLOOKUP($B4,'[1]Data Validation (2)'!$B$3:$B$31,'[1]Data Validation (2)'!$C$3:$C$31)</f>
        <v>Umar Mujahid Husain</v>
      </c>
      <c r="D4" s="7">
        <f>_xlfn.XLOOKUP($B4,'[1]Ach % - L2'!$A$3:$A$10,'[1]Ach % - L2'!$F$3:$F$10)</f>
        <v>450000</v>
      </c>
      <c r="E4" s="10">
        <f>_xlfn.XLOOKUP($B4,'[1]Ach % - L2'!$A$3:$A$10,'[1]Ach % - L2'!$H$3:$H$10)</f>
        <v>0.57128000000000001</v>
      </c>
      <c r="F4" s="11">
        <f>SUM(O6:O26)</f>
        <v>257076</v>
      </c>
      <c r="G4" s="11">
        <f ca="1">SUMIFS($O5:$O26,$P5:$P26,"yes",$F5:$F26,"Done")</f>
        <v>180701</v>
      </c>
      <c r="H4" s="12" cm="1">
        <f t="array" ref="H4">_xlfn.IFS($E4&lt;=1%,0%,$E4&lt;=50%,1.75%,$E4&lt;=70%,2.25%,$E4&lt;=85%,2.75%,$E4&gt;85%,4%)</f>
        <v>2.2499999999999999E-2</v>
      </c>
      <c r="I4" s="11">
        <f>F4*H4</f>
        <v>5784.21</v>
      </c>
      <c r="J4" s="11">
        <f>I4*80</f>
        <v>462736.8</v>
      </c>
      <c r="K4" s="11">
        <f ca="1">(G4*H4)*80</f>
        <v>325261.8</v>
      </c>
    </row>
    <row r="5" spans="1:16" x14ac:dyDescent="0.3">
      <c r="A5" s="13" t="s">
        <v>15</v>
      </c>
      <c r="B5" s="14" t="s">
        <v>16</v>
      </c>
      <c r="C5" s="14" t="s">
        <v>17</v>
      </c>
      <c r="D5" s="14" t="s">
        <v>18</v>
      </c>
      <c r="E5" s="14" t="s">
        <v>19</v>
      </c>
      <c r="F5" s="14" t="s">
        <v>20</v>
      </c>
      <c r="G5" s="14" t="s">
        <v>21</v>
      </c>
      <c r="H5" s="14" t="s">
        <v>22</v>
      </c>
      <c r="I5" s="14" t="s">
        <v>23</v>
      </c>
      <c r="J5" s="14" t="s">
        <v>24</v>
      </c>
      <c r="K5" s="14" t="s">
        <v>25</v>
      </c>
      <c r="L5" s="14" t="s">
        <v>26</v>
      </c>
      <c r="M5" s="14" t="s">
        <v>27</v>
      </c>
      <c r="N5" s="14" t="s">
        <v>28</v>
      </c>
      <c r="O5" s="14" t="s">
        <v>29</v>
      </c>
      <c r="P5" s="14" t="s">
        <v>30</v>
      </c>
    </row>
    <row r="6" spans="1:16" x14ac:dyDescent="0.3">
      <c r="A6" s="15" t="str">
        <f>B4</f>
        <v>Umar Mujahid Husain</v>
      </c>
      <c r="B6" s="7" t="str" cm="1">
        <f t="array" ref="B6:K20">IFERROR(_xlfn.CHOOSECOLS(_xlfn._xlws.FILTER('[1]Vantedge - dummy Placement data'!E:AZ,(('[1]Vantedge - dummy Placement data'!F:F=$B4) + ('[1]Vantedge - dummy Placement data'!G:G=$B4)) &gt; 0),1,7,9,11,14,8,20,5,2,3),"")</f>
        <v>Sindhu Venkatesh</v>
      </c>
      <c r="C6" s="16">
        <v>45698</v>
      </c>
      <c r="D6" s="7" t="str">
        <v>QualiZeal</v>
      </c>
      <c r="E6" s="17">
        <v>18750</v>
      </c>
      <c r="F6" s="12" t="str">
        <v>done</v>
      </c>
      <c r="G6" s="16" t="str">
        <v>NA</v>
      </c>
      <c r="H6" s="7" t="str">
        <v>Abhay Pratap Singh</v>
      </c>
      <c r="I6" s="7" t="str">
        <v>Tanya Mishra</v>
      </c>
      <c r="J6" s="7" t="str">
        <v>Rohini Parihar</v>
      </c>
      <c r="K6" s="7" t="str">
        <v>Umar Mujahid Husain</v>
      </c>
      <c r="L6" s="7">
        <f ca="1">IF(G6&lt;&gt;"NA", G6 - C6, TODAY() - C6)</f>
        <v>354</v>
      </c>
      <c r="M6" s="7" t="s">
        <v>31</v>
      </c>
      <c r="N6" s="7" cm="1">
        <f t="array" ref="N6">_xlfn.IFS($M6="Individual",1,$M6="Split",0.5,TRUE,0)</f>
        <v>1</v>
      </c>
      <c r="O6" s="7">
        <f t="shared" ref="O6:O26" si="0">E6*N6</f>
        <v>18750</v>
      </c>
      <c r="P6" s="7" t="str">
        <f ca="1">IF(L6&gt;=90,"Yes","No")</f>
        <v>Yes</v>
      </c>
    </row>
    <row r="7" spans="1:16" x14ac:dyDescent="0.3">
      <c r="A7" s="15"/>
      <c r="B7" s="7" t="str">
        <v>John Donaldson</v>
      </c>
      <c r="C7" s="16">
        <v>45712</v>
      </c>
      <c r="D7" s="7" t="str">
        <v>WNS</v>
      </c>
      <c r="E7" s="17">
        <v>41250</v>
      </c>
      <c r="F7" s="12" t="str">
        <v>Done</v>
      </c>
      <c r="G7" s="16" t="str">
        <v>NA</v>
      </c>
      <c r="H7" s="7" t="str">
        <v>Umar Mujahid Husain</v>
      </c>
      <c r="I7" s="7" t="str">
        <v>Anshul Kumar</v>
      </c>
      <c r="J7" s="7" t="str">
        <v>Anshul Kumar</v>
      </c>
      <c r="K7" s="7" t="str">
        <v>Umar Mujahid Husain</v>
      </c>
      <c r="L7" s="7">
        <f t="shared" ref="L7:L20" ca="1" si="1">IF(G7&lt;&gt;"NA", G7 - C7, TODAY() - C7)</f>
        <v>340</v>
      </c>
      <c r="M7" s="7"/>
      <c r="N7" s="7" cm="1">
        <f t="array" ref="N7">_xlfn.IFS($M7="Individual",1,$M7="Split",0.5,TRUE,0)</f>
        <v>0</v>
      </c>
      <c r="O7" s="7">
        <f t="shared" si="0"/>
        <v>0</v>
      </c>
      <c r="P7" s="7" t="str">
        <f t="shared" ref="P7:P26" ca="1" si="2">IF(L7&gt;=90,"Yes","No")</f>
        <v>Yes</v>
      </c>
    </row>
    <row r="8" spans="1:16" x14ac:dyDescent="0.3">
      <c r="A8" s="15"/>
      <c r="B8" s="7" t="str">
        <v>Pooja Agarwal</v>
      </c>
      <c r="C8" s="16">
        <v>45733</v>
      </c>
      <c r="D8" s="7" t="str">
        <v>Qualitest</v>
      </c>
      <c r="E8" s="17">
        <v>28500</v>
      </c>
      <c r="F8" s="12" t="str">
        <v>Done</v>
      </c>
      <c r="G8" s="16" t="str">
        <v>NA</v>
      </c>
      <c r="H8" s="7" t="str">
        <v>Abhay Pratap Singh</v>
      </c>
      <c r="I8" s="7" t="str">
        <v>Nida Khan</v>
      </c>
      <c r="J8" s="7" t="str">
        <v>Umar Mujahid Husain</v>
      </c>
      <c r="K8" s="7" t="str">
        <v>Umar Mujahid Husain</v>
      </c>
      <c r="L8" s="7">
        <f t="shared" ca="1" si="1"/>
        <v>319</v>
      </c>
      <c r="M8" s="7" t="str">
        <f>_xlfn.XLOOKUP($B8,'[1]Vantedge - dummy Placement data'!$E$2:$E$49,'[1]Vantedge - dummy Placement data'!$D$2:$D$49)</f>
        <v>Individual</v>
      </c>
      <c r="N8" s="7" cm="1">
        <f t="array" ref="N8">_xlfn.IFS($M8="Individual",1,$M8="Split",0.5,TRUE,0)</f>
        <v>1</v>
      </c>
      <c r="O8" s="7">
        <f t="shared" si="0"/>
        <v>28500</v>
      </c>
      <c r="P8" s="7" t="str">
        <f t="shared" ca="1" si="2"/>
        <v>Yes</v>
      </c>
    </row>
    <row r="9" spans="1:16" x14ac:dyDescent="0.3">
      <c r="A9" s="15"/>
      <c r="B9" s="7" t="str">
        <v>David Smith</v>
      </c>
      <c r="C9" s="16">
        <v>45734</v>
      </c>
      <c r="D9" s="7" t="str">
        <v>PocketFM</v>
      </c>
      <c r="E9" s="17">
        <v>43200</v>
      </c>
      <c r="F9" s="12" t="str">
        <v>Done</v>
      </c>
      <c r="G9" s="16" t="str">
        <v>NA</v>
      </c>
      <c r="H9" s="7" t="str">
        <v>Umar Mujahid Husain</v>
      </c>
      <c r="I9" s="7" t="str">
        <v>Nida Khan</v>
      </c>
      <c r="J9" s="7" t="str">
        <v>Umar Mujahid Husain</v>
      </c>
      <c r="K9" s="7" t="str">
        <v>Umar Mujahid Husain</v>
      </c>
      <c r="L9" s="7">
        <f t="shared" ca="1" si="1"/>
        <v>318</v>
      </c>
      <c r="M9" s="7" t="str">
        <f>_xlfn.XLOOKUP($B9,'[1]Vantedge - dummy Placement data'!$E$2:$E$49,'[1]Vantedge - dummy Placement data'!$D$2:$D$49)</f>
        <v>Individual</v>
      </c>
      <c r="N9" s="7" cm="1">
        <f t="array" ref="N9">_xlfn.IFS($M9="Individual",1,$M9="Split",0.5,TRUE,0)</f>
        <v>1</v>
      </c>
      <c r="O9" s="7">
        <f t="shared" si="0"/>
        <v>43200</v>
      </c>
      <c r="P9" s="7" t="str">
        <f t="shared" ca="1" si="2"/>
        <v>Yes</v>
      </c>
    </row>
    <row r="10" spans="1:16" x14ac:dyDescent="0.3">
      <c r="A10" s="15"/>
      <c r="B10" s="7" t="str">
        <v>Praveen Narayana</v>
      </c>
      <c r="C10" s="16">
        <v>45761</v>
      </c>
      <c r="D10" s="7" t="str">
        <v>Tech Mahindra</v>
      </c>
      <c r="E10" s="17">
        <v>20825</v>
      </c>
      <c r="F10" s="12" t="str">
        <v>Done</v>
      </c>
      <c r="G10" s="16" t="str">
        <v>NA</v>
      </c>
      <c r="H10" s="7" t="str">
        <v>Abhay Pratap Singh</v>
      </c>
      <c r="I10" s="7">
        <v>0</v>
      </c>
      <c r="J10" s="7" t="str">
        <v>Umar Mujahid Husain</v>
      </c>
      <c r="K10" s="7" t="str">
        <v>Umar Mujahid Husain</v>
      </c>
      <c r="L10" s="7">
        <f t="shared" ca="1" si="1"/>
        <v>291</v>
      </c>
      <c r="M10" s="7" t="str">
        <f>_xlfn.XLOOKUP($B10,'[1]Vantedge - dummy Placement data'!$E$2:$E$49,'[1]Vantedge - dummy Placement data'!$D$2:$D$49)</f>
        <v>Individual</v>
      </c>
      <c r="N10" s="7" cm="1">
        <f t="array" ref="N10">_xlfn.IFS($M10="Individual",1,$M10="Split",0.5,TRUE,0)</f>
        <v>1</v>
      </c>
      <c r="O10" s="7">
        <f t="shared" si="0"/>
        <v>20825</v>
      </c>
      <c r="P10" s="7" t="str">
        <f t="shared" ca="1" si="2"/>
        <v>Yes</v>
      </c>
    </row>
    <row r="11" spans="1:16" x14ac:dyDescent="0.3">
      <c r="A11" s="15"/>
      <c r="B11" s="7" t="str">
        <v>Shawn Elkon</v>
      </c>
      <c r="C11" s="16">
        <v>45782</v>
      </c>
      <c r="D11" s="7" t="str">
        <v>Tech Mahindra</v>
      </c>
      <c r="E11" s="17">
        <v>18326</v>
      </c>
      <c r="F11" s="12" t="str">
        <v>Done</v>
      </c>
      <c r="G11" s="16" t="str">
        <v>NA</v>
      </c>
      <c r="H11" s="7" t="str">
        <v>Priyansh Khare</v>
      </c>
      <c r="I11" s="7">
        <v>0</v>
      </c>
      <c r="J11" s="7" t="str">
        <v>Umar Mujahid Husain</v>
      </c>
      <c r="K11" s="7" t="str">
        <v>Anshul Kumar</v>
      </c>
      <c r="L11" s="7">
        <f t="shared" ca="1" si="1"/>
        <v>270</v>
      </c>
      <c r="M11" s="7" t="s">
        <v>31</v>
      </c>
      <c r="N11" s="7" cm="1">
        <f t="array" ref="N11">_xlfn.IFS($M11="Individual",1,$M11="Split",0.5,TRUE,0)</f>
        <v>1</v>
      </c>
      <c r="O11" s="7">
        <f t="shared" si="0"/>
        <v>18326</v>
      </c>
      <c r="P11" s="7" t="str">
        <f t="shared" ca="1" si="2"/>
        <v>Yes</v>
      </c>
    </row>
    <row r="12" spans="1:16" x14ac:dyDescent="0.3">
      <c r="A12" s="15"/>
      <c r="B12" s="7" t="str">
        <v>Taylor Carlson</v>
      </c>
      <c r="C12" s="16">
        <v>45811</v>
      </c>
      <c r="D12" s="7" t="str">
        <v>PocketFM</v>
      </c>
      <c r="E12" s="17">
        <v>37600</v>
      </c>
      <c r="F12" s="12" t="str">
        <v>Done</v>
      </c>
      <c r="G12" s="16" t="str">
        <v>NA</v>
      </c>
      <c r="H12" s="7" t="str">
        <v>Umar Mujahid Husain</v>
      </c>
      <c r="I12" s="7" t="str">
        <v>Nida Khan</v>
      </c>
      <c r="J12" s="7" t="str">
        <v>Umar Mujahid Husain</v>
      </c>
      <c r="K12" s="7" t="str">
        <v>Umar Mujahid Husain</v>
      </c>
      <c r="L12" s="7">
        <f t="shared" ca="1" si="1"/>
        <v>241</v>
      </c>
      <c r="M12" s="7" t="s">
        <v>31</v>
      </c>
      <c r="N12" s="7" cm="1">
        <f t="array" ref="N12">_xlfn.IFS($M12="Individual",1,$M12="Split",0.5,TRUE,0)</f>
        <v>1</v>
      </c>
      <c r="O12" s="7">
        <f t="shared" si="0"/>
        <v>37600</v>
      </c>
      <c r="P12" s="7" t="str">
        <f t="shared" ca="1" si="2"/>
        <v>Yes</v>
      </c>
    </row>
    <row r="13" spans="1:16" x14ac:dyDescent="0.3">
      <c r="A13" s="15"/>
      <c r="B13" s="7" t="str">
        <v>Sandeep Padhye</v>
      </c>
      <c r="C13" s="16">
        <v>45859</v>
      </c>
      <c r="D13" s="7" t="str">
        <v>InfoBeans</v>
      </c>
      <c r="E13" s="17">
        <v>31500</v>
      </c>
      <c r="F13" s="12" t="str">
        <v>Done</v>
      </c>
      <c r="G13" s="16" t="str">
        <v>NA</v>
      </c>
      <c r="H13" s="7" t="str">
        <v>Syed Ahrar Abbas Zaidi</v>
      </c>
      <c r="I13" s="7" t="str">
        <v>Qausain Abbass</v>
      </c>
      <c r="J13" s="7" t="str">
        <v>Anshul Kumar</v>
      </c>
      <c r="K13" s="7" t="str">
        <v>Umar Mujahid Husain</v>
      </c>
      <c r="L13" s="7">
        <f t="shared" ca="1" si="1"/>
        <v>193</v>
      </c>
      <c r="M13" s="7"/>
      <c r="N13" s="7" cm="1">
        <f t="array" ref="N13">_xlfn.IFS($M13="Individual",1,$M13="Split",0.5,TRUE,0)</f>
        <v>0</v>
      </c>
      <c r="O13" s="7">
        <f t="shared" si="0"/>
        <v>0</v>
      </c>
      <c r="P13" s="7" t="str">
        <f t="shared" ca="1" si="2"/>
        <v>Yes</v>
      </c>
    </row>
    <row r="14" spans="1:16" x14ac:dyDescent="0.3">
      <c r="A14" s="15"/>
      <c r="B14" s="7" t="str">
        <v>Devin Currens</v>
      </c>
      <c r="C14" s="16">
        <v>45887</v>
      </c>
      <c r="D14" s="7" t="str">
        <v>InfoBeans</v>
      </c>
      <c r="E14" s="17">
        <v>27000</v>
      </c>
      <c r="F14" s="12" t="str">
        <v>Done</v>
      </c>
      <c r="G14" s="16" t="str">
        <v>NA</v>
      </c>
      <c r="H14" s="7" t="str">
        <v>Syed Ahrar Abbas Zaidi</v>
      </c>
      <c r="I14" s="7" t="str">
        <v>Qausain Abbass</v>
      </c>
      <c r="J14" s="7" t="str">
        <v>Anshul Kumar</v>
      </c>
      <c r="K14" s="7" t="str">
        <v>Umar Mujahid Husain</v>
      </c>
      <c r="L14" s="7">
        <f t="shared" ca="1" si="1"/>
        <v>165</v>
      </c>
      <c r="M14" s="7"/>
      <c r="N14" s="7" cm="1">
        <f t="array" ref="N14">_xlfn.IFS($M14="Individual",1,$M14="Split",0.5,TRUE,0)</f>
        <v>0</v>
      </c>
      <c r="O14" s="7">
        <f t="shared" si="0"/>
        <v>0</v>
      </c>
      <c r="P14" s="7" t="str">
        <f t="shared" ca="1" si="2"/>
        <v>Yes</v>
      </c>
    </row>
    <row r="15" spans="1:16" x14ac:dyDescent="0.3">
      <c r="A15" s="15"/>
      <c r="B15" s="7" t="str">
        <v>Natasha Allen</v>
      </c>
      <c r="C15" s="16">
        <v>45887</v>
      </c>
      <c r="D15" s="7" t="str">
        <v>Fanatics</v>
      </c>
      <c r="E15" s="17">
        <v>27000</v>
      </c>
      <c r="F15" s="12" t="str">
        <v>Done</v>
      </c>
      <c r="G15" s="16" t="str">
        <v>NA</v>
      </c>
      <c r="H15" s="7" t="str">
        <v>Syed Ahrar Abbas Zaidi</v>
      </c>
      <c r="I15" s="7">
        <v>0</v>
      </c>
      <c r="J15" s="7" t="str">
        <v>Mayank Saxena</v>
      </c>
      <c r="K15" s="7" t="str">
        <v>Umar Mujahid Husain</v>
      </c>
      <c r="L15" s="7">
        <f t="shared" ca="1" si="1"/>
        <v>165</v>
      </c>
      <c r="M15" s="7" t="str">
        <f>_xlfn.XLOOKUP($B15,'[1]Vantedge - dummy Placement data'!$E$2:$E$49,'[1]Vantedge - dummy Placement data'!$D$2:$D$49)</f>
        <v>Split</v>
      </c>
      <c r="N15" s="7" cm="1">
        <f t="array" ref="N15">_xlfn.IFS($M15="Individual",1,$M15="Split",0.5,TRUE,0)</f>
        <v>0.5</v>
      </c>
      <c r="O15" s="7">
        <f t="shared" si="0"/>
        <v>13500</v>
      </c>
      <c r="P15" s="7" t="str">
        <f t="shared" ca="1" si="2"/>
        <v>Yes</v>
      </c>
    </row>
    <row r="16" spans="1:16" x14ac:dyDescent="0.3">
      <c r="A16" s="15"/>
      <c r="B16" s="7" t="str">
        <v>Brian Taylor</v>
      </c>
      <c r="C16" s="16">
        <v>45870</v>
      </c>
      <c r="D16" s="7" t="str">
        <v>FPT Software</v>
      </c>
      <c r="E16" s="17">
        <v>22750</v>
      </c>
      <c r="F16" s="12" t="str">
        <v>Pending</v>
      </c>
      <c r="G16" s="16" t="str">
        <v>NA</v>
      </c>
      <c r="H16" s="7" t="str">
        <v>Shreya Singh</v>
      </c>
      <c r="I16" s="7">
        <v>0</v>
      </c>
      <c r="J16" s="7" t="str">
        <v>Umar Mujahid Husain</v>
      </c>
      <c r="K16" s="7" t="str">
        <v>Anshul Kumar</v>
      </c>
      <c r="L16" s="7">
        <f t="shared" ca="1" si="1"/>
        <v>182</v>
      </c>
      <c r="M16" s="7" t="s">
        <v>31</v>
      </c>
      <c r="N16" s="7" cm="1">
        <f t="array" ref="N16">_xlfn.IFS($M16="Individual",1,$M16="Split",0.5,TRUE,0)</f>
        <v>1</v>
      </c>
      <c r="O16" s="7">
        <f t="shared" si="0"/>
        <v>22750</v>
      </c>
      <c r="P16" s="7" t="str">
        <f t="shared" ca="1" si="2"/>
        <v>Yes</v>
      </c>
    </row>
    <row r="17" spans="1:16" x14ac:dyDescent="0.3">
      <c r="A17" s="15"/>
      <c r="B17" s="7" t="str">
        <v>Taylor Brandon Grace</v>
      </c>
      <c r="C17" s="16">
        <v>45894</v>
      </c>
      <c r="D17" s="7" t="str">
        <v>InfoBeans</v>
      </c>
      <c r="E17" s="17">
        <v>27000</v>
      </c>
      <c r="F17" s="12" t="str">
        <v>Done</v>
      </c>
      <c r="G17" s="16" t="str">
        <v>NA</v>
      </c>
      <c r="H17" s="7" t="str">
        <v>Syed Ahrar Abbas Zaidi</v>
      </c>
      <c r="I17" s="7" t="str">
        <v>Qausain Abbass</v>
      </c>
      <c r="J17" s="7" t="str">
        <v>Anshul Kumar</v>
      </c>
      <c r="K17" s="7" t="str">
        <v>Umar Mujahid Husain</v>
      </c>
      <c r="L17" s="7">
        <f t="shared" ca="1" si="1"/>
        <v>158</v>
      </c>
      <c r="M17" s="7"/>
      <c r="N17" s="7" cm="1">
        <f t="array" ref="N17">_xlfn.IFS($M17="Individual",1,$M17="Split",0.5,TRUE,0)</f>
        <v>0</v>
      </c>
      <c r="O17" s="7">
        <f t="shared" si="0"/>
        <v>0</v>
      </c>
      <c r="P17" s="7" t="str">
        <f t="shared" ca="1" si="2"/>
        <v>Yes</v>
      </c>
    </row>
    <row r="18" spans="1:16" x14ac:dyDescent="0.3">
      <c r="A18" s="15"/>
      <c r="B18" s="7" t="str">
        <v>Ehab Abbas</v>
      </c>
      <c r="C18" s="16">
        <v>45929</v>
      </c>
      <c r="D18" s="7" t="str">
        <v>InfoBeans</v>
      </c>
      <c r="E18" s="17">
        <v>32400</v>
      </c>
      <c r="F18" s="12" t="str">
        <v>Pending</v>
      </c>
      <c r="G18" s="16" t="str">
        <v>NA</v>
      </c>
      <c r="H18" s="7" t="str">
        <v>Syed Ahrar Abbas Zaidi</v>
      </c>
      <c r="I18" s="7" t="str">
        <v>Qausain Abbass</v>
      </c>
      <c r="J18" s="7" t="str">
        <v>Anshul Kumar</v>
      </c>
      <c r="K18" s="7" t="str">
        <v>Umar Mujahid Husain</v>
      </c>
      <c r="L18" s="7">
        <f t="shared" ca="1" si="1"/>
        <v>123</v>
      </c>
      <c r="M18" s="7"/>
      <c r="N18" s="7" cm="1">
        <f t="array" ref="N18">_xlfn.IFS($M18="Individual",1,$M18="Split",0.5,TRUE,0)</f>
        <v>0</v>
      </c>
      <c r="O18" s="7">
        <f t="shared" si="0"/>
        <v>0</v>
      </c>
      <c r="P18" s="7" t="str">
        <f t="shared" ca="1" si="2"/>
        <v>Yes</v>
      </c>
    </row>
    <row r="19" spans="1:16" x14ac:dyDescent="0.3">
      <c r="A19" s="15"/>
      <c r="B19" s="7" t="str">
        <v>Pallav Sharma</v>
      </c>
      <c r="C19" s="16">
        <v>45930</v>
      </c>
      <c r="D19" s="7" t="str">
        <v>BirlaSoft</v>
      </c>
      <c r="E19" s="17">
        <v>36000</v>
      </c>
      <c r="F19" s="12" t="str">
        <v>Pending</v>
      </c>
      <c r="G19" s="16" t="str">
        <v>NA</v>
      </c>
      <c r="H19" s="7" t="str">
        <v>Shreya Singh</v>
      </c>
      <c r="I19" s="7">
        <v>0</v>
      </c>
      <c r="J19" s="7" t="str">
        <v>Umar Mujahid Husain</v>
      </c>
      <c r="K19" s="7" t="str">
        <v>Anshul Kumar</v>
      </c>
      <c r="L19" s="7">
        <f t="shared" ca="1" si="1"/>
        <v>122</v>
      </c>
      <c r="M19" s="7" t="s">
        <v>31</v>
      </c>
      <c r="N19" s="7" cm="1">
        <f t="array" ref="N19">_xlfn.IFS($M19="Individual",1,$M19="Split",0.5,TRUE,0)</f>
        <v>1</v>
      </c>
      <c r="O19" s="7">
        <f t="shared" si="0"/>
        <v>36000</v>
      </c>
      <c r="P19" s="7" t="str">
        <f t="shared" ca="1" si="2"/>
        <v>Yes</v>
      </c>
    </row>
    <row r="20" spans="1:16" x14ac:dyDescent="0.3">
      <c r="A20" s="15"/>
      <c r="B20" s="7" t="str">
        <v>Anoop Nagaraj Sumithra</v>
      </c>
      <c r="C20" s="16">
        <v>45943</v>
      </c>
      <c r="D20" s="7" t="str">
        <v>Fanatics</v>
      </c>
      <c r="E20" s="17">
        <v>35250</v>
      </c>
      <c r="F20" s="12" t="str">
        <v>Pending</v>
      </c>
      <c r="G20" s="16" t="str">
        <v>NA</v>
      </c>
      <c r="H20" s="7" t="str">
        <v>Syed Ahrar Abbas Zaidi</v>
      </c>
      <c r="I20" s="7">
        <v>0</v>
      </c>
      <c r="J20" s="7" t="str">
        <v>Mayank Saxena</v>
      </c>
      <c r="K20" s="7" t="str">
        <v>Umar Mujahid Husain</v>
      </c>
      <c r="L20" s="7">
        <f t="shared" ca="1" si="1"/>
        <v>109</v>
      </c>
      <c r="M20" s="7" t="str">
        <f>_xlfn.XLOOKUP($B20,'[1]Vantedge - dummy Placement data'!$E$2:$E$49,'[1]Vantedge - dummy Placement data'!$D$2:$D$49)</f>
        <v>Split</v>
      </c>
      <c r="N20" s="7" cm="1">
        <f t="array" ref="N20">_xlfn.IFS($M20="Individual",1,$M20="Split",0.5,TRUE,0)</f>
        <v>0.5</v>
      </c>
      <c r="O20" s="7">
        <f t="shared" si="0"/>
        <v>17625</v>
      </c>
      <c r="P20" s="7" t="str">
        <f t="shared" ca="1" si="2"/>
        <v>Yes</v>
      </c>
    </row>
    <row r="21" spans="1:16" x14ac:dyDescent="0.3">
      <c r="A21" s="15"/>
      <c r="B21" s="7"/>
      <c r="C21" s="16"/>
      <c r="D21" s="7"/>
      <c r="E21" s="17"/>
      <c r="F21" s="12"/>
      <c r="G21" s="16"/>
      <c r="H21" s="7"/>
      <c r="I21" s="7"/>
      <c r="J21" s="7"/>
      <c r="K21" s="7"/>
      <c r="L21" s="7"/>
      <c r="M21" s="7"/>
      <c r="N21" s="7"/>
      <c r="O21" s="7">
        <f t="shared" si="0"/>
        <v>0</v>
      </c>
      <c r="P21" s="7" t="str">
        <f t="shared" si="2"/>
        <v>No</v>
      </c>
    </row>
    <row r="22" spans="1:16" x14ac:dyDescent="0.3">
      <c r="A22" s="15"/>
      <c r="B22" s="7"/>
      <c r="C22" s="16"/>
      <c r="D22" s="7"/>
      <c r="E22" s="17"/>
      <c r="F22" s="12"/>
      <c r="G22" s="16"/>
      <c r="H22" s="7"/>
      <c r="I22" s="7"/>
      <c r="J22" s="7"/>
      <c r="K22" s="7"/>
      <c r="L22" s="7"/>
      <c r="M22" s="7"/>
      <c r="N22" s="7"/>
      <c r="O22" s="7">
        <f t="shared" si="0"/>
        <v>0</v>
      </c>
      <c r="P22" s="7" t="str">
        <f t="shared" si="2"/>
        <v>No</v>
      </c>
    </row>
    <row r="23" spans="1:16" x14ac:dyDescent="0.3">
      <c r="A23" s="15"/>
      <c r="B23" s="7"/>
      <c r="C23" s="16"/>
      <c r="D23" s="7"/>
      <c r="E23" s="17"/>
      <c r="F23" s="12"/>
      <c r="G23" s="16"/>
      <c r="H23" s="7"/>
      <c r="I23" s="7"/>
      <c r="J23" s="7"/>
      <c r="K23" s="7"/>
      <c r="L23" s="7"/>
      <c r="M23" s="7"/>
      <c r="N23" s="7"/>
      <c r="O23" s="7">
        <f t="shared" si="0"/>
        <v>0</v>
      </c>
      <c r="P23" s="7" t="str">
        <f t="shared" si="2"/>
        <v>No</v>
      </c>
    </row>
    <row r="24" spans="1:16" x14ac:dyDescent="0.3">
      <c r="A24" s="15"/>
      <c r="B24" s="7"/>
      <c r="C24" s="16"/>
      <c r="D24" s="7"/>
      <c r="E24" s="17"/>
      <c r="F24" s="12"/>
      <c r="G24" s="16"/>
      <c r="H24" s="7"/>
      <c r="I24" s="7"/>
      <c r="J24" s="7"/>
      <c r="K24" s="7"/>
      <c r="L24" s="7"/>
      <c r="M24" s="7"/>
      <c r="N24" s="7"/>
      <c r="O24" s="7">
        <f t="shared" si="0"/>
        <v>0</v>
      </c>
      <c r="P24" s="7" t="str">
        <f t="shared" si="2"/>
        <v>No</v>
      </c>
    </row>
    <row r="25" spans="1:16" x14ac:dyDescent="0.3">
      <c r="A25" s="15"/>
      <c r="B25" s="7"/>
      <c r="C25" s="16"/>
      <c r="D25" s="7"/>
      <c r="E25" s="17"/>
      <c r="F25" s="12"/>
      <c r="G25" s="16"/>
      <c r="H25" s="7"/>
      <c r="I25" s="7"/>
      <c r="J25" s="7"/>
      <c r="K25" s="7"/>
      <c r="L25" s="7"/>
      <c r="M25" s="7"/>
      <c r="N25" s="7"/>
      <c r="O25" s="7">
        <f t="shared" si="0"/>
        <v>0</v>
      </c>
      <c r="P25" s="7" t="str">
        <f t="shared" si="2"/>
        <v>No</v>
      </c>
    </row>
    <row r="26" spans="1:16" x14ac:dyDescent="0.3">
      <c r="A26" s="15"/>
      <c r="B26" s="7"/>
      <c r="C26" s="16"/>
      <c r="D26" s="7"/>
      <c r="E26" s="17"/>
      <c r="F26" s="12"/>
      <c r="G26" s="16"/>
      <c r="H26" s="7"/>
      <c r="I26" s="7"/>
      <c r="J26" s="7"/>
      <c r="K26" s="7"/>
      <c r="L26" s="7"/>
      <c r="M26" s="7"/>
      <c r="N26" s="7"/>
      <c r="O26" s="7">
        <f t="shared" si="0"/>
        <v>0</v>
      </c>
      <c r="P26" s="7" t="str">
        <f t="shared" si="2"/>
        <v>No</v>
      </c>
    </row>
    <row r="27" spans="1:16" x14ac:dyDescent="0.3">
      <c r="C27" s="19"/>
      <c r="E27" s="20"/>
      <c r="F27" s="21"/>
      <c r="G27" s="19"/>
    </row>
    <row r="28" spans="1:16" x14ac:dyDescent="0.3">
      <c r="C28" s="19"/>
      <c r="E28" s="20"/>
      <c r="F28" s="21"/>
      <c r="G28" s="19"/>
    </row>
    <row r="29" spans="1:16" x14ac:dyDescent="0.3">
      <c r="E29" s="22"/>
      <c r="F29" s="3" t="str" cm="1">
        <f t="array" ref="F29">IFERROR(_xlfn.CHOOSECOLS(_xlfn._xlws.FILTER('[1]Vantedge - dummy Placement'!E:S, '[1]Vantedge - dummy Placement'!B:B=$B5), 1, 6, 7, 8, 10), "")</f>
        <v/>
      </c>
    </row>
    <row r="30" spans="1:16" x14ac:dyDescent="0.3">
      <c r="E30" s="22"/>
    </row>
    <row r="31" spans="1:16" x14ac:dyDescent="0.3">
      <c r="A31" s="4" t="s">
        <v>1</v>
      </c>
      <c r="B31" s="5" t="s">
        <v>15</v>
      </c>
      <c r="C31" s="5" t="s">
        <v>3</v>
      </c>
      <c r="D31" s="5" t="s">
        <v>4</v>
      </c>
      <c r="E31" s="5" t="s">
        <v>5</v>
      </c>
      <c r="F31" s="5" t="s">
        <v>6</v>
      </c>
      <c r="G31" s="6" t="s">
        <v>7</v>
      </c>
      <c r="H31" s="5" t="s">
        <v>8</v>
      </c>
      <c r="I31" s="5" t="s">
        <v>32</v>
      </c>
      <c r="J31" s="5" t="s">
        <v>10</v>
      </c>
      <c r="K31" s="5" t="s">
        <v>11</v>
      </c>
    </row>
    <row r="32" spans="1:16" x14ac:dyDescent="0.3">
      <c r="A32" s="8" t="s">
        <v>13</v>
      </c>
      <c r="B32" s="9" t="s">
        <v>33</v>
      </c>
      <c r="C32" s="7" t="str">
        <f>_xlfn.XLOOKUP($B32,'[1]Data Validation (2)'!$B$3:$B$31,'[1]Data Validation (2)'!$C$3:$C$31)</f>
        <v>Mayank Saxena</v>
      </c>
      <c r="D32" s="7">
        <f>_xlfn.XLOOKUP($B32,'[1]Ach % - L2'!$A$3:$A$10,'[1]Ach % - L2'!$F$3:$F$10)</f>
        <v>425000</v>
      </c>
      <c r="E32" s="10">
        <f>_xlfn.XLOOKUP($B32,'[1]Ach % - L2'!$A$3:$A$10,'[1]Ach % - L2'!$H$3:$H$10)</f>
        <v>0.81634117647058824</v>
      </c>
      <c r="F32" s="11">
        <f>SUM(O34:O53)</f>
        <v>281295</v>
      </c>
      <c r="G32" s="11">
        <f ca="1">SUMIFS($O33:$O54,$P33:$P54,"yes",$F33:$F54,"Done")</f>
        <v>53770</v>
      </c>
      <c r="H32" s="12" cm="1">
        <f t="array" ref="H32">_xlfn.IFS($E32&lt;=1%,0%,$E32&lt;=50%,1.75%,$E32&lt;=70%,2.25%,$E32&lt;=85%,2.75%,$E32&gt;85%,4%)</f>
        <v>2.75E-2</v>
      </c>
      <c r="I32" s="11">
        <f>F32*H32</f>
        <v>7735.6125000000002</v>
      </c>
      <c r="J32" s="11">
        <f>I32*80</f>
        <v>618849</v>
      </c>
      <c r="K32" s="11">
        <f ca="1">(G32*H32)*80</f>
        <v>118294</v>
      </c>
    </row>
    <row r="33" spans="1:16" x14ac:dyDescent="0.3">
      <c r="A33" s="13" t="s">
        <v>15</v>
      </c>
      <c r="B33" s="14" t="s">
        <v>16</v>
      </c>
      <c r="C33" s="14" t="s">
        <v>17</v>
      </c>
      <c r="D33" s="14" t="s">
        <v>18</v>
      </c>
      <c r="E33" s="14" t="s">
        <v>19</v>
      </c>
      <c r="F33" s="14" t="s">
        <v>20</v>
      </c>
      <c r="G33" s="14" t="s">
        <v>21</v>
      </c>
      <c r="H33" s="14" t="s">
        <v>22</v>
      </c>
      <c r="I33" s="14" t="s">
        <v>23</v>
      </c>
      <c r="J33" s="14" t="s">
        <v>24</v>
      </c>
      <c r="K33" s="14" t="s">
        <v>25</v>
      </c>
      <c r="L33" s="14" t="s">
        <v>26</v>
      </c>
      <c r="M33" s="14" t="s">
        <v>27</v>
      </c>
      <c r="N33" s="14" t="s">
        <v>28</v>
      </c>
      <c r="O33" s="14" t="s">
        <v>29</v>
      </c>
      <c r="P33" s="14" t="s">
        <v>30</v>
      </c>
    </row>
    <row r="34" spans="1:16" x14ac:dyDescent="0.3">
      <c r="A34" s="15" t="str">
        <f>B32</f>
        <v>Mayank Saxena</v>
      </c>
      <c r="B34" s="7" t="str" cm="1">
        <f t="array" ref="B34:K42">IFERROR(_xlfn.CHOOSECOLS(_xlfn._xlws.FILTER('[1]Vantedge - dummy Placement data'!E:AZ,(('[1]Vantedge - dummy Placement data'!F:F=$B32) + ('[1]Vantedge - dummy Placement data'!G:G=$B32)) &gt; 0),1,7,9,11,14,8,20,5,2,3),"")</f>
        <v>Arbindoo Sood</v>
      </c>
      <c r="C34" s="16">
        <v>45665</v>
      </c>
      <c r="D34" s="7" t="str">
        <v>Myridius</v>
      </c>
      <c r="E34" s="17">
        <v>27950</v>
      </c>
      <c r="F34" s="12" t="str">
        <v>Done</v>
      </c>
      <c r="G34" s="16" t="str">
        <v>NA</v>
      </c>
      <c r="H34" s="7" t="str">
        <v>Mayank Saxena</v>
      </c>
      <c r="I34" s="7" t="str">
        <v>Rohini Parihar</v>
      </c>
      <c r="J34" s="7" t="str">
        <v>Mayank Saxena</v>
      </c>
      <c r="K34" s="7" t="str">
        <v>Mayank Saxena</v>
      </c>
      <c r="L34" s="7">
        <f ca="1">IF(G34&lt;&gt;"NA", G34 - C34, TODAY() - C34)</f>
        <v>387</v>
      </c>
      <c r="M34" s="7" t="str">
        <f>_xlfn.XLOOKUP($B34,'[1]Vantedge - dummy Placement data'!$E$2:$E$49,'[1]Vantedge - dummy Placement data'!$D$2:$D$49)</f>
        <v>Individual</v>
      </c>
      <c r="N34" s="7" cm="1">
        <f t="array" ref="N34">_xlfn.IFS($M34="Individual",1,$M34="Split",0.5,TRUE,0)</f>
        <v>1</v>
      </c>
      <c r="O34" s="7">
        <f>E34*N34</f>
        <v>27950</v>
      </c>
      <c r="P34" s="7" t="str">
        <f ca="1">IF(L34&gt;=90,"Yes","No")</f>
        <v>Yes</v>
      </c>
    </row>
    <row r="35" spans="1:16" x14ac:dyDescent="0.3">
      <c r="A35" s="15"/>
      <c r="B35" s="7" t="str">
        <v>Kishore Ramakrishnan</v>
      </c>
      <c r="C35" s="16">
        <v>45726</v>
      </c>
      <c r="D35" s="7" t="str">
        <v>Tredence</v>
      </c>
      <c r="E35" s="17">
        <v>12320</v>
      </c>
      <c r="F35" s="12" t="str">
        <v>Done</v>
      </c>
      <c r="G35" s="16" t="str">
        <v>NA</v>
      </c>
      <c r="H35" s="7" t="str">
        <v>Shruti Shukla</v>
      </c>
      <c r="I35" s="7" t="str">
        <v>Richa Srivastava</v>
      </c>
      <c r="J35" s="7" t="str">
        <v>Mayank Saxena</v>
      </c>
      <c r="K35" s="7" t="str">
        <v>Mayank Saxena</v>
      </c>
      <c r="L35" s="7">
        <f t="shared" ref="L35:L49" ca="1" si="3">IF(G35&lt;&gt;"NA", G35 - C35, TODAY() - C35)</f>
        <v>326</v>
      </c>
      <c r="M35" s="7" t="str">
        <f>_xlfn.XLOOKUP($B35,'[1]Vantedge - dummy Placement data'!$E$2:$E$49,'[1]Vantedge - dummy Placement data'!$D$2:$D$49)</f>
        <v>Individual</v>
      </c>
      <c r="N35" s="7" cm="1">
        <f t="array" ref="N35">_xlfn.IFS($M35="Individual",1,$M35="Split",0.5,TRUE,0)</f>
        <v>1</v>
      </c>
      <c r="O35" s="7">
        <f t="shared" ref="O35:O42" si="4">E35*N35</f>
        <v>12320</v>
      </c>
      <c r="P35" s="7" t="str">
        <f t="shared" ref="P35:P42" ca="1" si="5">IF(L35&gt;=90,"Yes","No")</f>
        <v>Yes</v>
      </c>
    </row>
    <row r="36" spans="1:16" x14ac:dyDescent="0.3">
      <c r="A36" s="15"/>
      <c r="B36" s="7" t="str">
        <v>Satish Manam</v>
      </c>
      <c r="C36" s="16">
        <v>45740</v>
      </c>
      <c r="D36" s="7" t="str">
        <v>Digitide</v>
      </c>
      <c r="E36" s="17">
        <v>29900</v>
      </c>
      <c r="F36" s="12" t="str">
        <v>Pending</v>
      </c>
      <c r="G36" s="16" t="str">
        <v>NA</v>
      </c>
      <c r="H36" s="7" t="str">
        <v>Govind Srivastava</v>
      </c>
      <c r="I36" s="7" t="str">
        <v>Tanya Mishra</v>
      </c>
      <c r="J36" s="7" t="str">
        <v>Mayank Saxena</v>
      </c>
      <c r="K36" s="7" t="str">
        <v>Mayank Saxena</v>
      </c>
      <c r="L36" s="7">
        <f t="shared" ca="1" si="3"/>
        <v>312</v>
      </c>
      <c r="M36" s="7" t="str">
        <f>_xlfn.XLOOKUP($B36,'[1]Vantedge - dummy Placement data'!$E$2:$E$49,'[1]Vantedge - dummy Placement data'!$D$2:$D$49)</f>
        <v>Individual</v>
      </c>
      <c r="N36" s="7" cm="1">
        <f t="array" ref="N36">_xlfn.IFS($M36="Individual",1,$M36="Split",0.5,TRUE,0)</f>
        <v>1</v>
      </c>
      <c r="O36" s="7">
        <f t="shared" si="4"/>
        <v>29900</v>
      </c>
      <c r="P36" s="7" t="str">
        <f t="shared" ca="1" si="5"/>
        <v>Yes</v>
      </c>
    </row>
    <row r="37" spans="1:16" x14ac:dyDescent="0.3">
      <c r="A37" s="15"/>
      <c r="B37" s="7" t="str">
        <v>Shekhar Patwardhan</v>
      </c>
      <c r="C37" s="16">
        <v>45782</v>
      </c>
      <c r="D37" s="7" t="str">
        <v>Sutherland</v>
      </c>
      <c r="E37" s="17">
        <v>62500</v>
      </c>
      <c r="F37" s="12" t="str">
        <v>Pending</v>
      </c>
      <c r="G37" s="16" t="str">
        <v>NA</v>
      </c>
      <c r="H37" s="7" t="str">
        <v>Mayank Saxena</v>
      </c>
      <c r="I37" s="7">
        <v>0</v>
      </c>
      <c r="J37" s="7" t="str">
        <v>Mayank Saxena</v>
      </c>
      <c r="K37" s="7" t="str">
        <v>Mayank Saxena</v>
      </c>
      <c r="L37" s="7">
        <f t="shared" ca="1" si="3"/>
        <v>270</v>
      </c>
      <c r="M37" s="7" t="str">
        <f>_xlfn.XLOOKUP($B37,'[1]Vantedge - dummy Placement data'!$E$2:$E$49,'[1]Vantedge - dummy Placement data'!$D$2:$D$49)</f>
        <v>Individual</v>
      </c>
      <c r="N37" s="7" cm="1">
        <f t="array" ref="N37">_xlfn.IFS($M37="Individual",1,$M37="Split",0.5,TRUE,0)</f>
        <v>1</v>
      </c>
      <c r="O37" s="7">
        <f t="shared" si="4"/>
        <v>62500</v>
      </c>
      <c r="P37" s="7" t="str">
        <f t="shared" ca="1" si="5"/>
        <v>Yes</v>
      </c>
    </row>
    <row r="38" spans="1:16" x14ac:dyDescent="0.3">
      <c r="A38" s="15"/>
      <c r="B38" s="7" t="str">
        <v>Ramkishen Kalyana</v>
      </c>
      <c r="C38" s="16">
        <v>45840</v>
      </c>
      <c r="D38" s="7" t="str">
        <v>Sutherland</v>
      </c>
      <c r="E38" s="17">
        <v>57500</v>
      </c>
      <c r="F38" s="12" t="str">
        <v>Pending</v>
      </c>
      <c r="G38" s="16" t="str">
        <v>NA</v>
      </c>
      <c r="H38" s="7" t="str">
        <v>Umang Srivastava</v>
      </c>
      <c r="I38" s="7">
        <v>0</v>
      </c>
      <c r="J38" s="7" t="str">
        <v>Mayank Saxena</v>
      </c>
      <c r="K38" s="7" t="str">
        <v>Mayank Saxena</v>
      </c>
      <c r="L38" s="7">
        <f t="shared" ca="1" si="3"/>
        <v>212</v>
      </c>
      <c r="M38" s="7" t="str">
        <f>_xlfn.XLOOKUP($B38,'[1]Vantedge - dummy Placement data'!$E$2:$E$49,'[1]Vantedge - dummy Placement data'!$D$2:$D$49)</f>
        <v>Individual</v>
      </c>
      <c r="N38" s="7" cm="1">
        <f t="array" ref="N38">_xlfn.IFS($M38="Individual",1,$M38="Split",0.5,TRUE,0)</f>
        <v>1</v>
      </c>
      <c r="O38" s="7">
        <f t="shared" si="4"/>
        <v>57500</v>
      </c>
      <c r="P38" s="7" t="str">
        <f t="shared" ca="1" si="5"/>
        <v>Yes</v>
      </c>
    </row>
    <row r="39" spans="1:16" x14ac:dyDescent="0.3">
      <c r="A39" s="15"/>
      <c r="B39" s="7" t="str">
        <v>Satheesh Naik</v>
      </c>
      <c r="C39" s="7">
        <v>45848</v>
      </c>
      <c r="D39" s="7" t="str">
        <v>Sutherland</v>
      </c>
      <c r="E39" s="7">
        <v>60000</v>
      </c>
      <c r="F39" s="12" t="str">
        <v>Pending</v>
      </c>
      <c r="G39" s="7" t="str">
        <v>NA</v>
      </c>
      <c r="H39" s="7" t="str">
        <v>Govind Srivastava</v>
      </c>
      <c r="I39" s="7">
        <v>0</v>
      </c>
      <c r="J39" s="7" t="str">
        <v>Mayank Saxena</v>
      </c>
      <c r="K39" s="7" t="str">
        <v>Mayank Saxena</v>
      </c>
      <c r="L39" s="7">
        <f t="shared" ca="1" si="3"/>
        <v>204</v>
      </c>
      <c r="M39" s="7" t="str">
        <f>_xlfn.XLOOKUP($B39,'[1]Vantedge - dummy Placement data'!$E$2:$E$49,'[1]Vantedge - dummy Placement data'!$D$2:$D$49)</f>
        <v>Individual</v>
      </c>
      <c r="N39" s="7" cm="1">
        <f t="array" ref="N39">_xlfn.IFS($M39="Individual",1,$M39="Split",0.5,TRUE,0)</f>
        <v>1</v>
      </c>
      <c r="O39" s="7">
        <f t="shared" si="4"/>
        <v>60000</v>
      </c>
      <c r="P39" s="7" t="str">
        <f t="shared" ca="1" si="5"/>
        <v>Yes</v>
      </c>
    </row>
    <row r="40" spans="1:16" x14ac:dyDescent="0.3">
      <c r="A40" s="15"/>
      <c r="B40" s="7" t="str">
        <v>Natasha Allen</v>
      </c>
      <c r="C40" s="7">
        <v>45887</v>
      </c>
      <c r="D40" s="7" t="str">
        <v>Fanatics</v>
      </c>
      <c r="E40" s="7">
        <v>27000</v>
      </c>
      <c r="F40" s="12" t="str">
        <v>Done</v>
      </c>
      <c r="G40" s="7" t="str">
        <v>NA</v>
      </c>
      <c r="H40" s="7" t="str">
        <v>Syed Ahrar Abbas Zaidi</v>
      </c>
      <c r="I40" s="7">
        <v>0</v>
      </c>
      <c r="J40" s="7" t="str">
        <v>Mayank Saxena</v>
      </c>
      <c r="K40" s="7" t="str">
        <v>Umar Mujahid Husain</v>
      </c>
      <c r="L40" s="7">
        <f t="shared" ca="1" si="3"/>
        <v>165</v>
      </c>
      <c r="M40" s="7" t="str">
        <f>_xlfn.XLOOKUP($B40,'[1]Vantedge - dummy Placement data'!$E$2:$E$49,'[1]Vantedge - dummy Placement data'!$D$2:$D$49)</f>
        <v>Split</v>
      </c>
      <c r="N40" s="7" cm="1">
        <f t="array" ref="N40">_xlfn.IFS($M40="Individual",1,$M40="Split",0.5,TRUE,0)</f>
        <v>0.5</v>
      </c>
      <c r="O40" s="7">
        <f t="shared" si="4"/>
        <v>13500</v>
      </c>
      <c r="P40" s="7" t="str">
        <f t="shared" ca="1" si="5"/>
        <v>Yes</v>
      </c>
    </row>
    <row r="41" spans="1:16" x14ac:dyDescent="0.3">
      <c r="A41" s="15"/>
      <c r="B41" s="7" t="str">
        <v>Anoop Nagaraj Sumithra</v>
      </c>
      <c r="C41" s="7">
        <v>45943</v>
      </c>
      <c r="D41" s="7" t="str">
        <v>Fanatics</v>
      </c>
      <c r="E41" s="7">
        <v>35250</v>
      </c>
      <c r="F41" s="12" t="str">
        <v>Pending</v>
      </c>
      <c r="G41" s="7" t="str">
        <v>NA</v>
      </c>
      <c r="H41" s="7" t="str">
        <v>Syed Ahrar Abbas Zaidi</v>
      </c>
      <c r="I41" s="7">
        <v>0</v>
      </c>
      <c r="J41" s="7" t="str">
        <v>Mayank Saxena</v>
      </c>
      <c r="K41" s="7" t="str">
        <v>Umar Mujahid Husain</v>
      </c>
      <c r="L41" s="7">
        <f t="shared" ca="1" si="3"/>
        <v>109</v>
      </c>
      <c r="M41" s="7" t="str">
        <f>_xlfn.XLOOKUP($B41,'[1]Vantedge - dummy Placement data'!$E$2:$E$49,'[1]Vantedge - dummy Placement data'!$D$2:$D$49)</f>
        <v>Split</v>
      </c>
      <c r="N41" s="7" cm="1">
        <f t="array" ref="N41">_xlfn.IFS($M41="Individual",1,$M41="Split",0.5,TRUE,0)</f>
        <v>0.5</v>
      </c>
      <c r="O41" s="7">
        <f t="shared" si="4"/>
        <v>17625</v>
      </c>
      <c r="P41" s="7" t="str">
        <f t="shared" ca="1" si="5"/>
        <v>Yes</v>
      </c>
    </row>
    <row r="42" spans="1:16" x14ac:dyDescent="0.3">
      <c r="A42" s="15"/>
      <c r="B42" s="7" t="str">
        <v>Abhishek Pandey</v>
      </c>
      <c r="C42" s="7">
        <v>45945</v>
      </c>
      <c r="D42" s="7" t="str">
        <v>Coforge</v>
      </c>
      <c r="E42" s="7">
        <v>0</v>
      </c>
      <c r="F42" s="12" t="str">
        <v>Pending</v>
      </c>
      <c r="G42" s="7">
        <v>45960</v>
      </c>
      <c r="H42" s="7" t="str">
        <v>Mayank Saxena</v>
      </c>
      <c r="I42" s="7">
        <v>0</v>
      </c>
      <c r="J42" s="7" t="str">
        <v>Mayank Saxena</v>
      </c>
      <c r="K42" s="7" t="str">
        <v>Mayank Saxena</v>
      </c>
      <c r="L42" s="7">
        <f t="shared" ca="1" si="3"/>
        <v>15</v>
      </c>
      <c r="M42" s="7" t="str">
        <f>_xlfn.XLOOKUP($B42,'[1]Vantedge - dummy Placement data'!$E$2:$E$49,'[1]Vantedge - dummy Placement data'!$D$2:$D$49)</f>
        <v>Individual</v>
      </c>
      <c r="N42" s="7" cm="1">
        <f t="array" ref="N42">_xlfn.IFS($M42="Individual",1,$M42="Split",0.5,TRUE,0)</f>
        <v>1</v>
      </c>
      <c r="O42" s="7">
        <f t="shared" si="4"/>
        <v>0</v>
      </c>
      <c r="P42" s="7" t="str">
        <f t="shared" ca="1" si="5"/>
        <v>No</v>
      </c>
    </row>
    <row r="43" spans="1:16" x14ac:dyDescent="0.3">
      <c r="A43" s="15"/>
      <c r="B43" s="7"/>
      <c r="C43" s="7"/>
      <c r="D43" s="7"/>
      <c r="E43" s="7"/>
      <c r="F43" s="7"/>
      <c r="G43" s="7"/>
      <c r="H43" s="7"/>
      <c r="I43" s="7"/>
      <c r="J43" s="7"/>
      <c r="K43" s="7"/>
      <c r="L43" s="7">
        <f t="shared" ca="1" si="3"/>
        <v>0</v>
      </c>
      <c r="M43" s="7"/>
      <c r="N43" s="7"/>
      <c r="O43" s="7"/>
      <c r="P43" s="7"/>
    </row>
    <row r="44" spans="1:16" x14ac:dyDescent="0.3">
      <c r="A44" s="15"/>
      <c r="B44" s="7"/>
      <c r="C44" s="7"/>
      <c r="D44" s="7"/>
      <c r="E44" s="7"/>
      <c r="F44" s="7"/>
      <c r="G44" s="7"/>
      <c r="H44" s="7"/>
      <c r="I44" s="7"/>
      <c r="J44" s="7"/>
      <c r="K44" s="7"/>
      <c r="L44" s="7">
        <f t="shared" ca="1" si="3"/>
        <v>0</v>
      </c>
      <c r="M44" s="7"/>
      <c r="N44" s="7"/>
      <c r="O44" s="7"/>
      <c r="P44" s="7"/>
    </row>
    <row r="45" spans="1:16" x14ac:dyDescent="0.3">
      <c r="A45" s="15"/>
      <c r="B45" s="7"/>
      <c r="C45" s="7"/>
      <c r="D45" s="7"/>
      <c r="E45" s="7"/>
      <c r="F45" s="7"/>
      <c r="G45" s="7"/>
      <c r="H45" s="7"/>
      <c r="I45" s="7"/>
      <c r="J45" s="7"/>
      <c r="K45" s="7"/>
      <c r="L45" s="7">
        <f t="shared" ca="1" si="3"/>
        <v>0</v>
      </c>
      <c r="M45" s="7"/>
      <c r="N45" s="7"/>
      <c r="O45" s="7"/>
      <c r="P45" s="7"/>
    </row>
    <row r="46" spans="1:16" x14ac:dyDescent="0.3">
      <c r="A46" s="15"/>
      <c r="B46" s="7"/>
      <c r="C46" s="7"/>
      <c r="D46" s="7"/>
      <c r="E46" s="7"/>
      <c r="F46" s="7"/>
      <c r="G46" s="7"/>
      <c r="H46" s="7"/>
      <c r="I46" s="7"/>
      <c r="J46" s="7"/>
      <c r="K46" s="7"/>
      <c r="L46" s="7">
        <f t="shared" ca="1" si="3"/>
        <v>0</v>
      </c>
      <c r="M46" s="7"/>
      <c r="N46" s="7"/>
      <c r="O46" s="7"/>
      <c r="P46" s="7"/>
    </row>
    <row r="47" spans="1:16" x14ac:dyDescent="0.3">
      <c r="A47" s="15"/>
      <c r="B47" s="7"/>
      <c r="C47" s="7"/>
      <c r="D47" s="7"/>
      <c r="E47" s="7"/>
      <c r="F47" s="7"/>
      <c r="G47" s="7"/>
      <c r="H47" s="7"/>
      <c r="I47" s="7"/>
      <c r="J47" s="7"/>
      <c r="K47" s="7"/>
      <c r="L47" s="7">
        <f t="shared" ca="1" si="3"/>
        <v>0</v>
      </c>
      <c r="M47" s="7"/>
      <c r="N47" s="7"/>
      <c r="O47" s="7"/>
      <c r="P47" s="7"/>
    </row>
    <row r="48" spans="1:16" x14ac:dyDescent="0.3">
      <c r="A48" s="15"/>
      <c r="B48" s="7"/>
      <c r="C48" s="7"/>
      <c r="D48" s="7"/>
      <c r="E48" s="7"/>
      <c r="F48" s="7"/>
      <c r="G48" s="7"/>
      <c r="H48" s="7"/>
      <c r="I48" s="7"/>
      <c r="J48" s="7"/>
      <c r="K48" s="7"/>
      <c r="L48" s="7">
        <f t="shared" ca="1" si="3"/>
        <v>0</v>
      </c>
      <c r="M48" s="7"/>
      <c r="N48" s="7"/>
      <c r="O48" s="7"/>
      <c r="P48" s="7"/>
    </row>
    <row r="49" spans="1:16" x14ac:dyDescent="0.3">
      <c r="A49" s="15"/>
      <c r="B49" s="7"/>
      <c r="C49" s="7"/>
      <c r="D49" s="7"/>
      <c r="E49" s="7"/>
      <c r="F49" s="7"/>
      <c r="G49" s="7"/>
      <c r="H49" s="7"/>
      <c r="I49" s="7"/>
      <c r="J49" s="7"/>
      <c r="K49" s="7"/>
      <c r="L49" s="7">
        <f t="shared" ca="1" si="3"/>
        <v>0</v>
      </c>
      <c r="M49" s="7"/>
      <c r="N49" s="7"/>
      <c r="O49" s="7"/>
      <c r="P49" s="7"/>
    </row>
    <row r="52" spans="1:16" x14ac:dyDescent="0.3">
      <c r="A52" s="4" t="s">
        <v>1</v>
      </c>
      <c r="B52" s="5" t="s">
        <v>15</v>
      </c>
      <c r="C52" s="5" t="s">
        <v>3</v>
      </c>
      <c r="D52" s="5" t="s">
        <v>4</v>
      </c>
      <c r="E52" s="5" t="s">
        <v>5</v>
      </c>
      <c r="F52" s="5" t="s">
        <v>6</v>
      </c>
      <c r="G52" s="6" t="s">
        <v>7</v>
      </c>
      <c r="H52" s="5" t="s">
        <v>8</v>
      </c>
      <c r="I52" s="5" t="s">
        <v>32</v>
      </c>
      <c r="J52" s="5" t="s">
        <v>10</v>
      </c>
      <c r="K52" s="5" t="s">
        <v>11</v>
      </c>
    </row>
    <row r="53" spans="1:16" x14ac:dyDescent="0.3">
      <c r="A53" s="8" t="s">
        <v>13</v>
      </c>
      <c r="B53" s="9" t="s">
        <v>34</v>
      </c>
      <c r="C53" s="7" t="str">
        <f>_xlfn.XLOOKUP($B53,'[1]Data Validation (2)'!$B$3:$B$31,'[1]Data Validation (2)'!$C$3:$C$31)</f>
        <v>Raunak Tripathi</v>
      </c>
      <c r="D53" s="7">
        <f>_xlfn.XLOOKUP($B53,'[1]Ach % - L2'!$A$3:$A$10,'[1]Ach % - L2'!$F$3:$F$10)</f>
        <v>605000</v>
      </c>
      <c r="E53" s="10">
        <f>_xlfn.XLOOKUP($B53,'[1]Ach % - L2'!$A$3:$A$10,'[1]Ach % - L2'!$H$3:$H$10)</f>
        <v>0.46130413223140498</v>
      </c>
      <c r="F53" s="11">
        <f>SUM(O55:O74)</f>
        <v>237224.3112</v>
      </c>
      <c r="G53" s="11">
        <f ca="1">SUMIFS($O54:$O75,$P54:$P75,"yes",$F54:$F75,"Done")</f>
        <v>103874.3112</v>
      </c>
      <c r="H53" s="12" cm="1">
        <f t="array" ref="H53">_xlfn.IFS($E53&lt;=1%,0%,$E53&lt;=50%,1.75%,$E53&lt;=70%,2.25%,$E53&lt;=85%,2.75%,$E53&gt;85%,4%)</f>
        <v>1.7500000000000002E-2</v>
      </c>
      <c r="I53" s="11">
        <f>F53*H53</f>
        <v>4151.4254460000002</v>
      </c>
      <c r="J53" s="11">
        <f>I53*80</f>
        <v>332114.03568000003</v>
      </c>
      <c r="K53" s="11">
        <f ca="1">(G53*H53)*80</f>
        <v>145424.03568000003</v>
      </c>
    </row>
    <row r="54" spans="1:16" x14ac:dyDescent="0.3">
      <c r="A54" s="13" t="s">
        <v>15</v>
      </c>
      <c r="B54" s="14" t="s">
        <v>16</v>
      </c>
      <c r="C54" s="14" t="s">
        <v>17</v>
      </c>
      <c r="D54" s="14" t="s">
        <v>18</v>
      </c>
      <c r="E54" s="14" t="s">
        <v>19</v>
      </c>
      <c r="F54" s="14" t="s">
        <v>20</v>
      </c>
      <c r="G54" s="14" t="s">
        <v>21</v>
      </c>
      <c r="H54" s="14" t="s">
        <v>22</v>
      </c>
      <c r="I54" s="14" t="s">
        <v>23</v>
      </c>
      <c r="J54" s="14" t="s">
        <v>24</v>
      </c>
      <c r="K54" s="14" t="s">
        <v>25</v>
      </c>
      <c r="L54" s="14" t="s">
        <v>26</v>
      </c>
      <c r="M54" s="14" t="s">
        <v>27</v>
      </c>
      <c r="N54" s="14" t="s">
        <v>28</v>
      </c>
      <c r="O54" s="14" t="s">
        <v>29</v>
      </c>
      <c r="P54" s="14" t="s">
        <v>30</v>
      </c>
    </row>
    <row r="55" spans="1:16" x14ac:dyDescent="0.3">
      <c r="A55" s="23" t="str">
        <f>B53</f>
        <v>Raunak Tripathi</v>
      </c>
      <c r="B55" s="7" t="str" cm="1">
        <f t="array" ref="B55:K67">IFERROR(_xlfn.CHOOSECOLS(_xlfn._xlws.FILTER('[1]Vantedge - dummy Placement data'!E:AZ,(('[1]Vantedge - dummy Placement data'!F:F=$B53) + ('[1]Vantedge - dummy Placement data'!G:G=$B53)) &gt; 0),1,7,9,11,14,8,20,5,2,3),"")</f>
        <v>David Mussan-Levy</v>
      </c>
      <c r="C55" s="16">
        <v>45659</v>
      </c>
      <c r="D55" s="7" t="str">
        <v>Visionet</v>
      </c>
      <c r="E55" s="17">
        <v>30000</v>
      </c>
      <c r="F55" s="12" t="str">
        <v>Pending</v>
      </c>
      <c r="G55" s="16" t="str">
        <v>NA</v>
      </c>
      <c r="H55" s="7" t="str">
        <v>Anshul Kumar</v>
      </c>
      <c r="I55" s="7" t="str">
        <v>Priyansh Khare</v>
      </c>
      <c r="J55" s="7" t="str">
        <v>Raunak Tripathi</v>
      </c>
      <c r="K55" s="7" t="str">
        <v>Anshul Kumar</v>
      </c>
      <c r="L55" s="7">
        <f ca="1">IF(G55&lt;&gt;"NA", G55 - C55, TODAY() - C55)</f>
        <v>393</v>
      </c>
      <c r="M55" s="7" t="str">
        <f>_xlfn.XLOOKUP($B55,'[1]Vantedge - dummy Placement data'!$E$2:$E$49,'[1]Vantedge - dummy Placement data'!$D$2:$D$49)</f>
        <v>Split</v>
      </c>
      <c r="N55" s="7" cm="1">
        <f t="array" ref="N55">_xlfn.IFS($M55="Individual",1,$M55="Split",0.5,TRUE,0)</f>
        <v>0.5</v>
      </c>
      <c r="O55" s="7">
        <f>E55*N55</f>
        <v>15000</v>
      </c>
      <c r="P55" s="7" t="str">
        <f ca="1">IF(L55&gt;=90,"Yes","No")</f>
        <v>Yes</v>
      </c>
    </row>
    <row r="56" spans="1:16" x14ac:dyDescent="0.3">
      <c r="A56" s="24"/>
      <c r="B56" s="7" t="str">
        <v>Alex Dee</v>
      </c>
      <c r="C56" s="16">
        <v>45747</v>
      </c>
      <c r="D56" s="7" t="str">
        <v>Waverly</v>
      </c>
      <c r="E56" s="17">
        <v>0</v>
      </c>
      <c r="F56" s="12" t="str">
        <v>No Bill No pay</v>
      </c>
      <c r="G56" s="16">
        <v>45762</v>
      </c>
      <c r="H56" s="7" t="str">
        <v>Devansh Mishra</v>
      </c>
      <c r="I56" s="7" t="str">
        <v>Nida Khan</v>
      </c>
      <c r="J56" s="7" t="str">
        <v>Anshul Kumar</v>
      </c>
      <c r="K56" s="7" t="str">
        <v>Raunak Tripathi</v>
      </c>
      <c r="L56" s="7">
        <f ca="1">IF(G56&lt;&gt;"NA", G56 - C56, TODAY() - C56)</f>
        <v>15</v>
      </c>
      <c r="M56" s="7" t="str">
        <f>_xlfn.XLOOKUP($B56,'[1]Vantedge - dummy Placement data'!$E$2:$E$49,'[1]Vantedge - dummy Placement data'!$D$2:$D$49)</f>
        <v>Split</v>
      </c>
      <c r="N56" s="7" cm="1">
        <f t="array" ref="N56">_xlfn.IFS($M56="Individual",1,$M56="Split",0.5,TRUE,0)</f>
        <v>0.5</v>
      </c>
      <c r="O56" s="7">
        <f>E56*N56</f>
        <v>0</v>
      </c>
      <c r="P56" s="7" t="str">
        <f ca="1">IF(L56&gt;=90,"Yes","No")</f>
        <v>No</v>
      </c>
    </row>
    <row r="57" spans="1:16" x14ac:dyDescent="0.3">
      <c r="A57" s="24"/>
      <c r="B57" s="7" t="str">
        <v>Helen Kim</v>
      </c>
      <c r="C57" s="16">
        <v>45754</v>
      </c>
      <c r="D57" s="7" t="str">
        <v>Coforge</v>
      </c>
      <c r="E57" s="17">
        <v>33000</v>
      </c>
      <c r="F57" s="12" t="str">
        <v>Done</v>
      </c>
      <c r="G57" s="16" t="str">
        <v>NA</v>
      </c>
      <c r="H57" s="7" t="str">
        <v>Ranjeet Kumar</v>
      </c>
      <c r="I57" s="7" t="str">
        <v>Raunak Tripathi</v>
      </c>
      <c r="J57" s="11" t="str">
        <v>Raunak Tripathi</v>
      </c>
      <c r="K57" s="7" t="str">
        <v>Raunak Tripathi</v>
      </c>
      <c r="L57" s="7">
        <f t="shared" ref="L57:L71" ca="1" si="6">IF(G57&lt;&gt;"NA", G57 - C57, TODAY() - C57)</f>
        <v>298</v>
      </c>
      <c r="M57" s="7" t="str">
        <f>_xlfn.XLOOKUP($B57,'[1]Vantedge - dummy Placement data'!$E$2:$E$49,'[1]Vantedge - dummy Placement data'!$D$2:$D$49)</f>
        <v>Individual</v>
      </c>
      <c r="N57" s="7" cm="1">
        <f t="array" ref="N57">_xlfn.IFS($M57="Individual",1,$M57="Split",0.5,TRUE,0)</f>
        <v>1</v>
      </c>
      <c r="O57" s="7">
        <f t="shared" ref="O57:O67" si="7">E57*N57</f>
        <v>33000</v>
      </c>
      <c r="P57" s="7" t="str">
        <f t="shared" ref="P57:P67" ca="1" si="8">IF(L57&gt;=90,"Yes","No")</f>
        <v>Yes</v>
      </c>
    </row>
    <row r="58" spans="1:16" x14ac:dyDescent="0.3">
      <c r="A58" s="24"/>
      <c r="B58" s="7" t="str">
        <v>Sergei Smirnov</v>
      </c>
      <c r="C58" s="16">
        <v>45804</v>
      </c>
      <c r="D58" s="7" t="str">
        <v>Kale Logistics</v>
      </c>
      <c r="E58" s="17">
        <v>12524.311199999998</v>
      </c>
      <c r="F58" s="12" t="str">
        <v>Done</v>
      </c>
      <c r="G58" s="16" t="str">
        <v>NA</v>
      </c>
      <c r="H58" s="7" t="str">
        <v>Pulkit Prakash</v>
      </c>
      <c r="I58" s="7">
        <v>0</v>
      </c>
      <c r="J58" s="7" t="str">
        <v>Raunak Tripathi</v>
      </c>
      <c r="K58" s="7" t="str">
        <v>Raunak Tripathi</v>
      </c>
      <c r="L58" s="7">
        <f t="shared" ca="1" si="6"/>
        <v>248</v>
      </c>
      <c r="M58" s="7" t="str">
        <f>_xlfn.XLOOKUP($B58,'[1]Vantedge - dummy Placement data'!$E$2:$E$49,'[1]Vantedge - dummy Placement data'!$D$2:$D$49)</f>
        <v>Individual</v>
      </c>
      <c r="N58" s="7" cm="1">
        <f t="array" ref="N58">_xlfn.IFS($M58="Individual",1,$M58="Split",0.5,TRUE,0)</f>
        <v>1</v>
      </c>
      <c r="O58" s="11">
        <f t="shared" si="7"/>
        <v>12524.311199999998</v>
      </c>
      <c r="P58" s="7" t="str">
        <f t="shared" ca="1" si="8"/>
        <v>Yes</v>
      </c>
    </row>
    <row r="59" spans="1:16" x14ac:dyDescent="0.3">
      <c r="A59" s="24"/>
      <c r="B59" s="7" t="str">
        <v>Sandeep Sanon</v>
      </c>
      <c r="C59" s="16">
        <v>45810</v>
      </c>
      <c r="D59" s="7" t="str">
        <v>LTIMindtree</v>
      </c>
      <c r="E59" s="17">
        <v>28350</v>
      </c>
      <c r="F59" s="12" t="str">
        <v>Done</v>
      </c>
      <c r="G59" s="16" t="str">
        <v>NA</v>
      </c>
      <c r="H59" s="7" t="str">
        <v>Pulkit Prakash</v>
      </c>
      <c r="I59" s="7">
        <v>0</v>
      </c>
      <c r="J59" s="7" t="str">
        <v>Raunak Tripathi</v>
      </c>
      <c r="K59" s="7" t="str">
        <v>Raunak Tripathi</v>
      </c>
      <c r="L59" s="7">
        <f t="shared" ca="1" si="6"/>
        <v>242</v>
      </c>
      <c r="M59" s="7" t="str">
        <f>_xlfn.XLOOKUP($B59,'[1]Vantedge - dummy Placement data'!$E$2:$E$49,'[1]Vantedge - dummy Placement data'!$D$2:$D$49)</f>
        <v>Individual</v>
      </c>
      <c r="N59" s="7" cm="1">
        <f t="array" ref="N59">_xlfn.IFS($M59="Individual",1,$M59="Split",0.5,TRUE,0)</f>
        <v>1</v>
      </c>
      <c r="O59" s="7">
        <f t="shared" si="7"/>
        <v>28350</v>
      </c>
      <c r="P59" s="7" t="str">
        <f t="shared" ca="1" si="8"/>
        <v>Yes</v>
      </c>
    </row>
    <row r="60" spans="1:16" x14ac:dyDescent="0.3">
      <c r="A60" s="24"/>
      <c r="B60" s="7" t="str">
        <v>Inderpuneet Sohanpal</v>
      </c>
      <c r="C60" s="16">
        <v>45845</v>
      </c>
      <c r="D60" s="7" t="str">
        <v>Visionet</v>
      </c>
      <c r="E60" s="17">
        <v>40500</v>
      </c>
      <c r="F60" s="12" t="str">
        <v>Pending</v>
      </c>
      <c r="G60" s="16" t="str">
        <v>NA</v>
      </c>
      <c r="H60" s="7" t="str">
        <v>Govind Srivastava</v>
      </c>
      <c r="I60" s="7" t="str">
        <v>Nida Khan</v>
      </c>
      <c r="J60" s="7" t="str">
        <v>Raunak Tripathi</v>
      </c>
      <c r="K60" s="7" t="str">
        <v>Mayank Saxena</v>
      </c>
      <c r="L60" s="7">
        <f t="shared" ca="1" si="6"/>
        <v>207</v>
      </c>
      <c r="M60" s="7" t="str">
        <f>_xlfn.XLOOKUP($B60,'[1]Vantedge - dummy Placement data'!$E$2:$E$49,'[1]Vantedge - dummy Placement data'!$D$2:$D$49)</f>
        <v>Split</v>
      </c>
      <c r="N60" s="7" cm="1">
        <f t="array" ref="N60">_xlfn.IFS($M60="Individual",1,$M60="Split",0.5,TRUE,0)</f>
        <v>0.5</v>
      </c>
      <c r="O60" s="7">
        <f t="shared" si="7"/>
        <v>20250</v>
      </c>
      <c r="P60" s="7" t="str">
        <f t="shared" ca="1" si="8"/>
        <v>Yes</v>
      </c>
    </row>
    <row r="61" spans="1:16" x14ac:dyDescent="0.3">
      <c r="A61" s="24"/>
      <c r="B61" s="7" t="str">
        <v>Robert Gonzalez</v>
      </c>
      <c r="C61" s="16">
        <v>45848</v>
      </c>
      <c r="D61" s="7" t="str">
        <v>Kale Logistics</v>
      </c>
      <c r="E61" s="17">
        <v>15600</v>
      </c>
      <c r="F61" s="12" t="str">
        <v>Done</v>
      </c>
      <c r="G61" s="16" t="str">
        <v>NA</v>
      </c>
      <c r="H61" s="7" t="str">
        <v>Pulkit Prakash</v>
      </c>
      <c r="I61" s="7">
        <v>0</v>
      </c>
      <c r="J61" s="7" t="str">
        <v>Raunak Tripathi</v>
      </c>
      <c r="K61" s="7" t="str">
        <v>Raunak Tripathi</v>
      </c>
      <c r="L61" s="7">
        <f t="shared" ca="1" si="6"/>
        <v>204</v>
      </c>
      <c r="M61" s="7" t="str">
        <f>_xlfn.XLOOKUP($B61,'[1]Vantedge - dummy Placement data'!$E$2:$E$49,'[1]Vantedge - dummy Placement data'!$D$2:$D$49)</f>
        <v>Individual</v>
      </c>
      <c r="N61" s="7" cm="1">
        <f t="array" ref="N61">_xlfn.IFS($M61="Individual",1,$M61="Split",0.5,TRUE,0)</f>
        <v>1</v>
      </c>
      <c r="O61" s="7">
        <f t="shared" si="7"/>
        <v>15600</v>
      </c>
      <c r="P61" s="7" t="str">
        <f t="shared" ca="1" si="8"/>
        <v>Yes</v>
      </c>
    </row>
    <row r="62" spans="1:16" x14ac:dyDescent="0.3">
      <c r="A62" s="24"/>
      <c r="B62" s="7" t="str">
        <v>Travis Leemreis</v>
      </c>
      <c r="C62" s="16">
        <v>45855</v>
      </c>
      <c r="D62" s="7" t="str">
        <v>Kale Logistics</v>
      </c>
      <c r="E62" s="17">
        <v>14400</v>
      </c>
      <c r="F62" s="12" t="str">
        <v>Done</v>
      </c>
      <c r="G62" s="16" t="str">
        <v>NA</v>
      </c>
      <c r="H62" s="7" t="str">
        <v>Pulkit Prakash</v>
      </c>
      <c r="I62" s="7">
        <v>0</v>
      </c>
      <c r="J62" s="7" t="str">
        <v>Raunak Tripathi</v>
      </c>
      <c r="K62" s="7" t="str">
        <v>Raunak Tripathi</v>
      </c>
      <c r="L62" s="7">
        <f t="shared" ca="1" si="6"/>
        <v>197</v>
      </c>
      <c r="M62" s="7" t="str">
        <f>_xlfn.XLOOKUP($B62,'[1]Vantedge - dummy Placement data'!$E$2:$E$49,'[1]Vantedge - dummy Placement data'!$D$2:$D$49)</f>
        <v>Individual</v>
      </c>
      <c r="N62" s="7" cm="1">
        <f t="array" ref="N62">_xlfn.IFS($M62="Individual",1,$M62="Split",0.5,TRUE,0)</f>
        <v>1</v>
      </c>
      <c r="O62" s="7">
        <f t="shared" si="7"/>
        <v>14400</v>
      </c>
      <c r="P62" s="7" t="str">
        <f t="shared" ca="1" si="8"/>
        <v>Yes</v>
      </c>
    </row>
    <row r="63" spans="1:16" x14ac:dyDescent="0.3">
      <c r="A63" s="24"/>
      <c r="B63" s="7" t="str">
        <v>Leroy Cervantes</v>
      </c>
      <c r="C63" s="16">
        <v>45859</v>
      </c>
      <c r="D63" s="7" t="str">
        <v>Kale Logistics</v>
      </c>
      <c r="E63" s="17">
        <v>0</v>
      </c>
      <c r="F63" s="12">
        <v>0</v>
      </c>
      <c r="G63" s="16">
        <v>45920</v>
      </c>
      <c r="H63" s="7" t="str">
        <v>Pulkit Prakash</v>
      </c>
      <c r="I63" s="7">
        <v>0</v>
      </c>
      <c r="J63" s="7" t="str">
        <v>Raunak Tripathi</v>
      </c>
      <c r="K63" s="7" t="str">
        <v>Raunak Tripathi</v>
      </c>
      <c r="L63" s="7">
        <f t="shared" ca="1" si="6"/>
        <v>61</v>
      </c>
      <c r="M63" s="7" t="str">
        <f>_xlfn.XLOOKUP($B63,'[1]Vantedge - dummy Placement data'!$E$2:$E$49,'[1]Vantedge - dummy Placement data'!$D$2:$D$49)</f>
        <v>Individual</v>
      </c>
      <c r="N63" s="7" cm="1">
        <f t="array" ref="N63">_xlfn.IFS($M63="Individual",1,$M63="Split",0.5,TRUE,0)</f>
        <v>1</v>
      </c>
      <c r="O63" s="7">
        <f t="shared" si="7"/>
        <v>0</v>
      </c>
      <c r="P63" s="7" t="str">
        <f t="shared" ca="1" si="8"/>
        <v>No</v>
      </c>
    </row>
    <row r="64" spans="1:16" x14ac:dyDescent="0.3">
      <c r="A64" s="24"/>
      <c r="B64" s="7" t="str">
        <v>Chandra Bhagi</v>
      </c>
      <c r="C64" s="16">
        <v>45908</v>
      </c>
      <c r="D64" s="7" t="str">
        <v>Birlasoft</v>
      </c>
      <c r="E64" s="17">
        <v>28800</v>
      </c>
      <c r="F64" s="12" t="str">
        <v>Pending</v>
      </c>
      <c r="G64" s="16" t="str">
        <v>NA</v>
      </c>
      <c r="H64" s="7" t="str">
        <v>Ankit Maurya</v>
      </c>
      <c r="I64" s="7" t="str">
        <v>Nida Khan</v>
      </c>
      <c r="J64" s="7" t="str">
        <v>Raunak Tripathi</v>
      </c>
      <c r="K64" s="7" t="str">
        <v>Raunak Tripathi</v>
      </c>
      <c r="L64" s="7">
        <f t="shared" ca="1" si="6"/>
        <v>144</v>
      </c>
      <c r="M64" s="7" t="str">
        <f>_xlfn.XLOOKUP($B64,'[1]Vantedge - dummy Placement data'!$E$2:$E$49,'[1]Vantedge - dummy Placement data'!$D$2:$D$49)</f>
        <v>Individual</v>
      </c>
      <c r="N64" s="7" cm="1">
        <f t="array" ref="N64">_xlfn.IFS($M64="Individual",1,$M64="Split",0.5,TRUE,0)</f>
        <v>1</v>
      </c>
      <c r="O64" s="7">
        <f t="shared" si="7"/>
        <v>28800</v>
      </c>
      <c r="P64" s="7" t="str">
        <f t="shared" ca="1" si="8"/>
        <v>Yes</v>
      </c>
    </row>
    <row r="65" spans="1:16" x14ac:dyDescent="0.3">
      <c r="A65" s="24"/>
      <c r="B65" s="7" t="str">
        <v>Minoji Thomas</v>
      </c>
      <c r="C65" s="16">
        <v>45910</v>
      </c>
      <c r="D65" s="7" t="str">
        <v>Infogain</v>
      </c>
      <c r="E65" s="17">
        <v>37500</v>
      </c>
      <c r="F65" s="12" t="str">
        <v>Pending</v>
      </c>
      <c r="G65" s="16" t="str">
        <v>NA</v>
      </c>
      <c r="H65" s="7" t="str">
        <v>Devansh Mishra</v>
      </c>
      <c r="I65" s="7" t="str">
        <v>Anam Hasan</v>
      </c>
      <c r="J65" s="7" t="str">
        <v>Raunak Tripathi</v>
      </c>
      <c r="K65" s="7" t="str">
        <v>Raunak Tripathi</v>
      </c>
      <c r="L65" s="7">
        <f t="shared" ca="1" si="6"/>
        <v>142</v>
      </c>
      <c r="M65" s="7" t="str">
        <f>_xlfn.XLOOKUP($B65,'[1]Vantedge - dummy Placement data'!$E$2:$E$49,'[1]Vantedge - dummy Placement data'!$D$2:$D$49)</f>
        <v>Individual</v>
      </c>
      <c r="N65" s="7" cm="1">
        <f t="array" ref="N65">_xlfn.IFS($M65="Individual",1,$M65="Split",0.5,TRUE,0)</f>
        <v>1</v>
      </c>
      <c r="O65" s="7">
        <f t="shared" si="7"/>
        <v>37500</v>
      </c>
      <c r="P65" s="7" t="str">
        <f t="shared" ca="1" si="8"/>
        <v>Yes</v>
      </c>
    </row>
    <row r="66" spans="1:16" x14ac:dyDescent="0.3">
      <c r="A66" s="24"/>
      <c r="B66" s="7" t="str">
        <v>John Thornhill Williams</v>
      </c>
      <c r="C66" s="16">
        <v>45960</v>
      </c>
      <c r="D66" s="7" t="str">
        <v>LTIMindtree</v>
      </c>
      <c r="E66" s="17">
        <v>28350</v>
      </c>
      <c r="F66" s="12" t="str">
        <v>Pending</v>
      </c>
      <c r="G66" s="16" t="str">
        <v>NA</v>
      </c>
      <c r="H66" s="7" t="str">
        <v>Ranjeet Kumar</v>
      </c>
      <c r="I66" s="7">
        <v>0</v>
      </c>
      <c r="J66" s="7" t="str">
        <v>Raunak Tripathi</v>
      </c>
      <c r="K66" s="7" t="str">
        <v>Raunak Tripathi</v>
      </c>
      <c r="L66" s="7">
        <f t="shared" ca="1" si="6"/>
        <v>92</v>
      </c>
      <c r="M66" s="7" t="str">
        <f>_xlfn.XLOOKUP($B66,'[1]Vantedge - dummy Placement data'!$E$2:$E$49,'[1]Vantedge - dummy Placement data'!$D$2:$D$49)</f>
        <v>Individual</v>
      </c>
      <c r="N66" s="7" cm="1">
        <f t="array" ref="N66">_xlfn.IFS($M66="Individual",1,$M66="Split",0.5,TRUE,0)</f>
        <v>1</v>
      </c>
      <c r="O66" s="7">
        <f t="shared" si="7"/>
        <v>28350</v>
      </c>
      <c r="P66" s="7" t="str">
        <f t="shared" ca="1" si="8"/>
        <v>Yes</v>
      </c>
    </row>
    <row r="67" spans="1:16" x14ac:dyDescent="0.3">
      <c r="A67" s="24"/>
      <c r="B67" s="7" t="str">
        <v>Mickael Mounien</v>
      </c>
      <c r="C67" s="16">
        <v>45936</v>
      </c>
      <c r="D67" s="7" t="str">
        <v>PocketFM</v>
      </c>
      <c r="E67" s="17">
        <v>3450</v>
      </c>
      <c r="F67" s="12" t="str">
        <v>Pending</v>
      </c>
      <c r="G67" s="16" t="str">
        <v>NA</v>
      </c>
      <c r="H67" s="7" t="str">
        <v>Prachi Pandey</v>
      </c>
      <c r="I67" s="7">
        <v>0</v>
      </c>
      <c r="J67" s="7" t="str">
        <v>Raunak Tripathi</v>
      </c>
      <c r="K67" s="7" t="str">
        <v>Raunak Tripathi</v>
      </c>
      <c r="L67" s="7">
        <f t="shared" ca="1" si="6"/>
        <v>116</v>
      </c>
      <c r="M67" s="7" t="str">
        <f>_xlfn.XLOOKUP($B67,'[1]Vantedge - dummy Placement data'!$E$2:$E$49,'[1]Vantedge - dummy Placement data'!$D$2:$D$49)</f>
        <v>Individual</v>
      </c>
      <c r="N67" s="7" cm="1">
        <f t="array" ref="N67">_xlfn.IFS($M67="Individual",1,$M67="Split",0.5,TRUE,0)</f>
        <v>1</v>
      </c>
      <c r="O67" s="7">
        <f t="shared" si="7"/>
        <v>3450</v>
      </c>
      <c r="P67" s="7" t="str">
        <f t="shared" ca="1" si="8"/>
        <v>Yes</v>
      </c>
    </row>
    <row r="68" spans="1:16" x14ac:dyDescent="0.3">
      <c r="A68" s="24"/>
      <c r="B68" s="7"/>
      <c r="C68" s="16"/>
      <c r="D68" s="7"/>
      <c r="E68" s="17"/>
      <c r="F68" s="12"/>
      <c r="G68" s="16"/>
      <c r="H68" s="7"/>
      <c r="I68" s="7"/>
      <c r="J68" s="7"/>
      <c r="K68" s="7"/>
      <c r="L68" s="7">
        <f t="shared" ca="1" si="6"/>
        <v>0</v>
      </c>
      <c r="M68" s="7"/>
      <c r="N68" s="7"/>
      <c r="O68" s="7"/>
      <c r="P68" s="7"/>
    </row>
    <row r="69" spans="1:16" x14ac:dyDescent="0.3">
      <c r="A69" s="24"/>
      <c r="B69" s="7"/>
      <c r="C69" s="16"/>
      <c r="D69" s="7"/>
      <c r="E69" s="17"/>
      <c r="F69" s="12"/>
      <c r="G69" s="16"/>
      <c r="H69" s="7"/>
      <c r="I69" s="7"/>
      <c r="J69" s="7"/>
      <c r="K69" s="7"/>
      <c r="L69" s="7">
        <f t="shared" ca="1" si="6"/>
        <v>0</v>
      </c>
      <c r="M69" s="7"/>
      <c r="N69" s="7"/>
      <c r="O69" s="7"/>
      <c r="P69" s="7"/>
    </row>
    <row r="70" spans="1:16" x14ac:dyDescent="0.3">
      <c r="A70" s="24"/>
      <c r="B70" s="7"/>
      <c r="C70" s="16"/>
      <c r="D70" s="7"/>
      <c r="E70" s="17"/>
      <c r="F70" s="12"/>
      <c r="G70" s="16"/>
      <c r="H70" s="7"/>
      <c r="I70" s="7"/>
      <c r="J70" s="7"/>
      <c r="K70" s="7"/>
      <c r="L70" s="7">
        <f t="shared" ca="1" si="6"/>
        <v>0</v>
      </c>
      <c r="M70" s="7"/>
      <c r="N70" s="7"/>
      <c r="O70" s="7"/>
      <c r="P70" s="7"/>
    </row>
    <row r="71" spans="1:16" x14ac:dyDescent="0.3">
      <c r="A71" s="25"/>
      <c r="B71" s="7"/>
      <c r="C71" s="16"/>
      <c r="D71" s="7"/>
      <c r="E71" s="17"/>
      <c r="F71" s="12"/>
      <c r="G71" s="16"/>
      <c r="H71" s="7"/>
      <c r="I71" s="7"/>
      <c r="J71" s="7"/>
      <c r="K71" s="7"/>
      <c r="L71" s="7">
        <f t="shared" ca="1" si="6"/>
        <v>0</v>
      </c>
      <c r="M71" s="7"/>
      <c r="N71" s="7"/>
      <c r="O71" s="7"/>
      <c r="P71" s="7"/>
    </row>
    <row r="74" spans="1:16" x14ac:dyDescent="0.3">
      <c r="A74" s="4" t="s">
        <v>1</v>
      </c>
      <c r="B74" s="5" t="s">
        <v>15</v>
      </c>
      <c r="C74" s="5" t="s">
        <v>3</v>
      </c>
      <c r="D74" s="5" t="s">
        <v>4</v>
      </c>
      <c r="E74" s="5" t="s">
        <v>5</v>
      </c>
      <c r="F74" s="5" t="s">
        <v>6</v>
      </c>
      <c r="G74" s="6" t="s">
        <v>7</v>
      </c>
      <c r="H74" s="5" t="s">
        <v>8</v>
      </c>
      <c r="I74" s="5" t="s">
        <v>32</v>
      </c>
      <c r="J74" s="5" t="s">
        <v>10</v>
      </c>
      <c r="K74" s="5" t="s">
        <v>11</v>
      </c>
    </row>
    <row r="75" spans="1:16" x14ac:dyDescent="0.3">
      <c r="A75" s="8" t="s">
        <v>13</v>
      </c>
      <c r="B75" s="9" t="s">
        <v>35</v>
      </c>
      <c r="C75" s="7" t="str">
        <f>_xlfn.XLOOKUP($B75,'[1]Data Validation (2)'!$B$3:$B$31,'[1]Data Validation (2)'!$C$3:$C$31)</f>
        <v>Anshul Kumar</v>
      </c>
      <c r="D75" s="7">
        <f>_xlfn.XLOOKUP($B75,'[1]Ach % - L2'!$A$3:$A$10,'[1]Ach % - L2'!$F$3:$F$10)</f>
        <v>300000</v>
      </c>
      <c r="E75" s="10">
        <f>_xlfn.XLOOKUP($B75,'[1]Ach % - L2'!$A$3:$A$10,'[1]Ach % - L2'!$H$3:$H$10)</f>
        <v>0.99533333333333329</v>
      </c>
      <c r="F75" s="11">
        <f>SUM(O77:O96)</f>
        <v>298600</v>
      </c>
      <c r="G75" s="11">
        <f ca="1">SUMIFS($O76:$O97,$P76:$P97,"yes",$F76:$F97,"Done")</f>
        <v>224700</v>
      </c>
      <c r="H75" s="12" cm="1">
        <f t="array" ref="H75">_xlfn.IFS($E75&lt;=1%,0%,$E75&lt;=50%,1.75%,$E75&lt;=70%,2.25%,$E75&lt;=85%,2.75%,$E75&gt;85%,4%)</f>
        <v>0.04</v>
      </c>
      <c r="I75" s="11">
        <f>F75*H75</f>
        <v>11944</v>
      </c>
      <c r="J75" s="11">
        <f>I75*80</f>
        <v>955520</v>
      </c>
      <c r="K75" s="11">
        <f ca="1">(G75*H75)*80</f>
        <v>719040</v>
      </c>
    </row>
    <row r="76" spans="1:16" x14ac:dyDescent="0.3">
      <c r="A76" s="13" t="s">
        <v>15</v>
      </c>
      <c r="B76" s="14" t="s">
        <v>16</v>
      </c>
      <c r="C76" s="14" t="s">
        <v>17</v>
      </c>
      <c r="D76" s="14" t="s">
        <v>18</v>
      </c>
      <c r="E76" s="14" t="s">
        <v>19</v>
      </c>
      <c r="F76" s="14" t="s">
        <v>20</v>
      </c>
      <c r="G76" s="14" t="s">
        <v>21</v>
      </c>
      <c r="H76" s="14" t="s">
        <v>22</v>
      </c>
      <c r="I76" s="14" t="s">
        <v>23</v>
      </c>
      <c r="J76" s="14" t="s">
        <v>24</v>
      </c>
      <c r="K76" s="14" t="s">
        <v>25</v>
      </c>
      <c r="L76" s="14" t="s">
        <v>26</v>
      </c>
      <c r="M76" s="14" t="s">
        <v>27</v>
      </c>
      <c r="N76" s="14" t="s">
        <v>28</v>
      </c>
      <c r="O76" s="14" t="s">
        <v>29</v>
      </c>
      <c r="P76" s="14" t="s">
        <v>30</v>
      </c>
    </row>
    <row r="77" spans="1:16" x14ac:dyDescent="0.3">
      <c r="A77" s="15" t="str">
        <f>B75</f>
        <v>Anshul Kumar</v>
      </c>
      <c r="B77" s="7" t="str" cm="1">
        <f t="array" ref="B77:K92">IFERROR(_xlfn.CHOOSECOLS(_xlfn._xlws.FILTER('[1]Vantedge - dummy Placement data'!E:AZ,(('[1]Vantedge - dummy Placement data'!F:F=$B75) + ('[1]Vantedge - dummy Placement data'!G:G=$B75)) &gt; 0),1,7,9,11,14,8,20,5,2,3),"")</f>
        <v>David Mussan-Levy</v>
      </c>
      <c r="C77" s="16">
        <v>45659</v>
      </c>
      <c r="D77" s="7" t="str">
        <v>Visionet</v>
      </c>
      <c r="E77" s="17">
        <v>30000</v>
      </c>
      <c r="F77" s="12" t="str">
        <v>Pending</v>
      </c>
      <c r="G77" s="16" t="str">
        <v>NA</v>
      </c>
      <c r="H77" s="7" t="str">
        <v>Anshul Kumar</v>
      </c>
      <c r="I77" s="7" t="str">
        <v>Priyansh Khare</v>
      </c>
      <c r="J77" s="7" t="str">
        <v>Raunak Tripathi</v>
      </c>
      <c r="K77" s="7" t="str">
        <v>Anshul Kumar</v>
      </c>
      <c r="L77" s="7">
        <f t="shared" ref="L77:L95" ca="1" si="9">IF(G77&lt;&gt;"NA", G77 - C77, TODAY() - C77)</f>
        <v>393</v>
      </c>
      <c r="M77" s="7" t="str">
        <f>_xlfn.XLOOKUP($B77,'[1]Vantedge - dummy Placement data'!$E$2:$E$49,'[1]Vantedge - dummy Placement data'!$D$2:$D$49)</f>
        <v>Split</v>
      </c>
      <c r="N77" s="7" cm="1">
        <f t="array" ref="N77">_xlfn.IFS($M77="Individual",1,$M77="Split",0.5,TRUE,0)</f>
        <v>0.5</v>
      </c>
      <c r="O77" s="7">
        <f t="shared" ref="O77:O92" si="10">E77*N77</f>
        <v>15000</v>
      </c>
      <c r="P77" s="7" t="str">
        <f t="shared" ref="P77:P92" ca="1" si="11">IF(L77&gt;=90,"Yes","No")</f>
        <v>Yes</v>
      </c>
    </row>
    <row r="78" spans="1:16" x14ac:dyDescent="0.3">
      <c r="A78" s="15"/>
      <c r="B78" s="7" t="str">
        <v>John Donaldson</v>
      </c>
      <c r="C78" s="16">
        <v>45712</v>
      </c>
      <c r="D78" s="7" t="str">
        <v>WNS</v>
      </c>
      <c r="E78" s="17">
        <v>41250</v>
      </c>
      <c r="F78" s="12" t="str">
        <v>Done</v>
      </c>
      <c r="G78" s="16" t="str">
        <v>NA</v>
      </c>
      <c r="H78" s="7" t="str">
        <v>Umar Mujahid Husain</v>
      </c>
      <c r="I78" s="7" t="str">
        <v>Anshul Kumar</v>
      </c>
      <c r="J78" s="7" t="str">
        <v>Anshul Kumar</v>
      </c>
      <c r="K78" s="7" t="str">
        <v>Umar Mujahid Husain</v>
      </c>
      <c r="L78" s="7">
        <f t="shared" ca="1" si="9"/>
        <v>340</v>
      </c>
      <c r="M78" s="7" t="s">
        <v>31</v>
      </c>
      <c r="N78" s="7" cm="1">
        <f t="array" ref="N78">_xlfn.IFS($M78="Individual",1,$M78="Split",0.5,TRUE,0)</f>
        <v>1</v>
      </c>
      <c r="O78" s="7">
        <f t="shared" si="10"/>
        <v>41250</v>
      </c>
      <c r="P78" s="7" t="str">
        <f t="shared" ca="1" si="11"/>
        <v>Yes</v>
      </c>
    </row>
    <row r="79" spans="1:16" x14ac:dyDescent="0.3">
      <c r="A79" s="15"/>
      <c r="B79" s="7" t="str">
        <v>Juan salazar</v>
      </c>
      <c r="C79" s="16">
        <v>45705</v>
      </c>
      <c r="D79" s="7" t="str">
        <v>Myridius</v>
      </c>
      <c r="E79" s="17">
        <v>27300</v>
      </c>
      <c r="F79" s="12" t="str">
        <v>Done</v>
      </c>
      <c r="G79" s="16" t="str">
        <v>NA</v>
      </c>
      <c r="H79" s="7" t="str">
        <v>Shreya Singh</v>
      </c>
      <c r="I79" s="7" t="str">
        <v>Tanya Mishra</v>
      </c>
      <c r="J79" s="7" t="str">
        <v>Anshul Kumar</v>
      </c>
      <c r="K79" s="7" t="str">
        <v>Anshul Kumar</v>
      </c>
      <c r="L79" s="7">
        <f t="shared" ca="1" si="9"/>
        <v>347</v>
      </c>
      <c r="M79" s="7" t="str">
        <f>_xlfn.XLOOKUP($B79,'[1]Vantedge - dummy Placement data'!$E$2:$E$49,'[1]Vantedge - dummy Placement data'!$D$2:$D$49)</f>
        <v>Individual</v>
      </c>
      <c r="N79" s="7" cm="1">
        <f t="array" ref="N79">_xlfn.IFS($M79="Individual",1,$M79="Split",0.5,TRUE,0)</f>
        <v>1</v>
      </c>
      <c r="O79" s="7">
        <f t="shared" si="10"/>
        <v>27300</v>
      </c>
      <c r="P79" s="7" t="str">
        <f t="shared" ca="1" si="11"/>
        <v>Yes</v>
      </c>
    </row>
    <row r="80" spans="1:16" x14ac:dyDescent="0.3">
      <c r="A80" s="15"/>
      <c r="B80" s="7" t="str">
        <v>Brandon Ross</v>
      </c>
      <c r="C80" s="16">
        <v>45733</v>
      </c>
      <c r="D80" s="7" t="str">
        <v>VXI</v>
      </c>
      <c r="E80" s="17">
        <v>20250</v>
      </c>
      <c r="F80" s="12" t="str">
        <v>Done</v>
      </c>
      <c r="G80" s="16" t="str">
        <v>NA</v>
      </c>
      <c r="H80" s="7" t="str">
        <v>Priyansh Khare</v>
      </c>
      <c r="I80" s="7">
        <v>0</v>
      </c>
      <c r="J80" s="7" t="str">
        <v>Anshul Kumar</v>
      </c>
      <c r="K80" s="7" t="str">
        <v>Anshul Kumar</v>
      </c>
      <c r="L80" s="7">
        <f t="shared" ca="1" si="9"/>
        <v>319</v>
      </c>
      <c r="M80" s="7" t="str">
        <f>_xlfn.XLOOKUP($B80,'[1]Vantedge - dummy Placement data'!$E$2:$E$49,'[1]Vantedge - dummy Placement data'!$D$2:$D$49)</f>
        <v>Individual</v>
      </c>
      <c r="N80" s="7" cm="1">
        <f t="array" ref="N80">_xlfn.IFS($M80="Individual",1,$M80="Split",0.5,TRUE,0)</f>
        <v>1</v>
      </c>
      <c r="O80" s="7">
        <f t="shared" si="10"/>
        <v>20250</v>
      </c>
      <c r="P80" s="7" t="str">
        <f t="shared" ca="1" si="11"/>
        <v>Yes</v>
      </c>
    </row>
    <row r="81" spans="1:16" x14ac:dyDescent="0.3">
      <c r="A81" s="15"/>
      <c r="B81" s="7" t="str">
        <v>David Jaime Illescas</v>
      </c>
      <c r="C81" s="16">
        <v>45740</v>
      </c>
      <c r="D81" s="7" t="str">
        <v>ACL Digital</v>
      </c>
      <c r="E81" s="17">
        <v>39600</v>
      </c>
      <c r="F81" s="12" t="str">
        <v>Done</v>
      </c>
      <c r="G81" s="16" t="str">
        <v>NA</v>
      </c>
      <c r="H81" s="7" t="str">
        <v>Anshul Kumar</v>
      </c>
      <c r="I81" s="7">
        <v>0</v>
      </c>
      <c r="J81" s="7" t="str">
        <v>Anshul Kumar</v>
      </c>
      <c r="K81" s="7" t="str">
        <v>Anshul Kumar</v>
      </c>
      <c r="L81" s="7">
        <f t="shared" ca="1" si="9"/>
        <v>312</v>
      </c>
      <c r="M81" s="7" t="str">
        <f>_xlfn.XLOOKUP($B81,'[1]Vantedge - dummy Placement data'!$E$2:$E$49,'[1]Vantedge - dummy Placement data'!$D$2:$D$49)</f>
        <v>Individual</v>
      </c>
      <c r="N81" s="7" cm="1">
        <f t="array" ref="N81">_xlfn.IFS($M81="Individual",1,$M81="Split",0.5,TRUE,0)</f>
        <v>1</v>
      </c>
      <c r="O81" s="7">
        <f t="shared" si="10"/>
        <v>39600</v>
      </c>
      <c r="P81" s="7" t="str">
        <f t="shared" ca="1" si="11"/>
        <v>Yes</v>
      </c>
    </row>
    <row r="82" spans="1:16" x14ac:dyDescent="0.3">
      <c r="A82" s="15"/>
      <c r="B82" s="7" t="str">
        <v>Alex Dee</v>
      </c>
      <c r="C82" s="16">
        <v>45747</v>
      </c>
      <c r="D82" s="7" t="str">
        <v>Waverly</v>
      </c>
      <c r="E82" s="17">
        <v>0</v>
      </c>
      <c r="F82" s="12" t="str">
        <v>No Bill No pay</v>
      </c>
      <c r="G82" s="16">
        <v>45762</v>
      </c>
      <c r="H82" s="7" t="str">
        <v>Devansh Mishra</v>
      </c>
      <c r="I82" s="7" t="str">
        <v>Nida Khan</v>
      </c>
      <c r="J82" s="7" t="str">
        <v>Anshul Kumar</v>
      </c>
      <c r="K82" s="7" t="str">
        <v>Raunak Tripathi</v>
      </c>
      <c r="L82" s="7">
        <f t="shared" ca="1" si="9"/>
        <v>15</v>
      </c>
      <c r="M82" s="7" t="str">
        <f>_xlfn.XLOOKUP($B82,'[1]Vantedge - dummy Placement data'!$E$2:$E$49,'[1]Vantedge - dummy Placement data'!$D$2:$D$49)</f>
        <v>Split</v>
      </c>
      <c r="N82" s="7" cm="1">
        <f t="array" ref="N82">_xlfn.IFS($M82="Individual",1,$M82="Split",0.5,TRUE,0)</f>
        <v>0.5</v>
      </c>
      <c r="O82" s="7">
        <f t="shared" si="10"/>
        <v>0</v>
      </c>
      <c r="P82" s="7" t="str">
        <f t="shared" ca="1" si="11"/>
        <v>No</v>
      </c>
    </row>
    <row r="83" spans="1:16" x14ac:dyDescent="0.3">
      <c r="A83" s="15"/>
      <c r="B83" s="7" t="str">
        <v>Donna Hulina</v>
      </c>
      <c r="C83" s="16">
        <v>45789</v>
      </c>
      <c r="D83" s="7" t="str">
        <v>Myridius</v>
      </c>
      <c r="E83" s="17">
        <v>21600</v>
      </c>
      <c r="F83" s="12" t="str">
        <v>Done</v>
      </c>
      <c r="G83" s="16" t="str">
        <v>NA</v>
      </c>
      <c r="H83" s="7" t="str">
        <v>Govind Srivastava</v>
      </c>
      <c r="I83" s="7">
        <v>0</v>
      </c>
      <c r="J83" s="7" t="str">
        <v>Anshul Kumar</v>
      </c>
      <c r="K83" s="7" t="str">
        <v>Mayank Saxena</v>
      </c>
      <c r="L83" s="7">
        <f t="shared" ca="1" si="9"/>
        <v>263</v>
      </c>
      <c r="M83" s="7" t="str">
        <f>_xlfn.XLOOKUP($B83,'[1]Vantedge - dummy Placement data'!$E$2:$E$49,'[1]Vantedge - dummy Placement data'!$D$2:$D$49)</f>
        <v>Split</v>
      </c>
      <c r="N83" s="7" cm="1">
        <f t="array" ref="N83">_xlfn.IFS($M83="Individual",1,$M83="Split",0.5,TRUE,0)</f>
        <v>0.5</v>
      </c>
      <c r="O83" s="7">
        <f t="shared" si="10"/>
        <v>10800</v>
      </c>
      <c r="P83" s="7" t="str">
        <f t="shared" ca="1" si="11"/>
        <v>Yes</v>
      </c>
    </row>
    <row r="84" spans="1:16" x14ac:dyDescent="0.3">
      <c r="A84" s="15"/>
      <c r="B84" s="7" t="str">
        <v>Shawn Elkon</v>
      </c>
      <c r="C84" s="16">
        <v>45782</v>
      </c>
      <c r="D84" s="7" t="str">
        <v>Tech Mahindra</v>
      </c>
      <c r="E84" s="17">
        <v>18326</v>
      </c>
      <c r="F84" s="12" t="str">
        <v>Done</v>
      </c>
      <c r="G84" s="16" t="str">
        <v>NA</v>
      </c>
      <c r="H84" s="7" t="str">
        <v>Priyansh Khare</v>
      </c>
      <c r="I84" s="7">
        <v>0</v>
      </c>
      <c r="J84" s="7" t="str">
        <v>Umar Mujahid Husain</v>
      </c>
      <c r="K84" s="7" t="str">
        <v>Anshul Kumar</v>
      </c>
      <c r="L84" s="7">
        <f t="shared" ca="1" si="9"/>
        <v>270</v>
      </c>
      <c r="M84" s="7"/>
      <c r="N84" s="7" cm="1">
        <f t="array" ref="N84">_xlfn.IFS($M84="Individual",1,$M84="Split",0.5,TRUE,0)</f>
        <v>0</v>
      </c>
      <c r="O84" s="7">
        <f t="shared" si="10"/>
        <v>0</v>
      </c>
      <c r="P84" s="7" t="str">
        <f t="shared" ca="1" si="11"/>
        <v>Yes</v>
      </c>
    </row>
    <row r="85" spans="1:16" x14ac:dyDescent="0.3">
      <c r="A85" s="15"/>
      <c r="B85" s="7" t="str">
        <v>Sandeep Padhye</v>
      </c>
      <c r="C85" s="16">
        <v>45859</v>
      </c>
      <c r="D85" s="7" t="str">
        <v>InfoBeans</v>
      </c>
      <c r="E85" s="17">
        <v>31500</v>
      </c>
      <c r="F85" s="12" t="str">
        <v>Done</v>
      </c>
      <c r="G85" s="16" t="str">
        <v>NA</v>
      </c>
      <c r="H85" s="7" t="str">
        <v>Syed Ahrar Abbas Zaidi</v>
      </c>
      <c r="I85" s="7" t="str">
        <v>Qausain Abbass</v>
      </c>
      <c r="J85" s="7" t="str">
        <v>Anshul Kumar</v>
      </c>
      <c r="K85" s="7" t="str">
        <v>Umar Mujahid Husain</v>
      </c>
      <c r="L85" s="7">
        <f t="shared" ca="1" si="9"/>
        <v>193</v>
      </c>
      <c r="M85" s="7" t="s">
        <v>31</v>
      </c>
      <c r="N85" s="7" cm="1">
        <f t="array" ref="N85">_xlfn.IFS($M85="Individual",1,$M85="Split",0.5,TRUE,0)</f>
        <v>1</v>
      </c>
      <c r="O85" s="7">
        <f t="shared" si="10"/>
        <v>31500</v>
      </c>
      <c r="P85" s="7" t="str">
        <f t="shared" ca="1" si="11"/>
        <v>Yes</v>
      </c>
    </row>
    <row r="86" spans="1:16" x14ac:dyDescent="0.3">
      <c r="A86" s="15"/>
      <c r="B86" s="7" t="str">
        <v>Devin Currens</v>
      </c>
      <c r="C86" s="16">
        <v>45887</v>
      </c>
      <c r="D86" s="7" t="str">
        <v>InfoBeans</v>
      </c>
      <c r="E86" s="17">
        <v>27000</v>
      </c>
      <c r="F86" s="12" t="str">
        <v>Done</v>
      </c>
      <c r="G86" s="16" t="str">
        <v>NA</v>
      </c>
      <c r="H86" s="7" t="str">
        <v>Syed Ahrar Abbas Zaidi</v>
      </c>
      <c r="I86" s="7" t="str">
        <v>Qausain Abbass</v>
      </c>
      <c r="J86" s="7" t="str">
        <v>Anshul Kumar</v>
      </c>
      <c r="K86" s="7" t="str">
        <v>Umar Mujahid Husain</v>
      </c>
      <c r="L86" s="7">
        <f t="shared" ca="1" si="9"/>
        <v>165</v>
      </c>
      <c r="M86" s="7" t="s">
        <v>31</v>
      </c>
      <c r="N86" s="7" cm="1">
        <f t="array" ref="N86">_xlfn.IFS($M86="Individual",1,$M86="Split",0.5,TRUE,0)</f>
        <v>1</v>
      </c>
      <c r="O86" s="7">
        <f t="shared" si="10"/>
        <v>27000</v>
      </c>
      <c r="P86" s="7" t="str">
        <f t="shared" ca="1" si="11"/>
        <v>Yes</v>
      </c>
    </row>
    <row r="87" spans="1:16" x14ac:dyDescent="0.3">
      <c r="A87" s="15"/>
      <c r="B87" s="7" t="str">
        <v>Brian Taylor</v>
      </c>
      <c r="C87" s="16">
        <v>45870</v>
      </c>
      <c r="D87" s="7" t="str">
        <v>FPT Software</v>
      </c>
      <c r="E87" s="17">
        <v>22750</v>
      </c>
      <c r="F87" s="12" t="str">
        <v>Pending</v>
      </c>
      <c r="G87" s="16" t="str">
        <v>NA</v>
      </c>
      <c r="H87" s="7" t="str">
        <v>Shreya Singh</v>
      </c>
      <c r="I87" s="7">
        <v>0</v>
      </c>
      <c r="J87" s="7" t="str">
        <v>Umar Mujahid Husain</v>
      </c>
      <c r="K87" s="7" t="str">
        <v>Anshul Kumar</v>
      </c>
      <c r="L87" s="7">
        <f t="shared" ca="1" si="9"/>
        <v>182</v>
      </c>
      <c r="M87" s="7"/>
      <c r="N87" s="7" cm="1">
        <f t="array" ref="N87">_xlfn.IFS($M87="Individual",1,$M87="Split",0.5,TRUE,0)</f>
        <v>0</v>
      </c>
      <c r="O87" s="7">
        <f t="shared" si="10"/>
        <v>0</v>
      </c>
      <c r="P87" s="7" t="str">
        <f t="shared" ca="1" si="11"/>
        <v>Yes</v>
      </c>
    </row>
    <row r="88" spans="1:16" x14ac:dyDescent="0.3">
      <c r="A88" s="15"/>
      <c r="B88" s="7" t="str">
        <v>Taylor Brandon Grace</v>
      </c>
      <c r="C88" s="16">
        <v>45894</v>
      </c>
      <c r="D88" s="7" t="str">
        <v>InfoBeans</v>
      </c>
      <c r="E88" s="17">
        <v>27000</v>
      </c>
      <c r="F88" s="12" t="str">
        <v>Done</v>
      </c>
      <c r="G88" s="16" t="str">
        <v>NA</v>
      </c>
      <c r="H88" s="7" t="str">
        <v>Syed Ahrar Abbas Zaidi</v>
      </c>
      <c r="I88" s="7" t="str">
        <v>Qausain Abbass</v>
      </c>
      <c r="J88" s="7" t="str">
        <v>Anshul Kumar</v>
      </c>
      <c r="K88" s="7" t="str">
        <v>Umar Mujahid Husain</v>
      </c>
      <c r="L88" s="7">
        <f t="shared" ca="1" si="9"/>
        <v>158</v>
      </c>
      <c r="M88" s="7" t="s">
        <v>31</v>
      </c>
      <c r="N88" s="7" cm="1">
        <f t="array" ref="N88">_xlfn.IFS($M88="Individual",1,$M88="Split",0.5,TRUE,0)</f>
        <v>1</v>
      </c>
      <c r="O88" s="7">
        <f t="shared" si="10"/>
        <v>27000</v>
      </c>
      <c r="P88" s="7" t="str">
        <f t="shared" ca="1" si="11"/>
        <v>Yes</v>
      </c>
    </row>
    <row r="89" spans="1:16" x14ac:dyDescent="0.3">
      <c r="A89" s="15"/>
      <c r="B89" s="7" t="str">
        <v>Amrita Singh</v>
      </c>
      <c r="C89" s="16">
        <v>45915</v>
      </c>
      <c r="D89" s="7" t="str">
        <v>InfoBeans</v>
      </c>
      <c r="E89" s="17">
        <v>0</v>
      </c>
      <c r="F89" s="12" t="str">
        <v>Pending</v>
      </c>
      <c r="G89" s="16" t="str">
        <v>NA</v>
      </c>
      <c r="H89" s="7" t="str">
        <v>Priyansh Khare</v>
      </c>
      <c r="I89" s="7">
        <v>0</v>
      </c>
      <c r="J89" s="7" t="str">
        <v>Anshul Kumar</v>
      </c>
      <c r="K89" s="7" t="str">
        <v>Anshul Kumar</v>
      </c>
      <c r="L89" s="7">
        <f t="shared" ca="1" si="9"/>
        <v>137</v>
      </c>
      <c r="M89" s="7" t="str">
        <f>_xlfn.XLOOKUP($B89,'[1]Vantedge - dummy Placement data'!$E$2:$E$49,'[1]Vantedge - dummy Placement data'!$D$2:$D$49)</f>
        <v>Individual</v>
      </c>
      <c r="N89" s="7" cm="1">
        <f t="array" ref="N89">_xlfn.IFS($M89="Individual",1,$M89="Split",0.5,TRUE,0)</f>
        <v>1</v>
      </c>
      <c r="O89" s="7">
        <f t="shared" si="10"/>
        <v>0</v>
      </c>
      <c r="P89" s="7" t="str">
        <f t="shared" ca="1" si="11"/>
        <v>Yes</v>
      </c>
    </row>
    <row r="90" spans="1:16" x14ac:dyDescent="0.3">
      <c r="A90" s="15"/>
      <c r="B90" s="7" t="str">
        <v>Sachin Ahuja</v>
      </c>
      <c r="C90" s="16">
        <v>45922</v>
      </c>
      <c r="D90" s="7" t="str">
        <v>LTTS</v>
      </c>
      <c r="E90" s="17">
        <v>26500</v>
      </c>
      <c r="F90" s="12" t="str">
        <v>Pending</v>
      </c>
      <c r="G90" s="16" t="str">
        <v>NA</v>
      </c>
      <c r="H90" s="7" t="str">
        <v>Anshul Kumar</v>
      </c>
      <c r="I90" s="7">
        <v>0</v>
      </c>
      <c r="J90" s="7" t="str">
        <v>Anshul Kumar</v>
      </c>
      <c r="K90" s="7" t="str">
        <v>Anshul Kumar</v>
      </c>
      <c r="L90" s="7">
        <f t="shared" ca="1" si="9"/>
        <v>130</v>
      </c>
      <c r="M90" s="7" t="str">
        <f>_xlfn.XLOOKUP($B90,'[1]Vantedge - dummy Placement data'!$E$2:$E$49,'[1]Vantedge - dummy Placement data'!$D$2:$D$49)</f>
        <v>Individual</v>
      </c>
      <c r="N90" s="7" cm="1">
        <f t="array" ref="N90">_xlfn.IFS($M90="Individual",1,$M90="Split",0.5,TRUE,0)</f>
        <v>1</v>
      </c>
      <c r="O90" s="7">
        <f t="shared" si="10"/>
        <v>26500</v>
      </c>
      <c r="P90" s="7" t="str">
        <f t="shared" ca="1" si="11"/>
        <v>Yes</v>
      </c>
    </row>
    <row r="91" spans="1:16" x14ac:dyDescent="0.3">
      <c r="A91" s="15"/>
      <c r="B91" s="7" t="str">
        <v>Ehab Abbas</v>
      </c>
      <c r="C91" s="16">
        <v>45929</v>
      </c>
      <c r="D91" s="7" t="str">
        <v>InfoBeans</v>
      </c>
      <c r="E91" s="17">
        <v>32400</v>
      </c>
      <c r="F91" s="12" t="str">
        <v>Pending</v>
      </c>
      <c r="G91" s="16" t="str">
        <v>NA</v>
      </c>
      <c r="H91" s="7" t="str">
        <v>Syed Ahrar Abbas Zaidi</v>
      </c>
      <c r="I91" s="7" t="str">
        <v>Qausain Abbass</v>
      </c>
      <c r="J91" s="7" t="str">
        <v>Anshul Kumar</v>
      </c>
      <c r="K91" s="7" t="str">
        <v>Umar Mujahid Husain</v>
      </c>
      <c r="L91" s="7">
        <f t="shared" ca="1" si="9"/>
        <v>123</v>
      </c>
      <c r="M91" s="7" t="s">
        <v>31</v>
      </c>
      <c r="N91" s="7" cm="1">
        <f t="array" ref="N91">_xlfn.IFS($M91="Individual",1,$M91="Split",0.5,TRUE,0)</f>
        <v>1</v>
      </c>
      <c r="O91" s="7">
        <f t="shared" si="10"/>
        <v>32400</v>
      </c>
      <c r="P91" s="7" t="str">
        <f t="shared" ca="1" si="11"/>
        <v>Yes</v>
      </c>
    </row>
    <row r="92" spans="1:16" x14ac:dyDescent="0.3">
      <c r="A92" s="15"/>
      <c r="B92" s="7" t="str">
        <v>Pallav Sharma</v>
      </c>
      <c r="C92" s="16">
        <v>45930</v>
      </c>
      <c r="D92" s="7" t="str">
        <v>BirlaSoft</v>
      </c>
      <c r="E92" s="17">
        <v>36000</v>
      </c>
      <c r="F92" s="12" t="str">
        <v>Pending</v>
      </c>
      <c r="G92" s="16" t="str">
        <v>NA</v>
      </c>
      <c r="H92" s="7" t="str">
        <v>Shreya Singh</v>
      </c>
      <c r="I92" s="7">
        <v>0</v>
      </c>
      <c r="J92" s="7" t="str">
        <v>Umar Mujahid Husain</v>
      </c>
      <c r="K92" s="7" t="str">
        <v>Anshul Kumar</v>
      </c>
      <c r="L92" s="7">
        <f t="shared" ca="1" si="9"/>
        <v>122</v>
      </c>
      <c r="M92" s="7">
        <v>0</v>
      </c>
      <c r="N92" s="7" cm="1">
        <f t="array" ref="N92">_xlfn.IFS($M92="Individual",1,$M92="Split",0.5,TRUE,0)</f>
        <v>0</v>
      </c>
      <c r="O92" s="7">
        <f t="shared" si="10"/>
        <v>0</v>
      </c>
      <c r="P92" s="7" t="str">
        <f t="shared" ca="1" si="11"/>
        <v>Yes</v>
      </c>
    </row>
    <row r="93" spans="1:16" x14ac:dyDescent="0.3">
      <c r="A93" s="15"/>
      <c r="B93" s="7"/>
      <c r="C93" s="16"/>
      <c r="D93" s="7"/>
      <c r="E93" s="17"/>
      <c r="F93" s="12"/>
      <c r="G93" s="16"/>
      <c r="H93" s="7"/>
      <c r="I93" s="7"/>
      <c r="J93" s="7"/>
      <c r="K93" s="7"/>
      <c r="L93" s="7">
        <f t="shared" ca="1" si="9"/>
        <v>0</v>
      </c>
      <c r="M93" s="7"/>
      <c r="N93" s="7"/>
      <c r="O93" s="7"/>
      <c r="P93" s="7"/>
    </row>
    <row r="94" spans="1:16" x14ac:dyDescent="0.3">
      <c r="A94" s="15"/>
      <c r="B94" s="7"/>
      <c r="C94" s="16"/>
      <c r="D94" s="7"/>
      <c r="E94" s="17"/>
      <c r="F94" s="12"/>
      <c r="G94" s="16"/>
      <c r="H94" s="7"/>
      <c r="I94" s="7"/>
      <c r="J94" s="7"/>
      <c r="K94" s="7"/>
      <c r="L94" s="7">
        <f t="shared" ca="1" si="9"/>
        <v>0</v>
      </c>
      <c r="M94" s="7"/>
      <c r="N94" s="7"/>
      <c r="O94" s="7"/>
      <c r="P94" s="7"/>
    </row>
    <row r="95" spans="1:16" x14ac:dyDescent="0.3">
      <c r="A95" s="15"/>
      <c r="B95" s="7"/>
      <c r="C95" s="7"/>
      <c r="D95" s="7"/>
      <c r="E95" s="7"/>
      <c r="F95" s="7"/>
      <c r="G95" s="7"/>
      <c r="H95" s="7"/>
      <c r="I95" s="7"/>
      <c r="J95" s="7"/>
      <c r="K95" s="7"/>
      <c r="L95" s="7">
        <f t="shared" ca="1" si="9"/>
        <v>0</v>
      </c>
      <c r="M95" s="7"/>
      <c r="N95" s="7"/>
      <c r="O95" s="7"/>
      <c r="P95" s="7"/>
    </row>
    <row r="96" spans="1:16" x14ac:dyDescent="0.3">
      <c r="A96" s="1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</sheetData>
  <mergeCells count="5">
    <mergeCell ref="A1:M1"/>
    <mergeCell ref="A6:A26"/>
    <mergeCell ref="A34:A49"/>
    <mergeCell ref="A55:A71"/>
    <mergeCell ref="A77:A96"/>
  </mergeCells>
  <conditionalFormatting sqref="F6:F28">
    <cfRule type="containsText" dxfId="47" priority="53" operator="containsText" text="No Bill No Pay">
      <formula>NOT(ISERROR(SEARCH("No Bill No Pay",F6)))</formula>
    </cfRule>
    <cfRule type="cellIs" priority="54" operator="equal">
      <formula>"No Bill No Pay"</formula>
    </cfRule>
    <cfRule type="containsText" dxfId="46" priority="55" operator="containsText" text="Pending">
      <formula>NOT(ISERROR(SEARCH("Pending",F6)))</formula>
    </cfRule>
    <cfRule type="containsText" dxfId="45" priority="56" operator="containsText" text="Done">
      <formula>NOT(ISERROR(SEARCH("Done",F6)))</formula>
    </cfRule>
  </conditionalFormatting>
  <conditionalFormatting sqref="F34:F42">
    <cfRule type="containsText" dxfId="44" priority="47" operator="containsText" text="No Bill No Pay">
      <formula>NOT(ISERROR(SEARCH("No Bill No Pay",F34)))</formula>
    </cfRule>
    <cfRule type="cellIs" priority="48" operator="equal">
      <formula>"No Bill No Pay"</formula>
    </cfRule>
    <cfRule type="containsText" dxfId="43" priority="49" operator="containsText" text="Pending">
      <formula>NOT(ISERROR(SEARCH("Pending",F34)))</formula>
    </cfRule>
    <cfRule type="containsText" dxfId="42" priority="50" operator="containsText" text="Done">
      <formula>NOT(ISERROR(SEARCH("Done",F34)))</formula>
    </cfRule>
  </conditionalFormatting>
  <conditionalFormatting sqref="F55:F71">
    <cfRule type="containsText" dxfId="41" priority="43" operator="containsText" text="No Bill No Pay">
      <formula>NOT(ISERROR(SEARCH("No Bill No Pay",F55)))</formula>
    </cfRule>
    <cfRule type="cellIs" priority="44" operator="equal">
      <formula>"No Bill No Pay"</formula>
    </cfRule>
    <cfRule type="containsText" dxfId="40" priority="45" operator="containsText" text="Pending">
      <formula>NOT(ISERROR(SEARCH("Pending",F55)))</formula>
    </cfRule>
    <cfRule type="containsText" dxfId="39" priority="46" operator="containsText" text="Done">
      <formula>NOT(ISERROR(SEARCH("Done",F55)))</formula>
    </cfRule>
  </conditionalFormatting>
  <conditionalFormatting sqref="F77:F94">
    <cfRule type="containsText" dxfId="38" priority="39" operator="containsText" text="No Bill No Pay">
      <formula>NOT(ISERROR(SEARCH("No Bill No Pay",F77)))</formula>
    </cfRule>
    <cfRule type="cellIs" priority="40" operator="equal">
      <formula>"No Bill No Pay"</formula>
    </cfRule>
    <cfRule type="containsText" dxfId="37" priority="41" operator="containsText" text="Pending">
      <formula>NOT(ISERROR(SEARCH("Pending",F77)))</formula>
    </cfRule>
    <cfRule type="containsText" dxfId="36" priority="42" operator="containsText" text="Done">
      <formula>NOT(ISERROR(SEARCH("Done",F77)))</formula>
    </cfRule>
  </conditionalFormatting>
  <conditionalFormatting sqref="F5:G5 F33:G33">
    <cfRule type="containsText" dxfId="35" priority="57" operator="containsText" text="No Bill No Pay">
      <formula>NOT(ISERROR(SEARCH("No Bill No Pay",F5)))</formula>
    </cfRule>
    <cfRule type="cellIs" priority="58" operator="equal">
      <formula>"No Bill No Pay"</formula>
    </cfRule>
    <cfRule type="containsText" dxfId="34" priority="59" operator="containsText" text="Pending">
      <formula>NOT(ISERROR(SEARCH("Pending",F5)))</formula>
    </cfRule>
  </conditionalFormatting>
  <conditionalFormatting sqref="F54:G54">
    <cfRule type="containsText" dxfId="33" priority="18" operator="containsText" text="No Bill No Pay">
      <formula>NOT(ISERROR(SEARCH("No Bill No Pay",F54)))</formula>
    </cfRule>
    <cfRule type="cellIs" priority="19" operator="equal">
      <formula>"No Bill No Pay"</formula>
    </cfRule>
    <cfRule type="containsText" dxfId="32" priority="20" operator="containsText" text="Pending">
      <formula>NOT(ISERROR(SEARCH("Pending",F54)))</formula>
    </cfRule>
  </conditionalFormatting>
  <conditionalFormatting sqref="F76:G76">
    <cfRule type="containsText" dxfId="31" priority="4" operator="containsText" text="No Bill No Pay">
      <formula>NOT(ISERROR(SEARCH("No Bill No Pay",F76)))</formula>
    </cfRule>
    <cfRule type="cellIs" priority="5" operator="equal">
      <formula>"No Bill No Pay"</formula>
    </cfRule>
    <cfRule type="containsText" dxfId="30" priority="6" operator="containsText" text="Pending">
      <formula>NOT(ISERROR(SEARCH("Pending",F76)))</formula>
    </cfRule>
  </conditionalFormatting>
  <conditionalFormatting sqref="I34:I48">
    <cfRule type="containsText" dxfId="29" priority="37" operator="containsText" text="No">
      <formula>NOT(ISERROR(SEARCH("No",I34)))</formula>
    </cfRule>
    <cfRule type="containsText" dxfId="28" priority="38" operator="containsText" text="Yes">
      <formula>NOT(ISERROR(SEARCH("Yes",I34)))</formula>
    </cfRule>
  </conditionalFormatting>
  <conditionalFormatting sqref="I55:I71">
    <cfRule type="containsText" dxfId="27" priority="35" operator="containsText" text="No">
      <formula>NOT(ISERROR(SEARCH("No",I55)))</formula>
    </cfRule>
    <cfRule type="containsText" dxfId="26" priority="36" operator="containsText" text="Yes">
      <formula>NOT(ISERROR(SEARCH("Yes",I55)))</formula>
    </cfRule>
  </conditionalFormatting>
  <conditionalFormatting sqref="I77:I94">
    <cfRule type="containsText" dxfId="25" priority="33" operator="containsText" text="No">
      <formula>NOT(ISERROR(SEARCH("No",I77)))</formula>
    </cfRule>
    <cfRule type="containsText" dxfId="24" priority="34" operator="containsText" text="Yes">
      <formula>NOT(ISERROR(SEARCH("Yes",I77)))</formula>
    </cfRule>
  </conditionalFormatting>
  <conditionalFormatting sqref="L5:P5">
    <cfRule type="containsText" dxfId="23" priority="28" operator="containsText" text="No Bill No Pay">
      <formula>NOT(ISERROR(SEARCH("No Bill No Pay",L5)))</formula>
    </cfRule>
    <cfRule type="cellIs" priority="29" operator="equal">
      <formula>"No Bill No Pay"</formula>
    </cfRule>
    <cfRule type="containsText" dxfId="22" priority="30" operator="containsText" text="Pending">
      <formula>NOT(ISERROR(SEARCH("Pending",L5)))</formula>
    </cfRule>
  </conditionalFormatting>
  <conditionalFormatting sqref="L33:P33">
    <cfRule type="containsText" dxfId="21" priority="21" operator="containsText" text="No Bill No Pay">
      <formula>NOT(ISERROR(SEARCH("No Bill No Pay",L33)))</formula>
    </cfRule>
    <cfRule type="cellIs" priority="22" operator="equal">
      <formula>"No Bill No Pay"</formula>
    </cfRule>
    <cfRule type="containsText" dxfId="20" priority="23" operator="containsText" text="Pending">
      <formula>NOT(ISERROR(SEARCH("Pending",L33)))</formula>
    </cfRule>
  </conditionalFormatting>
  <conditionalFormatting sqref="L54:P54">
    <cfRule type="containsText" dxfId="19" priority="15" operator="containsText" text="No Bill No Pay">
      <formula>NOT(ISERROR(SEARCH("No Bill No Pay",L54)))</formula>
    </cfRule>
    <cfRule type="cellIs" priority="16" operator="equal">
      <formula>"No Bill No Pay"</formula>
    </cfRule>
    <cfRule type="containsText" dxfId="18" priority="17" operator="containsText" text="Pending">
      <formula>NOT(ISERROR(SEARCH("Pending",L54)))</formula>
    </cfRule>
  </conditionalFormatting>
  <conditionalFormatting sqref="L76:P76">
    <cfRule type="containsText" dxfId="17" priority="1" operator="containsText" text="No Bill No Pay">
      <formula>NOT(ISERROR(SEARCH("No Bill No Pay",L76)))</formula>
    </cfRule>
    <cfRule type="cellIs" priority="2" operator="equal">
      <formula>"No Bill No Pay"</formula>
    </cfRule>
    <cfRule type="containsText" dxfId="16" priority="3" operator="containsText" text="Pending">
      <formula>NOT(ISERROR(SEARCH("Pending",L76)))</formula>
    </cfRule>
  </conditionalFormatting>
  <conditionalFormatting sqref="N6:N20 M21:M26 I27:I28">
    <cfRule type="containsText" dxfId="15" priority="51" operator="containsText" text="No">
      <formula>NOT(ISERROR(SEARCH("No",I6)))</formula>
    </cfRule>
    <cfRule type="containsText" dxfId="14" priority="52" operator="containsText" text="Yes">
      <formula>NOT(ISERROR(SEARCH("Yes",I6)))</formula>
    </cfRule>
  </conditionalFormatting>
  <conditionalFormatting sqref="N34:N49">
    <cfRule type="containsText" dxfId="13" priority="26" operator="containsText" text="No">
      <formula>NOT(ISERROR(SEARCH("No",N34)))</formula>
    </cfRule>
    <cfRule type="containsText" dxfId="12" priority="27" operator="containsText" text="Yes">
      <formula>NOT(ISERROR(SEARCH("Yes",N34)))</formula>
    </cfRule>
  </conditionalFormatting>
  <conditionalFormatting sqref="N55:N71">
    <cfRule type="containsText" dxfId="11" priority="13" operator="containsText" text="No">
      <formula>NOT(ISERROR(SEARCH("No",N55)))</formula>
    </cfRule>
    <cfRule type="containsText" dxfId="10" priority="14" operator="containsText" text="Yes">
      <formula>NOT(ISERROR(SEARCH("Yes",N55)))</formula>
    </cfRule>
  </conditionalFormatting>
  <conditionalFormatting sqref="N77:N95">
    <cfRule type="containsText" dxfId="9" priority="9" operator="containsText" text="No">
      <formula>NOT(ISERROR(SEARCH("No",N77)))</formula>
    </cfRule>
    <cfRule type="containsText" dxfId="8" priority="10" operator="containsText" text="Yes">
      <formula>NOT(ISERROR(SEARCH("Yes",N77)))</formula>
    </cfRule>
  </conditionalFormatting>
  <conditionalFormatting sqref="P6:P26">
    <cfRule type="containsText" dxfId="7" priority="31" operator="containsText" text="No">
      <formula>NOT(ISERROR(SEARCH("No",P6)))</formula>
    </cfRule>
    <cfRule type="containsText" dxfId="6" priority="32" operator="containsText" text="Yes">
      <formula>NOT(ISERROR(SEARCH("Yes",P6)))</formula>
    </cfRule>
  </conditionalFormatting>
  <conditionalFormatting sqref="P34:P49">
    <cfRule type="containsText" dxfId="5" priority="24" operator="containsText" text="No">
      <formula>NOT(ISERROR(SEARCH("No",P34)))</formula>
    </cfRule>
    <cfRule type="containsText" dxfId="4" priority="25" operator="containsText" text="Yes">
      <formula>NOT(ISERROR(SEARCH("Yes",P34)))</formula>
    </cfRule>
  </conditionalFormatting>
  <conditionalFormatting sqref="P55:P71">
    <cfRule type="containsText" dxfId="3" priority="11" operator="containsText" text="No">
      <formula>NOT(ISERROR(SEARCH("No",P55)))</formula>
    </cfRule>
    <cfRule type="containsText" dxfId="2" priority="12" operator="containsText" text="Yes">
      <formula>NOT(ISERROR(SEARCH("Yes",P55)))</formula>
    </cfRule>
  </conditionalFormatting>
  <conditionalFormatting sqref="P77:P95">
    <cfRule type="containsText" dxfId="1" priority="7" operator="containsText" text="No">
      <formula>NOT(ISERROR(SEARCH("No",P77)))</formula>
    </cfRule>
    <cfRule type="containsText" dxfId="0" priority="8" operator="containsText" text="Yes">
      <formula>NOT(ISERROR(SEARCH("Yes",P77)))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2026-01-30T06:05:56Z</dcterms:created>
  <dcterms:modified xsi:type="dcterms:W3CDTF">2026-01-30T06:06:38Z</dcterms:modified>
</cp:coreProperties>
</file>