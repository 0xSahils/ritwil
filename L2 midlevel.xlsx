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AF0B99E7-A618-4A64-A0C6-EFB3D2C1BD00}" xr6:coauthVersionLast="47" xr6:coauthVersionMax="47" xr10:uidLastSave="{00000000-0000-0000-0000-000000000000}"/>
  <bookViews>
    <workbookView xWindow="-108" yWindow="-108" windowWidth="23256" windowHeight="13176" xr2:uid="{795D2EF6-88E7-44B6-A104-EF0B680A3C8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 a="1"/>
  <c r="A60" i="1"/>
  <c r="G58" i="1"/>
  <c r="E58" i="1"/>
  <c r="F58" i="1" s="1"/>
  <c r="D58" i="1"/>
  <c r="C58" i="1"/>
  <c r="B34" i="1" a="1"/>
  <c r="O42" i="1" s="1"/>
  <c r="P42" i="1" s="1" a="1"/>
  <c r="P42" i="1" s="1"/>
  <c r="A34" i="1"/>
  <c r="G32" i="1"/>
  <c r="E32" i="1"/>
  <c r="F32" i="1" s="1"/>
  <c r="D32" i="1"/>
  <c r="C32" i="1"/>
  <c r="F29" i="1" a="1"/>
  <c r="F29" i="1" s="1"/>
  <c r="P18" i="1" a="1"/>
  <c r="P18" i="1" s="1"/>
  <c r="P17" i="1"/>
  <c r="P17" i="1" a="1"/>
  <c r="P16" i="1" a="1"/>
  <c r="P16" i="1" s="1"/>
  <c r="P15" i="1" a="1"/>
  <c r="P15" i="1" s="1"/>
  <c r="P14" i="1" a="1"/>
  <c r="P14" i="1" s="1"/>
  <c r="P13" i="1" a="1"/>
  <c r="P13" i="1" s="1"/>
  <c r="P12" i="1"/>
  <c r="P12" i="1" a="1"/>
  <c r="P11" i="1"/>
  <c r="P11" i="1" a="1"/>
  <c r="P10" i="1" a="1"/>
  <c r="P10" i="1" s="1"/>
  <c r="P9" i="1"/>
  <c r="P9" i="1" a="1"/>
  <c r="P7" i="1"/>
  <c r="P7" i="1" a="1"/>
  <c r="P6" i="1" a="1"/>
  <c r="P6" i="1" s="1"/>
  <c r="B6" i="1" a="1"/>
  <c r="Q17" i="1" s="1"/>
  <c r="A6" i="1"/>
  <c r="G4" i="1"/>
  <c r="E4" i="1"/>
  <c r="F4" i="1" s="1"/>
  <c r="D4" i="1"/>
  <c r="C4" i="1"/>
  <c r="O68" i="1" l="1"/>
  <c r="P68" i="1" s="1" a="1"/>
  <c r="P68" i="1" s="1"/>
  <c r="N63" i="1"/>
  <c r="N61" i="1"/>
  <c r="R61" i="1" s="1"/>
  <c r="N64" i="1"/>
  <c r="R64" i="1" s="1"/>
  <c r="N68" i="1"/>
  <c r="O34" i="1"/>
  <c r="P34" i="1" s="1" a="1"/>
  <c r="P34" i="1" s="1"/>
  <c r="O37" i="1"/>
  <c r="P37" i="1" s="1" a="1"/>
  <c r="P37" i="1" s="1"/>
  <c r="O41" i="1"/>
  <c r="P41" i="1" s="1" a="1"/>
  <c r="P41" i="1" s="1"/>
  <c r="R43" i="1"/>
  <c r="B60" i="1"/>
  <c r="O64" i="1"/>
  <c r="P64" i="1" s="1" a="1"/>
  <c r="P64" i="1" s="1"/>
  <c r="Q64" i="1" s="1"/>
  <c r="N15" i="1"/>
  <c r="Q16" i="1"/>
  <c r="N60" i="1"/>
  <c r="N67" i="1"/>
  <c r="Q69" i="1"/>
  <c r="N71" i="1"/>
  <c r="R71" i="1" s="1"/>
  <c r="N12" i="1"/>
  <c r="Q13" i="1"/>
  <c r="O40" i="1"/>
  <c r="P40" i="1" s="1" a="1"/>
  <c r="P40" i="1" s="1"/>
  <c r="Q40" i="1" s="1"/>
  <c r="O60" i="1"/>
  <c r="P60" i="1" s="1" a="1"/>
  <c r="P60" i="1" s="1"/>
  <c r="O63" i="1"/>
  <c r="P63" i="1" s="1" a="1"/>
  <c r="P63" i="1" s="1"/>
  <c r="O67" i="1"/>
  <c r="P67" i="1" s="1" a="1"/>
  <c r="P67" i="1" s="1"/>
  <c r="O71" i="1"/>
  <c r="P71" i="1" s="1" a="1"/>
  <c r="P71" i="1" s="1"/>
  <c r="Q71" i="1" s="1"/>
  <c r="B6" i="1"/>
  <c r="N11" i="1"/>
  <c r="R11" i="1" s="1"/>
  <c r="Q12" i="1"/>
  <c r="R15" i="1"/>
  <c r="N13" i="1"/>
  <c r="R13" i="1" s="1"/>
  <c r="Q14" i="1"/>
  <c r="R17" i="1"/>
  <c r="N34" i="1"/>
  <c r="N37" i="1"/>
  <c r="N41" i="1"/>
  <c r="Q62" i="1"/>
  <c r="N8" i="1"/>
  <c r="R8" i="1" s="1"/>
  <c r="N10" i="1"/>
  <c r="Q11" i="1"/>
  <c r="N18" i="1"/>
  <c r="R18" i="1" s="1"/>
  <c r="O61" i="1"/>
  <c r="P61" i="1" s="1" a="1"/>
  <c r="P61" i="1" s="1"/>
  <c r="Q61" i="1" s="1"/>
  <c r="R66" i="1"/>
  <c r="R70" i="1"/>
  <c r="Q6" i="1"/>
  <c r="Q8" i="1"/>
  <c r="N40" i="1"/>
  <c r="Q42" i="1"/>
  <c r="N7" i="1"/>
  <c r="R7" i="1" s="1"/>
  <c r="N9" i="1"/>
  <c r="R9" i="1" s="1"/>
  <c r="Q10" i="1"/>
  <c r="N17" i="1"/>
  <c r="Q18" i="1"/>
  <c r="Q34" i="1"/>
  <c r="N36" i="1"/>
  <c r="R36" i="1" s="1"/>
  <c r="Q37" i="1"/>
  <c r="N39" i="1"/>
  <c r="R39" i="1" s="1"/>
  <c r="Q41" i="1"/>
  <c r="N43" i="1"/>
  <c r="N66" i="1"/>
  <c r="Q68" i="1"/>
  <c r="N70" i="1"/>
  <c r="R10" i="1"/>
  <c r="N14" i="1"/>
  <c r="R14" i="1" s="1"/>
  <c r="Q15" i="1"/>
  <c r="R34" i="1"/>
  <c r="O36" i="1"/>
  <c r="R37" i="1"/>
  <c r="O39" i="1"/>
  <c r="P39" i="1" s="1" a="1"/>
  <c r="P39" i="1" s="1"/>
  <c r="Q39" i="1" s="1"/>
  <c r="R41" i="1"/>
  <c r="O43" i="1"/>
  <c r="P43" i="1" s="1" a="1"/>
  <c r="P43" i="1" s="1"/>
  <c r="Q43" i="1" s="1"/>
  <c r="O66" i="1"/>
  <c r="P66" i="1" s="1" a="1"/>
  <c r="P66" i="1" s="1"/>
  <c r="Q66" i="1" s="1"/>
  <c r="R68" i="1"/>
  <c r="O70" i="1"/>
  <c r="P70" i="1" s="1" a="1"/>
  <c r="P70" i="1" s="1"/>
  <c r="Q70" i="1" s="1"/>
  <c r="N35" i="1"/>
  <c r="R35" i="1" s="1"/>
  <c r="Q36" i="1"/>
  <c r="N38" i="1"/>
  <c r="R38" i="1" s="1"/>
  <c r="N42" i="1"/>
  <c r="R42" i="1" s="1"/>
  <c r="Q60" i="1"/>
  <c r="N62" i="1"/>
  <c r="R62" i="1" s="1"/>
  <c r="Q63" i="1"/>
  <c r="N65" i="1"/>
  <c r="R65" i="1" s="1"/>
  <c r="Q67" i="1"/>
  <c r="N69" i="1"/>
  <c r="R69" i="1" s="1"/>
  <c r="N6" i="1"/>
  <c r="R6" i="1" s="1"/>
  <c r="J4" i="1" s="1"/>
  <c r="Q7" i="1"/>
  <c r="Q9" i="1"/>
  <c r="R12" i="1"/>
  <c r="N16" i="1"/>
  <c r="R16" i="1" s="1"/>
  <c r="B34" i="1"/>
  <c r="O35" i="1"/>
  <c r="P35" i="1" s="1" a="1"/>
  <c r="P35" i="1" s="1"/>
  <c r="Q35" i="1" s="1"/>
  <c r="O38" i="1"/>
  <c r="P38" i="1" s="1" a="1"/>
  <c r="P38" i="1" s="1"/>
  <c r="Q38" i="1" s="1"/>
  <c r="R40" i="1"/>
  <c r="R60" i="1"/>
  <c r="O62" i="1"/>
  <c r="R63" i="1"/>
  <c r="O65" i="1"/>
  <c r="P65" i="1" s="1" a="1"/>
  <c r="P65" i="1" s="1"/>
  <c r="Q65" i="1" s="1"/>
  <c r="R67" i="1"/>
  <c r="O69" i="1"/>
  <c r="P69" i="1" s="1" a="1"/>
  <c r="P69" i="1" s="1"/>
  <c r="H4" i="1" l="1"/>
  <c r="I4" i="1" s="1"/>
  <c r="K4" i="1" s="1" a="1"/>
  <c r="K4" i="1" s="1"/>
  <c r="L4" i="1" s="1"/>
  <c r="M4" i="1" s="1"/>
  <c r="J58" i="1"/>
  <c r="H32" i="1"/>
  <c r="I32" i="1" s="1"/>
  <c r="K32" i="1" s="1" a="1"/>
  <c r="K32" i="1" s="1"/>
  <c r="J32" i="1"/>
  <c r="H58" i="1"/>
  <c r="I58" i="1" s="1"/>
  <c r="K58" i="1" s="1" a="1"/>
  <c r="K58" i="1" s="1"/>
  <c r="N32" i="1" l="1"/>
  <c r="L32" i="1"/>
  <c r="M32" i="1" s="1"/>
  <c r="N58" i="1"/>
  <c r="L58" i="1"/>
  <c r="M58" i="1" s="1"/>
  <c r="N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<sst xmlns="http://schemas.openxmlformats.org/spreadsheetml/2006/main" count="119" uniqueCount="41">
  <si>
    <t xml:space="preserve">L2 Level </t>
  </si>
  <si>
    <t>Team</t>
  </si>
  <si>
    <t>L2 Name</t>
  </si>
  <si>
    <t>Team Lead</t>
  </si>
  <si>
    <t>Yearly Placement Target</t>
  </si>
  <si>
    <t>Placement Target Achieved</t>
  </si>
  <si>
    <t>Placement Target Achieved %</t>
  </si>
  <si>
    <t>Yearly Revenue Target</t>
  </si>
  <si>
    <t>Revenue Generated</t>
  </si>
  <si>
    <t>Revenue Target Achieved %</t>
  </si>
  <si>
    <t>Revenue Billed</t>
  </si>
  <si>
    <t>Slab qualified</t>
  </si>
  <si>
    <t>Total Incentive in USD</t>
  </si>
  <si>
    <t>Total Incentive in INR</t>
  </si>
  <si>
    <t>Incentive Qualified</t>
  </si>
  <si>
    <t>Incentive paid till date</t>
  </si>
  <si>
    <t>Pioneer - Lucky Jain</t>
  </si>
  <si>
    <t>Lucky Jain</t>
  </si>
  <si>
    <t>Recruiter Name</t>
  </si>
  <si>
    <t>Candidate Name</t>
  </si>
  <si>
    <t>DOJ</t>
  </si>
  <si>
    <t>Client</t>
  </si>
  <si>
    <t>Total Revenue</t>
  </si>
  <si>
    <t>Billing status</t>
  </si>
  <si>
    <t>DOQ</t>
  </si>
  <si>
    <t>Placement Type</t>
  </si>
  <si>
    <t>Recruiter</t>
  </si>
  <si>
    <t>Account Manager</t>
  </si>
  <si>
    <t>TL</t>
  </si>
  <si>
    <t>Billed Hours</t>
  </si>
  <si>
    <t>Margin</t>
  </si>
  <si>
    <t>Days Completed</t>
  </si>
  <si>
    <t>Placement sharing with Lead</t>
  </si>
  <si>
    <t>Placement Credit</t>
  </si>
  <si>
    <t>Revenue as Lead</t>
  </si>
  <si>
    <t>Revenue Qualifier</t>
  </si>
  <si>
    <t>Individual</t>
  </si>
  <si>
    <t>Split</t>
  </si>
  <si>
    <t>CSK - Akbar I</t>
  </si>
  <si>
    <t>Akbar Ibrahim</t>
  </si>
  <si>
    <t>Vinoth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</si>
</sst>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1" applyNumberFormat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" fontId="0" fillId="0" borderId="9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9" fontId="7" fillId="0" borderId="9" xfId="0" applyNumberFormat="1" applyFont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" fontId="0" fillId="0" borderId="12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%20(5).xlsx" TargetMode="External"/><Relationship Id="rId1" Type="http://schemas.openxmlformats.org/officeDocument/2006/relationships/externalLinkPath" Target="Data%20Sheet%20Incentive%20Calculator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 - L4 Vantedge"/>
      <sheetName val="Calculator-L4 Midlevel (FTE+Con"/>
      <sheetName val="Calculator-L4 Midlevel"/>
      <sheetName val="Calculator-L4 Midlevel - Titans"/>
      <sheetName val="Calculator-L4 Midlevel - Trust"/>
      <sheetName val="Calculator - L2 Midlevel"/>
      <sheetName val="Calculator - L2 Vantedge"/>
      <sheetName val="L4 dummy data"/>
      <sheetName val="Vantedge - dummy Placement data"/>
      <sheetName val="Vantedge - dummy Placement"/>
      <sheetName val="Vantedge - dummy Slabs "/>
      <sheetName val="Ach % - L4"/>
      <sheetName val="Ach % - L2"/>
      <sheetName val="Data Validation (2)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</row>
        <row r="2">
          <cell r="A2" t="str">
            <v>S.no</v>
          </cell>
          <cell r="B2" t="str">
            <v>Team</v>
          </cell>
          <cell r="C2" t="str">
            <v>Placement Name</v>
          </cell>
          <cell r="D2" t="str">
            <v>Recruiter Name</v>
          </cell>
          <cell r="E2" t="str">
            <v>VB Code</v>
          </cell>
          <cell r="F2" t="str">
            <v>VB Account Manager</v>
          </cell>
          <cell r="G2" t="str">
            <v>TL Name</v>
          </cell>
          <cell r="H2" t="str">
            <v>Sub TL (if any)</v>
          </cell>
          <cell r="I2" t="str">
            <v>Individual or Split</v>
          </cell>
          <cell r="J2" t="str">
            <v>Placement Band or ID</v>
          </cell>
          <cell r="K2" t="str">
            <v>Location of Workplace</v>
          </cell>
          <cell r="L2" t="str">
            <v>Job Title/Position</v>
          </cell>
          <cell r="M2" t="str">
            <v>Month</v>
          </cell>
          <cell r="N2" t="str">
            <v>DOJ (MM/DD/YYYY)</v>
          </cell>
          <cell r="O2" t="str">
            <v>DOQ</v>
          </cell>
          <cell r="P2" t="str">
            <v>Client Name</v>
          </cell>
          <cell r="Q2" t="str">
            <v>Client Resource Manager</v>
          </cell>
          <cell r="R2" t="str">
            <v>Placement Type</v>
          </cell>
          <cell r="S2" t="str">
            <v>Contract Type(W2/1099/C2C/Referral)</v>
          </cell>
          <cell r="T2" t="str">
            <v>Pay currency</v>
          </cell>
          <cell r="U2" t="str">
            <v>Rate - Hourly/Daily/Weekly</v>
          </cell>
          <cell r="V2" t="str">
            <v>Client Bill rate</v>
          </cell>
          <cell r="W2" t="str">
            <v>Billable currency</v>
          </cell>
          <cell r="X2" t="str">
            <v>One time overhead</v>
          </cell>
          <cell r="Y2" t="str">
            <v>Hourly overhead</v>
          </cell>
          <cell r="Z2" t="str">
            <v>Total cost</v>
          </cell>
          <cell r="AA2" t="str">
            <v>Net Margin</v>
          </cell>
          <cell r="AB2" t="str">
            <v>Jan</v>
          </cell>
          <cell r="AC2" t="str">
            <v>Feb</v>
          </cell>
          <cell r="AD2" t="str">
            <v>Mar</v>
          </cell>
          <cell r="AE2" t="str">
            <v>Apr</v>
          </cell>
          <cell r="AF2" t="str">
            <v>May</v>
          </cell>
          <cell r="AG2" t="str">
            <v>Jun</v>
          </cell>
          <cell r="AH2" t="str">
            <v>Jul</v>
          </cell>
          <cell r="AI2" t="str">
            <v>Aug</v>
          </cell>
          <cell r="AJ2" t="str">
            <v>Sep</v>
          </cell>
          <cell r="AK2" t="str">
            <v>Oct</v>
          </cell>
          <cell r="AL2" t="str">
            <v>Nov</v>
          </cell>
          <cell r="AM2" t="str">
            <v>Dec</v>
          </cell>
          <cell r="AN2" t="str">
            <v>Billed Hours</v>
          </cell>
          <cell r="AO2" t="str">
            <v>Revenue Generated</v>
          </cell>
          <cell r="AP2" t="str">
            <v>Billing Status</v>
          </cell>
          <cell r="AQ2" t="str">
            <v>Billing Status</v>
          </cell>
        </row>
        <row r="3">
          <cell r="B3" t="str">
            <v>CSK</v>
          </cell>
          <cell r="C3" t="str">
            <v>Usha Keerthi Vaddem</v>
          </cell>
          <cell r="D3" t="str">
            <v>Dinesh Veluchamy</v>
          </cell>
          <cell r="E3" t="str">
            <v>VB1069</v>
          </cell>
          <cell r="F3" t="str">
            <v>Vinoth.L</v>
          </cell>
          <cell r="G3" t="str">
            <v>Vinoth.L</v>
          </cell>
          <cell r="H3" t="str">
            <v>-</v>
          </cell>
          <cell r="I3" t="str">
            <v>Individual</v>
          </cell>
          <cell r="J3" t="str">
            <v>-</v>
          </cell>
          <cell r="K3" t="str">
            <v>Remote</v>
          </cell>
          <cell r="L3" t="str">
            <v>ETL Tester</v>
          </cell>
          <cell r="M3" t="str">
            <v>Jan</v>
          </cell>
          <cell r="N3">
            <v>45663</v>
          </cell>
          <cell r="O3">
            <v>45680</v>
          </cell>
          <cell r="P3" t="str">
            <v>Citius Tech</v>
          </cell>
          <cell r="Q3" t="str">
            <v>Srinivasa</v>
          </cell>
          <cell r="R3" t="str">
            <v>Contract</v>
          </cell>
          <cell r="S3" t="str">
            <v>W2</v>
          </cell>
          <cell r="T3" t="str">
            <v>USD</v>
          </cell>
          <cell r="U3" t="str">
            <v>Hourly</v>
          </cell>
          <cell r="V3">
            <v>62</v>
          </cell>
          <cell r="W3" t="str">
            <v>USD</v>
          </cell>
          <cell r="X3" t="str">
            <v>-</v>
          </cell>
          <cell r="Y3" t="str">
            <v>-</v>
          </cell>
          <cell r="AA3">
            <v>7.95</v>
          </cell>
          <cell r="AN3">
            <v>0</v>
          </cell>
          <cell r="AO3">
            <v>0</v>
          </cell>
          <cell r="AP3" t="str">
            <v>No Bill No Pay</v>
          </cell>
          <cell r="AQ3" t="str">
            <v>No bill no pay</v>
          </cell>
        </row>
        <row r="4">
          <cell r="A4">
            <v>1</v>
          </cell>
          <cell r="B4" t="str">
            <v>CSK</v>
          </cell>
          <cell r="C4" t="str">
            <v>Amar Deep Gautam</v>
          </cell>
          <cell r="D4" t="str">
            <v>Tejaswini Kanaparthi</v>
          </cell>
          <cell r="E4" t="str">
            <v>VB1612</v>
          </cell>
          <cell r="F4" t="str">
            <v>Vinoth.L</v>
          </cell>
          <cell r="G4" t="str">
            <v>Vinoth.L</v>
          </cell>
          <cell r="H4" t="str">
            <v>-</v>
          </cell>
          <cell r="I4" t="str">
            <v>Individual</v>
          </cell>
          <cell r="J4" t="str">
            <v>-</v>
          </cell>
          <cell r="K4" t="str">
            <v>Remote</v>
          </cell>
          <cell r="L4" t="str">
            <v>Neo4j Consultant</v>
          </cell>
          <cell r="M4" t="str">
            <v>Feb</v>
          </cell>
          <cell r="N4">
            <v>45691</v>
          </cell>
          <cell r="O4">
            <v>45807</v>
          </cell>
          <cell r="P4" t="str">
            <v>Citius Tech</v>
          </cell>
          <cell r="Q4" t="str">
            <v>Srinivasa</v>
          </cell>
          <cell r="R4" t="str">
            <v>Contract</v>
          </cell>
          <cell r="S4" t="str">
            <v>W2</v>
          </cell>
          <cell r="T4" t="str">
            <v>USD</v>
          </cell>
          <cell r="U4" t="str">
            <v>Hourly</v>
          </cell>
          <cell r="V4">
            <v>75</v>
          </cell>
          <cell r="W4" t="str">
            <v>USD</v>
          </cell>
          <cell r="X4" t="str">
            <v>-</v>
          </cell>
          <cell r="Y4" t="str">
            <v>-</v>
          </cell>
          <cell r="AA4">
            <v>6</v>
          </cell>
          <cell r="AN4">
            <v>664</v>
          </cell>
          <cell r="AO4">
            <v>3984</v>
          </cell>
          <cell r="AP4" t="str">
            <v>Active</v>
          </cell>
          <cell r="AQ4" t="str">
            <v>May</v>
          </cell>
        </row>
        <row r="5">
          <cell r="A5">
            <v>1</v>
          </cell>
          <cell r="B5" t="str">
            <v>CSK</v>
          </cell>
          <cell r="C5" t="str">
            <v>Sekhar Pogula</v>
          </cell>
          <cell r="D5" t="str">
            <v>R Richardson Richardson</v>
          </cell>
          <cell r="E5" t="str">
            <v>VB1525</v>
          </cell>
          <cell r="F5" t="str">
            <v>Vinoth.L</v>
          </cell>
          <cell r="G5" t="str">
            <v>Vinoth.L</v>
          </cell>
          <cell r="H5" t="str">
            <v>-</v>
          </cell>
          <cell r="I5" t="str">
            <v>Individual</v>
          </cell>
          <cell r="J5" t="str">
            <v>-</v>
          </cell>
          <cell r="K5" t="str">
            <v>Remote</v>
          </cell>
          <cell r="L5" t="str">
            <v>Lead AI Ops Engineer</v>
          </cell>
          <cell r="M5" t="str">
            <v>Mar</v>
          </cell>
          <cell r="N5">
            <v>45729</v>
          </cell>
          <cell r="O5" t="str">
            <v>NA</v>
          </cell>
          <cell r="P5" t="str">
            <v>Apexon</v>
          </cell>
          <cell r="Q5" t="str">
            <v>Muthu</v>
          </cell>
          <cell r="R5" t="str">
            <v>Contract</v>
          </cell>
          <cell r="S5" t="str">
            <v>C2C</v>
          </cell>
          <cell r="T5" t="str">
            <v>USD</v>
          </cell>
          <cell r="U5" t="str">
            <v>Hourly</v>
          </cell>
          <cell r="V5">
            <v>115</v>
          </cell>
          <cell r="W5" t="str">
            <v>USD</v>
          </cell>
          <cell r="X5" t="str">
            <v>-</v>
          </cell>
          <cell r="Y5" t="str">
            <v>-</v>
          </cell>
          <cell r="AA5">
            <v>5</v>
          </cell>
          <cell r="AN5">
            <v>824</v>
          </cell>
          <cell r="AO5">
            <v>4120</v>
          </cell>
          <cell r="AP5" t="str">
            <v>Active</v>
          </cell>
          <cell r="AQ5" t="str">
            <v>Sep</v>
          </cell>
        </row>
        <row r="6">
          <cell r="A6">
            <v>1</v>
          </cell>
          <cell r="B6" t="str">
            <v>CSK</v>
          </cell>
          <cell r="C6" t="str">
            <v>Hithaishi Ramakrishna</v>
          </cell>
          <cell r="D6" t="str">
            <v>Pass thru</v>
          </cell>
          <cell r="E6" t="str">
            <v>-</v>
          </cell>
          <cell r="F6" t="str">
            <v>Vinoth.L</v>
          </cell>
          <cell r="G6" t="str">
            <v>Vinoth.L</v>
          </cell>
          <cell r="H6" t="str">
            <v>-</v>
          </cell>
          <cell r="I6" t="str">
            <v>Pass thru</v>
          </cell>
          <cell r="J6" t="str">
            <v>-</v>
          </cell>
          <cell r="K6" t="str">
            <v>Remote</v>
          </cell>
          <cell r="L6" t="str">
            <v>Java Developer</v>
          </cell>
          <cell r="M6" t="str">
            <v>Mar</v>
          </cell>
          <cell r="N6">
            <v>45733</v>
          </cell>
          <cell r="O6" t="str">
            <v>NA</v>
          </cell>
          <cell r="P6" t="str">
            <v>Citius Tech</v>
          </cell>
          <cell r="Q6" t="str">
            <v>Srinivasa</v>
          </cell>
          <cell r="R6" t="str">
            <v>Contract</v>
          </cell>
          <cell r="S6" t="str">
            <v>C2C</v>
          </cell>
          <cell r="T6" t="str">
            <v>USD</v>
          </cell>
          <cell r="U6" t="str">
            <v>Hourly</v>
          </cell>
          <cell r="V6">
            <v>57</v>
          </cell>
          <cell r="W6" t="str">
            <v>USD</v>
          </cell>
          <cell r="X6" t="str">
            <v>-</v>
          </cell>
          <cell r="Y6" t="str">
            <v>-</v>
          </cell>
          <cell r="AA6">
            <v>2</v>
          </cell>
          <cell r="AN6">
            <v>1012</v>
          </cell>
          <cell r="AO6">
            <v>2024</v>
          </cell>
          <cell r="AP6" t="str">
            <v>Active</v>
          </cell>
          <cell r="AQ6" t="str">
            <v>Sep</v>
          </cell>
        </row>
        <row r="7">
          <cell r="B7" t="str">
            <v>CSK</v>
          </cell>
          <cell r="C7" t="str">
            <v>Shanmukhananda Reddy Mutyala</v>
          </cell>
          <cell r="D7" t="str">
            <v>Dinesh Veluchamy</v>
          </cell>
          <cell r="E7" t="str">
            <v>VB1069</v>
          </cell>
          <cell r="F7" t="str">
            <v>Vinoth.L</v>
          </cell>
          <cell r="G7" t="str">
            <v>Vinoth.L</v>
          </cell>
          <cell r="H7" t="str">
            <v>-</v>
          </cell>
          <cell r="I7" t="str">
            <v>Individual</v>
          </cell>
          <cell r="J7" t="str">
            <v>-</v>
          </cell>
          <cell r="K7" t="str">
            <v>Remote</v>
          </cell>
          <cell r="L7" t="str">
            <v>Data Engineer</v>
          </cell>
          <cell r="M7" t="str">
            <v>Mar</v>
          </cell>
          <cell r="N7">
            <v>45719</v>
          </cell>
          <cell r="O7">
            <v>45775</v>
          </cell>
          <cell r="P7" t="str">
            <v>Citius Tech</v>
          </cell>
          <cell r="Q7" t="str">
            <v>Srinivasa</v>
          </cell>
          <cell r="R7" t="str">
            <v>Contract</v>
          </cell>
          <cell r="S7" t="str">
            <v>C2C</v>
          </cell>
          <cell r="T7" t="str">
            <v>USD</v>
          </cell>
          <cell r="U7" t="str">
            <v>Hourly</v>
          </cell>
          <cell r="V7">
            <v>68</v>
          </cell>
          <cell r="W7" t="str">
            <v>USD</v>
          </cell>
          <cell r="X7" t="str">
            <v>-</v>
          </cell>
          <cell r="Y7" t="str">
            <v>-</v>
          </cell>
          <cell r="AA7">
            <v>4</v>
          </cell>
          <cell r="AN7">
            <v>12</v>
          </cell>
          <cell r="AO7">
            <v>48</v>
          </cell>
          <cell r="AP7" t="str">
            <v>Quit</v>
          </cell>
          <cell r="AQ7">
            <v>45775</v>
          </cell>
        </row>
        <row r="8">
          <cell r="A8">
            <v>1</v>
          </cell>
          <cell r="B8" t="str">
            <v>Mavericks/CSK</v>
          </cell>
          <cell r="C8" t="str">
            <v>Rosa Itzel Ortiz Quezada</v>
          </cell>
          <cell r="D8" t="str">
            <v>Himanshu Gupta Mavericks</v>
          </cell>
          <cell r="E8" t="str">
            <v>VB1466</v>
          </cell>
          <cell r="F8" t="str">
            <v>Akbar Ibrahim</v>
          </cell>
          <cell r="G8" t="str">
            <v>Rohit Gupta</v>
          </cell>
          <cell r="H8" t="str">
            <v>-</v>
          </cell>
          <cell r="I8" t="str">
            <v>Split</v>
          </cell>
          <cell r="J8" t="str">
            <v>-</v>
          </cell>
          <cell r="K8" t="str">
            <v>San Diego, CA</v>
          </cell>
          <cell r="L8" t="str">
            <v>Computer Systems Analyst</v>
          </cell>
          <cell r="M8" t="str">
            <v>Mar</v>
          </cell>
          <cell r="N8">
            <v>45747</v>
          </cell>
          <cell r="O8" t="str">
            <v>NA</v>
          </cell>
          <cell r="P8" t="str">
            <v>Cigniti</v>
          </cell>
          <cell r="Q8" t="str">
            <v>Raghav Soleti</v>
          </cell>
          <cell r="R8" t="str">
            <v>Contract</v>
          </cell>
          <cell r="S8" t="str">
            <v>W2</v>
          </cell>
          <cell r="T8" t="str">
            <v>USD</v>
          </cell>
          <cell r="U8" t="str">
            <v>Hourly</v>
          </cell>
          <cell r="V8">
            <v>46</v>
          </cell>
          <cell r="W8" t="str">
            <v>USD</v>
          </cell>
          <cell r="X8" t="str">
            <v>-</v>
          </cell>
          <cell r="Y8" t="str">
            <v>-</v>
          </cell>
          <cell r="AA8">
            <v>8.0500000000000007</v>
          </cell>
          <cell r="AN8">
            <v>1032</v>
          </cell>
          <cell r="AO8">
            <v>8307.6</v>
          </cell>
          <cell r="AP8" t="str">
            <v>Active</v>
          </cell>
          <cell r="AQ8" t="str">
            <v>Sep</v>
          </cell>
        </row>
        <row r="9">
          <cell r="A9">
            <v>1</v>
          </cell>
          <cell r="B9" t="str">
            <v>CSK</v>
          </cell>
          <cell r="C9" t="str">
            <v>Robert Feldman</v>
          </cell>
          <cell r="D9" t="str">
            <v>Dinesh Veluchamy</v>
          </cell>
          <cell r="E9" t="str">
            <v>VB1069</v>
          </cell>
          <cell r="F9" t="str">
            <v>Vinoth.L</v>
          </cell>
          <cell r="G9" t="str">
            <v>Vinoth.L</v>
          </cell>
          <cell r="H9" t="str">
            <v>-</v>
          </cell>
          <cell r="I9" t="str">
            <v>Individual</v>
          </cell>
          <cell r="J9" t="str">
            <v>-</v>
          </cell>
          <cell r="K9" t="str">
            <v>Mountain View, CA</v>
          </cell>
          <cell r="L9" t="str">
            <v>Hardware Debug Engineer</v>
          </cell>
          <cell r="M9" t="str">
            <v>Apr</v>
          </cell>
          <cell r="N9">
            <v>45764</v>
          </cell>
          <cell r="O9" t="str">
            <v>NA</v>
          </cell>
          <cell r="P9" t="str">
            <v>LTI Mindtree</v>
          </cell>
          <cell r="Q9" t="str">
            <v>Saurabh</v>
          </cell>
          <cell r="R9" t="str">
            <v>Contract</v>
          </cell>
          <cell r="S9" t="str">
            <v>W2</v>
          </cell>
          <cell r="T9" t="str">
            <v>USD</v>
          </cell>
          <cell r="U9" t="str">
            <v>Hourly</v>
          </cell>
          <cell r="V9">
            <v>62</v>
          </cell>
          <cell r="W9" t="str">
            <v>USD</v>
          </cell>
          <cell r="X9" t="str">
            <v>-</v>
          </cell>
          <cell r="Y9" t="str">
            <v>-</v>
          </cell>
          <cell r="AA9">
            <v>5.65</v>
          </cell>
          <cell r="AN9">
            <v>979</v>
          </cell>
          <cell r="AO9">
            <v>5531.35</v>
          </cell>
          <cell r="AP9" t="str">
            <v>Active</v>
          </cell>
          <cell r="AQ9" t="str">
            <v>Sep</v>
          </cell>
        </row>
        <row r="10">
          <cell r="A10">
            <v>1</v>
          </cell>
          <cell r="B10" t="str">
            <v>CSK</v>
          </cell>
          <cell r="C10" t="str">
            <v>Rajeshkannan Mohan</v>
          </cell>
          <cell r="D10" t="str">
            <v>J Gayathri</v>
          </cell>
          <cell r="E10" t="str">
            <v>VB1298</v>
          </cell>
          <cell r="F10" t="str">
            <v>Vinoth.L</v>
          </cell>
          <cell r="G10" t="str">
            <v>Vinoth.L</v>
          </cell>
          <cell r="H10" t="str">
            <v>-</v>
          </cell>
          <cell r="I10" t="str">
            <v>Individual</v>
          </cell>
          <cell r="J10" t="str">
            <v>-</v>
          </cell>
          <cell r="K10" t="str">
            <v>Remote</v>
          </cell>
          <cell r="L10" t="str">
            <v>Mainframe Developer</v>
          </cell>
          <cell r="M10" t="str">
            <v>Apr</v>
          </cell>
          <cell r="N10">
            <v>45765</v>
          </cell>
          <cell r="O10" t="str">
            <v>NA</v>
          </cell>
          <cell r="P10" t="str">
            <v>Citius Tech</v>
          </cell>
          <cell r="Q10" t="str">
            <v>Pam</v>
          </cell>
          <cell r="R10" t="str">
            <v>Contract</v>
          </cell>
          <cell r="S10" t="str">
            <v>C2C</v>
          </cell>
          <cell r="T10" t="str">
            <v>USD</v>
          </cell>
          <cell r="U10" t="str">
            <v>Hourly</v>
          </cell>
          <cell r="V10">
            <v>73</v>
          </cell>
          <cell r="W10" t="str">
            <v>USD</v>
          </cell>
          <cell r="X10" t="str">
            <v>-</v>
          </cell>
          <cell r="Y10" t="str">
            <v>-</v>
          </cell>
          <cell r="AA10">
            <v>8</v>
          </cell>
          <cell r="AN10">
            <v>912</v>
          </cell>
          <cell r="AO10">
            <v>7296</v>
          </cell>
          <cell r="AP10" t="str">
            <v>Active</v>
          </cell>
          <cell r="AQ10" t="str">
            <v>Sep</v>
          </cell>
        </row>
        <row r="11">
          <cell r="A11">
            <v>1</v>
          </cell>
          <cell r="B11" t="str">
            <v>CSK</v>
          </cell>
          <cell r="C11" t="str">
            <v xml:space="preserve"> Bharathi Kota</v>
          </cell>
          <cell r="D11" t="str">
            <v>R Richardson Richardson</v>
          </cell>
          <cell r="E11" t="str">
            <v>VB1525</v>
          </cell>
          <cell r="F11" t="str">
            <v>Vinoth.L</v>
          </cell>
          <cell r="G11" t="str">
            <v>Vinoth.L</v>
          </cell>
          <cell r="H11" t="str">
            <v>-</v>
          </cell>
          <cell r="I11" t="str">
            <v>Individual</v>
          </cell>
          <cell r="J11" t="str">
            <v>-</v>
          </cell>
          <cell r="K11" t="str">
            <v>NYC , NY</v>
          </cell>
          <cell r="L11" t="str">
            <v>Devops Engineer</v>
          </cell>
          <cell r="M11" t="str">
            <v>Apr</v>
          </cell>
          <cell r="N11">
            <v>45768</v>
          </cell>
          <cell r="O11" t="str">
            <v>NA</v>
          </cell>
          <cell r="P11" t="str">
            <v>Apexon</v>
          </cell>
          <cell r="Q11" t="str">
            <v>Muthu</v>
          </cell>
          <cell r="R11" t="str">
            <v>Contract</v>
          </cell>
          <cell r="S11" t="str">
            <v>C2C</v>
          </cell>
          <cell r="T11" t="str">
            <v>USD</v>
          </cell>
          <cell r="U11" t="str">
            <v>Hourly</v>
          </cell>
          <cell r="V11">
            <v>72</v>
          </cell>
          <cell r="W11" t="str">
            <v>USD</v>
          </cell>
          <cell r="X11" t="str">
            <v>-</v>
          </cell>
          <cell r="Y11" t="str">
            <v>-</v>
          </cell>
          <cell r="AA11">
            <v>6</v>
          </cell>
          <cell r="AN11">
            <v>904</v>
          </cell>
          <cell r="AO11">
            <v>5424</v>
          </cell>
          <cell r="AP11" t="str">
            <v>Active</v>
          </cell>
          <cell r="AQ11" t="str">
            <v>Sep</v>
          </cell>
        </row>
        <row r="12">
          <cell r="A12">
            <v>1</v>
          </cell>
          <cell r="B12" t="str">
            <v>CSK</v>
          </cell>
          <cell r="C12" t="str">
            <v>Bhargava Kommineni</v>
          </cell>
          <cell r="D12" t="str">
            <v>Pass thru</v>
          </cell>
          <cell r="E12" t="str">
            <v>-</v>
          </cell>
          <cell r="F12" t="str">
            <v>Vinoth.L</v>
          </cell>
          <cell r="G12" t="str">
            <v>Vinoth.L</v>
          </cell>
          <cell r="H12" t="str">
            <v>-</v>
          </cell>
          <cell r="I12" t="str">
            <v>Pass thru</v>
          </cell>
          <cell r="J12" t="str">
            <v>-</v>
          </cell>
          <cell r="K12" t="str">
            <v>Remote</v>
          </cell>
          <cell r="L12" t="str">
            <v>EDI Developer</v>
          </cell>
          <cell r="M12" t="str">
            <v>Apr</v>
          </cell>
          <cell r="N12">
            <v>45768</v>
          </cell>
          <cell r="O12" t="str">
            <v>NA</v>
          </cell>
          <cell r="P12" t="str">
            <v>Citius Tech</v>
          </cell>
          <cell r="Q12" t="str">
            <v>Pam</v>
          </cell>
          <cell r="R12" t="str">
            <v>Contract</v>
          </cell>
          <cell r="S12" t="str">
            <v>C2C</v>
          </cell>
          <cell r="T12" t="str">
            <v>USD</v>
          </cell>
          <cell r="U12" t="str">
            <v>Hourly</v>
          </cell>
          <cell r="V12">
            <v>82</v>
          </cell>
          <cell r="W12" t="str">
            <v>USD</v>
          </cell>
          <cell r="X12" t="str">
            <v>-</v>
          </cell>
          <cell r="Y12" t="str">
            <v>-</v>
          </cell>
          <cell r="AA12">
            <v>2</v>
          </cell>
          <cell r="AN12">
            <v>264</v>
          </cell>
          <cell r="AO12">
            <v>528</v>
          </cell>
          <cell r="AP12" t="str">
            <v>Active</v>
          </cell>
          <cell r="AQ12" t="str">
            <v>Jun</v>
          </cell>
        </row>
        <row r="13">
          <cell r="A13">
            <v>1</v>
          </cell>
          <cell r="B13" t="str">
            <v>CSK</v>
          </cell>
          <cell r="C13" t="str">
            <v>Aditya Madala</v>
          </cell>
          <cell r="D13" t="str">
            <v>Dinesh Veluchamy</v>
          </cell>
          <cell r="E13" t="str">
            <v>VB1069</v>
          </cell>
          <cell r="F13" t="str">
            <v>Vinoth.L</v>
          </cell>
          <cell r="G13" t="str">
            <v>Vinoth.L</v>
          </cell>
          <cell r="H13" t="str">
            <v>-</v>
          </cell>
          <cell r="I13" t="str">
            <v>Individual</v>
          </cell>
          <cell r="J13" t="str">
            <v>-</v>
          </cell>
          <cell r="K13" t="str">
            <v>Remote</v>
          </cell>
          <cell r="L13" t="str">
            <v>Data Engineer</v>
          </cell>
          <cell r="M13" t="str">
            <v>Apr</v>
          </cell>
          <cell r="N13">
            <v>45777</v>
          </cell>
          <cell r="O13" t="str">
            <v>NA</v>
          </cell>
          <cell r="P13" t="str">
            <v>Citius Tech</v>
          </cell>
          <cell r="Q13" t="str">
            <v>Srinivasa</v>
          </cell>
          <cell r="R13" t="str">
            <v>Contract</v>
          </cell>
          <cell r="S13" t="str">
            <v>C2C</v>
          </cell>
          <cell r="T13" t="str">
            <v>USD</v>
          </cell>
          <cell r="U13" t="str">
            <v>Hourly</v>
          </cell>
          <cell r="V13">
            <v>66</v>
          </cell>
          <cell r="W13" t="str">
            <v>USD</v>
          </cell>
          <cell r="X13" t="str">
            <v>-</v>
          </cell>
          <cell r="Y13" t="str">
            <v>-</v>
          </cell>
          <cell r="AA13">
            <v>2</v>
          </cell>
          <cell r="AN13">
            <v>848</v>
          </cell>
          <cell r="AO13">
            <v>1696</v>
          </cell>
          <cell r="AP13" t="str">
            <v>Active</v>
          </cell>
          <cell r="AQ13" t="str">
            <v>Sep</v>
          </cell>
        </row>
        <row r="14">
          <cell r="A14">
            <v>1</v>
          </cell>
          <cell r="B14" t="str">
            <v>Pioneer</v>
          </cell>
          <cell r="C14" t="str">
            <v xml:space="preserve">Srinath Rayadurg Kristappa </v>
          </cell>
          <cell r="D14" t="str">
            <v>Ansh Singh Rathore</v>
          </cell>
          <cell r="E14" t="str">
            <v>VB2046</v>
          </cell>
          <cell r="F14" t="str">
            <v>Vinay Kumar Pandey</v>
          </cell>
          <cell r="G14" t="str">
            <v>Lucky Jain</v>
          </cell>
          <cell r="I14" t="str">
            <v>Individual</v>
          </cell>
          <cell r="J14" t="str">
            <v>-</v>
          </cell>
          <cell r="K14" t="str">
            <v>Houston, TX</v>
          </cell>
          <cell r="L14" t="str">
            <v>Scrum Master</v>
          </cell>
          <cell r="M14" t="str">
            <v>May</v>
          </cell>
          <cell r="N14">
            <v>45790</v>
          </cell>
          <cell r="O14" t="str">
            <v>NA</v>
          </cell>
          <cell r="P14" t="str">
            <v>Mphasis</v>
          </cell>
          <cell r="Q14" t="str">
            <v>Rishabh Sinha</v>
          </cell>
          <cell r="R14" t="str">
            <v>Contract</v>
          </cell>
          <cell r="S14" t="str">
            <v>C2C</v>
          </cell>
          <cell r="T14" t="str">
            <v>USD</v>
          </cell>
          <cell r="U14" t="str">
            <v>Hourly</v>
          </cell>
          <cell r="V14">
            <v>75</v>
          </cell>
          <cell r="W14" t="str">
            <v>USD</v>
          </cell>
          <cell r="X14" t="str">
            <v>-</v>
          </cell>
          <cell r="Y14" t="str">
            <v>-</v>
          </cell>
          <cell r="AA14">
            <v>10</v>
          </cell>
          <cell r="AN14">
            <v>776</v>
          </cell>
          <cell r="AO14">
            <v>7760</v>
          </cell>
          <cell r="AP14" t="str">
            <v>Active</v>
          </cell>
          <cell r="AQ14" t="str">
            <v>Sep</v>
          </cell>
        </row>
        <row r="15">
          <cell r="A15">
            <v>1</v>
          </cell>
          <cell r="B15" t="str">
            <v>Pioneer</v>
          </cell>
          <cell r="C15" t="str">
            <v>Percival Powers</v>
          </cell>
          <cell r="D15" t="str">
            <v>Arpit Juneja</v>
          </cell>
          <cell r="E15" t="str">
            <v>VB1887</v>
          </cell>
          <cell r="F15" t="str">
            <v>Lucky Jain</v>
          </cell>
          <cell r="G15" t="str">
            <v>Lucky Jain</v>
          </cell>
          <cell r="I15" t="str">
            <v>Individual</v>
          </cell>
          <cell r="J15" t="str">
            <v>NA</v>
          </cell>
          <cell r="K15" t="str">
            <v>Remote</v>
          </cell>
          <cell r="L15" t="str">
            <v>Report Developer</v>
          </cell>
          <cell r="M15" t="str">
            <v>May</v>
          </cell>
          <cell r="N15">
            <v>45806</v>
          </cell>
          <cell r="O15" t="str">
            <v>NA</v>
          </cell>
          <cell r="P15" t="str">
            <v>Visionet</v>
          </cell>
          <cell r="Q15" t="str">
            <v>Santosh Mrg</v>
          </cell>
          <cell r="R15" t="str">
            <v>Contract</v>
          </cell>
          <cell r="S15" t="str">
            <v>W2</v>
          </cell>
          <cell r="T15" t="str">
            <v>USD</v>
          </cell>
          <cell r="U15" t="str">
            <v>Hourly</v>
          </cell>
          <cell r="V15">
            <v>75</v>
          </cell>
          <cell r="W15" t="str">
            <v>USD</v>
          </cell>
          <cell r="X15">
            <v>0</v>
          </cell>
          <cell r="Y15">
            <v>0</v>
          </cell>
          <cell r="Z15">
            <v>0</v>
          </cell>
          <cell r="AA15">
            <v>15</v>
          </cell>
          <cell r="AB15">
            <v>17.5</v>
          </cell>
          <cell r="AN15">
            <v>688</v>
          </cell>
          <cell r="AO15">
            <v>10320</v>
          </cell>
          <cell r="AP15" t="str">
            <v>Active</v>
          </cell>
          <cell r="AQ15" t="str">
            <v>Sep</v>
          </cell>
        </row>
        <row r="16">
          <cell r="A16">
            <v>1</v>
          </cell>
          <cell r="B16" t="str">
            <v>CSK</v>
          </cell>
          <cell r="C16" t="str">
            <v>Trivikram Kota</v>
          </cell>
          <cell r="D16" t="str">
            <v>J Gayathri</v>
          </cell>
          <cell r="E16" t="str">
            <v>VB1298</v>
          </cell>
          <cell r="F16" t="str">
            <v>Vinoth.L</v>
          </cell>
          <cell r="G16" t="str">
            <v>Vinoth.L</v>
          </cell>
          <cell r="H16" t="str">
            <v>-</v>
          </cell>
          <cell r="I16" t="str">
            <v>Individual</v>
          </cell>
          <cell r="J16" t="str">
            <v>-</v>
          </cell>
          <cell r="K16" t="str">
            <v>Remote</v>
          </cell>
          <cell r="L16" t="str">
            <v>Data Engineer</v>
          </cell>
          <cell r="M16" t="str">
            <v>May</v>
          </cell>
          <cell r="N16">
            <v>45778</v>
          </cell>
          <cell r="O16" t="str">
            <v>NA</v>
          </cell>
          <cell r="P16" t="str">
            <v>Citius Tech</v>
          </cell>
          <cell r="Q16" t="str">
            <v>Srinivasa</v>
          </cell>
          <cell r="R16" t="str">
            <v>Contract</v>
          </cell>
          <cell r="S16" t="str">
            <v>C2C</v>
          </cell>
          <cell r="T16" t="str">
            <v>USD</v>
          </cell>
          <cell r="U16" t="str">
            <v>Hourly</v>
          </cell>
          <cell r="V16">
            <v>71</v>
          </cell>
          <cell r="W16" t="str">
            <v>USD</v>
          </cell>
          <cell r="Y16" t="str">
            <v>-</v>
          </cell>
          <cell r="Z16" t="str">
            <v>-</v>
          </cell>
          <cell r="AA16">
            <v>3</v>
          </cell>
          <cell r="AN16">
            <v>848</v>
          </cell>
          <cell r="AO16">
            <v>2544</v>
          </cell>
          <cell r="AP16" t="str">
            <v>Active</v>
          </cell>
          <cell r="AQ16" t="str">
            <v>Sep</v>
          </cell>
        </row>
        <row r="17">
          <cell r="B17" t="str">
            <v>CSK</v>
          </cell>
          <cell r="C17" t="str">
            <v>Biswajit Ghosh</v>
          </cell>
          <cell r="D17" t="str">
            <v>Kishore Gopi</v>
          </cell>
          <cell r="E17" t="str">
            <v>VB1862</v>
          </cell>
          <cell r="F17" t="str">
            <v>Vinoth.L</v>
          </cell>
          <cell r="G17" t="str">
            <v>Akbar Ibrahim</v>
          </cell>
          <cell r="H17" t="str">
            <v>-</v>
          </cell>
          <cell r="I17" t="str">
            <v>Split</v>
          </cell>
          <cell r="J17" t="str">
            <v>-</v>
          </cell>
          <cell r="K17" t="str">
            <v>Berkley Heights, NJ</v>
          </cell>
          <cell r="L17" t="str">
            <v>Sr.Data Engineer</v>
          </cell>
          <cell r="M17" t="str">
            <v>May</v>
          </cell>
          <cell r="N17">
            <v>45778</v>
          </cell>
          <cell r="O17">
            <v>45783</v>
          </cell>
          <cell r="P17" t="str">
            <v>Apexon</v>
          </cell>
          <cell r="Q17" t="str">
            <v>Muthu</v>
          </cell>
          <cell r="R17" t="str">
            <v>Contract</v>
          </cell>
          <cell r="S17" t="str">
            <v>C2C</v>
          </cell>
          <cell r="T17" t="str">
            <v>USD</v>
          </cell>
          <cell r="U17" t="str">
            <v>Hourly</v>
          </cell>
          <cell r="V17">
            <v>85</v>
          </cell>
          <cell r="W17" t="str">
            <v>USD</v>
          </cell>
          <cell r="Y17" t="str">
            <v>-</v>
          </cell>
          <cell r="Z17" t="str">
            <v>-</v>
          </cell>
          <cell r="AA17">
            <v>8</v>
          </cell>
          <cell r="AN17">
            <v>0</v>
          </cell>
          <cell r="AO17">
            <v>0</v>
          </cell>
          <cell r="AP17" t="str">
            <v>No Bill No Pay</v>
          </cell>
          <cell r="AQ17" t="str">
            <v>No bill no pay</v>
          </cell>
        </row>
        <row r="18">
          <cell r="A18">
            <v>1</v>
          </cell>
          <cell r="B18" t="str">
            <v>CSK</v>
          </cell>
          <cell r="C18" t="str">
            <v>David William Fourney</v>
          </cell>
          <cell r="D18" t="str">
            <v>Ajith Gunasekar</v>
          </cell>
          <cell r="E18" t="str">
            <v>VB1068</v>
          </cell>
          <cell r="F18" t="str">
            <v>Akbar Ibrahim</v>
          </cell>
          <cell r="G18" t="str">
            <v>Akbar Ibrahim</v>
          </cell>
          <cell r="H18" t="str">
            <v>-</v>
          </cell>
          <cell r="I18" t="str">
            <v>Individual</v>
          </cell>
          <cell r="J18" t="str">
            <v>-</v>
          </cell>
          <cell r="K18" t="str">
            <v>Toronto , Ontario</v>
          </cell>
          <cell r="L18" t="str">
            <v>Accessibility Tester</v>
          </cell>
          <cell r="M18" t="str">
            <v>May</v>
          </cell>
          <cell r="N18">
            <v>45782</v>
          </cell>
          <cell r="O18" t="str">
            <v>NA</v>
          </cell>
          <cell r="P18" t="str">
            <v>Cigniti Coforge</v>
          </cell>
          <cell r="Q18" t="str">
            <v>Harsha Pommineni</v>
          </cell>
          <cell r="R18" t="str">
            <v>Contract</v>
          </cell>
          <cell r="S18" t="str">
            <v>C2C</v>
          </cell>
          <cell r="T18" t="str">
            <v>CAD</v>
          </cell>
          <cell r="U18" t="str">
            <v>Hourly</v>
          </cell>
          <cell r="V18">
            <v>70</v>
          </cell>
          <cell r="W18" t="str">
            <v>CAD</v>
          </cell>
          <cell r="Y18" t="str">
            <v>-</v>
          </cell>
          <cell r="Z18" t="str">
            <v>-</v>
          </cell>
          <cell r="AA18">
            <v>5</v>
          </cell>
          <cell r="AN18">
            <v>912</v>
          </cell>
          <cell r="AO18">
            <v>4560</v>
          </cell>
          <cell r="AP18" t="str">
            <v>Active</v>
          </cell>
          <cell r="AQ18" t="str">
            <v>Sep</v>
          </cell>
        </row>
        <row r="19">
          <cell r="A19">
            <v>1</v>
          </cell>
          <cell r="B19" t="str">
            <v>CSK+Trust</v>
          </cell>
          <cell r="C19" t="str">
            <v>John Henry Warford</v>
          </cell>
          <cell r="D19" t="str">
            <v>Rahul Srivastava</v>
          </cell>
          <cell r="E19" t="str">
            <v>VB1869</v>
          </cell>
          <cell r="F19" t="str">
            <v>Akbar Ibrahim</v>
          </cell>
          <cell r="G19" t="str">
            <v>Vivek Mishra</v>
          </cell>
          <cell r="H19" t="str">
            <v>-</v>
          </cell>
          <cell r="I19" t="str">
            <v>Split</v>
          </cell>
          <cell r="J19" t="str">
            <v>-</v>
          </cell>
          <cell r="K19" t="str">
            <v>New Westminster, BC</v>
          </cell>
          <cell r="L19" t="str">
            <v>SDET</v>
          </cell>
          <cell r="M19" t="str">
            <v>May</v>
          </cell>
          <cell r="N19">
            <v>45789</v>
          </cell>
          <cell r="O19">
            <v>45844</v>
          </cell>
          <cell r="P19" t="str">
            <v>Cigniti Coforge</v>
          </cell>
          <cell r="Q19" t="str">
            <v>Harsha Pommineni</v>
          </cell>
          <cell r="R19" t="str">
            <v>Contract</v>
          </cell>
          <cell r="S19" t="str">
            <v>C2C</v>
          </cell>
          <cell r="T19" t="str">
            <v>CAD</v>
          </cell>
          <cell r="U19" t="str">
            <v>Hourly</v>
          </cell>
          <cell r="V19">
            <v>62</v>
          </cell>
          <cell r="W19" t="str">
            <v>CAD</v>
          </cell>
          <cell r="Y19" t="str">
            <v>-</v>
          </cell>
          <cell r="Z19" t="str">
            <v>-</v>
          </cell>
          <cell r="AA19">
            <v>7</v>
          </cell>
          <cell r="AN19">
            <v>457.5</v>
          </cell>
          <cell r="AO19">
            <v>3202.5</v>
          </cell>
          <cell r="AP19" t="str">
            <v>Quit</v>
          </cell>
          <cell r="AQ19" t="str">
            <v>Sep</v>
          </cell>
        </row>
        <row r="20">
          <cell r="A20">
            <v>1</v>
          </cell>
          <cell r="B20" t="str">
            <v>CSK</v>
          </cell>
          <cell r="C20" t="str">
            <v>Shravanthi Polu</v>
          </cell>
          <cell r="D20" t="str">
            <v>Rubini Mohan</v>
          </cell>
          <cell r="E20" t="str">
            <v>VB2067</v>
          </cell>
          <cell r="F20" t="str">
            <v>Vinoth.L</v>
          </cell>
          <cell r="G20" t="str">
            <v>Akbar Ibrahim</v>
          </cell>
          <cell r="H20" t="str">
            <v>-</v>
          </cell>
          <cell r="I20" t="str">
            <v>Split</v>
          </cell>
          <cell r="J20" t="str">
            <v>-</v>
          </cell>
          <cell r="K20" t="str">
            <v>Remote</v>
          </cell>
          <cell r="L20" t="str">
            <v>Data Engineer</v>
          </cell>
          <cell r="M20" t="str">
            <v>June</v>
          </cell>
          <cell r="N20">
            <v>45817</v>
          </cell>
          <cell r="O20" t="str">
            <v>NA</v>
          </cell>
          <cell r="P20" t="str">
            <v>Citius Tech</v>
          </cell>
          <cell r="Q20" t="str">
            <v>Srinivasa</v>
          </cell>
          <cell r="R20" t="str">
            <v>Contract</v>
          </cell>
          <cell r="S20" t="str">
            <v>C2C</v>
          </cell>
          <cell r="T20" t="str">
            <v>USD</v>
          </cell>
          <cell r="U20" t="str">
            <v>Hourly</v>
          </cell>
          <cell r="V20">
            <v>71</v>
          </cell>
          <cell r="W20" t="str">
            <v>USD</v>
          </cell>
          <cell r="Y20" t="str">
            <v>-</v>
          </cell>
          <cell r="Z20" t="str">
            <v>-</v>
          </cell>
          <cell r="AA20">
            <v>8</v>
          </cell>
          <cell r="AN20">
            <v>632</v>
          </cell>
          <cell r="AO20">
            <v>5056</v>
          </cell>
          <cell r="AP20" t="str">
            <v>Active</v>
          </cell>
          <cell r="AQ20" t="str">
            <v>sep</v>
          </cell>
        </row>
        <row r="21">
          <cell r="B21" t="str">
            <v>Pioneer</v>
          </cell>
          <cell r="C21" t="str">
            <v>Pankaj Gupta</v>
          </cell>
          <cell r="D21" t="str">
            <v>Ansh Singh Rathore</v>
          </cell>
          <cell r="E21" t="str">
            <v>VB2046</v>
          </cell>
          <cell r="F21" t="str">
            <v>Lucky Jain</v>
          </cell>
          <cell r="G21" t="str">
            <v>Lucky Jain</v>
          </cell>
          <cell r="I21" t="str">
            <v>Individual</v>
          </cell>
          <cell r="J21" t="str">
            <v>NA</v>
          </cell>
          <cell r="K21" t="str">
            <v>Litchfield MI</v>
          </cell>
          <cell r="L21" t="str">
            <v>SAP B1 Consultant</v>
          </cell>
          <cell r="M21" t="str">
            <v>June</v>
          </cell>
          <cell r="N21">
            <v>45826</v>
          </cell>
          <cell r="O21">
            <v>45856</v>
          </cell>
          <cell r="P21" t="str">
            <v>Visionet</v>
          </cell>
          <cell r="Q21" t="str">
            <v>Shane Lee</v>
          </cell>
          <cell r="R21" t="str">
            <v>Contract</v>
          </cell>
          <cell r="S21" t="str">
            <v>C2C</v>
          </cell>
          <cell r="T21" t="str">
            <v>USD</v>
          </cell>
          <cell r="U21" t="str">
            <v>Hourly</v>
          </cell>
          <cell r="V21">
            <v>105</v>
          </cell>
          <cell r="W21" t="str">
            <v>USD</v>
          </cell>
          <cell r="X21">
            <v>0</v>
          </cell>
          <cell r="Y21">
            <v>0</v>
          </cell>
          <cell r="Z21">
            <v>0</v>
          </cell>
          <cell r="AA21">
            <v>7.25</v>
          </cell>
          <cell r="AO21">
            <v>0</v>
          </cell>
          <cell r="AP21" t="str">
            <v>No Bill No Pay</v>
          </cell>
          <cell r="AQ21" t="str">
            <v>No bill no pay</v>
          </cell>
        </row>
        <row r="22">
          <cell r="B22" t="str">
            <v>Pioneer</v>
          </cell>
          <cell r="C22" t="str">
            <v>Balwan Singh</v>
          </cell>
          <cell r="D22" t="str">
            <v>Rishabh Singh</v>
          </cell>
          <cell r="E22" t="str">
            <v>VB1240</v>
          </cell>
          <cell r="F22" t="str">
            <v>Lucky Jain</v>
          </cell>
          <cell r="G22" t="str">
            <v>Lucky Jain</v>
          </cell>
          <cell r="I22" t="str">
            <v>Individual</v>
          </cell>
          <cell r="J22" t="str">
            <v>NA</v>
          </cell>
          <cell r="K22" t="str">
            <v>Remote</v>
          </cell>
          <cell r="L22" t="str">
            <v>Snowflake Architect</v>
          </cell>
          <cell r="M22" t="str">
            <v>June</v>
          </cell>
          <cell r="N22">
            <v>45831</v>
          </cell>
          <cell r="O22">
            <v>45937</v>
          </cell>
          <cell r="P22" t="str">
            <v>Visionet</v>
          </cell>
          <cell r="Q22" t="str">
            <v>Santosh Mrg</v>
          </cell>
          <cell r="R22" t="str">
            <v>Contract</v>
          </cell>
          <cell r="S22" t="str">
            <v>C2C</v>
          </cell>
          <cell r="T22" t="str">
            <v>USD</v>
          </cell>
          <cell r="U22" t="str">
            <v>Hourly</v>
          </cell>
          <cell r="V22">
            <v>98</v>
          </cell>
          <cell r="W22" t="str">
            <v>USD</v>
          </cell>
          <cell r="X22">
            <v>0</v>
          </cell>
          <cell r="Y22">
            <v>0</v>
          </cell>
          <cell r="Z22">
            <v>0</v>
          </cell>
          <cell r="AA22">
            <v>15</v>
          </cell>
          <cell r="AB22">
            <v>16</v>
          </cell>
          <cell r="AN22">
            <v>536</v>
          </cell>
          <cell r="AO22">
            <v>8040</v>
          </cell>
          <cell r="AP22" t="str">
            <v>Done</v>
          </cell>
          <cell r="AQ22" t="str">
            <v>Sep</v>
          </cell>
        </row>
        <row r="23">
          <cell r="A23">
            <v>1</v>
          </cell>
          <cell r="B23" t="str">
            <v>CSK</v>
          </cell>
          <cell r="C23" t="str">
            <v>Navin Kumar Vishwakarma</v>
          </cell>
          <cell r="D23" t="str">
            <v>Sriram Arasu</v>
          </cell>
          <cell r="E23" t="str">
            <v>VB2055</v>
          </cell>
          <cell r="F23" t="str">
            <v>Vinoth.L</v>
          </cell>
          <cell r="G23" t="str">
            <v>Vinoth.L</v>
          </cell>
          <cell r="H23" t="str">
            <v>-</v>
          </cell>
          <cell r="I23" t="str">
            <v>Individual</v>
          </cell>
          <cell r="J23" t="str">
            <v>-</v>
          </cell>
          <cell r="K23" t="str">
            <v>Remote</v>
          </cell>
          <cell r="L23" t="str">
            <v>Data Engineer</v>
          </cell>
          <cell r="M23" t="str">
            <v>June</v>
          </cell>
          <cell r="N23">
            <v>45817</v>
          </cell>
          <cell r="O23" t="str">
            <v>NA</v>
          </cell>
          <cell r="P23" t="str">
            <v>Citius Tech</v>
          </cell>
          <cell r="Q23" t="str">
            <v>Srinivasa</v>
          </cell>
          <cell r="R23" t="str">
            <v>Contract</v>
          </cell>
          <cell r="S23" t="str">
            <v>C2C</v>
          </cell>
          <cell r="T23" t="str">
            <v>USD</v>
          </cell>
          <cell r="U23" t="str">
            <v>Hourly</v>
          </cell>
          <cell r="V23">
            <v>71</v>
          </cell>
          <cell r="W23" t="str">
            <v>USD</v>
          </cell>
          <cell r="Y23" t="str">
            <v>-</v>
          </cell>
          <cell r="Z23" t="str">
            <v>-</v>
          </cell>
          <cell r="AA23">
            <v>6</v>
          </cell>
          <cell r="AN23">
            <v>632</v>
          </cell>
          <cell r="AO23">
            <v>3792</v>
          </cell>
          <cell r="AP23" t="str">
            <v>Active</v>
          </cell>
          <cell r="AQ23" t="str">
            <v>Sep</v>
          </cell>
        </row>
        <row r="24">
          <cell r="A24">
            <v>1</v>
          </cell>
          <cell r="B24" t="str">
            <v>CSK</v>
          </cell>
          <cell r="C24" t="str">
            <v>Ayyappa Minnekanti</v>
          </cell>
          <cell r="D24" t="str">
            <v>J Gayathri</v>
          </cell>
          <cell r="E24" t="str">
            <v>VB1298</v>
          </cell>
          <cell r="F24" t="str">
            <v>Vinoth.L</v>
          </cell>
          <cell r="G24" t="str">
            <v>Vinoth.L</v>
          </cell>
          <cell r="H24" t="str">
            <v>-</v>
          </cell>
          <cell r="I24" t="str">
            <v>Individual</v>
          </cell>
          <cell r="J24" t="str">
            <v>-</v>
          </cell>
          <cell r="K24" t="str">
            <v>Remote</v>
          </cell>
          <cell r="L24" t="str">
            <v>Mulesoft Developer</v>
          </cell>
          <cell r="M24" t="str">
            <v>June</v>
          </cell>
          <cell r="N24">
            <v>45826</v>
          </cell>
          <cell r="O24" t="str">
            <v>NA</v>
          </cell>
          <cell r="P24" t="str">
            <v>Citius Tech</v>
          </cell>
          <cell r="Q24" t="str">
            <v>Srinivasa</v>
          </cell>
          <cell r="R24" t="str">
            <v>Contract</v>
          </cell>
          <cell r="S24" t="str">
            <v>C2C</v>
          </cell>
          <cell r="T24" t="str">
            <v>USD</v>
          </cell>
          <cell r="U24" t="str">
            <v>Hourly</v>
          </cell>
          <cell r="V24">
            <v>76</v>
          </cell>
          <cell r="W24" t="str">
            <v>USD</v>
          </cell>
          <cell r="Y24" t="str">
            <v>-</v>
          </cell>
          <cell r="Z24" t="str">
            <v>-</v>
          </cell>
          <cell r="AA24">
            <v>11</v>
          </cell>
          <cell r="AN24">
            <v>584</v>
          </cell>
          <cell r="AO24">
            <v>6424</v>
          </cell>
          <cell r="AP24" t="str">
            <v>Active</v>
          </cell>
          <cell r="AQ24" t="str">
            <v>Sep</v>
          </cell>
        </row>
        <row r="25">
          <cell r="A25">
            <v>1</v>
          </cell>
          <cell r="B25" t="str">
            <v>Pioneer</v>
          </cell>
          <cell r="C25" t="str">
            <v>Rajanikanth Bhamidipati</v>
          </cell>
          <cell r="D25" t="str">
            <v>Ansh Singh Rathore</v>
          </cell>
          <cell r="E25" t="str">
            <v>VB2046</v>
          </cell>
          <cell r="F25" t="str">
            <v>Lucky Jain</v>
          </cell>
          <cell r="G25" t="str">
            <v>Lucky Jain</v>
          </cell>
          <cell r="I25" t="str">
            <v>Individual</v>
          </cell>
          <cell r="J25" t="str">
            <v>NA</v>
          </cell>
          <cell r="K25" t="str">
            <v>Remote</v>
          </cell>
          <cell r="L25" t="str">
            <v>Lead Java Developer</v>
          </cell>
          <cell r="M25" t="str">
            <v>July</v>
          </cell>
          <cell r="N25">
            <v>45852</v>
          </cell>
          <cell r="O25" t="str">
            <v>NA</v>
          </cell>
          <cell r="P25" t="str">
            <v>Visionet</v>
          </cell>
          <cell r="Q25" t="str">
            <v>Santosh Mrg</v>
          </cell>
          <cell r="R25" t="str">
            <v>Contract</v>
          </cell>
          <cell r="S25" t="str">
            <v>C2C</v>
          </cell>
          <cell r="T25" t="str">
            <v>USD</v>
          </cell>
          <cell r="U25" t="str">
            <v>Hourly</v>
          </cell>
          <cell r="V25">
            <v>95</v>
          </cell>
          <cell r="W25" t="str">
            <v>USD</v>
          </cell>
          <cell r="X25">
            <v>0</v>
          </cell>
          <cell r="Y25">
            <v>0</v>
          </cell>
          <cell r="Z25">
            <v>0</v>
          </cell>
          <cell r="AA25">
            <v>15</v>
          </cell>
          <cell r="AB25">
            <v>20</v>
          </cell>
          <cell r="AN25">
            <v>424</v>
          </cell>
          <cell r="AO25">
            <v>6360</v>
          </cell>
          <cell r="AP25" t="str">
            <v>Active</v>
          </cell>
          <cell r="AQ25" t="str">
            <v>Sep</v>
          </cell>
        </row>
        <row r="26">
          <cell r="A26">
            <v>1</v>
          </cell>
          <cell r="B26" t="str">
            <v>Pioneer</v>
          </cell>
          <cell r="C26" t="str">
            <v>Terrance W. Robinson</v>
          </cell>
          <cell r="D26" t="str">
            <v>Abhishek Rajpoot</v>
          </cell>
          <cell r="E26" t="str">
            <v>VB0914</v>
          </cell>
          <cell r="F26" t="str">
            <v>Lucky Jain</v>
          </cell>
          <cell r="G26" t="str">
            <v>Lucky Jain</v>
          </cell>
          <cell r="I26" t="str">
            <v>Individual</v>
          </cell>
          <cell r="J26" t="str">
            <v>NA</v>
          </cell>
          <cell r="K26" t="str">
            <v>Remote</v>
          </cell>
          <cell r="L26" t="str">
            <v>Report Developer</v>
          </cell>
          <cell r="M26" t="str">
            <v>July</v>
          </cell>
          <cell r="N26">
            <v>45852</v>
          </cell>
          <cell r="O26" t="str">
            <v>NA</v>
          </cell>
          <cell r="P26" t="str">
            <v>Visionet</v>
          </cell>
          <cell r="Q26" t="str">
            <v>Santosh Mrg</v>
          </cell>
          <cell r="R26" t="str">
            <v>Contract</v>
          </cell>
          <cell r="S26" t="str">
            <v>W2</v>
          </cell>
          <cell r="T26" t="str">
            <v>USD</v>
          </cell>
          <cell r="U26" t="str">
            <v>Hourly</v>
          </cell>
          <cell r="V26">
            <v>75</v>
          </cell>
          <cell r="W26" t="str">
            <v>USD</v>
          </cell>
          <cell r="X26">
            <v>0</v>
          </cell>
          <cell r="Y26">
            <v>0</v>
          </cell>
          <cell r="Z26">
            <v>0</v>
          </cell>
          <cell r="AA26">
            <v>15</v>
          </cell>
          <cell r="AB26">
            <v>17.5</v>
          </cell>
          <cell r="AN26">
            <v>448</v>
          </cell>
          <cell r="AO26">
            <v>6720</v>
          </cell>
          <cell r="AP26" t="str">
            <v>Active</v>
          </cell>
          <cell r="AQ26" t="str">
            <v>Sep</v>
          </cell>
        </row>
        <row r="27">
          <cell r="A27">
            <v>1</v>
          </cell>
          <cell r="B27" t="str">
            <v>CSK</v>
          </cell>
          <cell r="C27" t="str">
            <v>Emmanuel Guilherme Junior      </v>
          </cell>
          <cell r="D27" t="str">
            <v>Ajith Gunasekar</v>
          </cell>
          <cell r="E27" t="str">
            <v>VB1068</v>
          </cell>
          <cell r="F27" t="str">
            <v>Akbar Ibrahim</v>
          </cell>
          <cell r="G27" t="str">
            <v>Akbar Ibrahim</v>
          </cell>
          <cell r="H27" t="str">
            <v>-</v>
          </cell>
          <cell r="I27" t="str">
            <v>Individual</v>
          </cell>
          <cell r="J27" t="str">
            <v>-</v>
          </cell>
          <cell r="K27" t="str">
            <v>Remote</v>
          </cell>
          <cell r="L27" t="str">
            <v>Security Advisor</v>
          </cell>
          <cell r="M27" t="str">
            <v>July</v>
          </cell>
          <cell r="N27">
            <v>45839</v>
          </cell>
          <cell r="O27">
            <v>45899</v>
          </cell>
          <cell r="P27" t="str">
            <v>Cigniti Coforge</v>
          </cell>
          <cell r="Q27" t="str">
            <v>Harsha Pommineni</v>
          </cell>
          <cell r="R27" t="str">
            <v>Contract</v>
          </cell>
          <cell r="S27" t="str">
            <v>C2C</v>
          </cell>
          <cell r="T27" t="str">
            <v>CAD</v>
          </cell>
          <cell r="U27" t="str">
            <v>Hourly</v>
          </cell>
          <cell r="V27">
            <v>95</v>
          </cell>
          <cell r="W27" t="str">
            <v>CAD</v>
          </cell>
          <cell r="X27" t="str">
            <v>-</v>
          </cell>
          <cell r="Y27" t="str">
            <v>-</v>
          </cell>
          <cell r="AA27">
            <v>6</v>
          </cell>
          <cell r="AN27">
            <v>354</v>
          </cell>
          <cell r="AO27">
            <v>2124</v>
          </cell>
          <cell r="AP27" t="str">
            <v>Active</v>
          </cell>
          <cell r="AQ27" t="str">
            <v>Sep</v>
          </cell>
        </row>
        <row r="28">
          <cell r="A28">
            <v>1</v>
          </cell>
          <cell r="B28" t="str">
            <v>CSK</v>
          </cell>
          <cell r="C28" t="str">
            <v>Kiran Kumar Yenni_</v>
          </cell>
          <cell r="D28" t="str">
            <v>Pass thru</v>
          </cell>
          <cell r="E28" t="str">
            <v>-</v>
          </cell>
          <cell r="F28" t="str">
            <v>Akbar Ibrahim</v>
          </cell>
          <cell r="G28" t="str">
            <v>Akbar Ibrahim</v>
          </cell>
          <cell r="I28" t="str">
            <v>Pass thru</v>
          </cell>
          <cell r="J28" t="str">
            <v>-</v>
          </cell>
          <cell r="K28" t="str">
            <v>Remote</v>
          </cell>
          <cell r="L28" t="str">
            <v>Fullstack .Net Developer</v>
          </cell>
          <cell r="M28" t="str">
            <v>July</v>
          </cell>
          <cell r="N28">
            <v>45846</v>
          </cell>
          <cell r="O28" t="str">
            <v>NA</v>
          </cell>
          <cell r="P28" t="str">
            <v>Apexon</v>
          </cell>
          <cell r="Q28" t="str">
            <v>Atharv Vivek Laddha</v>
          </cell>
          <cell r="R28" t="str">
            <v>Contract</v>
          </cell>
          <cell r="S28" t="str">
            <v>C2C</v>
          </cell>
          <cell r="T28" t="str">
            <v>USD</v>
          </cell>
          <cell r="U28" t="str">
            <v>Hourly</v>
          </cell>
          <cell r="V28">
            <v>74</v>
          </cell>
          <cell r="W28" t="str">
            <v>USD</v>
          </cell>
          <cell r="X28" t="str">
            <v>-</v>
          </cell>
          <cell r="Y28" t="str">
            <v>-</v>
          </cell>
          <cell r="AA28">
            <v>1</v>
          </cell>
          <cell r="AN28">
            <v>280</v>
          </cell>
          <cell r="AO28">
            <v>280</v>
          </cell>
          <cell r="AP28" t="str">
            <v>Active</v>
          </cell>
          <cell r="AQ28" t="str">
            <v>aug</v>
          </cell>
        </row>
        <row r="29">
          <cell r="A29">
            <v>1</v>
          </cell>
          <cell r="B29" t="str">
            <v>CSK</v>
          </cell>
          <cell r="C29" t="str">
            <v>Sumit Kumar Chahal</v>
          </cell>
          <cell r="D29" t="str">
            <v>Dinesh Veluchamy</v>
          </cell>
          <cell r="E29" t="str">
            <v>VB1069</v>
          </cell>
          <cell r="F29" t="str">
            <v>Vinoth.L</v>
          </cell>
          <cell r="G29" t="str">
            <v>Vinoth.L</v>
          </cell>
          <cell r="H29" t="str">
            <v>-</v>
          </cell>
          <cell r="I29" t="str">
            <v>Individual</v>
          </cell>
          <cell r="J29" t="str">
            <v>-</v>
          </cell>
          <cell r="K29" t="str">
            <v>Remote</v>
          </cell>
          <cell r="L29" t="str">
            <v>Business Process Consultant</v>
          </cell>
          <cell r="M29" t="str">
            <v>July</v>
          </cell>
          <cell r="N29">
            <v>45853</v>
          </cell>
          <cell r="O29" t="str">
            <v>NA</v>
          </cell>
          <cell r="P29" t="str">
            <v>Citius Tech</v>
          </cell>
          <cell r="Q29" t="str">
            <v>Srinivasa</v>
          </cell>
          <cell r="R29" t="str">
            <v>Contract</v>
          </cell>
          <cell r="S29" t="str">
            <v>C2C</v>
          </cell>
          <cell r="T29" t="str">
            <v>USD</v>
          </cell>
          <cell r="U29" t="str">
            <v>Hourly</v>
          </cell>
          <cell r="V29">
            <v>78</v>
          </cell>
          <cell r="W29" t="str">
            <v>USD</v>
          </cell>
          <cell r="X29" t="str">
            <v>-</v>
          </cell>
          <cell r="Y29" t="str">
            <v>-</v>
          </cell>
          <cell r="AA29">
            <v>8</v>
          </cell>
          <cell r="AN29">
            <v>440</v>
          </cell>
          <cell r="AO29">
            <v>3520</v>
          </cell>
          <cell r="AP29" t="str">
            <v>Active</v>
          </cell>
          <cell r="AQ29" t="str">
            <v>Sep</v>
          </cell>
        </row>
        <row r="30">
          <cell r="A30">
            <v>1</v>
          </cell>
          <cell r="B30" t="str">
            <v>Pioneer</v>
          </cell>
          <cell r="C30" t="str">
            <v>Sravanthi Mareddy</v>
          </cell>
          <cell r="D30" t="str">
            <v>Arpit Juneja</v>
          </cell>
          <cell r="E30" t="str">
            <v>VB1887</v>
          </cell>
          <cell r="F30" t="str">
            <v>Vinay Kumar Pandey</v>
          </cell>
          <cell r="G30" t="str">
            <v>Lucky Jain</v>
          </cell>
          <cell r="I30" t="str">
            <v>Individual</v>
          </cell>
          <cell r="J30" t="str">
            <v>NA</v>
          </cell>
          <cell r="K30" t="str">
            <v>Remote</v>
          </cell>
          <cell r="L30" t="str">
            <v>Oracle Docucorp Product Developer</v>
          </cell>
          <cell r="M30" t="str">
            <v>August</v>
          </cell>
          <cell r="N30">
            <v>45880</v>
          </cell>
          <cell r="O30" t="str">
            <v>NA</v>
          </cell>
          <cell r="P30" t="str">
            <v>Mphasis</v>
          </cell>
          <cell r="Q30" t="str">
            <v>Rishabh Sinha</v>
          </cell>
          <cell r="R30" t="str">
            <v>Contract</v>
          </cell>
          <cell r="S30" t="str">
            <v>C2C</v>
          </cell>
          <cell r="T30" t="str">
            <v>USD</v>
          </cell>
          <cell r="U30" t="str">
            <v>Hourly</v>
          </cell>
          <cell r="V30">
            <v>77</v>
          </cell>
          <cell r="W30" t="str">
            <v>USD</v>
          </cell>
          <cell r="X30" t="str">
            <v>Rs. 80000</v>
          </cell>
          <cell r="Y30">
            <v>0</v>
          </cell>
          <cell r="Z30">
            <v>0</v>
          </cell>
          <cell r="AA30">
            <v>10</v>
          </cell>
          <cell r="AN30">
            <v>288</v>
          </cell>
          <cell r="AO30">
            <v>2880</v>
          </cell>
          <cell r="AP30" t="str">
            <v>Active</v>
          </cell>
          <cell r="AQ30" t="str">
            <v>Sep</v>
          </cell>
        </row>
        <row r="31">
          <cell r="A31">
            <v>1</v>
          </cell>
          <cell r="B31" t="str">
            <v>Pioneer</v>
          </cell>
          <cell r="C31" t="str">
            <v>Andrea T. Kraus</v>
          </cell>
          <cell r="D31" t="str">
            <v>Abhishek Rajpoot</v>
          </cell>
          <cell r="E31" t="str">
            <v>VB0914</v>
          </cell>
          <cell r="F31" t="str">
            <v>Lucky Jain</v>
          </cell>
          <cell r="G31" t="str">
            <v>Lucky Jain</v>
          </cell>
          <cell r="I31" t="str">
            <v>Individual</v>
          </cell>
          <cell r="J31" t="str">
            <v>NA</v>
          </cell>
          <cell r="K31" t="str">
            <v>Remote</v>
          </cell>
          <cell r="L31" t="str">
            <v>Training &amp; Awareness SME – IT Security</v>
          </cell>
          <cell r="M31" t="str">
            <v>August</v>
          </cell>
          <cell r="N31">
            <v>45889</v>
          </cell>
          <cell r="O31" t="str">
            <v>NA</v>
          </cell>
          <cell r="P31" t="str">
            <v>Visionet</v>
          </cell>
          <cell r="Q31" t="str">
            <v>Santosh Mrg</v>
          </cell>
          <cell r="R31" t="str">
            <v>Contract</v>
          </cell>
          <cell r="S31" t="str">
            <v>W2</v>
          </cell>
          <cell r="T31" t="str">
            <v>USD</v>
          </cell>
          <cell r="U31" t="str">
            <v>Hourly</v>
          </cell>
          <cell r="V31">
            <v>82</v>
          </cell>
          <cell r="W31" t="str">
            <v>USD</v>
          </cell>
          <cell r="X31">
            <v>0</v>
          </cell>
          <cell r="Y31">
            <v>0</v>
          </cell>
          <cell r="Z31">
            <v>0</v>
          </cell>
          <cell r="AA31">
            <v>13</v>
          </cell>
          <cell r="AN31">
            <v>227</v>
          </cell>
          <cell r="AO31">
            <v>2951</v>
          </cell>
          <cell r="AP31" t="str">
            <v>Active</v>
          </cell>
          <cell r="AQ31" t="str">
            <v>Sep</v>
          </cell>
        </row>
        <row r="32">
          <cell r="A32">
            <v>1</v>
          </cell>
          <cell r="B32" t="str">
            <v>CSK</v>
          </cell>
          <cell r="C32" t="str">
            <v>Pukar Khadka</v>
          </cell>
          <cell r="D32" t="str">
            <v>Pass thru</v>
          </cell>
          <cell r="E32" t="str">
            <v>-</v>
          </cell>
          <cell r="F32" t="str">
            <v>Akbar Ibrahim</v>
          </cell>
          <cell r="G32" t="str">
            <v>Akbar Ibrahim</v>
          </cell>
          <cell r="H32" t="str">
            <v>-</v>
          </cell>
          <cell r="I32" t="str">
            <v>Pass thru</v>
          </cell>
          <cell r="J32" t="str">
            <v>-</v>
          </cell>
          <cell r="K32" t="str">
            <v>Remote</v>
          </cell>
          <cell r="L32" t="str">
            <v>BI / Reports Developer</v>
          </cell>
          <cell r="M32" t="str">
            <v>August</v>
          </cell>
          <cell r="N32">
            <v>45875</v>
          </cell>
          <cell r="O32" t="str">
            <v>NA</v>
          </cell>
          <cell r="P32" t="str">
            <v>Apexon</v>
          </cell>
          <cell r="Q32" t="str">
            <v>Bhavani Santhanam</v>
          </cell>
          <cell r="R32" t="str">
            <v>Contract</v>
          </cell>
          <cell r="S32" t="str">
            <v>C2C</v>
          </cell>
          <cell r="T32" t="str">
            <v>USD</v>
          </cell>
          <cell r="U32" t="str">
            <v>Hourly</v>
          </cell>
          <cell r="V32">
            <v>69</v>
          </cell>
          <cell r="W32" t="str">
            <v>USD</v>
          </cell>
          <cell r="Y32" t="str">
            <v>-</v>
          </cell>
          <cell r="Z32" t="str">
            <v>-</v>
          </cell>
          <cell r="AA32">
            <v>1</v>
          </cell>
          <cell r="AN32">
            <v>312</v>
          </cell>
          <cell r="AO32">
            <v>312</v>
          </cell>
          <cell r="AP32" t="str">
            <v>Active</v>
          </cell>
          <cell r="AQ32" t="str">
            <v>Sep</v>
          </cell>
        </row>
        <row r="33">
          <cell r="A33">
            <v>1</v>
          </cell>
          <cell r="B33" t="str">
            <v>CSK</v>
          </cell>
          <cell r="C33" t="str">
            <v xml:space="preserve">Manpreet Singh </v>
          </cell>
          <cell r="D33" t="str">
            <v>Pass thru</v>
          </cell>
          <cell r="E33" t="str">
            <v>-</v>
          </cell>
          <cell r="F33" t="str">
            <v>Vinoth.L</v>
          </cell>
          <cell r="G33" t="str">
            <v>Vinoth.L</v>
          </cell>
          <cell r="H33" t="str">
            <v>-</v>
          </cell>
          <cell r="I33" t="str">
            <v>Pass thru</v>
          </cell>
          <cell r="J33" t="str">
            <v>-</v>
          </cell>
          <cell r="K33" t="str">
            <v>Remote</v>
          </cell>
          <cell r="L33" t="str">
            <v>Technical product Owner</v>
          </cell>
          <cell r="M33" t="str">
            <v>August</v>
          </cell>
          <cell r="N33">
            <v>45880</v>
          </cell>
          <cell r="O33" t="str">
            <v>NA</v>
          </cell>
          <cell r="P33" t="str">
            <v>Citius Tech</v>
          </cell>
          <cell r="Q33" t="str">
            <v>Karan</v>
          </cell>
          <cell r="R33" t="str">
            <v>Contract</v>
          </cell>
          <cell r="S33" t="str">
            <v>C2C</v>
          </cell>
          <cell r="T33" t="str">
            <v>USD</v>
          </cell>
          <cell r="U33" t="str">
            <v>Hourly</v>
          </cell>
          <cell r="V33">
            <v>70</v>
          </cell>
          <cell r="W33" t="str">
            <v>USD</v>
          </cell>
          <cell r="Y33" t="str">
            <v>-</v>
          </cell>
          <cell r="Z33" t="str">
            <v>-</v>
          </cell>
          <cell r="AA33">
            <v>2</v>
          </cell>
          <cell r="AN33">
            <v>288</v>
          </cell>
          <cell r="AO33">
            <v>576</v>
          </cell>
          <cell r="AP33" t="str">
            <v>Active</v>
          </cell>
          <cell r="AQ33" t="str">
            <v>Sep</v>
          </cell>
        </row>
        <row r="34">
          <cell r="A34">
            <v>1</v>
          </cell>
          <cell r="B34" t="str">
            <v>CSK</v>
          </cell>
          <cell r="C34" t="str">
            <v>Thulasi Ram Ruppa Krishnan</v>
          </cell>
          <cell r="D34" t="str">
            <v>M Harinath</v>
          </cell>
          <cell r="E34" t="str">
            <v>VB0541</v>
          </cell>
          <cell r="F34" t="str">
            <v>Vinoth.L</v>
          </cell>
          <cell r="G34" t="str">
            <v>Vinoth.L</v>
          </cell>
          <cell r="H34" t="str">
            <v>-</v>
          </cell>
          <cell r="I34" t="str">
            <v>Individual</v>
          </cell>
          <cell r="J34" t="str">
            <v>-</v>
          </cell>
          <cell r="K34" t="str">
            <v>Remote</v>
          </cell>
          <cell r="L34" t="str">
            <v>Data Analyst</v>
          </cell>
          <cell r="M34" t="str">
            <v>August</v>
          </cell>
          <cell r="N34">
            <v>45894</v>
          </cell>
          <cell r="O34" t="str">
            <v>NA</v>
          </cell>
          <cell r="P34" t="str">
            <v>Exavalu</v>
          </cell>
          <cell r="Q34" t="str">
            <v>Vijay Manimaran</v>
          </cell>
          <cell r="R34" t="str">
            <v>Contract</v>
          </cell>
          <cell r="S34" t="str">
            <v>C2C</v>
          </cell>
          <cell r="T34" t="str">
            <v>USD</v>
          </cell>
          <cell r="U34" t="str">
            <v>Hourly</v>
          </cell>
          <cell r="V34">
            <v>82</v>
          </cell>
          <cell r="W34" t="str">
            <v>USD</v>
          </cell>
          <cell r="Y34" t="str">
            <v>-</v>
          </cell>
          <cell r="Z34" t="str">
            <v>-</v>
          </cell>
          <cell r="AA34">
            <v>10</v>
          </cell>
          <cell r="AO34">
            <v>0</v>
          </cell>
          <cell r="AP34" t="str">
            <v>No Bill No Pay</v>
          </cell>
          <cell r="AQ34" t="str">
            <v>No bill no pay</v>
          </cell>
        </row>
        <row r="35">
          <cell r="A35">
            <v>1</v>
          </cell>
          <cell r="B35" t="str">
            <v>CSK</v>
          </cell>
          <cell r="C35" t="str">
            <v>Vinayaseshu Kumar Ginjupalli</v>
          </cell>
          <cell r="D35" t="str">
            <v>Dinesh Veluchamy</v>
          </cell>
          <cell r="E35" t="str">
            <v>VB1069</v>
          </cell>
          <cell r="F35" t="str">
            <v>Vinoth.L</v>
          </cell>
          <cell r="G35" t="str">
            <v>Vinoth.L</v>
          </cell>
          <cell r="H35" t="str">
            <v>-</v>
          </cell>
          <cell r="I35" t="str">
            <v>Individual</v>
          </cell>
          <cell r="J35" t="str">
            <v>-</v>
          </cell>
          <cell r="K35" t="str">
            <v>Remote</v>
          </cell>
          <cell r="L35" t="str">
            <v>Data Engineer</v>
          </cell>
          <cell r="M35" t="str">
            <v>August</v>
          </cell>
          <cell r="N35">
            <v>45896</v>
          </cell>
          <cell r="O35">
            <v>45944</v>
          </cell>
          <cell r="P35" t="str">
            <v>Citius Tech</v>
          </cell>
          <cell r="Q35" t="str">
            <v>Srinivasa</v>
          </cell>
          <cell r="R35" t="str">
            <v>Contract</v>
          </cell>
          <cell r="S35" t="str">
            <v>C2C</v>
          </cell>
          <cell r="T35" t="str">
            <v>USD</v>
          </cell>
          <cell r="U35" t="str">
            <v>Hourly</v>
          </cell>
          <cell r="V35">
            <v>68</v>
          </cell>
          <cell r="W35" t="str">
            <v>USD</v>
          </cell>
          <cell r="Y35" t="str">
            <v>-</v>
          </cell>
          <cell r="Z35" t="str">
            <v>-</v>
          </cell>
          <cell r="AA35">
            <v>4</v>
          </cell>
          <cell r="AN35">
            <v>192</v>
          </cell>
          <cell r="AO35">
            <v>768</v>
          </cell>
          <cell r="AP35" t="str">
            <v>Active</v>
          </cell>
          <cell r="AQ35" t="str">
            <v>Sep</v>
          </cell>
        </row>
        <row r="36">
          <cell r="A36">
            <v>1</v>
          </cell>
          <cell r="B36" t="str">
            <v>Pioneer</v>
          </cell>
          <cell r="C36" t="str">
            <v>Anuroop Nair</v>
          </cell>
          <cell r="D36" t="str">
            <v>Arpit Juneja</v>
          </cell>
          <cell r="E36" t="str">
            <v>VB1887</v>
          </cell>
          <cell r="F36" t="str">
            <v>Vinay Kumar Pandey</v>
          </cell>
          <cell r="G36" t="str">
            <v>Lucky Jain</v>
          </cell>
          <cell r="I36" t="str">
            <v>Individual</v>
          </cell>
          <cell r="J36" t="str">
            <v>NA</v>
          </cell>
          <cell r="K36" t="str">
            <v>Hosuton TX</v>
          </cell>
          <cell r="L36" t="str">
            <v>Scrum Master</v>
          </cell>
          <cell r="M36" t="str">
            <v>September</v>
          </cell>
          <cell r="N36">
            <v>45912</v>
          </cell>
          <cell r="O36" t="str">
            <v>NA</v>
          </cell>
          <cell r="P36" t="str">
            <v>Mphasis</v>
          </cell>
          <cell r="Q36" t="str">
            <v>Rishabh Sinha</v>
          </cell>
          <cell r="R36" t="str">
            <v>Contract</v>
          </cell>
          <cell r="S36" t="str">
            <v>C2C</v>
          </cell>
          <cell r="T36" t="str">
            <v>USD</v>
          </cell>
          <cell r="U36" t="str">
            <v>Hourly</v>
          </cell>
          <cell r="V36">
            <v>78</v>
          </cell>
          <cell r="W36" t="str">
            <v>USD</v>
          </cell>
          <cell r="X36" t="str">
            <v>Rs. 80000</v>
          </cell>
          <cell r="Y36">
            <v>0</v>
          </cell>
          <cell r="Z36">
            <v>0</v>
          </cell>
          <cell r="AA36">
            <v>10</v>
          </cell>
          <cell r="AN36">
            <v>104</v>
          </cell>
          <cell r="AO36">
            <v>1040</v>
          </cell>
          <cell r="AP36" t="str">
            <v>Active</v>
          </cell>
          <cell r="AQ36" t="str">
            <v>Sep</v>
          </cell>
        </row>
        <row r="37">
          <cell r="A37">
            <v>1</v>
          </cell>
          <cell r="B37" t="str">
            <v>CSK</v>
          </cell>
          <cell r="C37" t="str">
            <v>Srinath Koppula</v>
          </cell>
          <cell r="D37" t="str">
            <v>Dinesh Veluchamy</v>
          </cell>
          <cell r="E37" t="str">
            <v>VB1069</v>
          </cell>
          <cell r="F37" t="str">
            <v>Vinoth.L</v>
          </cell>
          <cell r="G37" t="str">
            <v>Vinoth.L</v>
          </cell>
          <cell r="H37" t="str">
            <v>-</v>
          </cell>
          <cell r="I37" t="str">
            <v>Individual</v>
          </cell>
          <cell r="J37" t="str">
            <v>-</v>
          </cell>
          <cell r="K37" t="str">
            <v>Remote</v>
          </cell>
          <cell r="L37" t="str">
            <v>Data Engineer</v>
          </cell>
          <cell r="M37" t="str">
            <v>September</v>
          </cell>
          <cell r="N37">
            <v>45922</v>
          </cell>
          <cell r="O37" t="str">
            <v>NA</v>
          </cell>
          <cell r="P37" t="str">
            <v>Citius Tech</v>
          </cell>
          <cell r="Q37" t="str">
            <v>Srinivasa</v>
          </cell>
          <cell r="R37" t="str">
            <v>Contract</v>
          </cell>
          <cell r="S37" t="str">
            <v>C2C</v>
          </cell>
          <cell r="T37" t="str">
            <v>USD</v>
          </cell>
          <cell r="U37" t="str">
            <v>Hourly</v>
          </cell>
          <cell r="V37">
            <v>80</v>
          </cell>
          <cell r="W37" t="str">
            <v>USD</v>
          </cell>
          <cell r="Y37" t="str">
            <v>-</v>
          </cell>
          <cell r="Z37" t="str">
            <v>-</v>
          </cell>
          <cell r="AA37">
            <v>2</v>
          </cell>
          <cell r="AN37">
            <v>56</v>
          </cell>
          <cell r="AO37">
            <v>112</v>
          </cell>
          <cell r="AP37" t="str">
            <v>Active</v>
          </cell>
          <cell r="AQ37" t="str">
            <v>Sep</v>
          </cell>
        </row>
        <row r="38">
          <cell r="A38">
            <v>1</v>
          </cell>
          <cell r="B38" t="str">
            <v>CSK</v>
          </cell>
          <cell r="C38" t="str">
            <v>Ruparani Nandan</v>
          </cell>
          <cell r="D38" t="str">
            <v>Jagan Prabhu Vedhagiri</v>
          </cell>
          <cell r="E38" t="str">
            <v>VB2171</v>
          </cell>
          <cell r="F38" t="str">
            <v>Vinoth.L</v>
          </cell>
          <cell r="G38" t="str">
            <v>Akbar Ibrahim</v>
          </cell>
          <cell r="H38" t="str">
            <v>-</v>
          </cell>
          <cell r="I38" t="str">
            <v>Split</v>
          </cell>
          <cell r="J38" t="str">
            <v>-</v>
          </cell>
          <cell r="K38" t="str">
            <v>Austin, TX</v>
          </cell>
          <cell r="L38" t="str">
            <v>SDET</v>
          </cell>
          <cell r="M38" t="str">
            <v>September</v>
          </cell>
          <cell r="N38">
            <v>45922</v>
          </cell>
          <cell r="O38" t="str">
            <v>NA</v>
          </cell>
          <cell r="P38" t="str">
            <v>Altimetrik</v>
          </cell>
          <cell r="Q38" t="str">
            <v>Sangeetha</v>
          </cell>
          <cell r="R38" t="str">
            <v>Contract</v>
          </cell>
          <cell r="S38" t="str">
            <v>C2C</v>
          </cell>
          <cell r="T38" t="str">
            <v>USD</v>
          </cell>
          <cell r="U38" t="str">
            <v>Hourly</v>
          </cell>
          <cell r="V38">
            <v>69</v>
          </cell>
          <cell r="W38" t="str">
            <v>USD</v>
          </cell>
          <cell r="Y38" t="str">
            <v>-</v>
          </cell>
          <cell r="Z38" t="str">
            <v>-</v>
          </cell>
          <cell r="AA38">
            <v>9</v>
          </cell>
          <cell r="AN38">
            <v>56</v>
          </cell>
          <cell r="AO38">
            <v>504</v>
          </cell>
          <cell r="AP38" t="str">
            <v>Active</v>
          </cell>
          <cell r="AQ38" t="str">
            <v>Sep</v>
          </cell>
        </row>
        <row r="39">
          <cell r="A39">
            <v>1</v>
          </cell>
          <cell r="B39" t="str">
            <v>CSK</v>
          </cell>
          <cell r="C39" t="str">
            <v>Abhinav Reddy Bobba</v>
          </cell>
          <cell r="D39" t="str">
            <v>Pass thru</v>
          </cell>
          <cell r="E39" t="str">
            <v>-</v>
          </cell>
          <cell r="F39" t="str">
            <v>Vinoth.L</v>
          </cell>
          <cell r="G39" t="str">
            <v>Vinoth.L</v>
          </cell>
          <cell r="H39" t="str">
            <v>-</v>
          </cell>
          <cell r="I39" t="str">
            <v>Pass thru</v>
          </cell>
          <cell r="J39" t="str">
            <v>-</v>
          </cell>
          <cell r="K39" t="str">
            <v>Remote</v>
          </cell>
          <cell r="L39" t="str">
            <v>Senior Data Engineer</v>
          </cell>
          <cell r="M39" t="str">
            <v>September</v>
          </cell>
          <cell r="N39">
            <v>45924</v>
          </cell>
          <cell r="O39" t="str">
            <v>NA</v>
          </cell>
          <cell r="P39" t="str">
            <v>Apexon</v>
          </cell>
          <cell r="Q39" t="str">
            <v xml:space="preserve">Shantanu Giri </v>
          </cell>
          <cell r="R39" t="str">
            <v>Contract</v>
          </cell>
          <cell r="S39" t="str">
            <v>C2C</v>
          </cell>
          <cell r="T39" t="str">
            <v>USD</v>
          </cell>
          <cell r="U39" t="str">
            <v>Hourly</v>
          </cell>
          <cell r="V39">
            <v>84</v>
          </cell>
          <cell r="W39" t="str">
            <v>USD</v>
          </cell>
          <cell r="Y39" t="str">
            <v>-</v>
          </cell>
          <cell r="Z39" t="str">
            <v>-</v>
          </cell>
          <cell r="AA39">
            <v>1</v>
          </cell>
          <cell r="AN39">
            <v>40</v>
          </cell>
          <cell r="AO39">
            <v>40</v>
          </cell>
          <cell r="AP39" t="str">
            <v>Active</v>
          </cell>
          <cell r="AQ39" t="str">
            <v>Sep</v>
          </cell>
        </row>
        <row r="40">
          <cell r="A40">
            <v>1</v>
          </cell>
          <cell r="B40" t="str">
            <v>Pioneer</v>
          </cell>
          <cell r="C40" t="str">
            <v>Curtis Ding</v>
          </cell>
          <cell r="D40" t="str">
            <v>Abhishek Rajpoot</v>
          </cell>
          <cell r="E40" t="str">
            <v>VB0914</v>
          </cell>
          <cell r="F40" t="str">
            <v>Vinay Kumar Pandey</v>
          </cell>
          <cell r="G40" t="str">
            <v>Lucky Jain</v>
          </cell>
          <cell r="I40" t="str">
            <v>Individual</v>
          </cell>
          <cell r="J40" t="str">
            <v>NA</v>
          </cell>
          <cell r="K40" t="str">
            <v>Remote</v>
          </cell>
          <cell r="L40" t="str">
            <v>Blackline System Admin</v>
          </cell>
          <cell r="M40" t="str">
            <v>September</v>
          </cell>
          <cell r="N40">
            <v>45917</v>
          </cell>
          <cell r="O40" t="str">
            <v>NA</v>
          </cell>
          <cell r="P40" t="str">
            <v>Mphasis</v>
          </cell>
          <cell r="Q40" t="str">
            <v>Rishabh Sinha</v>
          </cell>
          <cell r="R40" t="str">
            <v>Contract</v>
          </cell>
          <cell r="S40" t="str">
            <v>W2</v>
          </cell>
          <cell r="T40" t="str">
            <v>USD</v>
          </cell>
          <cell r="U40" t="str">
            <v>Hourly</v>
          </cell>
          <cell r="V40">
            <v>82</v>
          </cell>
          <cell r="W40" t="str">
            <v>USD</v>
          </cell>
          <cell r="X40" t="str">
            <v>Rs. 80000</v>
          </cell>
          <cell r="Y40">
            <v>0</v>
          </cell>
          <cell r="Z40">
            <v>0</v>
          </cell>
          <cell r="AA40">
            <v>7.25</v>
          </cell>
          <cell r="AN40">
            <v>80</v>
          </cell>
          <cell r="AO40">
            <v>580</v>
          </cell>
          <cell r="AP40" t="str">
            <v>Active</v>
          </cell>
          <cell r="AQ40" t="str">
            <v>Sep</v>
          </cell>
        </row>
        <row r="41">
          <cell r="A41">
            <v>1</v>
          </cell>
          <cell r="B41" t="str">
            <v>Pioneer</v>
          </cell>
          <cell r="C41" t="str">
            <v xml:space="preserve">Asif Yasin </v>
          </cell>
          <cell r="D41" t="str">
            <v>Prachi Verma</v>
          </cell>
          <cell r="E41" t="str">
            <v>VB1837</v>
          </cell>
          <cell r="F41" t="str">
            <v>Vinay Kumar Pandey</v>
          </cell>
          <cell r="G41" t="str">
            <v>Lucky Jain</v>
          </cell>
          <cell r="I41" t="str">
            <v>Individual</v>
          </cell>
          <cell r="J41" t="str">
            <v>NA</v>
          </cell>
          <cell r="K41" t="str">
            <v>Remote</v>
          </cell>
          <cell r="L41" t="str">
            <v>Business System Analyst</v>
          </cell>
          <cell r="M41" t="str">
            <v>October</v>
          </cell>
          <cell r="N41">
            <v>45931</v>
          </cell>
          <cell r="O41" t="str">
            <v>NA</v>
          </cell>
          <cell r="P41" t="str">
            <v>Mphasis</v>
          </cell>
          <cell r="Q41" t="str">
            <v>Rishabh Sinha</v>
          </cell>
          <cell r="R41" t="str">
            <v>Contract</v>
          </cell>
          <cell r="S41">
            <v>1099</v>
          </cell>
          <cell r="T41" t="str">
            <v>USD</v>
          </cell>
          <cell r="U41" t="str">
            <v>Hourly</v>
          </cell>
          <cell r="V41">
            <v>78</v>
          </cell>
          <cell r="W41" t="str">
            <v>USD</v>
          </cell>
          <cell r="X41" t="str">
            <v>Rs. 80000</v>
          </cell>
          <cell r="Y41">
            <v>0</v>
          </cell>
          <cell r="Z41">
            <v>0</v>
          </cell>
          <cell r="AA41">
            <v>8.4499999999999993</v>
          </cell>
          <cell r="AN41">
            <v>86</v>
          </cell>
          <cell r="AO41">
            <v>726.69999999999993</v>
          </cell>
          <cell r="AP41" t="str">
            <v>Active</v>
          </cell>
        </row>
        <row r="42">
          <cell r="A42">
            <v>1</v>
          </cell>
          <cell r="B42" t="str">
            <v>CSK</v>
          </cell>
          <cell r="C42" t="str">
            <v>Abilash Subramaniam</v>
          </cell>
          <cell r="D42" t="str">
            <v>M Harinath</v>
          </cell>
          <cell r="E42" t="str">
            <v>VB0541</v>
          </cell>
          <cell r="F42" t="str">
            <v>Mayank Saxena</v>
          </cell>
          <cell r="G42" t="str">
            <v>Vinoth L</v>
          </cell>
          <cell r="H42" t="str">
            <v>-</v>
          </cell>
          <cell r="I42" t="str">
            <v>Individual</v>
          </cell>
          <cell r="J42" t="str">
            <v>-</v>
          </cell>
          <cell r="K42" t="str">
            <v>Remote</v>
          </cell>
          <cell r="L42" t="str">
            <v>Sr. Data Engineer</v>
          </cell>
          <cell r="M42" t="str">
            <v>October</v>
          </cell>
          <cell r="N42">
            <v>45937</v>
          </cell>
          <cell r="O42" t="str">
            <v>NA</v>
          </cell>
          <cell r="P42" t="str">
            <v>Tredence</v>
          </cell>
          <cell r="Q42" t="str">
            <v>Harshit Tiwari</v>
          </cell>
          <cell r="R42" t="str">
            <v>Contract</v>
          </cell>
          <cell r="S42" t="str">
            <v>C2C</v>
          </cell>
          <cell r="T42" t="str">
            <v>USD</v>
          </cell>
          <cell r="U42" t="str">
            <v>Hourly</v>
          </cell>
          <cell r="V42">
            <v>95</v>
          </cell>
          <cell r="W42" t="str">
            <v>USD</v>
          </cell>
          <cell r="X42" t="str">
            <v>-</v>
          </cell>
          <cell r="Y42" t="str">
            <v>-</v>
          </cell>
          <cell r="AA42">
            <v>9</v>
          </cell>
          <cell r="AO42">
            <v>0</v>
          </cell>
          <cell r="AP42" t="str">
            <v>Active</v>
          </cell>
        </row>
        <row r="43">
          <cell r="A43">
            <v>1</v>
          </cell>
          <cell r="B43" t="str">
            <v>CSK</v>
          </cell>
          <cell r="C43" t="str">
            <v>Surendar Kumar Amduri</v>
          </cell>
          <cell r="D43" t="str">
            <v>Dasive Prakash S</v>
          </cell>
          <cell r="E43" t="str">
            <v>VB2162</v>
          </cell>
          <cell r="F43" t="str">
            <v>Vinoth L</v>
          </cell>
          <cell r="G43" t="str">
            <v>Akbar Ibrahim</v>
          </cell>
          <cell r="H43" t="str">
            <v>-</v>
          </cell>
          <cell r="I43" t="str">
            <v>Individual</v>
          </cell>
          <cell r="J43" t="str">
            <v>-</v>
          </cell>
          <cell r="K43" t="str">
            <v>Remote</v>
          </cell>
          <cell r="L43" t="str">
            <v>Data Engineer</v>
          </cell>
          <cell r="M43" t="str">
            <v>October</v>
          </cell>
          <cell r="N43">
            <v>45950</v>
          </cell>
          <cell r="O43" t="str">
            <v>NA</v>
          </cell>
          <cell r="P43" t="str">
            <v>Citius Tech</v>
          </cell>
          <cell r="Q43" t="str">
            <v>Srinivasa</v>
          </cell>
          <cell r="R43" t="str">
            <v>Contract</v>
          </cell>
          <cell r="S43" t="str">
            <v>C2C</v>
          </cell>
          <cell r="T43" t="str">
            <v>USD</v>
          </cell>
          <cell r="U43" t="str">
            <v>Hourly</v>
          </cell>
          <cell r="V43">
            <v>72</v>
          </cell>
          <cell r="W43" t="str">
            <v>USD</v>
          </cell>
          <cell r="X43" t="str">
            <v>-</v>
          </cell>
          <cell r="Y43" t="str">
            <v>-</v>
          </cell>
          <cell r="AA43">
            <v>5</v>
          </cell>
          <cell r="AO43">
            <v>0</v>
          </cell>
          <cell r="AP43" t="str">
            <v>Active</v>
          </cell>
        </row>
        <row r="44">
          <cell r="A44">
            <v>1</v>
          </cell>
          <cell r="B44" t="str">
            <v>Pioneer - Lucky+Vantedge</v>
          </cell>
          <cell r="C44" t="str">
            <v>Rajeev Madan</v>
          </cell>
          <cell r="D44" t="str">
            <v>Abhishek Rajpoot</v>
          </cell>
          <cell r="E44" t="str">
            <v>VB0914</v>
          </cell>
          <cell r="F44" t="str">
            <v>Rashmi Bhatnagar</v>
          </cell>
          <cell r="G44" t="str">
            <v>Lucky Jain</v>
          </cell>
          <cell r="H44" t="str">
            <v>Rashmi Bhatnagar</v>
          </cell>
          <cell r="I44" t="str">
            <v>Individual</v>
          </cell>
          <cell r="K44" t="str">
            <v>Remote</v>
          </cell>
          <cell r="L44" t="str">
            <v>Salesforce Program Manager</v>
          </cell>
          <cell r="M44" t="str">
            <v>January</v>
          </cell>
          <cell r="N44">
            <v>45670</v>
          </cell>
          <cell r="O44" t="str">
            <v>NA</v>
          </cell>
          <cell r="P44" t="str">
            <v>Myridius</v>
          </cell>
          <cell r="Q44" t="str">
            <v>Abhinav Kolhe</v>
          </cell>
          <cell r="R44" t="str">
            <v>FTE</v>
          </cell>
          <cell r="S44" t="str">
            <v>FTE</v>
          </cell>
          <cell r="U44" t="str">
            <v>USD</v>
          </cell>
          <cell r="AA44" t="str">
            <v>NA</v>
          </cell>
          <cell r="AN44" t="str">
            <v>NA</v>
          </cell>
          <cell r="AO44">
            <v>5000</v>
          </cell>
          <cell r="AP44" t="str">
            <v>Done</v>
          </cell>
          <cell r="AQ44" t="str">
            <v>Done</v>
          </cell>
        </row>
        <row r="45">
          <cell r="A45">
            <v>1</v>
          </cell>
          <cell r="B45" t="str">
            <v>CSK+Vantedge</v>
          </cell>
          <cell r="C45" t="str">
            <v>Ashish Garg </v>
          </cell>
          <cell r="D45" t="str">
            <v>M Harinath</v>
          </cell>
          <cell r="E45" t="str">
            <v>VB0541</v>
          </cell>
          <cell r="F45" t="str">
            <v>Mayank Saxena</v>
          </cell>
          <cell r="G45" t="str">
            <v>Vinoth L</v>
          </cell>
          <cell r="H45" t="str">
            <v>Rashmi Bhatnagar</v>
          </cell>
          <cell r="I45" t="str">
            <v>Split</v>
          </cell>
          <cell r="K45" t="str">
            <v>Remote</v>
          </cell>
          <cell r="M45" t="str">
            <v>January</v>
          </cell>
          <cell r="N45">
            <v>45684</v>
          </cell>
          <cell r="O45" t="str">
            <v>NA</v>
          </cell>
          <cell r="P45" t="str">
            <v>Tredence</v>
          </cell>
          <cell r="Q45" t="str">
            <v>Asha Malviya</v>
          </cell>
          <cell r="R45" t="str">
            <v>FTE</v>
          </cell>
          <cell r="S45" t="str">
            <v>FTE</v>
          </cell>
          <cell r="U45" t="str">
            <v>USD</v>
          </cell>
          <cell r="AA45" t="str">
            <v>NA</v>
          </cell>
          <cell r="AN45" t="str">
            <v>NA</v>
          </cell>
          <cell r="AO45">
            <v>14000</v>
          </cell>
          <cell r="AP45" t="str">
            <v>Done</v>
          </cell>
          <cell r="AQ45" t="str">
            <v>Done</v>
          </cell>
        </row>
        <row r="46">
          <cell r="A46">
            <v>1</v>
          </cell>
          <cell r="B46" t="str">
            <v>CSK+Vantedge</v>
          </cell>
          <cell r="C46" t="str">
            <v>Kaleemullah Brohi</v>
          </cell>
          <cell r="D46" t="str">
            <v>Dinesh Veluchamy</v>
          </cell>
          <cell r="E46" t="str">
            <v>VB1069</v>
          </cell>
          <cell r="F46" t="str">
            <v>Mayank Saxena</v>
          </cell>
          <cell r="G46" t="str">
            <v>Vinoth L</v>
          </cell>
          <cell r="H46" t="str">
            <v>Rashmi Bhatnagar</v>
          </cell>
          <cell r="I46" t="str">
            <v>Split</v>
          </cell>
          <cell r="K46" t="str">
            <v>Remote</v>
          </cell>
          <cell r="L46" t="str">
            <v>Manager</v>
          </cell>
          <cell r="M46" t="str">
            <v>February</v>
          </cell>
          <cell r="N46">
            <v>45691</v>
          </cell>
          <cell r="O46" t="str">
            <v>NA</v>
          </cell>
          <cell r="P46" t="str">
            <v>Tredence</v>
          </cell>
          <cell r="Q46" t="str">
            <v>Asha</v>
          </cell>
          <cell r="R46" t="str">
            <v>FTE</v>
          </cell>
          <cell r="S46" t="str">
            <v>FTE</v>
          </cell>
          <cell r="U46" t="str">
            <v>USD</v>
          </cell>
          <cell r="AA46" t="str">
            <v>NA</v>
          </cell>
          <cell r="AN46" t="str">
            <v>NA</v>
          </cell>
          <cell r="AO46">
            <v>12400</v>
          </cell>
          <cell r="AP46" t="str">
            <v>Done</v>
          </cell>
          <cell r="AQ46" t="str">
            <v>Done</v>
          </cell>
        </row>
        <row r="47">
          <cell r="A47">
            <v>1</v>
          </cell>
          <cell r="B47" t="str">
            <v>CSK</v>
          </cell>
          <cell r="C47" t="str">
            <v xml:space="preserve">David Richter </v>
          </cell>
          <cell r="D47" t="str">
            <v>Archana K</v>
          </cell>
          <cell r="E47" t="str">
            <v>VB2018</v>
          </cell>
          <cell r="F47" t="str">
            <v>Vinoth L</v>
          </cell>
          <cell r="G47" t="str">
            <v>Akbar I</v>
          </cell>
          <cell r="I47" t="str">
            <v>Split</v>
          </cell>
          <cell r="K47" t="str">
            <v>Remote</v>
          </cell>
          <cell r="L47" t="str">
            <v>Resume Writer</v>
          </cell>
          <cell r="M47" t="str">
            <v>February</v>
          </cell>
          <cell r="N47">
            <v>45698</v>
          </cell>
          <cell r="O47" t="str">
            <v>NA</v>
          </cell>
          <cell r="P47" t="str">
            <v>Relevante</v>
          </cell>
          <cell r="R47" t="str">
            <v>FTE</v>
          </cell>
          <cell r="S47" t="str">
            <v>FTE</v>
          </cell>
          <cell r="U47" t="str">
            <v>USD</v>
          </cell>
          <cell r="AA47" t="str">
            <v>NA</v>
          </cell>
          <cell r="AN47" t="str">
            <v>NA</v>
          </cell>
          <cell r="AO47">
            <v>4200</v>
          </cell>
          <cell r="AP47" t="str">
            <v>Pending</v>
          </cell>
          <cell r="AQ47" t="str">
            <v>Pending</v>
          </cell>
        </row>
        <row r="48">
          <cell r="A48">
            <v>1</v>
          </cell>
          <cell r="B48" t="str">
            <v>CSK+Vantedge</v>
          </cell>
          <cell r="C48" t="str">
            <v>Yogendra Gijare</v>
          </cell>
          <cell r="D48" t="str">
            <v>M Harinath</v>
          </cell>
          <cell r="E48" t="str">
            <v>VB0541</v>
          </cell>
          <cell r="F48" t="str">
            <v>Mayank Saxena</v>
          </cell>
          <cell r="G48" t="str">
            <v>Vinoth L</v>
          </cell>
          <cell r="H48" t="str">
            <v>Rashmi Bhatnagar</v>
          </cell>
          <cell r="I48" t="str">
            <v>Split</v>
          </cell>
          <cell r="K48" t="str">
            <v>Remote</v>
          </cell>
          <cell r="L48" t="str">
            <v>Azure Data Architect</v>
          </cell>
          <cell r="M48" t="str">
            <v>March</v>
          </cell>
          <cell r="N48">
            <v>45726</v>
          </cell>
          <cell r="O48" t="str">
            <v>NA</v>
          </cell>
          <cell r="P48" t="str">
            <v>Tredence</v>
          </cell>
          <cell r="Q48" t="str">
            <v>Harshit</v>
          </cell>
          <cell r="R48" t="str">
            <v>FTE</v>
          </cell>
          <cell r="S48" t="str">
            <v>FTE</v>
          </cell>
          <cell r="U48" t="str">
            <v>USD</v>
          </cell>
          <cell r="AA48" t="str">
            <v>NA</v>
          </cell>
          <cell r="AN48" t="str">
            <v>NA</v>
          </cell>
          <cell r="AO48">
            <v>13600</v>
          </cell>
          <cell r="AP48" t="str">
            <v>Done</v>
          </cell>
          <cell r="AQ48" t="str">
            <v>Done</v>
          </cell>
        </row>
        <row r="49">
          <cell r="A49">
            <v>1</v>
          </cell>
          <cell r="B49" t="str">
            <v>CSK</v>
          </cell>
          <cell r="C49" t="str">
            <v>Jodi Homaune</v>
          </cell>
          <cell r="D49" t="str">
            <v>Ajith Gunasekar</v>
          </cell>
          <cell r="E49" t="str">
            <v>VB1068</v>
          </cell>
          <cell r="F49" t="str">
            <v>Vinoth L</v>
          </cell>
          <cell r="G49" t="str">
            <v>Akbar I</v>
          </cell>
          <cell r="I49" t="str">
            <v>Split</v>
          </cell>
          <cell r="K49" t="str">
            <v>Remote</v>
          </cell>
          <cell r="L49" t="str">
            <v>Resume Writer</v>
          </cell>
          <cell r="M49" t="str">
            <v>March</v>
          </cell>
          <cell r="N49">
            <v>45726</v>
          </cell>
          <cell r="O49" t="str">
            <v>NA</v>
          </cell>
          <cell r="P49" t="str">
            <v>Relevante</v>
          </cell>
          <cell r="R49" t="str">
            <v>FTE</v>
          </cell>
          <cell r="S49" t="str">
            <v>FTE</v>
          </cell>
          <cell r="U49" t="str">
            <v>USD</v>
          </cell>
          <cell r="AA49" t="str">
            <v>NA</v>
          </cell>
          <cell r="AN49" t="str">
            <v>NA</v>
          </cell>
          <cell r="AO49">
            <v>4515</v>
          </cell>
          <cell r="AP49" t="str">
            <v>Pending</v>
          </cell>
          <cell r="AQ49" t="str">
            <v>Pending</v>
          </cell>
        </row>
        <row r="50">
          <cell r="A50">
            <v>1</v>
          </cell>
          <cell r="B50" t="str">
            <v>CSK+Vantedge</v>
          </cell>
          <cell r="C50" t="str">
            <v>Scot Shields</v>
          </cell>
          <cell r="D50" t="str">
            <v>M Harinath</v>
          </cell>
          <cell r="E50" t="str">
            <v>VB0541</v>
          </cell>
          <cell r="F50" t="str">
            <v>Mayank Saxena</v>
          </cell>
          <cell r="G50" t="str">
            <v>Vinoth L</v>
          </cell>
          <cell r="H50" t="str">
            <v>Rashmi Bhatnagar</v>
          </cell>
          <cell r="I50" t="str">
            <v>Split</v>
          </cell>
          <cell r="K50" t="str">
            <v>Gen AI Engineer</v>
          </cell>
          <cell r="L50" t="str">
            <v>Jun</v>
          </cell>
          <cell r="M50" t="str">
            <v>June</v>
          </cell>
          <cell r="N50">
            <v>45817</v>
          </cell>
          <cell r="O50" t="str">
            <v>NA</v>
          </cell>
          <cell r="P50" t="str">
            <v>Tredence</v>
          </cell>
          <cell r="R50" t="str">
            <v>FTE</v>
          </cell>
          <cell r="S50" t="str">
            <v>FTE</v>
          </cell>
          <cell r="U50" t="str">
            <v>USD</v>
          </cell>
          <cell r="X50" t="str">
            <v>,</v>
          </cell>
          <cell r="AA50" t="str">
            <v>NA</v>
          </cell>
          <cell r="AN50" t="str">
            <v>NA</v>
          </cell>
          <cell r="AO50">
            <v>16800</v>
          </cell>
          <cell r="AP50" t="str">
            <v>Done</v>
          </cell>
          <cell r="AQ50" t="str">
            <v>Done</v>
          </cell>
        </row>
        <row r="51">
          <cell r="A51">
            <v>1</v>
          </cell>
          <cell r="B51" t="str">
            <v>CSK</v>
          </cell>
          <cell r="C51" t="str">
            <v>Phanichander Katakam</v>
          </cell>
          <cell r="D51" t="str">
            <v>M Harinath</v>
          </cell>
          <cell r="E51" t="str">
            <v>VB0541</v>
          </cell>
          <cell r="F51" t="str">
            <v>Vinoth L</v>
          </cell>
          <cell r="G51" t="str">
            <v>Vinoth L</v>
          </cell>
          <cell r="I51" t="str">
            <v>Individual</v>
          </cell>
          <cell r="K51" t="str">
            <v>Onsite</v>
          </cell>
          <cell r="L51" t="str">
            <v>React JS Developer</v>
          </cell>
          <cell r="M51" t="str">
            <v>June</v>
          </cell>
          <cell r="N51">
            <v>45824</v>
          </cell>
          <cell r="O51" t="str">
            <v>NA</v>
          </cell>
          <cell r="P51" t="str">
            <v>Apexon</v>
          </cell>
          <cell r="R51" t="str">
            <v>FTE</v>
          </cell>
          <cell r="S51" t="str">
            <v>FTE</v>
          </cell>
          <cell r="U51" t="str">
            <v>USD</v>
          </cell>
          <cell r="AA51" t="str">
            <v>NA</v>
          </cell>
          <cell r="AN51" t="str">
            <v>NA</v>
          </cell>
          <cell r="AO51">
            <v>2000</v>
          </cell>
          <cell r="AP51" t="str">
            <v>Pending</v>
          </cell>
          <cell r="AQ51" t="str">
            <v>Pending</v>
          </cell>
        </row>
        <row r="52">
          <cell r="A52">
            <v>1</v>
          </cell>
          <cell r="B52" t="str">
            <v>Pioneer - Lucky</v>
          </cell>
          <cell r="C52" t="str">
            <v>Sandeep Samrat Bendala.</v>
          </cell>
          <cell r="D52" t="str">
            <v>Pragati Mishra</v>
          </cell>
          <cell r="E52" t="str">
            <v>VB1276</v>
          </cell>
          <cell r="F52" t="str">
            <v>Lucky Jain</v>
          </cell>
          <cell r="G52" t="str">
            <v>Lucky Jain</v>
          </cell>
          <cell r="I52" t="str">
            <v>Individual</v>
          </cell>
          <cell r="K52" t="str">
            <v>Remote</v>
          </cell>
          <cell r="L52" t="str">
            <v>SIAM Delivery Lead</v>
          </cell>
          <cell r="M52" t="str">
            <v>July</v>
          </cell>
          <cell r="N52">
            <v>45845</v>
          </cell>
          <cell r="O52" t="str">
            <v>NA</v>
          </cell>
          <cell r="P52" t="str">
            <v>Mphasis</v>
          </cell>
          <cell r="Q52" t="str">
            <v>Rishabh Sinha</v>
          </cell>
          <cell r="R52" t="str">
            <v>FTE</v>
          </cell>
          <cell r="S52" t="str">
            <v>FTE</v>
          </cell>
          <cell r="U52" t="str">
            <v>USD</v>
          </cell>
          <cell r="AA52" t="str">
            <v>NA</v>
          </cell>
          <cell r="AN52" t="str">
            <v>NA</v>
          </cell>
          <cell r="AO52">
            <v>4000</v>
          </cell>
          <cell r="AP52" t="str">
            <v>Done</v>
          </cell>
          <cell r="AQ52" t="str">
            <v>Done</v>
          </cell>
        </row>
        <row r="53">
          <cell r="A53">
            <v>1</v>
          </cell>
          <cell r="B53" t="str">
            <v>CSK+Vantedge</v>
          </cell>
          <cell r="C53" t="str">
            <v>Kishore Babu Tenneti</v>
          </cell>
          <cell r="D53" t="str">
            <v>M Harinath</v>
          </cell>
          <cell r="E53" t="str">
            <v>VB0541</v>
          </cell>
          <cell r="F53" t="str">
            <v>Mayank Saxena</v>
          </cell>
          <cell r="G53" t="str">
            <v>Vinoth L</v>
          </cell>
          <cell r="H53" t="str">
            <v>Rashmi Bhatnagar</v>
          </cell>
          <cell r="I53" t="str">
            <v>Split</v>
          </cell>
          <cell r="K53" t="str">
            <v>Remote</v>
          </cell>
          <cell r="L53" t="str">
            <v>Data Architect</v>
          </cell>
          <cell r="M53" t="str">
            <v> September</v>
          </cell>
          <cell r="N53">
            <v>45903</v>
          </cell>
          <cell r="O53" t="str">
            <v>NA</v>
          </cell>
          <cell r="P53" t="str">
            <v>Tredence</v>
          </cell>
          <cell r="Q53" t="str">
            <v>Harshit</v>
          </cell>
          <cell r="R53" t="str">
            <v>FTE</v>
          </cell>
          <cell r="S53" t="str">
            <v>FTE</v>
          </cell>
          <cell r="U53" t="str">
            <v>USD</v>
          </cell>
          <cell r="AA53" t="str">
            <v>NA</v>
          </cell>
          <cell r="AN53" t="str">
            <v>NA</v>
          </cell>
          <cell r="AO53">
            <v>12400</v>
          </cell>
          <cell r="AP53" t="str">
            <v>Pending</v>
          </cell>
          <cell r="AQ53" t="str">
            <v>Pending</v>
          </cell>
        </row>
        <row r="54">
          <cell r="A54">
            <v>1</v>
          </cell>
          <cell r="B54" t="str">
            <v>CSK</v>
          </cell>
          <cell r="C54" t="str">
            <v xml:space="preserve">Taylor Fink </v>
          </cell>
          <cell r="D54" t="str">
            <v>Ajith Gunasekar</v>
          </cell>
          <cell r="E54" t="str">
            <v>VB1068</v>
          </cell>
          <cell r="F54" t="str">
            <v>Vinoth L</v>
          </cell>
          <cell r="G54" t="str">
            <v>Akbar I</v>
          </cell>
          <cell r="I54" t="str">
            <v>Split</v>
          </cell>
          <cell r="K54" t="str">
            <v>Remote</v>
          </cell>
          <cell r="L54" t="str">
            <v>Business Development Executive</v>
          </cell>
          <cell r="M54" t="str">
            <v>October</v>
          </cell>
          <cell r="N54">
            <v>45931</v>
          </cell>
          <cell r="O54" t="str">
            <v>NA</v>
          </cell>
          <cell r="P54" t="str">
            <v>Relevante</v>
          </cell>
          <cell r="R54" t="str">
            <v>FTE</v>
          </cell>
          <cell r="S54" t="str">
            <v>FTE</v>
          </cell>
          <cell r="U54" t="str">
            <v>USD</v>
          </cell>
          <cell r="AA54" t="str">
            <v>NA</v>
          </cell>
          <cell r="AN54" t="str">
            <v>NA</v>
          </cell>
          <cell r="AO54">
            <v>4200</v>
          </cell>
          <cell r="AP54" t="str">
            <v>Pending</v>
          </cell>
          <cell r="AQ54" t="str">
            <v>Pending</v>
          </cell>
        </row>
        <row r="55">
          <cell r="A55">
            <v>1</v>
          </cell>
          <cell r="B55" t="str">
            <v>CSK</v>
          </cell>
          <cell r="C55" t="str">
            <v>Giga Songulashvil</v>
          </cell>
          <cell r="D55" t="str">
            <v>M Harinath</v>
          </cell>
          <cell r="E55" t="str">
            <v>VB0541</v>
          </cell>
          <cell r="F55" t="str">
            <v>Vinoth L</v>
          </cell>
          <cell r="G55" t="str">
            <v>Vinoth L</v>
          </cell>
          <cell r="I55" t="str">
            <v>Individual</v>
          </cell>
          <cell r="K55" t="str">
            <v>Remote</v>
          </cell>
          <cell r="L55" t="str">
            <v>React JS Developer</v>
          </cell>
          <cell r="M55" t="str">
            <v>October</v>
          </cell>
          <cell r="N55">
            <v>45957</v>
          </cell>
          <cell r="O55" t="str">
            <v>NA</v>
          </cell>
          <cell r="P55" t="str">
            <v>Apexon</v>
          </cell>
          <cell r="R55" t="str">
            <v>FTE</v>
          </cell>
          <cell r="S55" t="str">
            <v>FTE</v>
          </cell>
          <cell r="U55" t="str">
            <v>USD</v>
          </cell>
          <cell r="AA55" t="str">
            <v>NA</v>
          </cell>
          <cell r="AN55" t="str">
            <v>NA</v>
          </cell>
          <cell r="AO55">
            <v>2500</v>
          </cell>
          <cell r="AP55" t="str">
            <v>Pending</v>
          </cell>
          <cell r="AQ55" t="str">
            <v>Pending</v>
          </cell>
        </row>
        <row r="56">
          <cell r="A56">
            <v>1</v>
          </cell>
          <cell r="B56" t="str">
            <v>Trust</v>
          </cell>
          <cell r="C56" t="str">
            <v>Wisdom Agbangba Primus</v>
          </cell>
          <cell r="D56" t="str">
            <v>Sana Zohra</v>
          </cell>
          <cell r="F56" t="str">
            <v>Harsh Agrawal</v>
          </cell>
          <cell r="G56" t="str">
            <v>Harsh Agrawal</v>
          </cell>
          <cell r="L56" t="str">
            <v xml:space="preserve">S/4 Hana Group Reporting Lead </v>
          </cell>
          <cell r="M56" t="str">
            <v>January</v>
          </cell>
          <cell r="N56">
            <v>45678</v>
          </cell>
          <cell r="O56">
            <v>45716</v>
          </cell>
          <cell r="P56" t="str">
            <v>BirlaSoft</v>
          </cell>
          <cell r="R56" t="str">
            <v>Contract</v>
          </cell>
          <cell r="S56" t="str">
            <v>W2</v>
          </cell>
          <cell r="V56">
            <v>105</v>
          </cell>
          <cell r="AA56">
            <v>7.95</v>
          </cell>
          <cell r="AN56">
            <v>0</v>
          </cell>
          <cell r="AO56">
            <v>0</v>
          </cell>
          <cell r="AP56" t="str">
            <v>No Bill No Pay</v>
          </cell>
          <cell r="AQ56" t="str">
            <v>No bill no pay</v>
          </cell>
        </row>
        <row r="57">
          <cell r="A57">
            <v>1</v>
          </cell>
          <cell r="B57" t="str">
            <v>Titans</v>
          </cell>
          <cell r="C57" t="str">
            <v>Krishna Priya Gadiraju</v>
          </cell>
          <cell r="D57" t="str">
            <v>Manish Kumar Dhiman</v>
          </cell>
          <cell r="F57" t="str">
            <v>Abhishek Yadav</v>
          </cell>
          <cell r="G57" t="str">
            <v>Abhishek Yadav</v>
          </cell>
          <cell r="L57" t="str">
            <v>Oracle D2K Forms Support Analyst</v>
          </cell>
          <cell r="M57" t="str">
            <v>February</v>
          </cell>
          <cell r="N57">
            <v>45691</v>
          </cell>
          <cell r="O57">
            <v>45883</v>
          </cell>
          <cell r="P57" t="str">
            <v>Genpact</v>
          </cell>
          <cell r="R57" t="str">
            <v>Contract</v>
          </cell>
          <cell r="S57" t="str">
            <v>W2</v>
          </cell>
          <cell r="V57">
            <v>65</v>
          </cell>
          <cell r="AA57">
            <v>6</v>
          </cell>
          <cell r="AN57">
            <v>664</v>
          </cell>
          <cell r="AO57">
            <v>3984</v>
          </cell>
          <cell r="AP57" t="str">
            <v>Active</v>
          </cell>
          <cell r="AQ57" t="str">
            <v>May</v>
          </cell>
        </row>
        <row r="58">
          <cell r="A58">
            <v>1</v>
          </cell>
          <cell r="B58" t="str">
            <v>Wellness Warriors-IT</v>
          </cell>
          <cell r="C58" t="str">
            <v>Jeffrey Ronaldo Ortiz</v>
          </cell>
          <cell r="D58" t="str">
            <v xml:space="preserve">Mohd Ateeq </v>
          </cell>
          <cell r="F58" t="str">
            <v xml:space="preserve">Abdul Rahman </v>
          </cell>
          <cell r="G58" t="str">
            <v xml:space="preserve">Abdul Rahman </v>
          </cell>
          <cell r="L58" t="str">
            <v xml:space="preserve">Data Engineer </v>
          </cell>
          <cell r="M58" t="str">
            <v>February</v>
          </cell>
          <cell r="N58">
            <v>45701</v>
          </cell>
          <cell r="O58">
            <v>45935</v>
          </cell>
          <cell r="P58" t="str">
            <v>Xebia</v>
          </cell>
          <cell r="R58" t="str">
            <v>Contract</v>
          </cell>
          <cell r="S58" t="str">
            <v>W2</v>
          </cell>
          <cell r="V58">
            <v>70</v>
          </cell>
          <cell r="AA58">
            <v>5</v>
          </cell>
          <cell r="AN58">
            <v>824</v>
          </cell>
          <cell r="AO58">
            <v>4120</v>
          </cell>
          <cell r="AP58" t="str">
            <v>Active</v>
          </cell>
          <cell r="AQ58" t="str">
            <v>Sep</v>
          </cell>
        </row>
        <row r="59">
          <cell r="A59">
            <v>1</v>
          </cell>
          <cell r="B59" t="str">
            <v>Trust</v>
          </cell>
          <cell r="C59" t="str">
            <v>Abdullah Sikandar</v>
          </cell>
          <cell r="D59" t="str">
            <v>Ashish Saxena</v>
          </cell>
          <cell r="F59" t="str">
            <v>Ashish Saxena</v>
          </cell>
          <cell r="G59" t="str">
            <v>Harsh Agarwal</v>
          </cell>
          <cell r="L59" t="str">
            <v>Cloud Security SME</v>
          </cell>
          <cell r="M59" t="str">
            <v>February</v>
          </cell>
          <cell r="N59">
            <v>45701</v>
          </cell>
          <cell r="O59">
            <v>45786</v>
          </cell>
          <cell r="P59" t="str">
            <v xml:space="preserve">Global Logic </v>
          </cell>
          <cell r="R59" t="str">
            <v>Contract</v>
          </cell>
          <cell r="S59" t="str">
            <v>W2</v>
          </cell>
          <cell r="V59">
            <v>100</v>
          </cell>
          <cell r="AA59">
            <v>2</v>
          </cell>
          <cell r="AN59">
            <v>1012</v>
          </cell>
          <cell r="AO59">
            <v>2024</v>
          </cell>
          <cell r="AP59" t="str">
            <v>Active</v>
          </cell>
          <cell r="AQ59" t="str">
            <v>Sep</v>
          </cell>
        </row>
        <row r="60">
          <cell r="A60">
            <v>1</v>
          </cell>
          <cell r="B60" t="str">
            <v>Mavericks</v>
          </cell>
          <cell r="C60" t="str">
            <v>Ja Love</v>
          </cell>
          <cell r="D60" t="str">
            <v xml:space="preserve">Vaibhav Kumar </v>
          </cell>
          <cell r="F60" t="str">
            <v xml:space="preserve">Saurabh Mishra </v>
          </cell>
          <cell r="G60" t="str">
            <v xml:space="preserve">Saurabh Mishra </v>
          </cell>
          <cell r="L60" t="str">
            <v>Guidewire System Analyst</v>
          </cell>
          <cell r="M60" t="str">
            <v>February</v>
          </cell>
          <cell r="N60">
            <v>45698</v>
          </cell>
          <cell r="O60">
            <v>45838</v>
          </cell>
          <cell r="P60" t="str">
            <v>Quess GTS</v>
          </cell>
          <cell r="R60" t="str">
            <v>Contract</v>
          </cell>
          <cell r="S60" t="str">
            <v>W2</v>
          </cell>
          <cell r="V60">
            <v>80</v>
          </cell>
          <cell r="AA60">
            <v>4</v>
          </cell>
          <cell r="AN60">
            <v>12</v>
          </cell>
          <cell r="AO60">
            <v>48</v>
          </cell>
          <cell r="AP60" t="str">
            <v>Quit</v>
          </cell>
          <cell r="AQ60">
            <v>45775</v>
          </cell>
        </row>
        <row r="61">
          <cell r="A61">
            <v>1</v>
          </cell>
          <cell r="B61" t="str">
            <v>Trust</v>
          </cell>
          <cell r="C61" t="str">
            <v>William Alexander  Fuentes</v>
          </cell>
          <cell r="D61" t="str">
            <v>Rishabh Kapoor</v>
          </cell>
          <cell r="F61" t="str">
            <v>Harsh Agrawal</v>
          </cell>
          <cell r="G61" t="str">
            <v>Harsh Agrawal</v>
          </cell>
          <cell r="L61" t="str">
            <v>Desktop Engineer -</v>
          </cell>
          <cell r="M61" t="str">
            <v>February</v>
          </cell>
          <cell r="N61">
            <v>45707</v>
          </cell>
          <cell r="O61">
            <v>45713</v>
          </cell>
          <cell r="P61" t="str">
            <v>Movate</v>
          </cell>
          <cell r="R61" t="str">
            <v>Contract</v>
          </cell>
          <cell r="S61" t="str">
            <v>W2</v>
          </cell>
          <cell r="V61">
            <v>30</v>
          </cell>
          <cell r="AA61">
            <v>8.0500000000000007</v>
          </cell>
          <cell r="AN61">
            <v>1032</v>
          </cell>
          <cell r="AO61">
            <v>8307.6</v>
          </cell>
          <cell r="AP61" t="str">
            <v>Active</v>
          </cell>
          <cell r="AQ61" t="str">
            <v>Sep</v>
          </cell>
        </row>
        <row r="62">
          <cell r="A62">
            <v>1</v>
          </cell>
          <cell r="B62" t="str">
            <v>Mavericks</v>
          </cell>
          <cell r="C62" t="str">
            <v xml:space="preserve">Mausamiben Patel </v>
          </cell>
          <cell r="D62" t="str">
            <v>Khatib Ur Rahman</v>
          </cell>
          <cell r="F62" t="str">
            <v>Kashif Nabi</v>
          </cell>
          <cell r="G62" t="str">
            <v>Kashif Nabi</v>
          </cell>
          <cell r="L62" t="str">
            <v>Salesforce Functional Lead</v>
          </cell>
          <cell r="M62" t="str">
            <v>April</v>
          </cell>
          <cell r="N62">
            <v>45754</v>
          </cell>
          <cell r="O62">
            <v>45884</v>
          </cell>
          <cell r="P62" t="str">
            <v>ReWorld</v>
          </cell>
          <cell r="R62" t="str">
            <v>Contract</v>
          </cell>
          <cell r="S62" t="str">
            <v>W2</v>
          </cell>
          <cell r="V62">
            <v>105</v>
          </cell>
          <cell r="AA62">
            <v>5.65</v>
          </cell>
          <cell r="AN62">
            <v>979</v>
          </cell>
          <cell r="AO62">
            <v>5531.35</v>
          </cell>
          <cell r="AP62" t="str">
            <v>Active</v>
          </cell>
          <cell r="AQ62" t="str">
            <v>Sep</v>
          </cell>
        </row>
        <row r="63">
          <cell r="A63">
            <v>1</v>
          </cell>
          <cell r="B63" t="str">
            <v>Titans</v>
          </cell>
          <cell r="C63" t="str">
            <v>Earl Samuel Wilkerson</v>
          </cell>
          <cell r="D63" t="str">
            <v>Priya Yadav</v>
          </cell>
          <cell r="F63" t="str">
            <v>Abhishek yadav</v>
          </cell>
          <cell r="G63" t="str">
            <v>Abhishek yadav</v>
          </cell>
          <cell r="L63" t="str">
            <v>Accounting &amp; Reconciliation Consultant</v>
          </cell>
          <cell r="M63" t="str">
            <v>May</v>
          </cell>
          <cell r="N63">
            <v>45789</v>
          </cell>
          <cell r="O63">
            <v>45839</v>
          </cell>
          <cell r="P63" t="str">
            <v>Genpact</v>
          </cell>
          <cell r="R63" t="str">
            <v>Contract</v>
          </cell>
          <cell r="S63" t="str">
            <v>W2</v>
          </cell>
          <cell r="V63">
            <v>45</v>
          </cell>
          <cell r="AA63">
            <v>8</v>
          </cell>
          <cell r="AN63">
            <v>912</v>
          </cell>
          <cell r="AO63">
            <v>7296</v>
          </cell>
          <cell r="AP63" t="str">
            <v>Active</v>
          </cell>
          <cell r="AQ63" t="str">
            <v>Sep</v>
          </cell>
        </row>
        <row r="64">
          <cell r="A64">
            <v>1</v>
          </cell>
          <cell r="B64" t="str">
            <v>Titans</v>
          </cell>
          <cell r="C64" t="str">
            <v>Vanil Rani Kurra</v>
          </cell>
          <cell r="D64" t="str">
            <v>Aditya Yadav</v>
          </cell>
          <cell r="F64" t="str">
            <v>Aditya Kumar Yadav </v>
          </cell>
          <cell r="G64" t="str">
            <v>Aditya Kumar Yadav </v>
          </cell>
          <cell r="L64" t="str">
            <v>Laboratory Technician</v>
          </cell>
          <cell r="M64" t="str">
            <v>June</v>
          </cell>
          <cell r="N64">
            <v>45817</v>
          </cell>
          <cell r="O64" t="str">
            <v>NA</v>
          </cell>
          <cell r="P64" t="str">
            <v>Cyient</v>
          </cell>
          <cell r="R64" t="str">
            <v>Contract</v>
          </cell>
          <cell r="S64" t="str">
            <v>W2</v>
          </cell>
          <cell r="V64">
            <v>55</v>
          </cell>
          <cell r="AA64">
            <v>6</v>
          </cell>
          <cell r="AN64">
            <v>904</v>
          </cell>
          <cell r="AO64">
            <v>5424</v>
          </cell>
          <cell r="AP64" t="str">
            <v>Active</v>
          </cell>
          <cell r="AQ64" t="str">
            <v>Sep</v>
          </cell>
        </row>
        <row r="65">
          <cell r="A65">
            <v>1</v>
          </cell>
          <cell r="B65" t="str">
            <v>Mavericks</v>
          </cell>
          <cell r="C65" t="str">
            <v>Joshua Tyrrel Mills</v>
          </cell>
          <cell r="D65" t="str">
            <v>Apurv Joshi</v>
          </cell>
          <cell r="F65" t="str">
            <v>MD Tariq</v>
          </cell>
          <cell r="G65" t="str">
            <v>TL Kashif Nabi</v>
          </cell>
          <cell r="L65" t="str">
            <v>PL/SQL Developer</v>
          </cell>
          <cell r="M65" t="str">
            <v>June</v>
          </cell>
          <cell r="N65">
            <v>45835</v>
          </cell>
          <cell r="O65">
            <v>45898</v>
          </cell>
          <cell r="P65" t="str">
            <v>Genpact</v>
          </cell>
          <cell r="R65" t="str">
            <v>Contract</v>
          </cell>
          <cell r="S65" t="str">
            <v>W2</v>
          </cell>
          <cell r="V65">
            <v>60</v>
          </cell>
          <cell r="AA65">
            <v>2</v>
          </cell>
          <cell r="AN65">
            <v>264</v>
          </cell>
          <cell r="AO65">
            <v>528</v>
          </cell>
          <cell r="AP65" t="str">
            <v>Active</v>
          </cell>
          <cell r="AQ65" t="str">
            <v>Jun</v>
          </cell>
        </row>
        <row r="66">
          <cell r="A66">
            <v>1</v>
          </cell>
          <cell r="B66" t="str">
            <v>Titans</v>
          </cell>
          <cell r="C66" t="str">
            <v>Marty Renard Williams</v>
          </cell>
          <cell r="D66" t="str">
            <v>Priya Yadav</v>
          </cell>
          <cell r="F66" t="str">
            <v>Abhishek Yadav</v>
          </cell>
          <cell r="G66" t="str">
            <v>Abhishek Yadav</v>
          </cell>
          <cell r="L66" t="str">
            <v xml:space="preserve">Oracle D2K forms Analyst </v>
          </cell>
          <cell r="M66" t="str">
            <v>July</v>
          </cell>
          <cell r="N66">
            <v>45859</v>
          </cell>
          <cell r="O66" t="str">
            <v>NA</v>
          </cell>
          <cell r="P66" t="str">
            <v>Genpact</v>
          </cell>
          <cell r="R66" t="str">
            <v>Contract</v>
          </cell>
          <cell r="S66" t="str">
            <v>W2</v>
          </cell>
          <cell r="V66">
            <v>64</v>
          </cell>
          <cell r="AA66">
            <v>2</v>
          </cell>
          <cell r="AN66">
            <v>848</v>
          </cell>
          <cell r="AO66">
            <v>1696</v>
          </cell>
          <cell r="AP66" t="str">
            <v>Active</v>
          </cell>
          <cell r="AQ66" t="str">
            <v>Sep</v>
          </cell>
        </row>
        <row r="67">
          <cell r="A67">
            <v>1</v>
          </cell>
          <cell r="B67" t="str">
            <v>Titans</v>
          </cell>
          <cell r="C67" t="str">
            <v>PARVATHI CHUNDURI</v>
          </cell>
          <cell r="D67" t="str">
            <v xml:space="preserve">Manish Diman </v>
          </cell>
          <cell r="F67" t="str">
            <v>Abhishek Yadav</v>
          </cell>
          <cell r="G67" t="str">
            <v>Abhishek Yadav</v>
          </cell>
          <cell r="L67" t="str">
            <v>Quality Assurance Tester</v>
          </cell>
          <cell r="M67" t="str">
            <v>July</v>
          </cell>
          <cell r="N67">
            <v>45862</v>
          </cell>
          <cell r="O67" t="str">
            <v>NA</v>
          </cell>
          <cell r="P67" t="str">
            <v>Genpact</v>
          </cell>
          <cell r="R67" t="str">
            <v>Contract</v>
          </cell>
          <cell r="S67" t="str">
            <v>W2</v>
          </cell>
          <cell r="V67">
            <v>65</v>
          </cell>
          <cell r="AA67">
            <v>10</v>
          </cell>
          <cell r="AN67">
            <v>776</v>
          </cell>
          <cell r="AO67">
            <v>7760</v>
          </cell>
          <cell r="AP67" t="str">
            <v>Active</v>
          </cell>
          <cell r="AQ67" t="str">
            <v>Sep</v>
          </cell>
        </row>
        <row r="68">
          <cell r="A68">
            <v>1</v>
          </cell>
          <cell r="B68" t="str">
            <v>Trust</v>
          </cell>
          <cell r="C68" t="str">
            <v>Jatinkumar Mansuklal Modi</v>
          </cell>
          <cell r="D68" t="str">
            <v>Neelendra Dwivedi</v>
          </cell>
          <cell r="F68" t="str">
            <v>Ashish Saxena</v>
          </cell>
          <cell r="G68" t="str">
            <v>Harsh Agarwal</v>
          </cell>
          <cell r="L68" t="str">
            <v>Driver for Engineering Support - Dashcam &amp; Device Testing</v>
          </cell>
          <cell r="M68" t="str">
            <v>August</v>
          </cell>
          <cell r="N68">
            <v>45875</v>
          </cell>
          <cell r="O68" t="str">
            <v>NA</v>
          </cell>
          <cell r="P68" t="str">
            <v>Global Logic</v>
          </cell>
          <cell r="R68" t="str">
            <v>Contract</v>
          </cell>
          <cell r="S68" t="str">
            <v>W2</v>
          </cell>
          <cell r="V68">
            <v>25</v>
          </cell>
          <cell r="AA68">
            <v>15</v>
          </cell>
          <cell r="AN68">
            <v>688</v>
          </cell>
          <cell r="AO68">
            <v>10320</v>
          </cell>
          <cell r="AP68" t="str">
            <v>Active</v>
          </cell>
          <cell r="AQ68" t="str">
            <v>Sep</v>
          </cell>
        </row>
        <row r="69">
          <cell r="A69">
            <v>1</v>
          </cell>
          <cell r="B69" t="str">
            <v>Mavericks/Titans</v>
          </cell>
          <cell r="C69" t="str">
            <v>Manaswiny Podduturi</v>
          </cell>
          <cell r="D69" t="str">
            <v>Samad Qureshi</v>
          </cell>
          <cell r="F69" t="str">
            <v xml:space="preserve">Kashif Nabi and Nitins </v>
          </cell>
          <cell r="G69" t="str">
            <v xml:space="preserve">Kashif Nabi and Nitins </v>
          </cell>
          <cell r="L69" t="str">
            <v>Warehouse IT Site Lead</v>
          </cell>
          <cell r="M69" t="str">
            <v>August</v>
          </cell>
          <cell r="N69">
            <v>45880</v>
          </cell>
          <cell r="O69" t="str">
            <v>NA</v>
          </cell>
          <cell r="P69" t="str">
            <v>Genpact</v>
          </cell>
          <cell r="R69" t="str">
            <v>Contract</v>
          </cell>
          <cell r="S69" t="str">
            <v>W2</v>
          </cell>
          <cell r="V69">
            <v>70</v>
          </cell>
          <cell r="AA69">
            <v>3</v>
          </cell>
          <cell r="AN69">
            <v>848</v>
          </cell>
          <cell r="AO69">
            <v>2544</v>
          </cell>
          <cell r="AP69" t="str">
            <v>Active</v>
          </cell>
          <cell r="AQ69" t="str">
            <v>Sep</v>
          </cell>
        </row>
        <row r="70">
          <cell r="A70">
            <v>1</v>
          </cell>
          <cell r="B70" t="str">
            <v>Mavericks</v>
          </cell>
          <cell r="C70" t="str">
            <v>Victor Hugo Garcia Gamez</v>
          </cell>
          <cell r="D70" t="str">
            <v>Vivek Yadav</v>
          </cell>
          <cell r="F70" t="str">
            <v>Rohit Gupta</v>
          </cell>
          <cell r="G70" t="str">
            <v>Rohit Gupta</v>
          </cell>
          <cell r="L70" t="str">
            <v xml:space="preserve">Salesforce Developer </v>
          </cell>
          <cell r="M70" t="str">
            <v>January</v>
          </cell>
          <cell r="N70">
            <v>45659</v>
          </cell>
          <cell r="O70" t="str">
            <v>NA</v>
          </cell>
          <cell r="P70" t="str">
            <v>VBeyond</v>
          </cell>
          <cell r="R70" t="str">
            <v>Contract</v>
          </cell>
          <cell r="S70" t="str">
            <v>C2C</v>
          </cell>
          <cell r="V70">
            <v>100</v>
          </cell>
          <cell r="AA70">
            <v>8</v>
          </cell>
          <cell r="AN70">
            <v>0</v>
          </cell>
          <cell r="AO70">
            <v>0</v>
          </cell>
          <cell r="AP70" t="str">
            <v>No Bill No Pay</v>
          </cell>
          <cell r="AQ70" t="str">
            <v>No bill no pay</v>
          </cell>
        </row>
        <row r="71">
          <cell r="A71">
            <v>1</v>
          </cell>
          <cell r="B71" t="str">
            <v>Mavericks</v>
          </cell>
          <cell r="C71" t="str">
            <v>Shawna Diane Calhoun</v>
          </cell>
          <cell r="D71" t="str">
            <v>Saurabh Mishra</v>
          </cell>
          <cell r="F71" t="str">
            <v>MD Fakhrul</v>
          </cell>
          <cell r="G71" t="str">
            <v>MD Fakhrul</v>
          </cell>
          <cell r="L71" t="str">
            <v>Senior Business Systems Analyst</v>
          </cell>
          <cell r="M71" t="str">
            <v>January</v>
          </cell>
          <cell r="N71">
            <v>45672</v>
          </cell>
          <cell r="O71">
            <v>45716</v>
          </cell>
          <cell r="P71" t="str">
            <v>VBeyond</v>
          </cell>
          <cell r="R71" t="str">
            <v>Contract</v>
          </cell>
          <cell r="S71" t="str">
            <v>C2C</v>
          </cell>
          <cell r="V71">
            <v>105</v>
          </cell>
          <cell r="AA71">
            <v>5</v>
          </cell>
          <cell r="AN71">
            <v>912</v>
          </cell>
          <cell r="AO71">
            <v>4560</v>
          </cell>
          <cell r="AP71" t="str">
            <v>Active</v>
          </cell>
          <cell r="AQ71" t="str">
            <v>Sep</v>
          </cell>
        </row>
        <row r="72">
          <cell r="A72">
            <v>1</v>
          </cell>
          <cell r="B72" t="str">
            <v>Mavericks</v>
          </cell>
          <cell r="C72" t="str">
            <v>Vamshi Krishna Bandaru</v>
          </cell>
          <cell r="D72" t="str">
            <v>Akhilesh Gupta</v>
          </cell>
          <cell r="F72" t="str">
            <v>Rohit Gupta</v>
          </cell>
          <cell r="G72" t="str">
            <v>Rohit Gupta</v>
          </cell>
          <cell r="L72" t="str">
            <v>Data Engineer</v>
          </cell>
          <cell r="M72" t="str">
            <v>January</v>
          </cell>
          <cell r="N72">
            <v>45684</v>
          </cell>
          <cell r="O72" t="str">
            <v>NA</v>
          </cell>
          <cell r="P72" t="str">
            <v>CoForge</v>
          </cell>
          <cell r="R72" t="str">
            <v>Contract</v>
          </cell>
          <cell r="S72" t="str">
            <v>C2C</v>
          </cell>
          <cell r="V72">
            <v>75</v>
          </cell>
          <cell r="AA72">
            <v>7</v>
          </cell>
          <cell r="AN72">
            <v>457.5</v>
          </cell>
          <cell r="AO72">
            <v>3202.5</v>
          </cell>
          <cell r="AP72" t="str">
            <v>Active</v>
          </cell>
          <cell r="AQ72" t="str">
            <v>Sep</v>
          </cell>
        </row>
        <row r="73">
          <cell r="A73">
            <v>1</v>
          </cell>
          <cell r="B73" t="str">
            <v>Wellness Warriors-IT</v>
          </cell>
          <cell r="C73" t="str">
            <v>Shourya Ravula</v>
          </cell>
          <cell r="D73" t="str">
            <v>Hemanth Kumar</v>
          </cell>
          <cell r="F73" t="str">
            <v>Abdul Rahman</v>
          </cell>
          <cell r="G73" t="str">
            <v xml:space="preserve"> Akash Saxena</v>
          </cell>
          <cell r="L73" t="str">
            <v xml:space="preserve">Sr. Data Engineer </v>
          </cell>
          <cell r="M73" t="str">
            <v>February</v>
          </cell>
          <cell r="N73">
            <v>45706</v>
          </cell>
          <cell r="O73">
            <v>45841</v>
          </cell>
          <cell r="P73" t="str">
            <v>Xebia</v>
          </cell>
          <cell r="R73" t="str">
            <v>Contract</v>
          </cell>
          <cell r="S73" t="str">
            <v>C2C</v>
          </cell>
          <cell r="V73">
            <v>75</v>
          </cell>
          <cell r="AA73">
            <v>8</v>
          </cell>
          <cell r="AN73">
            <v>632</v>
          </cell>
          <cell r="AO73">
            <v>5056</v>
          </cell>
          <cell r="AP73" t="str">
            <v>Active</v>
          </cell>
          <cell r="AQ73" t="str">
            <v>sep</v>
          </cell>
        </row>
        <row r="74">
          <cell r="A74">
            <v>1</v>
          </cell>
          <cell r="B74" t="str">
            <v>Wellness Warriors-IT</v>
          </cell>
          <cell r="C74" t="str">
            <v>Robert Bartlett Baron</v>
          </cell>
          <cell r="D74" t="str">
            <v xml:space="preserve">Ravi Yadav </v>
          </cell>
          <cell r="F74" t="str">
            <v>Akash Saxena</v>
          </cell>
          <cell r="G74" t="str">
            <v>Akash Saxena</v>
          </cell>
          <cell r="L74" t="str">
            <v>Program Manager</v>
          </cell>
          <cell r="M74" t="str">
            <v>January</v>
          </cell>
          <cell r="N74">
            <v>45677</v>
          </cell>
          <cell r="O74">
            <v>45688</v>
          </cell>
          <cell r="P74" t="str">
            <v>Citius Tech</v>
          </cell>
          <cell r="R74" t="str">
            <v>Contract</v>
          </cell>
          <cell r="S74" t="str">
            <v>C2C</v>
          </cell>
          <cell r="V74">
            <v>118</v>
          </cell>
          <cell r="AA74">
            <v>7.25</v>
          </cell>
          <cell r="AO74">
            <v>0</v>
          </cell>
          <cell r="AP74" t="str">
            <v>No Bill No Pay</v>
          </cell>
          <cell r="AQ74" t="str">
            <v>No bill no pay</v>
          </cell>
        </row>
        <row r="75">
          <cell r="A75">
            <v>1</v>
          </cell>
          <cell r="B75" t="str">
            <v>Mavericks</v>
          </cell>
          <cell r="C75" t="str">
            <v>Andrew James Tevis</v>
          </cell>
          <cell r="D75" t="str">
            <v>Akhilesh Gupta</v>
          </cell>
          <cell r="F75" t="str">
            <v>Rohit Gupta</v>
          </cell>
          <cell r="G75" t="str">
            <v>Rohit Gupta</v>
          </cell>
          <cell r="L75" t="str">
            <v>Mobile IOS Tester</v>
          </cell>
          <cell r="M75" t="str">
            <v>February</v>
          </cell>
          <cell r="N75">
            <v>45691</v>
          </cell>
          <cell r="O75">
            <v>45838</v>
          </cell>
          <cell r="P75" t="str">
            <v>CoForge</v>
          </cell>
          <cell r="R75" t="str">
            <v>Contract</v>
          </cell>
          <cell r="S75" t="str">
            <v>C2C</v>
          </cell>
          <cell r="V75">
            <v>73</v>
          </cell>
          <cell r="AA75">
            <v>15</v>
          </cell>
          <cell r="AN75">
            <v>536</v>
          </cell>
          <cell r="AO75">
            <v>8040</v>
          </cell>
          <cell r="AP75" t="str">
            <v>Done</v>
          </cell>
          <cell r="AQ75" t="str">
            <v>Sep</v>
          </cell>
        </row>
        <row r="76">
          <cell r="A76">
            <v>1</v>
          </cell>
          <cell r="B76" t="str">
            <v>Mavericks</v>
          </cell>
          <cell r="C76" t="str">
            <v>Shruti Maini</v>
          </cell>
          <cell r="D76" t="str">
            <v>Himanshu Gupta Mavericks</v>
          </cell>
          <cell r="F76" t="str">
            <v>Rohit Gupta</v>
          </cell>
          <cell r="G76" t="str">
            <v>Rohit Gupta</v>
          </cell>
          <cell r="L76" t="str">
            <v>Mobile IOS Tester</v>
          </cell>
          <cell r="M76" t="str">
            <v>February</v>
          </cell>
          <cell r="N76">
            <v>45691</v>
          </cell>
          <cell r="O76">
            <v>45838</v>
          </cell>
          <cell r="P76" t="str">
            <v>CoForge</v>
          </cell>
          <cell r="R76" t="str">
            <v>Contract</v>
          </cell>
          <cell r="S76" t="str">
            <v>C2C</v>
          </cell>
          <cell r="V76">
            <v>73</v>
          </cell>
          <cell r="AA76">
            <v>6</v>
          </cell>
          <cell r="AN76">
            <v>632</v>
          </cell>
          <cell r="AO76">
            <v>3792</v>
          </cell>
          <cell r="AP76" t="str">
            <v>Active</v>
          </cell>
          <cell r="AQ76" t="str">
            <v>Sep</v>
          </cell>
        </row>
        <row r="77">
          <cell r="A77">
            <v>1</v>
          </cell>
          <cell r="B77" t="str">
            <v>Mavericks</v>
          </cell>
          <cell r="C77" t="str">
            <v>Pravallika Nalluri</v>
          </cell>
          <cell r="D77" t="str">
            <v>Priyanka Sharma</v>
          </cell>
          <cell r="F77" t="str">
            <v>Kashif Nabi</v>
          </cell>
          <cell r="G77" t="str">
            <v>Kashif Nabi</v>
          </cell>
          <cell r="L77" t="str">
            <v>Fortran Developer</v>
          </cell>
          <cell r="M77" t="str">
            <v>February</v>
          </cell>
          <cell r="N77">
            <v>45712</v>
          </cell>
          <cell r="O77">
            <v>45961</v>
          </cell>
          <cell r="P77" t="str">
            <v>Genpact</v>
          </cell>
          <cell r="R77" t="str">
            <v>Contract</v>
          </cell>
          <cell r="S77" t="str">
            <v>C2C</v>
          </cell>
          <cell r="V77">
            <v>76</v>
          </cell>
          <cell r="AA77">
            <v>11</v>
          </cell>
          <cell r="AN77">
            <v>584</v>
          </cell>
          <cell r="AO77">
            <v>6424</v>
          </cell>
          <cell r="AP77" t="str">
            <v>Active</v>
          </cell>
          <cell r="AQ77" t="str">
            <v>Sep</v>
          </cell>
        </row>
        <row r="78">
          <cell r="A78">
            <v>1</v>
          </cell>
          <cell r="B78" t="str">
            <v>Mavericks</v>
          </cell>
          <cell r="C78" t="str">
            <v>Amit Jain</v>
          </cell>
          <cell r="D78" t="str">
            <v>Ubaid Rahman</v>
          </cell>
          <cell r="F78" t="str">
            <v>Kashif Nabi</v>
          </cell>
          <cell r="G78" t="str">
            <v>Kashif Nabi</v>
          </cell>
          <cell r="L78" t="str">
            <v>Fortran Developer</v>
          </cell>
          <cell r="M78" t="str">
            <v>February</v>
          </cell>
          <cell r="N78">
            <v>45706</v>
          </cell>
          <cell r="O78">
            <v>45961</v>
          </cell>
          <cell r="P78" t="str">
            <v>Genpact</v>
          </cell>
          <cell r="R78" t="str">
            <v>Contract</v>
          </cell>
          <cell r="S78" t="str">
            <v>C2C</v>
          </cell>
          <cell r="V78">
            <v>75</v>
          </cell>
          <cell r="AA78">
            <v>15</v>
          </cell>
          <cell r="AN78">
            <v>424</v>
          </cell>
          <cell r="AO78">
            <v>6360</v>
          </cell>
          <cell r="AP78" t="str">
            <v>Active</v>
          </cell>
          <cell r="AQ78" t="str">
            <v>Sep</v>
          </cell>
        </row>
        <row r="79">
          <cell r="A79">
            <v>1</v>
          </cell>
          <cell r="B79" t="str">
            <v>Mavericks</v>
          </cell>
          <cell r="C79" t="str">
            <v>Hrithik Chowdary Kampally</v>
          </cell>
          <cell r="D79" t="str">
            <v>Purnima Mishra</v>
          </cell>
          <cell r="F79" t="str">
            <v>Kashif Nabi</v>
          </cell>
          <cell r="G79" t="str">
            <v>Kashif Nabi</v>
          </cell>
          <cell r="L79" t="str">
            <v>Payments - SME</v>
          </cell>
          <cell r="M79" t="str">
            <v>February</v>
          </cell>
          <cell r="N79">
            <v>45712</v>
          </cell>
          <cell r="O79" t="str">
            <v>NA</v>
          </cell>
          <cell r="P79" t="str">
            <v>Nous Infosystems</v>
          </cell>
          <cell r="R79" t="str">
            <v>Contract</v>
          </cell>
          <cell r="S79" t="str">
            <v>C2C</v>
          </cell>
          <cell r="V79">
            <v>90</v>
          </cell>
          <cell r="AA79">
            <v>15</v>
          </cell>
          <cell r="AN79">
            <v>448</v>
          </cell>
          <cell r="AO79">
            <v>6720</v>
          </cell>
          <cell r="AP79" t="str">
            <v>Active</v>
          </cell>
          <cell r="AQ79" t="str">
            <v>Sep</v>
          </cell>
        </row>
        <row r="80">
          <cell r="A80">
            <v>1</v>
          </cell>
          <cell r="B80" t="str">
            <v>Mavericks</v>
          </cell>
          <cell r="C80" t="str">
            <v>Afzal Ahmad Khan</v>
          </cell>
          <cell r="D80" t="str">
            <v>Anuj Tewari</v>
          </cell>
          <cell r="F80" t="str">
            <v>Rohit Gupta</v>
          </cell>
          <cell r="G80" t="str">
            <v>Rohit Gupta</v>
          </cell>
          <cell r="L80" t="str">
            <v>.Net Developer</v>
          </cell>
          <cell r="M80" t="str">
            <v>March</v>
          </cell>
          <cell r="N80">
            <v>45719</v>
          </cell>
          <cell r="O80" t="str">
            <v>NA</v>
          </cell>
          <cell r="P80" t="str">
            <v>CoForge</v>
          </cell>
          <cell r="R80" t="str">
            <v>Contract</v>
          </cell>
          <cell r="S80" t="str">
            <v>C2C</v>
          </cell>
          <cell r="V80">
            <v>70</v>
          </cell>
          <cell r="AA80">
            <v>6</v>
          </cell>
          <cell r="AN80">
            <v>354</v>
          </cell>
          <cell r="AO80">
            <v>2124</v>
          </cell>
          <cell r="AP80" t="str">
            <v>Active</v>
          </cell>
          <cell r="AQ80" t="str">
            <v>Sep</v>
          </cell>
        </row>
        <row r="81">
          <cell r="A81">
            <v>1</v>
          </cell>
          <cell r="B81" t="str">
            <v>Trust</v>
          </cell>
          <cell r="C81" t="str">
            <v>Abhimanyu Singh</v>
          </cell>
          <cell r="D81" t="str">
            <v>Rishabh Kapoor</v>
          </cell>
          <cell r="F81" t="str">
            <v>Ashish Saxena</v>
          </cell>
          <cell r="G81" t="str">
            <v>Harsh Agarwal</v>
          </cell>
          <cell r="L81" t="str">
            <v>GraphDB Architect</v>
          </cell>
          <cell r="M81" t="str">
            <v>March</v>
          </cell>
          <cell r="N81">
            <v>45720</v>
          </cell>
          <cell r="O81">
            <v>45849</v>
          </cell>
          <cell r="P81" t="str">
            <v>Global Logic</v>
          </cell>
          <cell r="R81" t="str">
            <v>Contract</v>
          </cell>
          <cell r="S81" t="str">
            <v>C2C</v>
          </cell>
          <cell r="V81">
            <v>92</v>
          </cell>
          <cell r="AA81">
            <v>1</v>
          </cell>
          <cell r="AN81">
            <v>280</v>
          </cell>
          <cell r="AO81">
            <v>280</v>
          </cell>
          <cell r="AP81" t="str">
            <v>Active</v>
          </cell>
          <cell r="AQ81" t="str">
            <v>aug</v>
          </cell>
        </row>
        <row r="82">
          <cell r="A82">
            <v>1</v>
          </cell>
          <cell r="B82" t="str">
            <v>Mavericks</v>
          </cell>
          <cell r="C82" t="str">
            <v xml:space="preserve">Leonid Lamburt </v>
          </cell>
          <cell r="D82" t="str">
            <v>Ubaid Rahman</v>
          </cell>
          <cell r="F82" t="str">
            <v>Kashif Nabi</v>
          </cell>
          <cell r="G82" t="str">
            <v>Kashif Nabi</v>
          </cell>
          <cell r="L82" t="str">
            <v>Atlassian Engineer</v>
          </cell>
          <cell r="M82" t="str">
            <v>March</v>
          </cell>
          <cell r="N82">
            <v>45726</v>
          </cell>
          <cell r="O82">
            <v>45806</v>
          </cell>
          <cell r="P82" t="str">
            <v>Genpact</v>
          </cell>
          <cell r="R82" t="str">
            <v>Contract</v>
          </cell>
          <cell r="S82" t="str">
            <v>C2C</v>
          </cell>
          <cell r="V82">
            <v>65</v>
          </cell>
          <cell r="AA82">
            <v>8</v>
          </cell>
          <cell r="AN82">
            <v>440</v>
          </cell>
          <cell r="AO82">
            <v>3520</v>
          </cell>
          <cell r="AP82" t="str">
            <v>Active</v>
          </cell>
          <cell r="AQ82" t="str">
            <v>Sep</v>
          </cell>
        </row>
        <row r="83">
          <cell r="A83">
            <v>1</v>
          </cell>
          <cell r="B83" t="str">
            <v>Mavericks</v>
          </cell>
          <cell r="C83" t="str">
            <v>Srinivas Pulkaram</v>
          </cell>
          <cell r="D83" t="str">
            <v>Khatib Rahman</v>
          </cell>
          <cell r="F83" t="str">
            <v>Kashif Nabi</v>
          </cell>
          <cell r="G83" t="str">
            <v>Kashif Nabi</v>
          </cell>
          <cell r="L83" t="str">
            <v>Solution Architect</v>
          </cell>
          <cell r="M83" t="str">
            <v>March</v>
          </cell>
          <cell r="N83">
            <v>45742</v>
          </cell>
          <cell r="O83" t="str">
            <v>NA</v>
          </cell>
          <cell r="P83" t="str">
            <v>Genpact</v>
          </cell>
          <cell r="R83" t="str">
            <v>Contract</v>
          </cell>
          <cell r="S83" t="str">
            <v>C2C</v>
          </cell>
          <cell r="V83">
            <v>75</v>
          </cell>
          <cell r="AA83">
            <v>10</v>
          </cell>
          <cell r="AN83">
            <v>288</v>
          </cell>
          <cell r="AO83">
            <v>2880</v>
          </cell>
          <cell r="AP83" t="str">
            <v>Active</v>
          </cell>
          <cell r="AQ83" t="str">
            <v>Sep</v>
          </cell>
        </row>
        <row r="84">
          <cell r="A84">
            <v>1</v>
          </cell>
          <cell r="B84" t="str">
            <v>Mavericks</v>
          </cell>
          <cell r="C84" t="str">
            <v>Frederic Pascal Denis Jubier</v>
          </cell>
          <cell r="D84" t="str">
            <v>Ekta Singh</v>
          </cell>
          <cell r="F84" t="str">
            <v>Rohit Gupta</v>
          </cell>
          <cell r="G84" t="str">
            <v>Rohit Gupta</v>
          </cell>
          <cell r="L84" t="str">
            <v>Mobile iOS Tester</v>
          </cell>
          <cell r="M84" t="str">
            <v>March</v>
          </cell>
          <cell r="N84">
            <v>45733</v>
          </cell>
          <cell r="O84" t="str">
            <v>NA</v>
          </cell>
          <cell r="P84" t="str">
            <v>CoForge</v>
          </cell>
          <cell r="R84" t="str">
            <v>Contract</v>
          </cell>
          <cell r="S84" t="str">
            <v>C2C</v>
          </cell>
          <cell r="V84">
            <v>73</v>
          </cell>
          <cell r="AA84">
            <v>13</v>
          </cell>
          <cell r="AN84">
            <v>227</v>
          </cell>
          <cell r="AO84">
            <v>2951</v>
          </cell>
          <cell r="AP84" t="str">
            <v>Active</v>
          </cell>
          <cell r="AQ84" t="str">
            <v>Sep</v>
          </cell>
        </row>
        <row r="85">
          <cell r="A85">
            <v>1</v>
          </cell>
          <cell r="B85" t="str">
            <v>Mavericks</v>
          </cell>
          <cell r="C85" t="str">
            <v>Timothy Douglas Scott</v>
          </cell>
          <cell r="D85" t="str">
            <v>Yogesh Bisht</v>
          </cell>
          <cell r="F85" t="str">
            <v>Rohit Gupta</v>
          </cell>
          <cell r="G85" t="str">
            <v>Rohit Gupta</v>
          </cell>
          <cell r="L85" t="str">
            <v>Advent Geneva RSL Developer</v>
          </cell>
          <cell r="M85" t="str">
            <v>March</v>
          </cell>
          <cell r="N85">
            <v>45727</v>
          </cell>
          <cell r="O85" t="str">
            <v>NA</v>
          </cell>
          <cell r="P85" t="str">
            <v>CoForge</v>
          </cell>
          <cell r="R85" t="str">
            <v>Contract</v>
          </cell>
          <cell r="S85" t="str">
            <v>C2C</v>
          </cell>
          <cell r="V85">
            <v>100</v>
          </cell>
          <cell r="AA85">
            <v>1</v>
          </cell>
          <cell r="AN85">
            <v>312</v>
          </cell>
          <cell r="AO85">
            <v>312</v>
          </cell>
          <cell r="AP85" t="str">
            <v>Active</v>
          </cell>
          <cell r="AQ85" t="str">
            <v>Sep</v>
          </cell>
        </row>
        <row r="86">
          <cell r="A86">
            <v>1</v>
          </cell>
          <cell r="B86" t="str">
            <v>Trust</v>
          </cell>
          <cell r="C86" t="str">
            <v>Douglas Campbell</v>
          </cell>
          <cell r="D86" t="str">
            <v>Sana Zohra</v>
          </cell>
          <cell r="F86" t="str">
            <v>Harsh Agrawal</v>
          </cell>
          <cell r="G86" t="str">
            <v>Harsh Agrawal</v>
          </cell>
          <cell r="L86" t="str">
            <v>Sap Production Logistics Consultant</v>
          </cell>
          <cell r="M86" t="str">
            <v>March</v>
          </cell>
          <cell r="N86">
            <v>45729</v>
          </cell>
          <cell r="O86">
            <v>45919</v>
          </cell>
          <cell r="P86" t="str">
            <v>Birlasoft</v>
          </cell>
          <cell r="R86" t="str">
            <v>Contract</v>
          </cell>
          <cell r="S86" t="str">
            <v>C2C</v>
          </cell>
          <cell r="V86">
            <v>117</v>
          </cell>
          <cell r="AA86">
            <v>2</v>
          </cell>
          <cell r="AN86">
            <v>288</v>
          </cell>
          <cell r="AO86">
            <v>576</v>
          </cell>
          <cell r="AP86" t="str">
            <v>Active</v>
          </cell>
          <cell r="AQ86" t="str">
            <v>Sep</v>
          </cell>
        </row>
        <row r="87">
          <cell r="A87">
            <v>1</v>
          </cell>
          <cell r="B87" t="str">
            <v>Trust</v>
          </cell>
          <cell r="C87" t="str">
            <v>Raja Pamisetty</v>
          </cell>
          <cell r="D87" t="str">
            <v>Virendra Vikram Singh</v>
          </cell>
          <cell r="F87" t="str">
            <v>Harsh Agrawal</v>
          </cell>
          <cell r="G87" t="str">
            <v>Harsh Agrawal</v>
          </cell>
          <cell r="L87" t="str">
            <v>Senior Project Manager</v>
          </cell>
          <cell r="M87" t="str">
            <v>March</v>
          </cell>
          <cell r="N87">
            <v>45743</v>
          </cell>
          <cell r="O87">
            <v>45839</v>
          </cell>
          <cell r="P87" t="str">
            <v>Birlasoft</v>
          </cell>
          <cell r="R87" t="str">
            <v>Contract</v>
          </cell>
          <cell r="S87" t="str">
            <v>C2C</v>
          </cell>
          <cell r="V87">
            <v>98</v>
          </cell>
          <cell r="AA87">
            <v>10</v>
          </cell>
          <cell r="AO87">
            <v>0</v>
          </cell>
          <cell r="AP87" t="str">
            <v>No Bill No Pay</v>
          </cell>
          <cell r="AQ87" t="str">
            <v>No bill no pay</v>
          </cell>
        </row>
        <row r="88">
          <cell r="A88">
            <v>1</v>
          </cell>
          <cell r="B88" t="str">
            <v>Trust</v>
          </cell>
          <cell r="C88" t="str">
            <v>Suchithira Vijayaraghavan</v>
          </cell>
          <cell r="D88" t="str">
            <v>Aarzoo Khan</v>
          </cell>
          <cell r="F88" t="str">
            <v>Harsh Agrawal</v>
          </cell>
          <cell r="G88" t="str">
            <v>Harsh Agrawal</v>
          </cell>
          <cell r="L88" t="str">
            <v>Senior Project Manager- Copilot Rollout</v>
          </cell>
          <cell r="M88" t="str">
            <v>April</v>
          </cell>
          <cell r="N88">
            <v>45754</v>
          </cell>
          <cell r="O88" t="str">
            <v>NA</v>
          </cell>
          <cell r="P88" t="str">
            <v>Birlasoft</v>
          </cell>
          <cell r="R88" t="str">
            <v>Contract</v>
          </cell>
          <cell r="S88" t="str">
            <v>C2C</v>
          </cell>
          <cell r="V88">
            <v>85</v>
          </cell>
          <cell r="AA88">
            <v>4</v>
          </cell>
          <cell r="AN88">
            <v>192</v>
          </cell>
          <cell r="AO88">
            <v>768</v>
          </cell>
          <cell r="AP88" t="str">
            <v>Active</v>
          </cell>
          <cell r="AQ88" t="str">
            <v>Sep</v>
          </cell>
        </row>
        <row r="89">
          <cell r="A89">
            <v>1</v>
          </cell>
          <cell r="B89" t="str">
            <v>Trust</v>
          </cell>
          <cell r="C89" t="str">
            <v>Kevin Scott Campbell</v>
          </cell>
          <cell r="D89" t="str">
            <v xml:space="preserve">Sana Zohra </v>
          </cell>
          <cell r="F89" t="str">
            <v>Ashish Saxena</v>
          </cell>
          <cell r="G89" t="str">
            <v>Harsh Agarwal</v>
          </cell>
          <cell r="L89" t="str">
            <v>Agile Coach</v>
          </cell>
          <cell r="M89" t="str">
            <v>April</v>
          </cell>
          <cell r="N89">
            <v>45762</v>
          </cell>
          <cell r="O89">
            <v>45863</v>
          </cell>
          <cell r="P89" t="str">
            <v>Global logic</v>
          </cell>
          <cell r="R89" t="str">
            <v>Contract</v>
          </cell>
          <cell r="S89" t="str">
            <v>C2C</v>
          </cell>
          <cell r="V89">
            <v>85</v>
          </cell>
          <cell r="AA89">
            <v>10</v>
          </cell>
          <cell r="AN89">
            <v>104</v>
          </cell>
          <cell r="AO89">
            <v>1040</v>
          </cell>
          <cell r="AP89" t="str">
            <v>Active</v>
          </cell>
          <cell r="AQ89" t="str">
            <v>Sep</v>
          </cell>
        </row>
        <row r="90">
          <cell r="A90">
            <v>1</v>
          </cell>
          <cell r="B90" t="str">
            <v>Trust</v>
          </cell>
          <cell r="C90" t="str">
            <v>Narendra Bevinahalli Ramachandra Rao</v>
          </cell>
          <cell r="D90" t="str">
            <v>Pushpendra Kumar  </v>
          </cell>
          <cell r="F90" t="str">
            <v>Bhanu Pratap Singh</v>
          </cell>
          <cell r="G90" t="str">
            <v>Harsh Agarwal</v>
          </cell>
          <cell r="L90" t="str">
            <v>Oracle Fusion Technical Developer</v>
          </cell>
          <cell r="M90" t="str">
            <v>April</v>
          </cell>
          <cell r="N90">
            <v>45748</v>
          </cell>
          <cell r="O90">
            <v>45926</v>
          </cell>
          <cell r="P90" t="str">
            <v>Fanatics</v>
          </cell>
          <cell r="R90" t="str">
            <v>Contract</v>
          </cell>
          <cell r="S90" t="str">
            <v>C2C</v>
          </cell>
          <cell r="V90">
            <v>135</v>
          </cell>
          <cell r="AA90">
            <v>2</v>
          </cell>
          <cell r="AN90">
            <v>56</v>
          </cell>
          <cell r="AO90">
            <v>112</v>
          </cell>
          <cell r="AP90" t="str">
            <v>Active</v>
          </cell>
          <cell r="AQ90" t="str">
            <v>Sep</v>
          </cell>
        </row>
        <row r="91">
          <cell r="A91">
            <v>1</v>
          </cell>
          <cell r="B91" t="str">
            <v>Mavericks</v>
          </cell>
          <cell r="C91" t="str">
            <v>Jeremy Jacob Ziegler</v>
          </cell>
          <cell r="D91" t="str">
            <v>Anuj Tewari</v>
          </cell>
          <cell r="F91" t="str">
            <v>Rohit Gupta</v>
          </cell>
          <cell r="G91" t="str">
            <v>Vivek Kumar Yadav</v>
          </cell>
          <cell r="L91" t="str">
            <v>Data Analyst with Alteryx</v>
          </cell>
          <cell r="M91" t="str">
            <v>April</v>
          </cell>
          <cell r="N91">
            <v>45749</v>
          </cell>
          <cell r="O91" t="str">
            <v>NA</v>
          </cell>
          <cell r="P91" t="str">
            <v>Fanatics</v>
          </cell>
          <cell r="R91" t="str">
            <v>Contract</v>
          </cell>
          <cell r="S91" t="str">
            <v>C2C</v>
          </cell>
          <cell r="V91">
            <v>125</v>
          </cell>
          <cell r="AA91">
            <v>9</v>
          </cell>
          <cell r="AN91">
            <v>56</v>
          </cell>
          <cell r="AO91">
            <v>504</v>
          </cell>
          <cell r="AP91" t="str">
            <v>Active</v>
          </cell>
          <cell r="AQ91" t="str">
            <v>Sep</v>
          </cell>
        </row>
        <row r="92">
          <cell r="A92">
            <v>1</v>
          </cell>
          <cell r="B92" t="str">
            <v>Mavericks</v>
          </cell>
          <cell r="C92" t="str">
            <v>Balachander Sundaresan</v>
          </cell>
          <cell r="D92" t="str">
            <v>Ubaid Rahman</v>
          </cell>
          <cell r="F92" t="str">
            <v>Kashif Nabi</v>
          </cell>
          <cell r="G92" t="str">
            <v>Kashif Nabi</v>
          </cell>
          <cell r="L92" t="str">
            <v>Cybersecurity SME</v>
          </cell>
          <cell r="M92" t="str">
            <v>April</v>
          </cell>
          <cell r="N92">
            <v>45768</v>
          </cell>
          <cell r="O92">
            <v>45930</v>
          </cell>
          <cell r="P92" t="str">
            <v>Genpact</v>
          </cell>
          <cell r="R92" t="str">
            <v>Contract</v>
          </cell>
          <cell r="S92" t="str">
            <v>C2C</v>
          </cell>
          <cell r="V92">
            <v>75</v>
          </cell>
          <cell r="AA92">
            <v>1</v>
          </cell>
          <cell r="AN92">
            <v>40</v>
          </cell>
          <cell r="AO92">
            <v>40</v>
          </cell>
          <cell r="AP92" t="str">
            <v>Active</v>
          </cell>
          <cell r="AQ92" t="str">
            <v>Sep</v>
          </cell>
        </row>
        <row r="93">
          <cell r="A93">
            <v>1</v>
          </cell>
          <cell r="B93" t="str">
            <v>Trust</v>
          </cell>
          <cell r="C93" t="str">
            <v>Karthik Kumar Reddy Gouni</v>
          </cell>
          <cell r="D93" t="str">
            <v xml:space="preserve">Virendra Vikram Singh </v>
          </cell>
          <cell r="F93" t="str">
            <v>Harsh Agrawal</v>
          </cell>
          <cell r="G93" t="str">
            <v>Harsh Agrawal</v>
          </cell>
          <cell r="L93" t="str">
            <v>SAP SuccessFactors Employee Central Payroll (ECP) consultant</v>
          </cell>
          <cell r="M93" t="str">
            <v>April</v>
          </cell>
          <cell r="N93">
            <v>45775</v>
          </cell>
          <cell r="O93" t="str">
            <v>NA</v>
          </cell>
          <cell r="P93" t="str">
            <v>Birlasoft</v>
          </cell>
          <cell r="R93" t="str">
            <v>Contract</v>
          </cell>
          <cell r="S93" t="str">
            <v>C2C</v>
          </cell>
          <cell r="V93">
            <v>102</v>
          </cell>
          <cell r="AA93">
            <v>7.25</v>
          </cell>
          <cell r="AN93">
            <v>80</v>
          </cell>
          <cell r="AO93">
            <v>580</v>
          </cell>
          <cell r="AP93" t="str">
            <v>Active</v>
          </cell>
          <cell r="AQ93" t="str">
            <v>Sep</v>
          </cell>
        </row>
        <row r="94">
          <cell r="A94">
            <v>1</v>
          </cell>
          <cell r="B94" t="str">
            <v>Trust</v>
          </cell>
          <cell r="C94" t="str">
            <v>Aparna Koranne 2nd</v>
          </cell>
          <cell r="D94" t="str">
            <v xml:space="preserve">Rajat Arora </v>
          </cell>
          <cell r="F94" t="str">
            <v>Harsh Agrawal</v>
          </cell>
          <cell r="G94" t="str">
            <v>Harsh Agrawal</v>
          </cell>
          <cell r="L94" t="str">
            <v>AI, Data &amp; Automation Architect</v>
          </cell>
          <cell r="M94" t="str">
            <v>May</v>
          </cell>
          <cell r="N94">
            <v>45782</v>
          </cell>
          <cell r="O94">
            <v>45807</v>
          </cell>
          <cell r="P94" t="str">
            <v>Birlasoft</v>
          </cell>
          <cell r="R94" t="str">
            <v>Contract</v>
          </cell>
          <cell r="S94" t="str">
            <v>C2C</v>
          </cell>
          <cell r="V94">
            <v>101</v>
          </cell>
          <cell r="AA94">
            <v>8.4499999999999993</v>
          </cell>
          <cell r="AN94">
            <v>0</v>
          </cell>
          <cell r="AO94">
            <v>0</v>
          </cell>
          <cell r="AP94" t="str">
            <v>Active</v>
          </cell>
        </row>
        <row r="95">
          <cell r="A95">
            <v>1</v>
          </cell>
          <cell r="B95" t="str">
            <v>Mavericks</v>
          </cell>
          <cell r="C95" t="str">
            <v>Kalyani Chittoju</v>
          </cell>
          <cell r="D95" t="str">
            <v>Vasudev Srivastava</v>
          </cell>
          <cell r="F95" t="str">
            <v>Kashif Nabi</v>
          </cell>
          <cell r="G95" t="str">
            <v>Khatib Rahman-TL</v>
          </cell>
          <cell r="L95" t="str">
            <v>SAP TMS Consultant</v>
          </cell>
          <cell r="M95" t="str">
            <v>April</v>
          </cell>
          <cell r="N95">
            <v>45770</v>
          </cell>
          <cell r="O95">
            <v>45930</v>
          </cell>
          <cell r="P95" t="str">
            <v>Genpact</v>
          </cell>
          <cell r="R95" t="str">
            <v>Contract</v>
          </cell>
          <cell r="S95" t="str">
            <v>C2C</v>
          </cell>
          <cell r="V95">
            <v>106</v>
          </cell>
          <cell r="AA95">
            <v>9</v>
          </cell>
          <cell r="AN95">
            <v>664</v>
          </cell>
          <cell r="AO95">
            <v>5976</v>
          </cell>
          <cell r="AP95" t="str">
            <v>Active</v>
          </cell>
        </row>
        <row r="96">
          <cell r="A96">
            <v>1</v>
          </cell>
          <cell r="B96" t="str">
            <v>Mavericks</v>
          </cell>
          <cell r="C96" t="str">
            <v>Karthik Polisetty</v>
          </cell>
          <cell r="D96" t="str">
            <v>Mohammad Tariq</v>
          </cell>
          <cell r="F96" t="str">
            <v>Kashif Nabi</v>
          </cell>
          <cell r="G96" t="str">
            <v>Kashif Nabi</v>
          </cell>
          <cell r="L96" t="str">
            <v>SAP EWM Consultant</v>
          </cell>
          <cell r="M96" t="str">
            <v>May</v>
          </cell>
          <cell r="N96">
            <v>45784</v>
          </cell>
          <cell r="O96">
            <v>45917</v>
          </cell>
          <cell r="P96" t="str">
            <v>Genpact</v>
          </cell>
          <cell r="R96" t="str">
            <v>Contract</v>
          </cell>
          <cell r="S96" t="str">
            <v>C2C</v>
          </cell>
          <cell r="V96">
            <v>84</v>
          </cell>
          <cell r="AA96">
            <v>5</v>
          </cell>
          <cell r="AN96">
            <v>824</v>
          </cell>
          <cell r="AO96">
            <v>4120</v>
          </cell>
          <cell r="AP96" t="str">
            <v>Active</v>
          </cell>
        </row>
        <row r="97">
          <cell r="A97">
            <v>1</v>
          </cell>
          <cell r="B97" t="str">
            <v>Wellness Warriors-IT</v>
          </cell>
          <cell r="C97" t="str">
            <v>Parameshwar Reddy Chilukuri</v>
          </cell>
          <cell r="D97" t="str">
            <v xml:space="preserve">Mohd Ateeq </v>
          </cell>
          <cell r="F97" t="str">
            <v>Abdul Rahman</v>
          </cell>
          <cell r="G97" t="str">
            <v>Abdul Rahman</v>
          </cell>
          <cell r="L97" t="str">
            <v>Salesforce QA Engineer  </v>
          </cell>
          <cell r="M97" t="str">
            <v>May</v>
          </cell>
          <cell r="N97">
            <v>45782</v>
          </cell>
          <cell r="O97">
            <v>45821</v>
          </cell>
          <cell r="P97" t="str">
            <v>Xebia</v>
          </cell>
          <cell r="R97" t="str">
            <v>Contract</v>
          </cell>
          <cell r="S97" t="str">
            <v>C2C</v>
          </cell>
          <cell r="V97">
            <v>55</v>
          </cell>
          <cell r="AA97">
            <v>6</v>
          </cell>
          <cell r="AN97">
            <v>1012</v>
          </cell>
          <cell r="AO97">
            <v>6072</v>
          </cell>
          <cell r="AP97" t="str">
            <v>Done</v>
          </cell>
          <cell r="AQ97" t="str">
            <v>Done</v>
          </cell>
        </row>
        <row r="98">
          <cell r="A98">
            <v>1</v>
          </cell>
          <cell r="B98" t="str">
            <v>Mavericks</v>
          </cell>
          <cell r="C98" t="str">
            <v>Srinivasarao Bude</v>
          </cell>
          <cell r="D98" t="str">
            <v>Mohd Danish</v>
          </cell>
          <cell r="F98" t="str">
            <v>Rohit Gupta</v>
          </cell>
          <cell r="G98" t="str">
            <v>Rohit Gupta</v>
          </cell>
          <cell r="L98" t="str">
            <v>Mainframe Developer</v>
          </cell>
          <cell r="M98" t="str">
            <v>June</v>
          </cell>
          <cell r="N98">
            <v>45817</v>
          </cell>
          <cell r="O98" t="str">
            <v>NA</v>
          </cell>
          <cell r="P98" t="str">
            <v>CoForge</v>
          </cell>
          <cell r="R98" t="str">
            <v>Contract</v>
          </cell>
          <cell r="S98" t="str">
            <v>C2C</v>
          </cell>
          <cell r="V98">
            <v>75</v>
          </cell>
          <cell r="AA98">
            <v>7.95</v>
          </cell>
          <cell r="AN98">
            <v>12</v>
          </cell>
          <cell r="AO98">
            <v>95.4</v>
          </cell>
          <cell r="AP98" t="str">
            <v>Done</v>
          </cell>
          <cell r="AQ98" t="str">
            <v>Done</v>
          </cell>
        </row>
        <row r="99">
          <cell r="A99">
            <v>1</v>
          </cell>
          <cell r="B99" t="str">
            <v>Wellness Warriors-IT</v>
          </cell>
          <cell r="C99" t="str">
            <v>Anwaruddin</v>
          </cell>
          <cell r="D99" t="str">
            <v xml:space="preserve">Mohd Ateeq </v>
          </cell>
          <cell r="F99" t="str">
            <v>Abdul Rahman</v>
          </cell>
          <cell r="G99" t="str">
            <v>Abdul Rahman</v>
          </cell>
          <cell r="L99" t="str">
            <v xml:space="preserve">Data Engineer/Analyst </v>
          </cell>
          <cell r="M99" t="str">
            <v>June</v>
          </cell>
          <cell r="N99">
            <v>45810</v>
          </cell>
          <cell r="O99">
            <v>45935</v>
          </cell>
          <cell r="P99" t="str">
            <v>Xebia</v>
          </cell>
          <cell r="R99" t="str">
            <v>Contract</v>
          </cell>
          <cell r="S99" t="str">
            <v>C2C</v>
          </cell>
          <cell r="V99">
            <v>76</v>
          </cell>
          <cell r="AA99">
            <v>6</v>
          </cell>
          <cell r="AN99">
            <v>1032</v>
          </cell>
          <cell r="AO99">
            <v>6192</v>
          </cell>
          <cell r="AP99" t="str">
            <v>Done</v>
          </cell>
          <cell r="AQ99" t="str">
            <v>Done</v>
          </cell>
        </row>
        <row r="100">
          <cell r="A100">
            <v>1</v>
          </cell>
          <cell r="B100" t="str">
            <v>Trust</v>
          </cell>
          <cell r="C100" t="str">
            <v xml:space="preserve">Mounika Reddem </v>
          </cell>
          <cell r="D100" t="str">
            <v>Rishabh Kapoor</v>
          </cell>
          <cell r="F100" t="str">
            <v>Harsh Agrawal</v>
          </cell>
          <cell r="G100" t="str">
            <v>Harsh Agrawal</v>
          </cell>
          <cell r="L100" t="str">
            <v>SAP S4 OTC Consultant</v>
          </cell>
          <cell r="M100" t="str">
            <v>June</v>
          </cell>
          <cell r="N100">
            <v>45810</v>
          </cell>
          <cell r="O100">
            <v>45891</v>
          </cell>
          <cell r="P100" t="str">
            <v>Birlasoft</v>
          </cell>
          <cell r="R100" t="str">
            <v>Contract</v>
          </cell>
          <cell r="S100" t="str">
            <v>C2C</v>
          </cell>
          <cell r="V100">
            <v>105</v>
          </cell>
          <cell r="AA100">
            <v>5</v>
          </cell>
          <cell r="AN100">
            <v>979</v>
          </cell>
          <cell r="AO100">
            <v>4895</v>
          </cell>
          <cell r="AP100" t="str">
            <v>Pending</v>
          </cell>
          <cell r="AQ100" t="str">
            <v>Pending</v>
          </cell>
        </row>
        <row r="101">
          <cell r="A101">
            <v>1</v>
          </cell>
          <cell r="B101" t="str">
            <v>Mavericks</v>
          </cell>
          <cell r="C101" t="str">
            <v>Satya Swaroop Devarakonda</v>
          </cell>
          <cell r="D101" t="str">
            <v>Purnima Mishra</v>
          </cell>
          <cell r="F101" t="str">
            <v>Kashif Nabi</v>
          </cell>
          <cell r="G101" t="str">
            <v>Kashif Nabi</v>
          </cell>
          <cell r="L101" t="str">
            <v>Peoplesoft Integration Developer</v>
          </cell>
          <cell r="M101" t="str">
            <v>May</v>
          </cell>
          <cell r="N101">
            <v>45806</v>
          </cell>
          <cell r="O101">
            <v>45930</v>
          </cell>
          <cell r="P101" t="str">
            <v>Genpact</v>
          </cell>
          <cell r="R101" t="str">
            <v>Contract</v>
          </cell>
          <cell r="S101" t="str">
            <v>C2C</v>
          </cell>
          <cell r="V101">
            <v>96</v>
          </cell>
          <cell r="AA101">
            <v>2</v>
          </cell>
          <cell r="AN101">
            <v>912</v>
          </cell>
          <cell r="AO101">
            <v>1824</v>
          </cell>
          <cell r="AP101" t="str">
            <v>Done</v>
          </cell>
          <cell r="AQ101" t="str">
            <v>Done</v>
          </cell>
        </row>
        <row r="102">
          <cell r="A102">
            <v>1</v>
          </cell>
          <cell r="B102" t="str">
            <v>Trust</v>
          </cell>
          <cell r="C102" t="str">
            <v>Anji Reddy Chilipi</v>
          </cell>
          <cell r="D102" t="str">
            <v>Purneshwar Mishra</v>
          </cell>
          <cell r="F102" t="str">
            <v>Shashank Yadav</v>
          </cell>
          <cell r="G102" t="str">
            <v>Shashank Yadav</v>
          </cell>
          <cell r="L102" t="str">
            <v>Cloud Platform Infrastructure Engineer</v>
          </cell>
          <cell r="M102" t="str">
            <v>May</v>
          </cell>
          <cell r="N102">
            <v>45799</v>
          </cell>
          <cell r="O102" t="str">
            <v>NA</v>
          </cell>
          <cell r="P102" t="str">
            <v>Birlasoft</v>
          </cell>
          <cell r="R102" t="str">
            <v>Contract</v>
          </cell>
          <cell r="S102" t="str">
            <v>C2C</v>
          </cell>
          <cell r="V102">
            <v>78</v>
          </cell>
          <cell r="AA102">
            <v>4</v>
          </cell>
          <cell r="AN102">
            <v>904</v>
          </cell>
          <cell r="AO102">
            <v>3616</v>
          </cell>
          <cell r="AP102" t="str">
            <v>Pending</v>
          </cell>
          <cell r="AQ102" t="str">
            <v>Pending</v>
          </cell>
        </row>
        <row r="103">
          <cell r="A103">
            <v>1</v>
          </cell>
          <cell r="B103" t="str">
            <v>Titans</v>
          </cell>
          <cell r="C103" t="str">
            <v>Tuhinaanshu Shekhar</v>
          </cell>
          <cell r="D103" t="str">
            <v xml:space="preserve">Shubham Srivastava </v>
          </cell>
          <cell r="F103" t="str">
            <v xml:space="preserve">Abhishek Yadav </v>
          </cell>
          <cell r="G103" t="str">
            <v xml:space="preserve">Abhishek Yadav </v>
          </cell>
          <cell r="L103" t="str">
            <v xml:space="preserve">Business Analyst -Product Development </v>
          </cell>
          <cell r="M103" t="str">
            <v>June</v>
          </cell>
          <cell r="N103">
            <v>45812</v>
          </cell>
          <cell r="O103" t="str">
            <v>NA</v>
          </cell>
          <cell r="P103" t="str">
            <v>Genpact</v>
          </cell>
          <cell r="R103" t="str">
            <v>Contract</v>
          </cell>
          <cell r="S103" t="str">
            <v>C2C</v>
          </cell>
          <cell r="V103">
            <v>63</v>
          </cell>
          <cell r="AA103">
            <v>8.0500000000000007</v>
          </cell>
          <cell r="AN103">
            <v>264</v>
          </cell>
          <cell r="AO103">
            <v>2125.2000000000003</v>
          </cell>
          <cell r="AP103" t="str">
            <v>Done</v>
          </cell>
          <cell r="AQ103" t="str">
            <v>Done</v>
          </cell>
        </row>
        <row r="104">
          <cell r="A104">
            <v>1</v>
          </cell>
          <cell r="B104" t="str">
            <v>Mavericks</v>
          </cell>
          <cell r="C104" t="str">
            <v>Dharma Teja Raavi</v>
          </cell>
          <cell r="D104" t="str">
            <v>Priyanka Sharma</v>
          </cell>
          <cell r="F104" t="str">
            <v>Kashif Nabi</v>
          </cell>
          <cell r="G104" t="str">
            <v>Kashif Nabi</v>
          </cell>
          <cell r="L104" t="str">
            <v>SAP T4S Consultant</v>
          </cell>
          <cell r="M104" t="str">
            <v>June</v>
          </cell>
          <cell r="N104">
            <v>45831</v>
          </cell>
          <cell r="O104">
            <v>45882</v>
          </cell>
          <cell r="P104" t="str">
            <v>Genpact</v>
          </cell>
          <cell r="R104" t="str">
            <v>Contract</v>
          </cell>
          <cell r="S104" t="str">
            <v>C2C</v>
          </cell>
          <cell r="V104">
            <v>85</v>
          </cell>
          <cell r="AA104">
            <v>5.65</v>
          </cell>
          <cell r="AN104">
            <v>848</v>
          </cell>
          <cell r="AO104">
            <v>4791.2000000000007</v>
          </cell>
          <cell r="AP104" t="str">
            <v>Pending</v>
          </cell>
          <cell r="AQ104" t="str">
            <v>Pending</v>
          </cell>
        </row>
        <row r="105">
          <cell r="A105">
            <v>1</v>
          </cell>
          <cell r="B105" t="str">
            <v>Trust</v>
          </cell>
          <cell r="C105" t="str">
            <v>Pavan Kumar Vunnam</v>
          </cell>
          <cell r="D105" t="str">
            <v>Bhanu Pratap Singh</v>
          </cell>
          <cell r="F105" t="str">
            <v>Bhanu Pratap singh</v>
          </cell>
          <cell r="G105" t="str">
            <v>Bhanu Pratap singh</v>
          </cell>
          <cell r="L105" t="str">
            <v>Oracle technical Lead</v>
          </cell>
          <cell r="M105" t="str">
            <v>May</v>
          </cell>
          <cell r="N105">
            <v>45806</v>
          </cell>
          <cell r="O105">
            <v>45847</v>
          </cell>
          <cell r="P105" t="str">
            <v>Birlasoft</v>
          </cell>
          <cell r="R105" t="str">
            <v>Contract</v>
          </cell>
          <cell r="S105" t="str">
            <v>C2C</v>
          </cell>
          <cell r="V105">
            <v>100</v>
          </cell>
          <cell r="AA105">
            <v>8</v>
          </cell>
          <cell r="AN105">
            <v>776</v>
          </cell>
          <cell r="AO105">
            <v>6208</v>
          </cell>
          <cell r="AP105" t="str">
            <v>Done</v>
          </cell>
          <cell r="AQ105" t="str">
            <v>Done</v>
          </cell>
        </row>
        <row r="106">
          <cell r="A106">
            <v>1</v>
          </cell>
          <cell r="B106" t="str">
            <v>Wellness Warriors-IT</v>
          </cell>
          <cell r="C106" t="str">
            <v>Akash Raj Ayyagari</v>
          </cell>
          <cell r="D106" t="str">
            <v>Hemant Kumar</v>
          </cell>
          <cell r="F106" t="str">
            <v>Akash Saxena</v>
          </cell>
          <cell r="G106" t="str">
            <v>Akash Saxena</v>
          </cell>
          <cell r="L106" t="str">
            <v>MLOps Engineer</v>
          </cell>
          <cell r="M106" t="str">
            <v>June</v>
          </cell>
          <cell r="N106">
            <v>45812</v>
          </cell>
          <cell r="O106" t="str">
            <v>NA</v>
          </cell>
          <cell r="P106" t="str">
            <v>Citius Tech</v>
          </cell>
          <cell r="R106" t="str">
            <v>Contract</v>
          </cell>
          <cell r="S106" t="str">
            <v>C2C</v>
          </cell>
          <cell r="V106">
            <v>70</v>
          </cell>
          <cell r="AA106">
            <v>6</v>
          </cell>
          <cell r="AN106">
            <v>688</v>
          </cell>
          <cell r="AO106">
            <v>4128</v>
          </cell>
          <cell r="AP106" t="str">
            <v>Pending</v>
          </cell>
          <cell r="AQ106" t="str">
            <v>Pending</v>
          </cell>
        </row>
        <row r="107">
          <cell r="A107">
            <v>1</v>
          </cell>
          <cell r="B107" t="str">
            <v>Titans</v>
          </cell>
          <cell r="C107" t="str">
            <v>Prudhvi Raj Numburi</v>
          </cell>
          <cell r="D107" t="str">
            <v>Aastha Tiwari</v>
          </cell>
          <cell r="F107" t="str">
            <v>Aditya Kumar Yadav </v>
          </cell>
          <cell r="G107" t="str">
            <v>Aditya Kumar Yadav </v>
          </cell>
          <cell r="L107" t="str">
            <v xml:space="preserve">SAP PP Consultant </v>
          </cell>
          <cell r="M107" t="str">
            <v>June</v>
          </cell>
          <cell r="N107">
            <v>45819</v>
          </cell>
          <cell r="O107" t="str">
            <v>NA</v>
          </cell>
          <cell r="P107" t="str">
            <v>Genpact</v>
          </cell>
          <cell r="R107" t="str">
            <v>Contract</v>
          </cell>
          <cell r="S107" t="str">
            <v>C2C</v>
          </cell>
          <cell r="V107">
            <v>105.75</v>
          </cell>
          <cell r="AA107">
            <v>2</v>
          </cell>
          <cell r="AN107">
            <v>848</v>
          </cell>
          <cell r="AO107">
            <v>1696</v>
          </cell>
          <cell r="AP107" t="str">
            <v>Pending</v>
          </cell>
          <cell r="AQ107" t="str">
            <v>Pending</v>
          </cell>
        </row>
        <row r="108">
          <cell r="A108">
            <v>1</v>
          </cell>
          <cell r="B108" t="str">
            <v>Wellness Warriors-IT</v>
          </cell>
          <cell r="C108" t="str">
            <v>Paul Gaffney Heffernan</v>
          </cell>
          <cell r="D108" t="str">
            <v xml:space="preserve">Yatu Raj Prajee </v>
          </cell>
          <cell r="F108" t="str">
            <v xml:space="preserve">Abdul Rahman </v>
          </cell>
          <cell r="G108" t="str">
            <v xml:space="preserve">Abdul Rahman </v>
          </cell>
          <cell r="L108" t="str">
            <v>Sr. Technical Developer  </v>
          </cell>
          <cell r="M108" t="str">
            <v>June</v>
          </cell>
          <cell r="N108">
            <v>45826</v>
          </cell>
          <cell r="O108" t="str">
            <v>NA</v>
          </cell>
          <cell r="P108" t="str">
            <v xml:space="preserve">IGT Solutions </v>
          </cell>
          <cell r="R108" t="str">
            <v>Contract</v>
          </cell>
          <cell r="S108" t="str">
            <v>C2C</v>
          </cell>
          <cell r="V108">
            <v>74</v>
          </cell>
          <cell r="AA108">
            <v>2</v>
          </cell>
          <cell r="AN108">
            <v>0</v>
          </cell>
          <cell r="AO108">
            <v>0</v>
          </cell>
          <cell r="AP108" t="str">
            <v>Pending</v>
          </cell>
          <cell r="AQ108" t="str">
            <v>Pending</v>
          </cell>
        </row>
        <row r="109">
          <cell r="A109">
            <v>1</v>
          </cell>
          <cell r="B109" t="str">
            <v>Mavericks</v>
          </cell>
          <cell r="C109" t="str">
            <v>Jegajeevan Rajendran</v>
          </cell>
          <cell r="D109" t="str">
            <v>Priyanka Sharma</v>
          </cell>
          <cell r="F109" t="str">
            <v>Kashif Nabi</v>
          </cell>
          <cell r="G109" t="str">
            <v>Kashif Nabi</v>
          </cell>
          <cell r="L109" t="str">
            <v>IOT Technician</v>
          </cell>
          <cell r="M109" t="str">
            <v>July</v>
          </cell>
          <cell r="N109">
            <v>45839</v>
          </cell>
          <cell r="O109" t="str">
            <v>NA</v>
          </cell>
          <cell r="P109" t="str">
            <v>Genpact</v>
          </cell>
          <cell r="R109" t="str">
            <v>Contract</v>
          </cell>
          <cell r="S109" t="str">
            <v>C2C</v>
          </cell>
          <cell r="V109">
            <v>52</v>
          </cell>
          <cell r="AA109">
            <v>10</v>
          </cell>
          <cell r="AN109">
            <v>912</v>
          </cell>
          <cell r="AO109">
            <v>9120</v>
          </cell>
          <cell r="AP109" t="str">
            <v>No Bill No Pay</v>
          </cell>
          <cell r="AQ109" t="str">
            <v>No bill no pay</v>
          </cell>
        </row>
        <row r="110">
          <cell r="A110">
            <v>1</v>
          </cell>
          <cell r="B110" t="str">
            <v>Mavericks</v>
          </cell>
          <cell r="C110" t="str">
            <v>Sai Varshith Vangara</v>
          </cell>
          <cell r="D110" t="str">
            <v>Harshita Srivastava</v>
          </cell>
          <cell r="F110" t="str">
            <v>Kashif Nabi</v>
          </cell>
          <cell r="G110" t="str">
            <v>Kashif Nabi</v>
          </cell>
          <cell r="L110" t="str">
            <v>Data Science Engineer</v>
          </cell>
          <cell r="M110" t="str">
            <v>July</v>
          </cell>
          <cell r="N110">
            <v>45849</v>
          </cell>
          <cell r="O110" t="str">
            <v>NA</v>
          </cell>
          <cell r="P110" t="str">
            <v>Genpact</v>
          </cell>
          <cell r="R110" t="str">
            <v>Contract</v>
          </cell>
          <cell r="S110" t="str">
            <v>C2C</v>
          </cell>
          <cell r="V110">
            <v>80</v>
          </cell>
          <cell r="AA110">
            <v>15</v>
          </cell>
          <cell r="AN110">
            <v>457.5</v>
          </cell>
          <cell r="AO110">
            <v>6862.5</v>
          </cell>
          <cell r="AP110" t="str">
            <v>Active</v>
          </cell>
          <cell r="AQ110" t="str">
            <v>May</v>
          </cell>
        </row>
        <row r="111">
          <cell r="A111">
            <v>1</v>
          </cell>
          <cell r="B111" t="str">
            <v>Trust</v>
          </cell>
          <cell r="C111" t="str">
            <v>Anvesh babu Yarlagadda</v>
          </cell>
          <cell r="D111" t="str">
            <v>Rishabh Kapoor</v>
          </cell>
          <cell r="F111" t="str">
            <v>Harsh Agrawal</v>
          </cell>
          <cell r="G111" t="str">
            <v>Harsh Agrawal</v>
          </cell>
          <cell r="L111" t="str">
            <v>Senior Project Manager</v>
          </cell>
          <cell r="M111" t="str">
            <v>July</v>
          </cell>
          <cell r="N111">
            <v>45846</v>
          </cell>
          <cell r="O111">
            <v>45847</v>
          </cell>
          <cell r="P111" t="str">
            <v>Birlasoft</v>
          </cell>
          <cell r="R111" t="str">
            <v>Contract</v>
          </cell>
          <cell r="S111" t="str">
            <v>C2C</v>
          </cell>
          <cell r="V111">
            <v>98</v>
          </cell>
          <cell r="AA111">
            <v>3</v>
          </cell>
          <cell r="AN111">
            <v>632</v>
          </cell>
          <cell r="AO111">
            <v>1896</v>
          </cell>
          <cell r="AP111" t="str">
            <v>Quit</v>
          </cell>
          <cell r="AQ111" t="str">
            <v>Sep</v>
          </cell>
        </row>
        <row r="112">
          <cell r="A112">
            <v>1</v>
          </cell>
          <cell r="B112" t="str">
            <v>Mavericks</v>
          </cell>
          <cell r="C112" t="str">
            <v>Devaraj Ellikkal Narayanan</v>
          </cell>
          <cell r="D112" t="str">
            <v>Priyanka Sharma</v>
          </cell>
          <cell r="F112" t="str">
            <v>Kashif Nabi</v>
          </cell>
          <cell r="G112" t="str">
            <v>Kashif Nabi</v>
          </cell>
          <cell r="L112" t="str">
            <v xml:space="preserve">SAP Solution Architect </v>
          </cell>
          <cell r="M112" t="str">
            <v>July</v>
          </cell>
          <cell r="N112">
            <v>45847</v>
          </cell>
          <cell r="O112">
            <v>45946</v>
          </cell>
          <cell r="P112" t="str">
            <v>Genpact</v>
          </cell>
          <cell r="R112" t="str">
            <v>Contract</v>
          </cell>
          <cell r="S112" t="str">
            <v>C2C</v>
          </cell>
          <cell r="V112">
            <v>120</v>
          </cell>
          <cell r="AA112">
            <v>8</v>
          </cell>
          <cell r="AO112">
            <v>0</v>
          </cell>
          <cell r="AP112" t="str">
            <v>Active</v>
          </cell>
          <cell r="AQ112" t="str">
            <v>Sep</v>
          </cell>
        </row>
        <row r="113">
          <cell r="A113">
            <v>1</v>
          </cell>
          <cell r="B113" t="str">
            <v>Mavericks</v>
          </cell>
          <cell r="C113" t="str">
            <v xml:space="preserve">Bhargava Ram Emani </v>
          </cell>
          <cell r="D113" t="str">
            <v>Anuj Tewari</v>
          </cell>
          <cell r="F113" t="str">
            <v>Rohit Gupta</v>
          </cell>
          <cell r="G113" t="str">
            <v>Rohit Gupta</v>
          </cell>
          <cell r="L113" t="str">
            <v>.Net AWS developer</v>
          </cell>
          <cell r="M113" t="str">
            <v>July</v>
          </cell>
          <cell r="N113">
            <v>45848</v>
          </cell>
          <cell r="O113" t="str">
            <v>NA</v>
          </cell>
          <cell r="P113" t="str">
            <v>CoForge</v>
          </cell>
          <cell r="R113" t="str">
            <v>Contract</v>
          </cell>
          <cell r="S113" t="str">
            <v>C2C</v>
          </cell>
          <cell r="V113">
            <v>70</v>
          </cell>
          <cell r="AA113">
            <v>5</v>
          </cell>
          <cell r="AN113">
            <v>536</v>
          </cell>
          <cell r="AO113">
            <v>2680</v>
          </cell>
          <cell r="AP113" t="str">
            <v>Quit</v>
          </cell>
          <cell r="AQ113">
            <v>45775</v>
          </cell>
        </row>
        <row r="114">
          <cell r="A114">
            <v>1</v>
          </cell>
          <cell r="B114" t="str">
            <v>Wellness Warriors-IT</v>
          </cell>
          <cell r="C114" t="str">
            <v>Vamshi Reddy Katipalli</v>
          </cell>
          <cell r="D114" t="str">
            <v>Kartik Parashar</v>
          </cell>
          <cell r="F114" t="str">
            <v>Akash Saxena</v>
          </cell>
          <cell r="G114" t="str">
            <v>Akash Saxena</v>
          </cell>
          <cell r="L114" t="str">
            <v>Full Stack Lead</v>
          </cell>
          <cell r="M114" t="str">
            <v>July</v>
          </cell>
          <cell r="N114">
            <v>45848</v>
          </cell>
          <cell r="O114" t="str">
            <v>NA</v>
          </cell>
          <cell r="P114" t="str">
            <v>CitiusTech</v>
          </cell>
          <cell r="R114" t="str">
            <v>Contract</v>
          </cell>
          <cell r="S114" t="str">
            <v>C2C</v>
          </cell>
          <cell r="V114">
            <v>72</v>
          </cell>
          <cell r="AA114">
            <v>7</v>
          </cell>
          <cell r="AN114">
            <v>632</v>
          </cell>
          <cell r="AO114">
            <v>4424</v>
          </cell>
          <cell r="AP114" t="str">
            <v>Active</v>
          </cell>
          <cell r="AQ114" t="str">
            <v>Sep</v>
          </cell>
        </row>
        <row r="115">
          <cell r="A115">
            <v>1</v>
          </cell>
          <cell r="B115" t="str">
            <v>Trust</v>
          </cell>
          <cell r="C115" t="str">
            <v>SOUJANYA  ATTELLI</v>
          </cell>
          <cell r="D115" t="str">
            <v>Virendra Vikram Singh</v>
          </cell>
          <cell r="F115" t="str">
            <v>Harsh Agrawal</v>
          </cell>
          <cell r="G115" t="str">
            <v>Harsh Agrawal</v>
          </cell>
          <cell r="L115" t="str">
            <v>Oracle Cloud /EBS Manufacturing Functional Consultant</v>
          </cell>
          <cell r="M115" t="str">
            <v>July</v>
          </cell>
          <cell r="N115">
            <v>45859</v>
          </cell>
          <cell r="O115" t="str">
            <v>NA</v>
          </cell>
          <cell r="P115" t="str">
            <v>Birlasoft</v>
          </cell>
          <cell r="R115" t="str">
            <v>Contract</v>
          </cell>
          <cell r="S115" t="str">
            <v>C2C</v>
          </cell>
          <cell r="V115">
            <v>96</v>
          </cell>
          <cell r="AA115">
            <v>8</v>
          </cell>
          <cell r="AN115">
            <v>584</v>
          </cell>
          <cell r="AO115">
            <v>4672</v>
          </cell>
          <cell r="AP115" t="str">
            <v>Active</v>
          </cell>
          <cell r="AQ115" t="str">
            <v>Sep</v>
          </cell>
        </row>
        <row r="116">
          <cell r="A116">
            <v>1</v>
          </cell>
          <cell r="B116" t="str">
            <v>Titans</v>
          </cell>
          <cell r="C116" t="str">
            <v xml:space="preserve">Veena Ganamukhi </v>
          </cell>
          <cell r="D116" t="str">
            <v>Shubham Tripathi</v>
          </cell>
          <cell r="F116" t="str">
            <v>Abhishek Yadav</v>
          </cell>
          <cell r="G116" t="str">
            <v>Abhishek Yadav</v>
          </cell>
          <cell r="L116" t="str">
            <v>SAP PM</v>
          </cell>
          <cell r="M116" t="str">
            <v>July</v>
          </cell>
          <cell r="N116">
            <v>45852</v>
          </cell>
          <cell r="O116" t="str">
            <v>NA</v>
          </cell>
          <cell r="P116" t="str">
            <v>Genpact</v>
          </cell>
          <cell r="R116" t="str">
            <v>Contract</v>
          </cell>
          <cell r="S116" t="str">
            <v>C2C</v>
          </cell>
          <cell r="V116">
            <v>60</v>
          </cell>
          <cell r="AA116">
            <v>7.25</v>
          </cell>
          <cell r="AN116">
            <v>424</v>
          </cell>
          <cell r="AO116">
            <v>3074</v>
          </cell>
          <cell r="AP116" t="str">
            <v>Active</v>
          </cell>
          <cell r="AQ116" t="str">
            <v>Sep</v>
          </cell>
        </row>
        <row r="117">
          <cell r="A117">
            <v>1</v>
          </cell>
          <cell r="B117" t="str">
            <v>Titans</v>
          </cell>
          <cell r="C117" t="str">
            <v>Anand Goni</v>
          </cell>
          <cell r="D117" t="str">
            <v>Heena Akshay Pandey</v>
          </cell>
          <cell r="F117" t="str">
            <v>Abhishek Yadav</v>
          </cell>
          <cell r="G117" t="str">
            <v>Abhishek Yadav</v>
          </cell>
          <cell r="L117" t="str">
            <v xml:space="preserve">Camunda Developer </v>
          </cell>
          <cell r="M117" t="str">
            <v>July</v>
          </cell>
          <cell r="N117">
            <v>45852</v>
          </cell>
          <cell r="O117" t="str">
            <v>NA</v>
          </cell>
          <cell r="P117" t="str">
            <v>Genpact</v>
          </cell>
          <cell r="R117" t="str">
            <v>Contract</v>
          </cell>
          <cell r="S117" t="str">
            <v>C2C</v>
          </cell>
          <cell r="V117">
            <v>90</v>
          </cell>
          <cell r="AA117">
            <v>15</v>
          </cell>
          <cell r="AN117">
            <v>448</v>
          </cell>
          <cell r="AO117">
            <v>6720</v>
          </cell>
          <cell r="AP117" t="str">
            <v>Active</v>
          </cell>
          <cell r="AQ117" t="str">
            <v>Sep</v>
          </cell>
        </row>
        <row r="118">
          <cell r="A118">
            <v>1</v>
          </cell>
          <cell r="B118" t="str">
            <v>Titans</v>
          </cell>
          <cell r="C118" t="str">
            <v>Dinesh Sagar Reddy Reddymalli</v>
          </cell>
          <cell r="D118" t="str">
            <v>Priya Yadav</v>
          </cell>
          <cell r="F118" t="str">
            <v>Abhishek Yadav</v>
          </cell>
          <cell r="G118" t="str">
            <v>Abhishek Yadav</v>
          </cell>
          <cell r="L118" t="str">
            <v xml:space="preserve">Power BI consultant </v>
          </cell>
          <cell r="M118" t="str">
            <v>July</v>
          </cell>
          <cell r="N118">
            <v>45847</v>
          </cell>
          <cell r="O118" t="str">
            <v>NA</v>
          </cell>
          <cell r="P118" t="str">
            <v>Genpact</v>
          </cell>
          <cell r="R118" t="str">
            <v>Contract</v>
          </cell>
          <cell r="S118" t="str">
            <v>C2C</v>
          </cell>
          <cell r="V118">
            <v>41</v>
          </cell>
          <cell r="AA118">
            <v>6</v>
          </cell>
          <cell r="AN118">
            <v>354</v>
          </cell>
          <cell r="AO118">
            <v>2124</v>
          </cell>
          <cell r="AP118" t="str">
            <v>Active</v>
          </cell>
          <cell r="AQ118" t="str">
            <v>Jun</v>
          </cell>
        </row>
        <row r="119">
          <cell r="A119">
            <v>1</v>
          </cell>
          <cell r="B119" t="str">
            <v>Wellness Warriors-IT</v>
          </cell>
          <cell r="C119" t="str">
            <v>Vinay Marru</v>
          </cell>
          <cell r="D119" t="str">
            <v>Hemant Kumar</v>
          </cell>
          <cell r="F119" t="str">
            <v>Akash Saxena</v>
          </cell>
          <cell r="G119" t="str">
            <v>Akash Saxena</v>
          </cell>
          <cell r="L119" t="str">
            <v>Gen AI Engineer</v>
          </cell>
          <cell r="M119" t="str">
            <v>July</v>
          </cell>
          <cell r="N119">
            <v>45845</v>
          </cell>
          <cell r="O119">
            <v>45961</v>
          </cell>
          <cell r="P119" t="str">
            <v>CitiusTech</v>
          </cell>
          <cell r="R119" t="str">
            <v>Contract</v>
          </cell>
          <cell r="S119" t="str">
            <v>C2C</v>
          </cell>
          <cell r="V119">
            <v>75</v>
          </cell>
          <cell r="AA119">
            <v>11</v>
          </cell>
          <cell r="AN119">
            <v>280</v>
          </cell>
          <cell r="AO119">
            <v>3080</v>
          </cell>
          <cell r="AP119" t="str">
            <v>Active</v>
          </cell>
          <cell r="AQ119" t="str">
            <v>Sep</v>
          </cell>
        </row>
        <row r="120">
          <cell r="A120">
            <v>1</v>
          </cell>
          <cell r="B120" t="str">
            <v>Mavericks</v>
          </cell>
          <cell r="C120" t="str">
            <v>Jaya Krishna Kalyan Varma Nadimpalli</v>
          </cell>
          <cell r="D120" t="str">
            <v>Khatib Rahman</v>
          </cell>
          <cell r="F120" t="str">
            <v>Kashif Nabi</v>
          </cell>
          <cell r="G120" t="str">
            <v>Kashif Nabi</v>
          </cell>
          <cell r="L120" t="str">
            <v>Automation Engineer (AI &amp; SDET)</v>
          </cell>
          <cell r="M120" t="str">
            <v>July</v>
          </cell>
          <cell r="N120">
            <v>45852</v>
          </cell>
          <cell r="O120" t="str">
            <v>NA</v>
          </cell>
          <cell r="P120" t="str">
            <v>CoForge Cigniti</v>
          </cell>
          <cell r="R120" t="str">
            <v>Contract</v>
          </cell>
          <cell r="S120" t="str">
            <v>C2C</v>
          </cell>
          <cell r="V120">
            <v>72</v>
          </cell>
          <cell r="AA120">
            <v>15</v>
          </cell>
          <cell r="AN120">
            <v>440</v>
          </cell>
          <cell r="AO120">
            <v>6600</v>
          </cell>
          <cell r="AP120" t="str">
            <v>Active</v>
          </cell>
          <cell r="AQ120" t="str">
            <v>Sep</v>
          </cell>
        </row>
        <row r="121">
          <cell r="A121">
            <v>1</v>
          </cell>
          <cell r="B121" t="str">
            <v>Mavericks</v>
          </cell>
          <cell r="C121" t="str">
            <v>Gavaskar Dubala</v>
          </cell>
          <cell r="D121" t="str">
            <v>Sakshi Tiwari</v>
          </cell>
          <cell r="F121" t="str">
            <v>Kashif Nabi</v>
          </cell>
          <cell r="G121" t="str">
            <v>Kashif Nabi</v>
          </cell>
          <cell r="L121" t="str">
            <v>AWS Data Engineer</v>
          </cell>
          <cell r="M121" t="str">
            <v>July</v>
          </cell>
          <cell r="N121">
            <v>45860</v>
          </cell>
          <cell r="O121" t="str">
            <v>NA</v>
          </cell>
          <cell r="P121" t="str">
            <v>Innova Solutions</v>
          </cell>
          <cell r="R121" t="str">
            <v>Contract</v>
          </cell>
          <cell r="S121" t="str">
            <v>C2C</v>
          </cell>
          <cell r="V121">
            <v>83</v>
          </cell>
          <cell r="AA121">
            <v>15</v>
          </cell>
          <cell r="AN121">
            <v>288</v>
          </cell>
          <cell r="AO121">
            <v>4320</v>
          </cell>
          <cell r="AP121" t="str">
            <v>Active</v>
          </cell>
          <cell r="AQ121" t="str">
            <v>Sep</v>
          </cell>
        </row>
        <row r="122">
          <cell r="A122">
            <v>1</v>
          </cell>
          <cell r="B122" t="str">
            <v>Mavericks</v>
          </cell>
          <cell r="C122" t="str">
            <v>Kamala Bhavana Konda</v>
          </cell>
          <cell r="D122" t="str">
            <v>Saif Ahmad Ansari</v>
          </cell>
          <cell r="F122" t="str">
            <v>Rohit Gupta</v>
          </cell>
          <cell r="G122" t="str">
            <v>Rohit Gupta</v>
          </cell>
          <cell r="L122" t="str">
            <v>AEM Developer</v>
          </cell>
          <cell r="M122" t="str">
            <v>July</v>
          </cell>
          <cell r="N122">
            <v>45866</v>
          </cell>
          <cell r="O122" t="str">
            <v>NA</v>
          </cell>
          <cell r="P122" t="str">
            <v>CoForge</v>
          </cell>
          <cell r="R122" t="str">
            <v>Contract</v>
          </cell>
          <cell r="S122" t="str">
            <v>C2C</v>
          </cell>
          <cell r="V122">
            <v>72</v>
          </cell>
          <cell r="AA122">
            <v>6</v>
          </cell>
          <cell r="AN122">
            <v>227</v>
          </cell>
          <cell r="AO122">
            <v>1362</v>
          </cell>
          <cell r="AP122" t="str">
            <v>Active</v>
          </cell>
          <cell r="AQ122" t="str">
            <v>Sep</v>
          </cell>
        </row>
        <row r="123">
          <cell r="A123">
            <v>1</v>
          </cell>
          <cell r="B123" t="str">
            <v>Mavericks</v>
          </cell>
          <cell r="C123" t="str">
            <v>Mayank Kirankumar Chauhan</v>
          </cell>
          <cell r="D123" t="str">
            <v>Vaibhav Kumar</v>
          </cell>
          <cell r="F123" t="str">
            <v>Kashif Nabi</v>
          </cell>
          <cell r="G123" t="str">
            <v>Kashif Nabi</v>
          </cell>
          <cell r="L123" t="str">
            <v>IAM Engineer</v>
          </cell>
          <cell r="M123" t="str">
            <v>August</v>
          </cell>
          <cell r="N123">
            <v>45874</v>
          </cell>
          <cell r="O123">
            <v>45930</v>
          </cell>
          <cell r="P123" t="str">
            <v>Genpact</v>
          </cell>
          <cell r="R123" t="str">
            <v>Contract</v>
          </cell>
          <cell r="S123" t="str">
            <v>C2C</v>
          </cell>
          <cell r="V123">
            <v>78</v>
          </cell>
          <cell r="AA123">
            <v>1</v>
          </cell>
          <cell r="AN123">
            <v>312</v>
          </cell>
          <cell r="AO123">
            <v>312</v>
          </cell>
          <cell r="AP123" t="str">
            <v>No Bill No Pay</v>
          </cell>
          <cell r="AQ123" t="str">
            <v>No bill no pay</v>
          </cell>
        </row>
        <row r="124">
          <cell r="A124">
            <v>1</v>
          </cell>
          <cell r="B124" t="str">
            <v>Mavericks</v>
          </cell>
          <cell r="C124" t="str">
            <v>Sahil Gautambhai Patel</v>
          </cell>
          <cell r="D124" t="str">
            <v>Vaibhav Kumar</v>
          </cell>
          <cell r="F124" t="str">
            <v>Kashif Nabi</v>
          </cell>
          <cell r="G124" t="str">
            <v>Kashif Nabi</v>
          </cell>
          <cell r="L124" t="str">
            <v>IAM Engineer</v>
          </cell>
          <cell r="M124" t="str">
            <v>August</v>
          </cell>
          <cell r="N124">
            <v>45887</v>
          </cell>
          <cell r="O124" t="str">
            <v>NA</v>
          </cell>
          <cell r="P124" t="str">
            <v>Genpact</v>
          </cell>
          <cell r="R124" t="str">
            <v>Contract</v>
          </cell>
          <cell r="S124" t="str">
            <v>C2C</v>
          </cell>
          <cell r="V124">
            <v>78</v>
          </cell>
          <cell r="AA124">
            <v>8</v>
          </cell>
          <cell r="AN124">
            <v>288</v>
          </cell>
          <cell r="AO124">
            <v>2304</v>
          </cell>
          <cell r="AP124" t="str">
            <v>Active</v>
          </cell>
          <cell r="AQ124" t="str">
            <v>Sep</v>
          </cell>
        </row>
        <row r="125">
          <cell r="A125">
            <v>1</v>
          </cell>
          <cell r="B125" t="str">
            <v>Wellness Warriors-IT</v>
          </cell>
          <cell r="C125" t="str">
            <v>James Foster Harrington</v>
          </cell>
          <cell r="D125" t="str">
            <v>Prashant Pal (VB1217)</v>
          </cell>
          <cell r="F125" t="str">
            <v>Akash Saxena</v>
          </cell>
          <cell r="G125" t="str">
            <v>Akash Saxena</v>
          </cell>
          <cell r="L125" t="str">
            <v xml:space="preserve">Java Developer </v>
          </cell>
          <cell r="M125" t="str">
            <v>July</v>
          </cell>
          <cell r="N125">
            <v>45869</v>
          </cell>
          <cell r="O125" t="str">
            <v>NA</v>
          </cell>
          <cell r="P125" t="str">
            <v>CitiusTech</v>
          </cell>
          <cell r="R125" t="str">
            <v>Contract</v>
          </cell>
          <cell r="S125" t="str">
            <v>C2C</v>
          </cell>
          <cell r="V125">
            <v>72</v>
          </cell>
          <cell r="AA125">
            <v>10</v>
          </cell>
          <cell r="AO125">
            <v>0</v>
          </cell>
          <cell r="AP125" t="str">
            <v>Active</v>
          </cell>
          <cell r="AQ125" t="str">
            <v>Sep</v>
          </cell>
        </row>
        <row r="126">
          <cell r="A126">
            <v>1</v>
          </cell>
          <cell r="B126" t="str">
            <v>Trust</v>
          </cell>
          <cell r="C126" t="str">
            <v>Justin Parker</v>
          </cell>
          <cell r="F126" t="str">
            <v>Bhanu Pratap Singh</v>
          </cell>
          <cell r="G126" t="str">
            <v>Bhanu Pratap Singh</v>
          </cell>
          <cell r="L126" t="str">
            <v>Oracle Technical Lead</v>
          </cell>
          <cell r="M126" t="str">
            <v>July</v>
          </cell>
          <cell r="N126">
            <v>45867</v>
          </cell>
          <cell r="O126" t="str">
            <v>NA</v>
          </cell>
          <cell r="P126" t="str">
            <v>Birlasoft</v>
          </cell>
          <cell r="R126" t="str">
            <v>Contract</v>
          </cell>
          <cell r="S126" t="str">
            <v>C2C</v>
          </cell>
          <cell r="V126">
            <v>100</v>
          </cell>
          <cell r="AA126">
            <v>13</v>
          </cell>
          <cell r="AN126">
            <v>192</v>
          </cell>
          <cell r="AO126">
            <v>2496</v>
          </cell>
          <cell r="AP126" t="str">
            <v>Active</v>
          </cell>
          <cell r="AQ126" t="str">
            <v>sep</v>
          </cell>
        </row>
        <row r="127">
          <cell r="A127">
            <v>1</v>
          </cell>
          <cell r="B127" t="str">
            <v>Mavericks</v>
          </cell>
          <cell r="C127" t="str">
            <v>Mujtaba Siddiqui</v>
          </cell>
          <cell r="D127" t="str">
            <v>Khatib Rahman</v>
          </cell>
          <cell r="F127" t="str">
            <v>Kashif Nabi</v>
          </cell>
          <cell r="G127" t="str">
            <v>Kashif Nabi</v>
          </cell>
          <cell r="L127" t="str">
            <v>Product Manager</v>
          </cell>
          <cell r="M127" t="str">
            <v>August</v>
          </cell>
          <cell r="N127">
            <v>45876</v>
          </cell>
          <cell r="O127" t="str">
            <v>NA</v>
          </cell>
          <cell r="P127" t="str">
            <v>Genpact</v>
          </cell>
          <cell r="R127" t="str">
            <v>Contract</v>
          </cell>
          <cell r="S127" t="str">
            <v>C2C</v>
          </cell>
          <cell r="V127">
            <v>70</v>
          </cell>
          <cell r="AA127">
            <v>1</v>
          </cell>
          <cell r="AN127">
            <v>104</v>
          </cell>
          <cell r="AO127">
            <v>104</v>
          </cell>
          <cell r="AP127" t="str">
            <v>No Bill No Pay</v>
          </cell>
          <cell r="AQ127" t="str">
            <v>No bill no pay</v>
          </cell>
        </row>
        <row r="128">
          <cell r="A128">
            <v>1</v>
          </cell>
          <cell r="B128" t="str">
            <v>Mavericks</v>
          </cell>
          <cell r="C128" t="str">
            <v>Craig Kindel</v>
          </cell>
          <cell r="D128" t="str">
            <v>Ekta Singh</v>
          </cell>
          <cell r="F128" t="str">
            <v>Rohit Gupta</v>
          </cell>
          <cell r="G128" t="str">
            <v>Rohit Gupta</v>
          </cell>
          <cell r="L128" t="str">
            <v>Senior Program Manager</v>
          </cell>
          <cell r="M128" t="str">
            <v>January</v>
          </cell>
          <cell r="N128">
            <v>45678</v>
          </cell>
          <cell r="O128">
            <v>45807</v>
          </cell>
          <cell r="P128" t="str">
            <v>Xceedance</v>
          </cell>
          <cell r="R128" t="str">
            <v>Contract</v>
          </cell>
          <cell r="S128">
            <v>1099</v>
          </cell>
          <cell r="V128">
            <v>75</v>
          </cell>
          <cell r="AA128">
            <v>2</v>
          </cell>
          <cell r="AN128">
            <v>56</v>
          </cell>
          <cell r="AO128">
            <v>112</v>
          </cell>
          <cell r="AP128" t="str">
            <v>Done</v>
          </cell>
          <cell r="AQ128" t="str">
            <v>Sep</v>
          </cell>
        </row>
        <row r="129">
          <cell r="A129">
            <v>1</v>
          </cell>
          <cell r="B129" t="str">
            <v>Titans</v>
          </cell>
          <cell r="C129" t="str">
            <v>Saye Matthew Williams</v>
          </cell>
          <cell r="D129" t="str">
            <v>Hamza</v>
          </cell>
          <cell r="F129" t="str">
            <v>Nitin Saxena</v>
          </cell>
          <cell r="G129" t="str">
            <v>Nitin Saxena</v>
          </cell>
          <cell r="L129" t="str">
            <v>Remote Wind Turbine Support Technician</v>
          </cell>
          <cell r="M129" t="str">
            <v>January</v>
          </cell>
          <cell r="N129">
            <v>45679</v>
          </cell>
          <cell r="O129">
            <v>45921</v>
          </cell>
          <cell r="P129" t="str">
            <v>Genpact</v>
          </cell>
          <cell r="R129" t="str">
            <v>Contract</v>
          </cell>
          <cell r="S129">
            <v>1099</v>
          </cell>
          <cell r="V129">
            <v>28</v>
          </cell>
          <cell r="AA129">
            <v>10</v>
          </cell>
          <cell r="AN129">
            <v>56</v>
          </cell>
          <cell r="AO129">
            <v>560</v>
          </cell>
          <cell r="AP129" t="str">
            <v>Active</v>
          </cell>
          <cell r="AQ129" t="str">
            <v>Sep</v>
          </cell>
        </row>
        <row r="130">
          <cell r="A130">
            <v>1</v>
          </cell>
          <cell r="B130" t="str">
            <v>Titans</v>
          </cell>
          <cell r="C130" t="str">
            <v>Keris Collier</v>
          </cell>
          <cell r="D130" t="str">
            <v>Hamza</v>
          </cell>
          <cell r="F130" t="str">
            <v>Nitin Saxena</v>
          </cell>
          <cell r="G130" t="str">
            <v>Nitin Saxena</v>
          </cell>
          <cell r="L130" t="str">
            <v>Remote Wind Turbine Support Technician</v>
          </cell>
          <cell r="M130" t="str">
            <v>January</v>
          </cell>
          <cell r="N130">
            <v>45679</v>
          </cell>
          <cell r="O130">
            <v>45737</v>
          </cell>
          <cell r="P130" t="str">
            <v>Genpact</v>
          </cell>
          <cell r="R130" t="str">
            <v>Contract</v>
          </cell>
          <cell r="S130">
            <v>1099</v>
          </cell>
          <cell r="V130">
            <v>28</v>
          </cell>
          <cell r="AA130">
            <v>4</v>
          </cell>
          <cell r="AN130">
            <v>40</v>
          </cell>
          <cell r="AO130">
            <v>160</v>
          </cell>
          <cell r="AP130" t="str">
            <v>Quit</v>
          </cell>
          <cell r="AQ130" t="str">
            <v>Sep</v>
          </cell>
        </row>
        <row r="131">
          <cell r="A131">
            <v>1</v>
          </cell>
          <cell r="B131" t="str">
            <v>Titans</v>
          </cell>
          <cell r="C131" t="str">
            <v>Renita Blake</v>
          </cell>
          <cell r="D131" t="str">
            <v>Santosh Singh</v>
          </cell>
          <cell r="F131" t="str">
            <v>Aditya Kumar Yadav </v>
          </cell>
          <cell r="G131" t="str">
            <v>Aditya Kumar Yadav </v>
          </cell>
          <cell r="L131" t="str">
            <v>IT Support Engineer (Hands &amp; Feet Engineer)</v>
          </cell>
          <cell r="M131" t="str">
            <v>February</v>
          </cell>
          <cell r="N131">
            <v>45691</v>
          </cell>
          <cell r="O131">
            <v>45730</v>
          </cell>
          <cell r="P131" t="str">
            <v>Microland</v>
          </cell>
          <cell r="R131" t="str">
            <v>Contract</v>
          </cell>
          <cell r="S131">
            <v>1099</v>
          </cell>
          <cell r="V131">
            <v>52</v>
          </cell>
          <cell r="AA131">
            <v>10</v>
          </cell>
          <cell r="AN131">
            <v>80</v>
          </cell>
          <cell r="AO131">
            <v>800</v>
          </cell>
          <cell r="AP131" t="str">
            <v>Active</v>
          </cell>
          <cell r="AQ131" t="str">
            <v>Sep</v>
          </cell>
        </row>
        <row r="132">
          <cell r="A132">
            <v>1</v>
          </cell>
          <cell r="B132" t="str">
            <v>Titans</v>
          </cell>
          <cell r="C132" t="str">
            <v>Irfan Sarfraz</v>
          </cell>
          <cell r="D132" t="str">
            <v>Hamza</v>
          </cell>
          <cell r="F132" t="str">
            <v>Nitin Saxena</v>
          </cell>
          <cell r="G132" t="str">
            <v>Nitin Saxena</v>
          </cell>
          <cell r="L132" t="str">
            <v>Remote Wind Turbine Support Technician</v>
          </cell>
          <cell r="M132" t="str">
            <v>March</v>
          </cell>
          <cell r="N132">
            <v>45747</v>
          </cell>
          <cell r="O132">
            <v>45789</v>
          </cell>
          <cell r="P132" t="str">
            <v>Genpact</v>
          </cell>
          <cell r="R132" t="str">
            <v>Contract</v>
          </cell>
          <cell r="S132">
            <v>1099</v>
          </cell>
          <cell r="V132">
            <v>28</v>
          </cell>
          <cell r="AA132">
            <v>2</v>
          </cell>
          <cell r="AN132">
            <v>0</v>
          </cell>
          <cell r="AO132">
            <v>0</v>
          </cell>
          <cell r="AP132" t="str">
            <v>Quit</v>
          </cell>
          <cell r="AQ132" t="str">
            <v>Sep</v>
          </cell>
        </row>
        <row r="133">
          <cell r="A133">
            <v>1</v>
          </cell>
          <cell r="B133" t="str">
            <v>Titans</v>
          </cell>
          <cell r="C133" t="str">
            <v>Nicholas Coyle</v>
          </cell>
          <cell r="D133" t="str">
            <v>Hamza</v>
          </cell>
          <cell r="F133" t="str">
            <v>Nitin Saxena</v>
          </cell>
          <cell r="G133" t="str">
            <v>Nitin Saxena</v>
          </cell>
          <cell r="L133" t="str">
            <v>Process Associate, Repair Order admin</v>
          </cell>
          <cell r="M133" t="str">
            <v>March</v>
          </cell>
          <cell r="N133">
            <v>45740</v>
          </cell>
          <cell r="O133" t="str">
            <v>NA</v>
          </cell>
          <cell r="P133" t="str">
            <v>Genpact</v>
          </cell>
          <cell r="R133" t="str">
            <v>Contract</v>
          </cell>
          <cell r="S133">
            <v>1099</v>
          </cell>
          <cell r="V133">
            <v>28</v>
          </cell>
          <cell r="AA133">
            <v>9</v>
          </cell>
          <cell r="AN133">
            <v>664</v>
          </cell>
          <cell r="AO133">
            <v>5976</v>
          </cell>
          <cell r="AP133" t="str">
            <v>Active</v>
          </cell>
          <cell r="AQ133" t="str">
            <v>Sep</v>
          </cell>
        </row>
        <row r="134">
          <cell r="A134">
            <v>1</v>
          </cell>
          <cell r="B134" t="str">
            <v>Mavericks/Titans</v>
          </cell>
          <cell r="C134" t="str">
            <v>Eric Kaser</v>
          </cell>
          <cell r="D134" t="str">
            <v>Anshita Dwivedi</v>
          </cell>
          <cell r="F134" t="str">
            <v>Kashif Nabi</v>
          </cell>
          <cell r="G134" t="str">
            <v>Nitin Saxena</v>
          </cell>
          <cell r="L134" t="str">
            <v>Documentation Expert</v>
          </cell>
          <cell r="M134" t="str">
            <v>April</v>
          </cell>
          <cell r="N134">
            <v>45754</v>
          </cell>
          <cell r="O134">
            <v>45868</v>
          </cell>
          <cell r="P134" t="str">
            <v>Genpact</v>
          </cell>
          <cell r="R134" t="str">
            <v>Contract</v>
          </cell>
          <cell r="S134">
            <v>1099</v>
          </cell>
          <cell r="V134">
            <v>25</v>
          </cell>
          <cell r="AA134">
            <v>1</v>
          </cell>
          <cell r="AN134">
            <v>824</v>
          </cell>
          <cell r="AO134">
            <v>824</v>
          </cell>
          <cell r="AP134" t="str">
            <v>Active</v>
          </cell>
          <cell r="AQ134" t="str">
            <v>aug</v>
          </cell>
        </row>
        <row r="135">
          <cell r="A135">
            <v>1</v>
          </cell>
          <cell r="B135" t="str">
            <v>Titans</v>
          </cell>
          <cell r="C135" t="str">
            <v>Markian Ougrin</v>
          </cell>
          <cell r="D135" t="str">
            <v>Hamza</v>
          </cell>
          <cell r="F135" t="str">
            <v>Nitin Saxena</v>
          </cell>
          <cell r="G135" t="str">
            <v>Nitin Saxena</v>
          </cell>
          <cell r="L135" t="str">
            <v>Remote Wind Turbine Support Technician</v>
          </cell>
          <cell r="M135" t="str">
            <v>April</v>
          </cell>
          <cell r="N135">
            <v>45763</v>
          </cell>
          <cell r="O135" t="str">
            <v>NA</v>
          </cell>
          <cell r="P135" t="str">
            <v>Genpact</v>
          </cell>
          <cell r="R135" t="str">
            <v>Contract</v>
          </cell>
          <cell r="S135">
            <v>1099</v>
          </cell>
          <cell r="V135">
            <v>28</v>
          </cell>
          <cell r="AA135">
            <v>7.25</v>
          </cell>
          <cell r="AN135">
            <v>1012</v>
          </cell>
          <cell r="AO135">
            <v>7337</v>
          </cell>
          <cell r="AP135" t="str">
            <v>Active</v>
          </cell>
          <cell r="AQ135" t="str">
            <v>Sep</v>
          </cell>
        </row>
        <row r="136">
          <cell r="A136">
            <v>1</v>
          </cell>
          <cell r="B136" t="str">
            <v>Titans</v>
          </cell>
          <cell r="C136" t="str">
            <v>Willis Fowlkes</v>
          </cell>
          <cell r="D136" t="str">
            <v>Hamza</v>
          </cell>
          <cell r="F136" t="str">
            <v>Nitin Saxena</v>
          </cell>
          <cell r="G136" t="str">
            <v>Nitin Saxena</v>
          </cell>
          <cell r="L136" t="str">
            <v>Remote Wind Turbine Support Technician</v>
          </cell>
          <cell r="M136" t="str">
            <v>April</v>
          </cell>
          <cell r="N136">
            <v>45763</v>
          </cell>
          <cell r="O136">
            <v>45950</v>
          </cell>
          <cell r="P136" t="str">
            <v>Genpact</v>
          </cell>
          <cell r="R136" t="str">
            <v>Contract</v>
          </cell>
          <cell r="S136">
            <v>1099</v>
          </cell>
          <cell r="V136">
            <v>28</v>
          </cell>
          <cell r="AA136">
            <v>8.4499999999999993</v>
          </cell>
          <cell r="AN136">
            <v>12</v>
          </cell>
          <cell r="AO136">
            <v>101.39999999999999</v>
          </cell>
          <cell r="AP136" t="str">
            <v>Quit</v>
          </cell>
          <cell r="AQ136" t="str">
            <v>Sep</v>
          </cell>
        </row>
        <row r="137">
          <cell r="A137">
            <v>1</v>
          </cell>
          <cell r="B137" t="str">
            <v>Titans</v>
          </cell>
          <cell r="C137" t="str">
            <v>Blesson Varghese Thomas</v>
          </cell>
          <cell r="D137" t="str">
            <v>Hamza</v>
          </cell>
          <cell r="F137" t="str">
            <v>Nitin Saxena</v>
          </cell>
          <cell r="G137" t="str">
            <v>Nitin Saxena</v>
          </cell>
          <cell r="L137" t="str">
            <v>Remote Wind Turbine Support Technician</v>
          </cell>
          <cell r="M137" t="str">
            <v>April</v>
          </cell>
          <cell r="N137">
            <v>45763</v>
          </cell>
          <cell r="O137" t="str">
            <v>NA</v>
          </cell>
          <cell r="P137" t="str">
            <v>Genpact</v>
          </cell>
          <cell r="R137" t="str">
            <v>Contract</v>
          </cell>
          <cell r="S137">
            <v>1099</v>
          </cell>
          <cell r="V137">
            <v>28</v>
          </cell>
          <cell r="AA137">
            <v>9</v>
          </cell>
          <cell r="AN137">
            <v>1032</v>
          </cell>
          <cell r="AO137">
            <v>9288</v>
          </cell>
          <cell r="AP137" t="str">
            <v>Active</v>
          </cell>
          <cell r="AQ137" t="str">
            <v>Sep</v>
          </cell>
        </row>
        <row r="138">
          <cell r="A138">
            <v>1</v>
          </cell>
          <cell r="B138" t="str">
            <v>Titans</v>
          </cell>
          <cell r="C138" t="str">
            <v>Shubham Chavan</v>
          </cell>
          <cell r="D138" t="str">
            <v>Aman Bajpai</v>
          </cell>
          <cell r="F138" t="str">
            <v>Nitin Saxena</v>
          </cell>
          <cell r="G138" t="str">
            <v>Nitin Saxena</v>
          </cell>
          <cell r="L138" t="str">
            <v>Remote Wind Turbine Support Technician</v>
          </cell>
          <cell r="M138" t="str">
            <v>April</v>
          </cell>
          <cell r="N138">
            <v>45776</v>
          </cell>
          <cell r="O138">
            <v>45953</v>
          </cell>
          <cell r="P138" t="str">
            <v>Genpact</v>
          </cell>
          <cell r="R138" t="str">
            <v>Contract</v>
          </cell>
          <cell r="S138">
            <v>1099</v>
          </cell>
          <cell r="V138">
            <v>28</v>
          </cell>
          <cell r="AA138">
            <v>5</v>
          </cell>
          <cell r="AN138">
            <v>979</v>
          </cell>
          <cell r="AO138">
            <v>4895</v>
          </cell>
          <cell r="AP138" t="str">
            <v>Active</v>
          </cell>
          <cell r="AQ138" t="str">
            <v>Sep</v>
          </cell>
        </row>
        <row r="139">
          <cell r="A139">
            <v>1</v>
          </cell>
          <cell r="B139" t="str">
            <v>Titans</v>
          </cell>
          <cell r="C139" t="str">
            <v>Yolanada Nicole Jones</v>
          </cell>
          <cell r="D139" t="str">
            <v>Aman Bajpai</v>
          </cell>
          <cell r="F139" t="str">
            <v>Nitin Saxena</v>
          </cell>
          <cell r="G139" t="str">
            <v>Nitin Saxena</v>
          </cell>
          <cell r="L139" t="str">
            <v>Time Studies Analyst</v>
          </cell>
          <cell r="M139" t="str">
            <v>May</v>
          </cell>
          <cell r="N139">
            <v>45786</v>
          </cell>
          <cell r="O139" t="str">
            <v>NA</v>
          </cell>
          <cell r="P139" t="str">
            <v>Genpact</v>
          </cell>
          <cell r="R139" t="str">
            <v>Contract</v>
          </cell>
          <cell r="S139">
            <v>1099</v>
          </cell>
          <cell r="V139">
            <v>42</v>
          </cell>
          <cell r="AA139">
            <v>6</v>
          </cell>
          <cell r="AN139">
            <v>912</v>
          </cell>
          <cell r="AO139">
            <v>5472</v>
          </cell>
          <cell r="AP139" t="str">
            <v>Active</v>
          </cell>
          <cell r="AQ139" t="str">
            <v>Sep</v>
          </cell>
        </row>
        <row r="140">
          <cell r="A140">
            <v>1</v>
          </cell>
          <cell r="B140" t="str">
            <v>Titans</v>
          </cell>
          <cell r="C140" t="str">
            <v>Elizabeth A Ward</v>
          </cell>
          <cell r="D140" t="str">
            <v>Manish Kumar Dhiman</v>
          </cell>
          <cell r="F140" t="str">
            <v>Abhishek Yadav</v>
          </cell>
          <cell r="G140" t="str">
            <v>Abhishek Yadav</v>
          </cell>
          <cell r="L140" t="str">
            <v>Accounting and Reconciliation Consultant</v>
          </cell>
          <cell r="M140" t="str">
            <v>May</v>
          </cell>
          <cell r="N140">
            <v>45789</v>
          </cell>
          <cell r="O140">
            <v>45925</v>
          </cell>
          <cell r="P140" t="str">
            <v>Genpact</v>
          </cell>
          <cell r="R140" t="str">
            <v>Contract</v>
          </cell>
          <cell r="S140">
            <v>1099</v>
          </cell>
          <cell r="V140">
            <v>45</v>
          </cell>
          <cell r="AA140">
            <v>7.95</v>
          </cell>
          <cell r="AN140">
            <v>904</v>
          </cell>
          <cell r="AO140">
            <v>7186.8</v>
          </cell>
          <cell r="AP140" t="str">
            <v>Done</v>
          </cell>
          <cell r="AQ140" t="str">
            <v>No bill no pay</v>
          </cell>
        </row>
        <row r="141">
          <cell r="A141">
            <v>1</v>
          </cell>
          <cell r="B141" t="str">
            <v>Titans</v>
          </cell>
          <cell r="C141" t="str">
            <v>Stephanie Sue Hall</v>
          </cell>
          <cell r="D141" t="str">
            <v>Samad Quraishi</v>
          </cell>
          <cell r="F141" t="str">
            <v>Nitin Saxena</v>
          </cell>
          <cell r="G141" t="str">
            <v>Nitin Saxena</v>
          </cell>
          <cell r="L141" t="str">
            <v>Data Analyst – Level 1</v>
          </cell>
          <cell r="M141" t="str">
            <v>June</v>
          </cell>
          <cell r="N141">
            <v>45819</v>
          </cell>
          <cell r="O141" t="str">
            <v>NA</v>
          </cell>
          <cell r="P141" t="str">
            <v>Genpact</v>
          </cell>
          <cell r="R141" t="str">
            <v>Contract</v>
          </cell>
          <cell r="S141">
            <v>1099</v>
          </cell>
          <cell r="V141">
            <v>28</v>
          </cell>
          <cell r="AA141">
            <v>6</v>
          </cell>
          <cell r="AN141">
            <v>264</v>
          </cell>
          <cell r="AO141">
            <v>1584</v>
          </cell>
          <cell r="AP141" t="str">
            <v>Active</v>
          </cell>
          <cell r="AQ141" t="str">
            <v>Sep</v>
          </cell>
        </row>
        <row r="142">
          <cell r="A142">
            <v>1</v>
          </cell>
          <cell r="B142" t="str">
            <v>Mavericks/Titans</v>
          </cell>
          <cell r="C142" t="str">
            <v>Tash Nomiya</v>
          </cell>
          <cell r="D142" t="str">
            <v>Aman Bajpai</v>
          </cell>
          <cell r="F142" t="str">
            <v>Kashif Nabi</v>
          </cell>
          <cell r="G142" t="str">
            <v>Nitin Saxena</v>
          </cell>
          <cell r="L142" t="str">
            <v xml:space="preserve">Account Service Representative </v>
          </cell>
          <cell r="M142" t="str">
            <v>July</v>
          </cell>
          <cell r="N142">
            <v>45845</v>
          </cell>
          <cell r="O142" t="str">
            <v>NA</v>
          </cell>
          <cell r="P142" t="str">
            <v>Genpact</v>
          </cell>
          <cell r="R142" t="str">
            <v>Contract</v>
          </cell>
          <cell r="S142">
            <v>1099</v>
          </cell>
          <cell r="V142">
            <v>26</v>
          </cell>
          <cell r="AA142">
            <v>5</v>
          </cell>
          <cell r="AN142">
            <v>848</v>
          </cell>
          <cell r="AO142">
            <v>4240</v>
          </cell>
          <cell r="AP142" t="str">
            <v>Active</v>
          </cell>
          <cell r="AQ142" t="str">
            <v>Sep</v>
          </cell>
        </row>
        <row r="143">
          <cell r="A143">
            <v>1</v>
          </cell>
          <cell r="B143" t="str">
            <v>Mavericks/Titans</v>
          </cell>
          <cell r="C143" t="str">
            <v>Sukruth Shiva Swamy</v>
          </cell>
          <cell r="D143" t="str">
            <v>Aviral Shukla</v>
          </cell>
          <cell r="F143" t="str">
            <v>Kashif Nabi</v>
          </cell>
          <cell r="G143" t="str">
            <v>Nitin Saxena</v>
          </cell>
          <cell r="L143" t="str">
            <v xml:space="preserve">Account Service Representative </v>
          </cell>
          <cell r="M143" t="str">
            <v>July</v>
          </cell>
          <cell r="N143">
            <v>45845</v>
          </cell>
          <cell r="O143" t="str">
            <v>NA</v>
          </cell>
          <cell r="P143" t="str">
            <v>Genpact</v>
          </cell>
          <cell r="R143" t="str">
            <v>Contract</v>
          </cell>
          <cell r="S143">
            <v>1099</v>
          </cell>
          <cell r="V143">
            <v>26</v>
          </cell>
          <cell r="AA143">
            <v>2</v>
          </cell>
          <cell r="AN143">
            <v>776</v>
          </cell>
          <cell r="AO143">
            <v>1552</v>
          </cell>
          <cell r="AP143" t="str">
            <v>Active</v>
          </cell>
          <cell r="AQ143" t="str">
            <v>Sep</v>
          </cell>
        </row>
        <row r="144">
          <cell r="A144">
            <v>1</v>
          </cell>
          <cell r="B144" t="str">
            <v>Titans</v>
          </cell>
          <cell r="C144" t="str">
            <v>Amar Preet Singh</v>
          </cell>
          <cell r="D144" t="str">
            <v xml:space="preserve">Dheeraj Km. Verma </v>
          </cell>
          <cell r="F144" t="str">
            <v>Abhishek Yadav</v>
          </cell>
          <cell r="G144" t="str">
            <v>Abhishek Yadav</v>
          </cell>
          <cell r="L144" t="str">
            <v>Accounting &amp; Reconciliation Specialist</v>
          </cell>
          <cell r="M144" t="str">
            <v>July</v>
          </cell>
          <cell r="N144">
            <v>45866</v>
          </cell>
          <cell r="O144">
            <v>45896</v>
          </cell>
          <cell r="P144" t="str">
            <v>Genpact</v>
          </cell>
          <cell r="R144" t="str">
            <v>Contract</v>
          </cell>
          <cell r="S144">
            <v>1099</v>
          </cell>
          <cell r="V144">
            <v>46</v>
          </cell>
          <cell r="AA144">
            <v>4</v>
          </cell>
          <cell r="AN144">
            <v>688</v>
          </cell>
          <cell r="AO144">
            <v>2752</v>
          </cell>
          <cell r="AP144" t="str">
            <v>Active</v>
          </cell>
          <cell r="AQ144" t="str">
            <v>Sep</v>
          </cell>
        </row>
        <row r="145">
          <cell r="A145">
            <v>1</v>
          </cell>
          <cell r="B145" t="str">
            <v>Titans</v>
          </cell>
          <cell r="C145" t="str">
            <v>Venkata Pramod Varma Yarakaraju</v>
          </cell>
          <cell r="D145" t="str">
            <v>Samad Quraishi</v>
          </cell>
          <cell r="F145" t="str">
            <v>Nitin Saxena</v>
          </cell>
          <cell r="G145" t="str">
            <v>Nitin Saxena</v>
          </cell>
          <cell r="L145" t="str">
            <v xml:space="preserve">Import Trade Compliance Support Analyst </v>
          </cell>
          <cell r="M145" t="str">
            <v>July</v>
          </cell>
          <cell r="N145">
            <v>45868</v>
          </cell>
          <cell r="O145" t="str">
            <v>NA</v>
          </cell>
          <cell r="P145" t="str">
            <v>Genpact</v>
          </cell>
          <cell r="R145" t="str">
            <v>Contract</v>
          </cell>
          <cell r="S145">
            <v>1099</v>
          </cell>
          <cell r="V145">
            <v>45</v>
          </cell>
          <cell r="AA145">
            <v>8.0500000000000007</v>
          </cell>
          <cell r="AN145">
            <v>848</v>
          </cell>
          <cell r="AO145">
            <v>6826.4000000000005</v>
          </cell>
          <cell r="AP145" t="str">
            <v>Active</v>
          </cell>
          <cell r="AQ145" t="str">
            <v>Sep</v>
          </cell>
        </row>
        <row r="146">
          <cell r="A146">
            <v>1</v>
          </cell>
          <cell r="B146" t="str">
            <v>Mavericks</v>
          </cell>
          <cell r="C146" t="str">
            <v xml:space="preserve">Kalpana Venkatasamy </v>
          </cell>
          <cell r="D146" t="str">
            <v>Harshita Srivastava</v>
          </cell>
          <cell r="F146" t="str">
            <v>Kashif Nabi</v>
          </cell>
          <cell r="G146" t="str">
            <v>Kashif Nabi</v>
          </cell>
          <cell r="L146" t="str">
            <v>HRSD/ITSM Developer/Admin</v>
          </cell>
          <cell r="M146" t="str">
            <v>January</v>
          </cell>
          <cell r="N146">
            <v>45670</v>
          </cell>
          <cell r="O146">
            <v>45820</v>
          </cell>
          <cell r="P146" t="str">
            <v>Genpact</v>
          </cell>
          <cell r="R146" t="str">
            <v>Contract</v>
          </cell>
          <cell r="S146" t="str">
            <v>C2C Canada</v>
          </cell>
          <cell r="V146">
            <v>93.79</v>
          </cell>
          <cell r="AA146">
            <v>5.65</v>
          </cell>
          <cell r="AN146">
            <v>0</v>
          </cell>
          <cell r="AO146">
            <v>0</v>
          </cell>
          <cell r="AP146" t="str">
            <v>Active</v>
          </cell>
          <cell r="AQ146" t="str">
            <v>Sep</v>
          </cell>
        </row>
        <row r="147">
          <cell r="A147">
            <v>1</v>
          </cell>
          <cell r="B147" t="str">
            <v>Mavericks</v>
          </cell>
          <cell r="C147" t="str">
            <v xml:space="preserve">Ravikant Sharma </v>
          </cell>
          <cell r="D147" t="str">
            <v>Ritik Arya</v>
          </cell>
          <cell r="F147" t="str">
            <v>MD Tariq</v>
          </cell>
          <cell r="G147" t="str">
            <v>MD Tariq</v>
          </cell>
          <cell r="L147" t="str">
            <v>Senior Power BI Developer</v>
          </cell>
          <cell r="M147" t="str">
            <v>January</v>
          </cell>
          <cell r="N147">
            <v>45663</v>
          </cell>
          <cell r="O147" t="str">
            <v>NA</v>
          </cell>
          <cell r="P147" t="str">
            <v>Synechron</v>
          </cell>
          <cell r="R147" t="str">
            <v>Contract</v>
          </cell>
          <cell r="S147" t="str">
            <v>C2C Canada</v>
          </cell>
          <cell r="V147">
            <v>700</v>
          </cell>
          <cell r="AA147">
            <v>8</v>
          </cell>
          <cell r="AN147">
            <v>912</v>
          </cell>
          <cell r="AO147">
            <v>7296</v>
          </cell>
          <cell r="AP147" t="str">
            <v>Active</v>
          </cell>
        </row>
        <row r="148">
          <cell r="A148">
            <v>1</v>
          </cell>
          <cell r="B148" t="str">
            <v>Titans</v>
          </cell>
          <cell r="C148" t="str">
            <v>Karthik Mashetty</v>
          </cell>
          <cell r="D148" t="str">
            <v>Manish Kumar Dhiman</v>
          </cell>
          <cell r="F148" t="str">
            <v>Abhishek Yadav</v>
          </cell>
          <cell r="G148" t="str">
            <v>Abhishek Yadav</v>
          </cell>
          <cell r="L148" t="str">
            <v>RPA UiPath Developer</v>
          </cell>
          <cell r="M148" t="str">
            <v>January</v>
          </cell>
          <cell r="N148">
            <v>45672</v>
          </cell>
          <cell r="O148" t="str">
            <v>NA</v>
          </cell>
          <cell r="P148" t="str">
            <v>Genpact</v>
          </cell>
          <cell r="R148" t="str">
            <v>Contract</v>
          </cell>
          <cell r="S148" t="str">
            <v>C2C Canada</v>
          </cell>
          <cell r="V148">
            <v>69</v>
          </cell>
          <cell r="AA148">
            <v>6</v>
          </cell>
          <cell r="AN148">
            <v>457.5</v>
          </cell>
          <cell r="AO148">
            <v>2745</v>
          </cell>
          <cell r="AP148" t="str">
            <v>Active</v>
          </cell>
        </row>
        <row r="149">
          <cell r="A149">
            <v>1</v>
          </cell>
          <cell r="B149" t="str">
            <v>Titans</v>
          </cell>
          <cell r="C149" t="str">
            <v>Vaishnavi Vundrakonda</v>
          </cell>
          <cell r="D149" t="str">
            <v>Manish Kumar Dhiman</v>
          </cell>
          <cell r="F149" t="str">
            <v>Abhishek Yadav</v>
          </cell>
          <cell r="G149" t="str">
            <v>Abhishek Yadav</v>
          </cell>
          <cell r="L149" t="str">
            <v>UI Path Developer</v>
          </cell>
          <cell r="M149" t="str">
            <v>January</v>
          </cell>
          <cell r="N149">
            <v>45672</v>
          </cell>
          <cell r="O149" t="str">
            <v>NA</v>
          </cell>
          <cell r="P149" t="str">
            <v>Genpact</v>
          </cell>
          <cell r="R149" t="str">
            <v>Contract</v>
          </cell>
          <cell r="S149" t="str">
            <v>C2C Canada</v>
          </cell>
          <cell r="V149">
            <v>73</v>
          </cell>
          <cell r="AA149">
            <v>2</v>
          </cell>
          <cell r="AN149">
            <v>632</v>
          </cell>
          <cell r="AO149">
            <v>1264</v>
          </cell>
          <cell r="AP149" t="str">
            <v>Active</v>
          </cell>
        </row>
        <row r="150">
          <cell r="A150">
            <v>1</v>
          </cell>
          <cell r="B150" t="str">
            <v>Trust</v>
          </cell>
          <cell r="C150" t="str">
            <v>Sriharsha Vemulapalli</v>
          </cell>
          <cell r="D150" t="str">
            <v>Rahul Srivastava</v>
          </cell>
          <cell r="F150" t="str">
            <v>Vivek Mishra</v>
          </cell>
          <cell r="G150" t="str">
            <v>Vivek Mishra</v>
          </cell>
          <cell r="L150" t="str">
            <v>SharePoint Analyst – Intermediate</v>
          </cell>
          <cell r="M150" t="str">
            <v>February</v>
          </cell>
          <cell r="N150">
            <v>45694</v>
          </cell>
          <cell r="O150" t="str">
            <v>NA</v>
          </cell>
          <cell r="P150" t="str">
            <v>Government of Alberta</v>
          </cell>
          <cell r="R150" t="str">
            <v>Contract</v>
          </cell>
          <cell r="S150" t="str">
            <v>C2C Canada</v>
          </cell>
          <cell r="V150">
            <v>85</v>
          </cell>
          <cell r="AA150">
            <v>2</v>
          </cell>
          <cell r="AO150">
            <v>0</v>
          </cell>
          <cell r="AP150" t="str">
            <v>Done</v>
          </cell>
          <cell r="AQ150" t="str">
            <v>Done</v>
          </cell>
        </row>
        <row r="151">
          <cell r="A151">
            <v>1</v>
          </cell>
          <cell r="B151" t="str">
            <v>Titans</v>
          </cell>
          <cell r="C151" t="str">
            <v>Alisha Agha</v>
          </cell>
          <cell r="D151" t="str">
            <v>Shubham Triphati</v>
          </cell>
          <cell r="F151" t="str">
            <v>Abhishek Yadav</v>
          </cell>
          <cell r="G151" t="str">
            <v>Abhishek Yadav</v>
          </cell>
          <cell r="L151" t="str">
            <v>RPA UiPath Developer</v>
          </cell>
          <cell r="M151" t="str">
            <v>March</v>
          </cell>
          <cell r="N151">
            <v>45721</v>
          </cell>
          <cell r="O151">
            <v>45930</v>
          </cell>
          <cell r="P151" t="str">
            <v>Genpact</v>
          </cell>
          <cell r="R151" t="str">
            <v>Contract</v>
          </cell>
          <cell r="S151" t="str">
            <v>C2C Canada</v>
          </cell>
          <cell r="V151">
            <v>72</v>
          </cell>
          <cell r="AA151">
            <v>10</v>
          </cell>
          <cell r="AN151">
            <v>536</v>
          </cell>
          <cell r="AO151">
            <v>5360</v>
          </cell>
          <cell r="AP151" t="str">
            <v>Done</v>
          </cell>
          <cell r="AQ151" t="str">
            <v>Done</v>
          </cell>
        </row>
        <row r="152">
          <cell r="A152">
            <v>1</v>
          </cell>
          <cell r="B152" t="str">
            <v>Titans</v>
          </cell>
          <cell r="C152" t="str">
            <v>Pradeep Pandey</v>
          </cell>
          <cell r="D152" t="str">
            <v>Shubham Triphati</v>
          </cell>
          <cell r="F152" t="str">
            <v>Abhishek Yadav</v>
          </cell>
          <cell r="G152" t="str">
            <v>Abhishek Yadav</v>
          </cell>
          <cell r="L152" t="str">
            <v>UI Path developer</v>
          </cell>
          <cell r="M152" t="str">
            <v>March</v>
          </cell>
          <cell r="N152">
            <v>45726</v>
          </cell>
          <cell r="O152">
            <v>45849</v>
          </cell>
          <cell r="P152" t="str">
            <v>Genpact</v>
          </cell>
          <cell r="R152" t="str">
            <v>Contract</v>
          </cell>
          <cell r="S152" t="str">
            <v>C2C Canada</v>
          </cell>
          <cell r="V152">
            <v>69</v>
          </cell>
          <cell r="AA152">
            <v>15</v>
          </cell>
          <cell r="AN152">
            <v>632</v>
          </cell>
          <cell r="AO152">
            <v>9480</v>
          </cell>
          <cell r="AP152" t="str">
            <v>Done</v>
          </cell>
          <cell r="AQ152" t="str">
            <v>Done</v>
          </cell>
        </row>
        <row r="153">
          <cell r="A153">
            <v>1</v>
          </cell>
          <cell r="B153" t="str">
            <v>Mavericks</v>
          </cell>
          <cell r="C153" t="str">
            <v xml:space="preserve">Shubhanan Veerendra Deshpande </v>
          </cell>
          <cell r="D153" t="str">
            <v>Satyajeet Singh</v>
          </cell>
          <cell r="F153" t="str">
            <v>Kashif Nabi</v>
          </cell>
          <cell r="G153" t="str">
            <v>Kashif Nabi</v>
          </cell>
          <cell r="L153" t="str">
            <v>ServiceNow BA</v>
          </cell>
          <cell r="M153" t="str">
            <v>April</v>
          </cell>
          <cell r="N153">
            <v>45775</v>
          </cell>
          <cell r="O153" t="str">
            <v>NA</v>
          </cell>
          <cell r="P153" t="str">
            <v>Genpact</v>
          </cell>
          <cell r="R153" t="str">
            <v>Contract</v>
          </cell>
          <cell r="S153" t="str">
            <v>C2C Canada</v>
          </cell>
          <cell r="V153">
            <v>67</v>
          </cell>
          <cell r="AA153">
            <v>3</v>
          </cell>
          <cell r="AN153">
            <v>584</v>
          </cell>
          <cell r="AO153">
            <v>1752</v>
          </cell>
          <cell r="AP153" t="str">
            <v>Pending</v>
          </cell>
          <cell r="AQ153" t="str">
            <v>Pending</v>
          </cell>
        </row>
        <row r="154">
          <cell r="A154">
            <v>1</v>
          </cell>
          <cell r="B154" t="str">
            <v>Titans</v>
          </cell>
          <cell r="C154" t="str">
            <v>Debra Joy Parris</v>
          </cell>
          <cell r="D154" t="str">
            <v>Heena Akshay Pandey</v>
          </cell>
          <cell r="F154" t="str">
            <v>Abhishek Yadav</v>
          </cell>
          <cell r="G154" t="str">
            <v>Abhishek Yadav</v>
          </cell>
          <cell r="L154" t="str">
            <v>Business System Analyst</v>
          </cell>
          <cell r="M154" t="str">
            <v>May</v>
          </cell>
          <cell r="N154">
            <v>45789</v>
          </cell>
          <cell r="O154" t="str">
            <v>NA</v>
          </cell>
          <cell r="P154" t="str">
            <v>Genpact</v>
          </cell>
          <cell r="R154" t="str">
            <v>Contract</v>
          </cell>
          <cell r="S154" t="str">
            <v>C2C Canada</v>
          </cell>
          <cell r="V154">
            <v>63</v>
          </cell>
          <cell r="AA154">
            <v>8</v>
          </cell>
          <cell r="AN154">
            <v>424</v>
          </cell>
          <cell r="AO154">
            <v>3392</v>
          </cell>
          <cell r="AP154" t="str">
            <v>Done</v>
          </cell>
          <cell r="AQ154" t="str">
            <v>Done</v>
          </cell>
        </row>
        <row r="155">
          <cell r="A155">
            <v>1</v>
          </cell>
          <cell r="B155" t="str">
            <v>Titans</v>
          </cell>
          <cell r="C155" t="str">
            <v>John Henry Warford</v>
          </cell>
          <cell r="D155" t="str">
            <v>Manish Kumar Dhiman</v>
          </cell>
          <cell r="F155" t="str">
            <v>Abhishek Yadav</v>
          </cell>
          <cell r="G155" t="str">
            <v>Abhishek Yadav</v>
          </cell>
          <cell r="L155" t="str">
            <v>Mainframe Developer</v>
          </cell>
          <cell r="M155" t="str">
            <v>May</v>
          </cell>
          <cell r="N155">
            <v>45789</v>
          </cell>
          <cell r="O155" t="str">
            <v>NA</v>
          </cell>
          <cell r="P155" t="str">
            <v>Genpact</v>
          </cell>
          <cell r="R155" t="str">
            <v>Contract</v>
          </cell>
          <cell r="S155" t="str">
            <v>C2C Canada</v>
          </cell>
          <cell r="V155">
            <v>86</v>
          </cell>
          <cell r="AA155">
            <v>5</v>
          </cell>
          <cell r="AN155">
            <v>448</v>
          </cell>
          <cell r="AO155">
            <v>2240</v>
          </cell>
          <cell r="AP155" t="str">
            <v>Pending</v>
          </cell>
          <cell r="AQ155" t="str">
            <v>Pending</v>
          </cell>
        </row>
        <row r="156">
          <cell r="A156">
            <v>1</v>
          </cell>
          <cell r="B156" t="str">
            <v>Trust</v>
          </cell>
          <cell r="C156" t="str">
            <v>Abhik Ghoshal</v>
          </cell>
          <cell r="D156" t="str">
            <v>Ashish Saxena</v>
          </cell>
          <cell r="F156" t="str">
            <v>Ashish Saxena</v>
          </cell>
          <cell r="G156" t="str">
            <v>Harsh Agarwal</v>
          </cell>
          <cell r="L156" t="str">
            <v>Technical Product Owner</v>
          </cell>
          <cell r="M156" t="str">
            <v>May</v>
          </cell>
          <cell r="N156">
            <v>45789</v>
          </cell>
          <cell r="O156" t="str">
            <v>NA</v>
          </cell>
          <cell r="P156" t="str">
            <v>Global Logic</v>
          </cell>
          <cell r="R156" t="str">
            <v>Contract</v>
          </cell>
          <cell r="S156" t="str">
            <v>C2C Canada</v>
          </cell>
          <cell r="V156">
            <v>90</v>
          </cell>
          <cell r="AA156">
            <v>7</v>
          </cell>
          <cell r="AN156">
            <v>354</v>
          </cell>
          <cell r="AO156">
            <v>2478</v>
          </cell>
          <cell r="AP156" t="str">
            <v>Done</v>
          </cell>
          <cell r="AQ156" t="str">
            <v>Done</v>
          </cell>
        </row>
        <row r="157">
          <cell r="A157">
            <v>1</v>
          </cell>
          <cell r="B157" t="str">
            <v>Trust</v>
          </cell>
          <cell r="C157" t="str">
            <v>Noopura Pradeep Nair</v>
          </cell>
          <cell r="D157" t="str">
            <v>Virendra Vikram Singh</v>
          </cell>
          <cell r="F157" t="str">
            <v>Ashish Saxena</v>
          </cell>
          <cell r="G157" t="str">
            <v>Harsh Agrawal</v>
          </cell>
          <cell r="L157" t="str">
            <v>Product Manager/Program Manager with HubSpot CMS</v>
          </cell>
          <cell r="M157" t="str">
            <v>May</v>
          </cell>
          <cell r="N157">
            <v>45789</v>
          </cell>
          <cell r="O157">
            <v>45870</v>
          </cell>
          <cell r="P157" t="str">
            <v>Global Logic</v>
          </cell>
          <cell r="R157" t="str">
            <v>Contract</v>
          </cell>
          <cell r="S157" t="str">
            <v>C2C Canada</v>
          </cell>
          <cell r="V157">
            <v>91</v>
          </cell>
          <cell r="AA157">
            <v>8</v>
          </cell>
          <cell r="AN157">
            <v>280</v>
          </cell>
          <cell r="AO157">
            <v>2240</v>
          </cell>
          <cell r="AP157" t="str">
            <v>Pending</v>
          </cell>
          <cell r="AQ157" t="str">
            <v>Pending</v>
          </cell>
        </row>
        <row r="158">
          <cell r="A158">
            <v>1</v>
          </cell>
          <cell r="B158" t="str">
            <v>Trust/CSK</v>
          </cell>
          <cell r="C158" t="str">
            <v>Adhithya Reddy Rachuri</v>
          </cell>
          <cell r="D158" t="str">
            <v>Vivek Mishra- Team trust</v>
          </cell>
          <cell r="F158" t="str">
            <v>Akbar Ibrahim</v>
          </cell>
          <cell r="G158" t="str">
            <v>Akbar Ibrahim</v>
          </cell>
          <cell r="L158" t="str">
            <v xml:space="preserve">SDET </v>
          </cell>
          <cell r="M158" t="str">
            <v>May</v>
          </cell>
          <cell r="N158">
            <v>45789</v>
          </cell>
          <cell r="O158">
            <v>45876</v>
          </cell>
          <cell r="P158" t="str">
            <v>Cigniti Technologies</v>
          </cell>
          <cell r="R158" t="str">
            <v>Contract</v>
          </cell>
          <cell r="S158" t="str">
            <v>C2C Canada</v>
          </cell>
          <cell r="V158">
            <v>62</v>
          </cell>
          <cell r="AA158">
            <v>7.25</v>
          </cell>
          <cell r="AN158">
            <v>440</v>
          </cell>
          <cell r="AO158">
            <v>3190</v>
          </cell>
          <cell r="AP158" t="str">
            <v>Done</v>
          </cell>
          <cell r="AQ158" t="str">
            <v>Done</v>
          </cell>
        </row>
        <row r="159">
          <cell r="A159">
            <v>1</v>
          </cell>
          <cell r="B159" t="str">
            <v>Titans</v>
          </cell>
          <cell r="C159" t="str">
            <v xml:space="preserve">Shubham Goyal </v>
          </cell>
          <cell r="D159" t="str">
            <v>Abhishek Yadav</v>
          </cell>
          <cell r="F159" t="str">
            <v>Abhishek Yadav</v>
          </cell>
          <cell r="G159" t="str">
            <v>Abhishek Yadav</v>
          </cell>
          <cell r="L159" t="str">
            <v xml:space="preserve">Business System Analyst </v>
          </cell>
          <cell r="M159" t="str">
            <v>June</v>
          </cell>
          <cell r="N159">
            <v>45817</v>
          </cell>
          <cell r="O159" t="str">
            <v>NA</v>
          </cell>
          <cell r="P159" t="str">
            <v>Genpact</v>
          </cell>
          <cell r="R159" t="str">
            <v>Contract</v>
          </cell>
          <cell r="S159" t="str">
            <v>C2C Canada</v>
          </cell>
          <cell r="V159">
            <v>60</v>
          </cell>
          <cell r="AA159">
            <v>15</v>
          </cell>
          <cell r="AN159">
            <v>288</v>
          </cell>
          <cell r="AO159">
            <v>4320</v>
          </cell>
          <cell r="AP159" t="str">
            <v>Pending</v>
          </cell>
          <cell r="AQ159" t="str">
            <v>Pending</v>
          </cell>
        </row>
        <row r="160">
          <cell r="A160">
            <v>1</v>
          </cell>
          <cell r="B160" t="str">
            <v>Titans</v>
          </cell>
          <cell r="C160" t="str">
            <v>Pushpesh Mohan</v>
          </cell>
          <cell r="D160" t="str">
            <v>Abhishek Yadav</v>
          </cell>
          <cell r="F160" t="str">
            <v>Abhishek Yadav</v>
          </cell>
          <cell r="G160" t="str">
            <v>Abhishek Yadav</v>
          </cell>
          <cell r="L160" t="str">
            <v>Java Developer</v>
          </cell>
          <cell r="M160" t="str">
            <v>June</v>
          </cell>
          <cell r="N160">
            <v>45817</v>
          </cell>
          <cell r="O160" t="str">
            <v>NA</v>
          </cell>
          <cell r="P160" t="str">
            <v>Genpact</v>
          </cell>
          <cell r="R160" t="str">
            <v>Contract</v>
          </cell>
          <cell r="S160" t="str">
            <v>C2C Canada</v>
          </cell>
          <cell r="V160">
            <v>55</v>
          </cell>
          <cell r="AA160">
            <v>6</v>
          </cell>
          <cell r="AN160">
            <v>227</v>
          </cell>
          <cell r="AO160">
            <v>1362</v>
          </cell>
          <cell r="AP160" t="str">
            <v>Pending</v>
          </cell>
          <cell r="AQ160" t="str">
            <v>Pending</v>
          </cell>
        </row>
        <row r="161">
          <cell r="A161">
            <v>1</v>
          </cell>
          <cell r="B161" t="str">
            <v>Mavericks</v>
          </cell>
          <cell r="C161" t="str">
            <v>Anushka Banerjee</v>
          </cell>
          <cell r="D161" t="str">
            <v>Arpit Gupta</v>
          </cell>
          <cell r="F161" t="str">
            <v>Kashif Nabi</v>
          </cell>
          <cell r="G161" t="str">
            <v>Mohammad Tariq</v>
          </cell>
          <cell r="L161" t="str">
            <v>ServiceNow Developer</v>
          </cell>
          <cell r="M161" t="str">
            <v>June</v>
          </cell>
          <cell r="N161">
            <v>45810</v>
          </cell>
          <cell r="O161">
            <v>45866</v>
          </cell>
          <cell r="P161" t="str">
            <v>Genpact</v>
          </cell>
          <cell r="R161" t="str">
            <v>Contract</v>
          </cell>
          <cell r="S161" t="str">
            <v>C2C Canada</v>
          </cell>
          <cell r="V161">
            <v>80</v>
          </cell>
          <cell r="AA161">
            <v>11</v>
          </cell>
          <cell r="AN161">
            <v>312</v>
          </cell>
          <cell r="AO161">
            <v>3432</v>
          </cell>
          <cell r="AP161" t="str">
            <v>Pending</v>
          </cell>
          <cell r="AQ161" t="str">
            <v>Pending</v>
          </cell>
        </row>
        <row r="162">
          <cell r="A162">
            <v>1</v>
          </cell>
          <cell r="B162" t="str">
            <v>Titans</v>
          </cell>
          <cell r="C162" t="str">
            <v>Banshilal B Khinchi</v>
          </cell>
          <cell r="D162" t="str">
            <v>Abhishek Yadav</v>
          </cell>
          <cell r="F162" t="str">
            <v>Abhishek Yadav</v>
          </cell>
          <cell r="G162" t="str">
            <v>Abhishek Yadav</v>
          </cell>
          <cell r="L162" t="str">
            <v>Java Developer</v>
          </cell>
          <cell r="M162" t="str">
            <v>June</v>
          </cell>
          <cell r="N162">
            <v>45817</v>
          </cell>
          <cell r="O162" t="str">
            <v>NA</v>
          </cell>
          <cell r="P162" t="str">
            <v>Genpact</v>
          </cell>
          <cell r="R162" t="str">
            <v>Contract</v>
          </cell>
          <cell r="S162" t="str">
            <v>C2C Canada</v>
          </cell>
          <cell r="V162">
            <v>55</v>
          </cell>
          <cell r="AA162">
            <v>15</v>
          </cell>
          <cell r="AN162">
            <v>288</v>
          </cell>
          <cell r="AO162">
            <v>4320</v>
          </cell>
          <cell r="AP162" t="str">
            <v>No Bill No Pay</v>
          </cell>
          <cell r="AQ162" t="str">
            <v>No bill no pay</v>
          </cell>
        </row>
        <row r="163">
          <cell r="A163">
            <v>1</v>
          </cell>
          <cell r="B163" t="str">
            <v>Titans</v>
          </cell>
          <cell r="C163" t="str">
            <v>Vishal Gupta</v>
          </cell>
          <cell r="D163" t="str">
            <v>Abhishek Yadav</v>
          </cell>
          <cell r="F163" t="str">
            <v>Abhishek Yadav</v>
          </cell>
          <cell r="G163" t="str">
            <v>Abhishek Yadav</v>
          </cell>
          <cell r="L163" t="str">
            <v xml:space="preserve">Business System Analyst </v>
          </cell>
          <cell r="M163" t="str">
            <v>June</v>
          </cell>
          <cell r="N163">
            <v>45824</v>
          </cell>
          <cell r="O163">
            <v>45904</v>
          </cell>
          <cell r="P163" t="str">
            <v>Genpact</v>
          </cell>
          <cell r="R163" t="str">
            <v>Contract</v>
          </cell>
          <cell r="S163" t="str">
            <v>C2C Canada</v>
          </cell>
          <cell r="V163">
            <v>60</v>
          </cell>
          <cell r="AA163">
            <v>15</v>
          </cell>
          <cell r="AO163">
            <v>0</v>
          </cell>
          <cell r="AP163" t="str">
            <v>Active</v>
          </cell>
          <cell r="AQ163" t="str">
            <v>May</v>
          </cell>
        </row>
        <row r="164">
          <cell r="A164">
            <v>1</v>
          </cell>
          <cell r="B164" t="str">
            <v>Titans</v>
          </cell>
          <cell r="C164" t="str">
            <v>Serguei Pykhov</v>
          </cell>
          <cell r="D164" t="str">
            <v>Abhishek Yadav</v>
          </cell>
          <cell r="F164" t="str">
            <v>Abhishek Yadav</v>
          </cell>
          <cell r="G164" t="str">
            <v>Abhishek Yadav</v>
          </cell>
          <cell r="L164" t="str">
            <v>Java developer  </v>
          </cell>
          <cell r="M164" t="str">
            <v>June</v>
          </cell>
          <cell r="N164">
            <v>45824</v>
          </cell>
          <cell r="O164">
            <v>45964</v>
          </cell>
          <cell r="P164" t="str">
            <v>Genpact</v>
          </cell>
          <cell r="R164" t="str">
            <v>Contract</v>
          </cell>
          <cell r="S164" t="str">
            <v>C2C Canada</v>
          </cell>
          <cell r="V164">
            <v>55</v>
          </cell>
          <cell r="AA164">
            <v>6</v>
          </cell>
          <cell r="AN164">
            <v>192</v>
          </cell>
          <cell r="AO164">
            <v>1152</v>
          </cell>
          <cell r="AP164" t="str">
            <v>Active</v>
          </cell>
          <cell r="AQ164" t="str">
            <v>Sep</v>
          </cell>
        </row>
        <row r="165">
          <cell r="A165">
            <v>1</v>
          </cell>
          <cell r="B165" t="str">
            <v>Mavericks</v>
          </cell>
          <cell r="C165" t="str">
            <v>Amandeep Singh</v>
          </cell>
          <cell r="D165" t="str">
            <v>Sarthak Srivastava</v>
          </cell>
          <cell r="F165" t="str">
            <v>Kashif Nabi</v>
          </cell>
          <cell r="G165" t="str">
            <v>Mohammad Tariq</v>
          </cell>
          <cell r="L165" t="str">
            <v>ServiceNow BA</v>
          </cell>
          <cell r="M165" t="str">
            <v>June</v>
          </cell>
          <cell r="N165">
            <v>45831</v>
          </cell>
          <cell r="O165">
            <v>45863</v>
          </cell>
          <cell r="P165" t="str">
            <v>Genpact</v>
          </cell>
          <cell r="R165" t="str">
            <v>Contract</v>
          </cell>
          <cell r="S165" t="str">
            <v>C2C Canada</v>
          </cell>
          <cell r="V165">
            <v>80</v>
          </cell>
          <cell r="AA165">
            <v>1</v>
          </cell>
          <cell r="AN165">
            <v>104</v>
          </cell>
          <cell r="AO165">
            <v>104</v>
          </cell>
          <cell r="AP165" t="str">
            <v>Active</v>
          </cell>
          <cell r="AQ165" t="str">
            <v>Sep</v>
          </cell>
        </row>
        <row r="166">
          <cell r="A166">
            <v>1</v>
          </cell>
          <cell r="B166" t="str">
            <v>Mavericks</v>
          </cell>
          <cell r="C166" t="str">
            <v>Monarch Kumar Nayak</v>
          </cell>
          <cell r="D166" t="str">
            <v>Harshita Mani Srivastava</v>
          </cell>
          <cell r="F166" t="str">
            <v>Kashif Nabi</v>
          </cell>
          <cell r="G166" t="str">
            <v>Kashif Nabi</v>
          </cell>
          <cell r="L166" t="str">
            <v>ServiceNow Developer</v>
          </cell>
          <cell r="M166" t="str">
            <v>August</v>
          </cell>
          <cell r="N166">
            <v>45874</v>
          </cell>
          <cell r="O166">
            <v>45919</v>
          </cell>
          <cell r="P166" t="str">
            <v>Genpact</v>
          </cell>
          <cell r="R166" t="str">
            <v>Contract</v>
          </cell>
          <cell r="S166" t="str">
            <v>C2C Canada</v>
          </cell>
          <cell r="V166">
            <v>80</v>
          </cell>
          <cell r="AA166">
            <v>8</v>
          </cell>
          <cell r="AN166">
            <v>56</v>
          </cell>
          <cell r="AO166">
            <v>448</v>
          </cell>
          <cell r="AP166" t="str">
            <v>Quit</v>
          </cell>
          <cell r="AQ166">
            <v>45775</v>
          </cell>
        </row>
        <row r="167">
          <cell r="A167">
            <v>1</v>
          </cell>
          <cell r="B167" t="str">
            <v>Titans</v>
          </cell>
          <cell r="C167" t="str">
            <v xml:space="preserve">Gagandeep Kaur  </v>
          </cell>
          <cell r="D167" t="str">
            <v xml:space="preserve">Satyam Pandey </v>
          </cell>
          <cell r="F167" t="str">
            <v>Abhishek Yadav</v>
          </cell>
          <cell r="G167" t="str">
            <v>Abhishek Yadav</v>
          </cell>
          <cell r="L167" t="str">
            <v xml:space="preserve">Business System Analyst </v>
          </cell>
          <cell r="M167" t="str">
            <v>July</v>
          </cell>
          <cell r="N167">
            <v>45845</v>
          </cell>
          <cell r="O167">
            <v>45903</v>
          </cell>
          <cell r="P167" t="str">
            <v>Genpact</v>
          </cell>
          <cell r="R167" t="str">
            <v>Contract</v>
          </cell>
          <cell r="S167" t="str">
            <v>C2C Canada</v>
          </cell>
          <cell r="V167">
            <v>60</v>
          </cell>
          <cell r="AA167">
            <v>10</v>
          </cell>
          <cell r="AN167">
            <v>56</v>
          </cell>
          <cell r="AO167">
            <v>560</v>
          </cell>
          <cell r="AP167" t="str">
            <v>Active</v>
          </cell>
          <cell r="AQ167" t="str">
            <v>Sep</v>
          </cell>
        </row>
        <row r="168">
          <cell r="A168">
            <v>1</v>
          </cell>
          <cell r="B168" t="str">
            <v>Titans</v>
          </cell>
          <cell r="C168" t="str">
            <v>Nikhil Sahi</v>
          </cell>
          <cell r="D168" t="str">
            <v>Shubham Srivastava</v>
          </cell>
          <cell r="F168" t="str">
            <v>Abhishek Yadav</v>
          </cell>
          <cell r="G168" t="str">
            <v>Abhishek Yadav</v>
          </cell>
          <cell r="L168" t="str">
            <v>Sr. Java Developer</v>
          </cell>
          <cell r="M168" t="str">
            <v>July</v>
          </cell>
          <cell r="N168">
            <v>45852</v>
          </cell>
          <cell r="O168" t="str">
            <v>NA</v>
          </cell>
          <cell r="P168" t="str">
            <v>Genpact</v>
          </cell>
          <cell r="R168" t="str">
            <v>Contract</v>
          </cell>
          <cell r="S168" t="str">
            <v>C2C Canada</v>
          </cell>
          <cell r="V168">
            <v>55</v>
          </cell>
          <cell r="AA168">
            <v>13</v>
          </cell>
          <cell r="AN168">
            <v>40</v>
          </cell>
          <cell r="AO168">
            <v>520</v>
          </cell>
          <cell r="AP168" t="str">
            <v>Active</v>
          </cell>
          <cell r="AQ168" t="str">
            <v>Sep</v>
          </cell>
        </row>
        <row r="169">
          <cell r="A169">
            <v>1</v>
          </cell>
          <cell r="B169" t="str">
            <v>Mavericks</v>
          </cell>
          <cell r="C169" t="str">
            <v>Mohammad Omidvar</v>
          </cell>
          <cell r="D169" t="str">
            <v>Mohammad Tariq</v>
          </cell>
          <cell r="F169" t="str">
            <v>Kashif Nabi</v>
          </cell>
          <cell r="G169" t="str">
            <v>Kashif Nabi</v>
          </cell>
          <cell r="L169" t="str">
            <v>ServiceNow Tech Lead</v>
          </cell>
          <cell r="M169" t="str">
            <v>August</v>
          </cell>
          <cell r="N169">
            <v>45874</v>
          </cell>
          <cell r="O169" t="str">
            <v>NA</v>
          </cell>
          <cell r="P169" t="str">
            <v>Genpact</v>
          </cell>
          <cell r="R169" t="str">
            <v>Contract</v>
          </cell>
          <cell r="S169" t="str">
            <v>C2C Canada</v>
          </cell>
          <cell r="V169">
            <v>140</v>
          </cell>
          <cell r="AA169">
            <v>1</v>
          </cell>
          <cell r="AN169">
            <v>80</v>
          </cell>
          <cell r="AO169">
            <v>80</v>
          </cell>
          <cell r="AP169" t="str">
            <v>Active</v>
          </cell>
          <cell r="AQ169" t="str">
            <v>Sep</v>
          </cell>
        </row>
        <row r="170">
          <cell r="A170">
            <v>1</v>
          </cell>
          <cell r="B170" t="str">
            <v>Titans</v>
          </cell>
          <cell r="C170" t="str">
            <v xml:space="preserve">Jennifer Papp 2nd </v>
          </cell>
          <cell r="D170" t="str">
            <v>Manish Diman  </v>
          </cell>
          <cell r="F170" t="str">
            <v>Abhishek Yadav</v>
          </cell>
          <cell r="G170" t="str">
            <v>Abhishek Yadav</v>
          </cell>
          <cell r="L170" t="str">
            <v xml:space="preserve">Scrum Master </v>
          </cell>
          <cell r="M170" t="str">
            <v>August</v>
          </cell>
          <cell r="N170">
            <v>45870</v>
          </cell>
          <cell r="O170">
            <v>45933</v>
          </cell>
          <cell r="P170" t="str">
            <v>Genpact</v>
          </cell>
          <cell r="R170" t="str">
            <v>Contract</v>
          </cell>
          <cell r="S170" t="str">
            <v>C2C Canada</v>
          </cell>
          <cell r="V170">
            <v>61</v>
          </cell>
          <cell r="AA170">
            <v>2</v>
          </cell>
          <cell r="AO170">
            <v>0</v>
          </cell>
          <cell r="AP170" t="str">
            <v>Active</v>
          </cell>
          <cell r="AQ170" t="str">
            <v>Sep</v>
          </cell>
        </row>
        <row r="171">
          <cell r="A171">
            <v>1</v>
          </cell>
          <cell r="B171" t="str">
            <v>Mavericks</v>
          </cell>
          <cell r="C171" t="str">
            <v>Samuel L Manuel</v>
          </cell>
          <cell r="D171" t="str">
            <v>Priyanka Sharma</v>
          </cell>
          <cell r="F171" t="str">
            <v>Kashif Nabi</v>
          </cell>
          <cell r="G171" t="str">
            <v>Kashif Nabi</v>
          </cell>
          <cell r="L171" t="str">
            <v>ServiceNow BA/Product Owner</v>
          </cell>
          <cell r="M171" t="str">
            <v>August</v>
          </cell>
          <cell r="N171">
            <v>45874</v>
          </cell>
          <cell r="O171" t="str">
            <v>NA</v>
          </cell>
          <cell r="P171" t="str">
            <v>Genpact</v>
          </cell>
          <cell r="R171" t="str">
            <v>Contract</v>
          </cell>
          <cell r="S171" t="str">
            <v>C2C Canada</v>
          </cell>
          <cell r="V171">
            <v>80</v>
          </cell>
          <cell r="AA171">
            <v>10</v>
          </cell>
          <cell r="AN171">
            <v>0</v>
          </cell>
          <cell r="AO171">
            <v>0</v>
          </cell>
          <cell r="AP171" t="str">
            <v>Active</v>
          </cell>
          <cell r="AQ171" t="str">
            <v>Jun</v>
          </cell>
        </row>
        <row r="172">
          <cell r="A172">
            <v>1</v>
          </cell>
          <cell r="B172" t="str">
            <v>Titans</v>
          </cell>
          <cell r="C172" t="str">
            <v xml:space="preserve">Kathleen A. Ransom 2nd </v>
          </cell>
          <cell r="D172" t="str">
            <v xml:space="preserve">Dheeraj Verma </v>
          </cell>
          <cell r="F172" t="str">
            <v>Abhishek Yadav</v>
          </cell>
          <cell r="G172" t="str">
            <v>Abhishek Yadav</v>
          </cell>
          <cell r="L172" t="str">
            <v>Windows Administrator</v>
          </cell>
          <cell r="M172" t="str">
            <v>August</v>
          </cell>
          <cell r="N172">
            <v>45875</v>
          </cell>
          <cell r="O172" t="str">
            <v>NA</v>
          </cell>
          <cell r="P172" t="str">
            <v>Genpact</v>
          </cell>
          <cell r="R172" t="str">
            <v>Contract</v>
          </cell>
          <cell r="S172" t="str">
            <v>C2C Canada</v>
          </cell>
          <cell r="V172">
            <v>45</v>
          </cell>
          <cell r="AA172">
            <v>4</v>
          </cell>
          <cell r="AN172">
            <v>664</v>
          </cell>
          <cell r="AO172">
            <v>2656</v>
          </cell>
          <cell r="AP172" t="str">
            <v>Active</v>
          </cell>
          <cell r="AQ172" t="str">
            <v>Sep</v>
          </cell>
        </row>
        <row r="173">
          <cell r="A173">
            <v>1</v>
          </cell>
          <cell r="B173" t="str">
            <v>WellnessWarriors-Healthcare</v>
          </cell>
          <cell r="C173" t="str">
            <v>Labria Dominque Miller</v>
          </cell>
          <cell r="D173" t="str">
            <v xml:space="preserve">Mohini Chand </v>
          </cell>
          <cell r="F173" t="str">
            <v xml:space="preserve">Shailesh Sharma </v>
          </cell>
          <cell r="G173" t="str">
            <v xml:space="preserve">Shailesh Sharma </v>
          </cell>
          <cell r="L173" t="str">
            <v xml:space="preserve">Licensed BH Professional (Local) </v>
          </cell>
          <cell r="M173" t="str">
            <v>January</v>
          </cell>
          <cell r="N173">
            <v>45678</v>
          </cell>
          <cell r="O173">
            <v>45765</v>
          </cell>
          <cell r="P173" t="str">
            <v>CSU</v>
          </cell>
          <cell r="R173" t="str">
            <v>Contract</v>
          </cell>
          <cell r="S173" t="str">
            <v>W2</v>
          </cell>
          <cell r="V173">
            <v>90.5</v>
          </cell>
          <cell r="AA173">
            <v>10</v>
          </cell>
          <cell r="AN173">
            <v>824</v>
          </cell>
          <cell r="AO173">
            <v>8240</v>
          </cell>
          <cell r="AP173" t="str">
            <v>Active</v>
          </cell>
          <cell r="AQ173" t="str">
            <v>Sep</v>
          </cell>
        </row>
        <row r="174">
          <cell r="A174">
            <v>1</v>
          </cell>
          <cell r="B174" t="str">
            <v>WellnessWarriors-Healthcare</v>
          </cell>
          <cell r="C174" t="str">
            <v>Susan L O’Brien</v>
          </cell>
          <cell r="D174" t="str">
            <v xml:space="preserve">Shivam Chaurasia </v>
          </cell>
          <cell r="F174" t="str">
            <v xml:space="preserve">Shailesh Sharma </v>
          </cell>
          <cell r="G174" t="str">
            <v xml:space="preserve">Shailesh Sharma </v>
          </cell>
          <cell r="L174" t="str">
            <v>Licensed BH Professional/LMSW</v>
          </cell>
          <cell r="M174" t="str">
            <v>February</v>
          </cell>
          <cell r="N174">
            <v>45691</v>
          </cell>
          <cell r="O174">
            <v>45778</v>
          </cell>
          <cell r="P174" t="str">
            <v>CSU</v>
          </cell>
          <cell r="R174" t="str">
            <v>Contract</v>
          </cell>
          <cell r="S174" t="str">
            <v>W2</v>
          </cell>
          <cell r="V174">
            <v>74</v>
          </cell>
          <cell r="AA174">
            <v>2</v>
          </cell>
          <cell r="AN174">
            <v>1012</v>
          </cell>
          <cell r="AO174">
            <v>2024</v>
          </cell>
          <cell r="AP174" t="str">
            <v>Active</v>
          </cell>
          <cell r="AQ174" t="str">
            <v>Sep</v>
          </cell>
        </row>
        <row r="175">
          <cell r="A175">
            <v>1</v>
          </cell>
          <cell r="B175" t="str">
            <v>WellnessWarriors-Healthcare</v>
          </cell>
          <cell r="C175" t="str">
            <v xml:space="preserve">Francesca A Ortiz 2nd and 3rd </v>
          </cell>
          <cell r="D175" t="str">
            <v>Shivam Chaurasia (Samson)</v>
          </cell>
          <cell r="F175" t="str">
            <v xml:space="preserve">Shailesh Sharma </v>
          </cell>
          <cell r="G175" t="str">
            <v xml:space="preserve">Shailesh Sharma </v>
          </cell>
          <cell r="L175" t="str">
            <v>Care Coordinator</v>
          </cell>
          <cell r="M175" t="str">
            <v>February</v>
          </cell>
          <cell r="N175">
            <v>45706</v>
          </cell>
          <cell r="O175">
            <v>45859</v>
          </cell>
          <cell r="P175" t="str">
            <v>CSU</v>
          </cell>
          <cell r="R175" t="str">
            <v>Contract</v>
          </cell>
          <cell r="S175" t="str">
            <v>W2</v>
          </cell>
          <cell r="V175">
            <v>34</v>
          </cell>
          <cell r="AA175">
            <v>9</v>
          </cell>
          <cell r="AN175">
            <v>12</v>
          </cell>
          <cell r="AO175">
            <v>108</v>
          </cell>
          <cell r="AP175" t="str">
            <v>Active</v>
          </cell>
          <cell r="AQ175" t="str">
            <v>Sep</v>
          </cell>
        </row>
        <row r="176">
          <cell r="A176">
            <v>1</v>
          </cell>
          <cell r="B176" t="str">
            <v>WellnessWarriors-Healthcare</v>
          </cell>
          <cell r="C176" t="str">
            <v>Elizabeth Baez 2nd</v>
          </cell>
          <cell r="D176" t="str">
            <v>Ananya Agarwal</v>
          </cell>
          <cell r="F176" t="str">
            <v>Ranveer Kumar</v>
          </cell>
          <cell r="G176" t="str">
            <v>Ranveer Kumar</v>
          </cell>
          <cell r="L176" t="str">
            <v>Telehealth Coordinator</v>
          </cell>
          <cell r="M176" t="str">
            <v>February</v>
          </cell>
          <cell r="N176">
            <v>45712</v>
          </cell>
          <cell r="O176">
            <v>45800</v>
          </cell>
          <cell r="P176" t="str">
            <v>CSU</v>
          </cell>
          <cell r="R176" t="str">
            <v>Contract</v>
          </cell>
          <cell r="S176" t="str">
            <v>W2</v>
          </cell>
          <cell r="V176">
            <v>34</v>
          </cell>
          <cell r="AA176">
            <v>1</v>
          </cell>
          <cell r="AN176">
            <v>1032</v>
          </cell>
          <cell r="AO176">
            <v>1032</v>
          </cell>
          <cell r="AP176" t="str">
            <v>No Bill No Pay</v>
          </cell>
          <cell r="AQ176" t="str">
            <v>No bill no pay</v>
          </cell>
        </row>
        <row r="177">
          <cell r="A177">
            <v>1</v>
          </cell>
          <cell r="B177" t="str">
            <v>WellnessWarriors-Healthcare</v>
          </cell>
          <cell r="C177" t="str">
            <v>Maurice Ouma Ford</v>
          </cell>
          <cell r="D177" t="str">
            <v>Mohini Chand</v>
          </cell>
          <cell r="F177" t="str">
            <v xml:space="preserve">Shailesh Sharma </v>
          </cell>
          <cell r="G177" t="str">
            <v xml:space="preserve">Shailesh Sharma </v>
          </cell>
          <cell r="L177" t="str">
            <v>Licensed BH Professional/ Travel</v>
          </cell>
          <cell r="M177" t="str">
            <v>March</v>
          </cell>
          <cell r="N177">
            <v>45719</v>
          </cell>
          <cell r="O177">
            <v>45807</v>
          </cell>
          <cell r="P177" t="str">
            <v>CSU</v>
          </cell>
          <cell r="R177" t="str">
            <v>Contract</v>
          </cell>
          <cell r="S177" t="str">
            <v>W2</v>
          </cell>
          <cell r="V177">
            <v>80</v>
          </cell>
          <cell r="AA177">
            <v>7.25</v>
          </cell>
          <cell r="AN177">
            <v>979</v>
          </cell>
          <cell r="AO177">
            <v>7097.75</v>
          </cell>
          <cell r="AP177" t="str">
            <v>Active</v>
          </cell>
          <cell r="AQ177" t="str">
            <v>Sep</v>
          </cell>
        </row>
        <row r="178">
          <cell r="A178">
            <v>1</v>
          </cell>
          <cell r="B178" t="str">
            <v>WellnessWarriors-Healthcare</v>
          </cell>
          <cell r="C178" t="str">
            <v xml:space="preserve">Yolanda D Berry </v>
          </cell>
          <cell r="D178" t="str">
            <v>Shivam Chaurasia (Samson)</v>
          </cell>
          <cell r="F178" t="str">
            <v xml:space="preserve">Shailesh Sharma </v>
          </cell>
          <cell r="G178" t="str">
            <v xml:space="preserve">Shailesh Sharma </v>
          </cell>
          <cell r="L178" t="str">
            <v>LPN Correctional - Local</v>
          </cell>
          <cell r="M178" t="str">
            <v>March</v>
          </cell>
          <cell r="N178">
            <v>45718</v>
          </cell>
          <cell r="O178" t="str">
            <v>NA</v>
          </cell>
          <cell r="P178" t="str">
            <v>CSU</v>
          </cell>
          <cell r="R178" t="str">
            <v>Contract</v>
          </cell>
          <cell r="S178" t="str">
            <v>W2</v>
          </cell>
          <cell r="V178">
            <v>60</v>
          </cell>
          <cell r="AA178">
            <v>8.4499999999999993</v>
          </cell>
          <cell r="AN178">
            <v>912</v>
          </cell>
          <cell r="AO178">
            <v>7706.4</v>
          </cell>
          <cell r="AP178" t="str">
            <v>Active</v>
          </cell>
          <cell r="AQ178" t="str">
            <v>Sep</v>
          </cell>
        </row>
        <row r="179">
          <cell r="A179">
            <v>1</v>
          </cell>
          <cell r="B179" t="str">
            <v>WellnessWarriors-Healthcare</v>
          </cell>
          <cell r="C179" t="str">
            <v>Timothy Webb</v>
          </cell>
          <cell r="D179" t="str">
            <v>Uttam Chandra</v>
          </cell>
          <cell r="F179" t="str">
            <v>Ranveer Kumar</v>
          </cell>
          <cell r="G179" t="str">
            <v>Ranveer Kumar</v>
          </cell>
          <cell r="L179" t="str">
            <v>Travel-RN(Dialysis)</v>
          </cell>
          <cell r="M179" t="str">
            <v>February</v>
          </cell>
          <cell r="N179">
            <v>45704</v>
          </cell>
          <cell r="O179">
            <v>45780</v>
          </cell>
          <cell r="P179" t="str">
            <v>Prime Health</v>
          </cell>
          <cell r="R179" t="str">
            <v>Contract</v>
          </cell>
          <cell r="S179" t="str">
            <v>W2</v>
          </cell>
          <cell r="V179">
            <v>85</v>
          </cell>
          <cell r="AA179">
            <v>9</v>
          </cell>
          <cell r="AN179">
            <v>904</v>
          </cell>
          <cell r="AO179">
            <v>8136</v>
          </cell>
          <cell r="AP179" t="str">
            <v>Active</v>
          </cell>
          <cell r="AQ179" t="str">
            <v>sep</v>
          </cell>
        </row>
        <row r="180">
          <cell r="A180">
            <v>1</v>
          </cell>
          <cell r="B180" t="str">
            <v>WellnessWarriors-Healthcare</v>
          </cell>
          <cell r="C180" t="str">
            <v>Sunil Singh</v>
          </cell>
          <cell r="D180" t="str">
            <v>Vishal Jaiswal (Victor)</v>
          </cell>
          <cell r="F180" t="str">
            <v>Abhishek Singh</v>
          </cell>
          <cell r="G180" t="str">
            <v>Abhishek Singh</v>
          </cell>
          <cell r="L180" t="str">
            <v>Travel RN</v>
          </cell>
          <cell r="M180" t="str">
            <v>March</v>
          </cell>
          <cell r="N180">
            <v>45741</v>
          </cell>
          <cell r="O180">
            <v>45761</v>
          </cell>
          <cell r="P180" t="str">
            <v>Prime Health</v>
          </cell>
          <cell r="R180" t="str">
            <v>Contract</v>
          </cell>
          <cell r="S180" t="str">
            <v>W2</v>
          </cell>
          <cell r="V180">
            <v>80</v>
          </cell>
          <cell r="AA180">
            <v>5</v>
          </cell>
          <cell r="AN180">
            <v>264</v>
          </cell>
          <cell r="AO180">
            <v>1320</v>
          </cell>
          <cell r="AP180" t="str">
            <v>No Bill No Pay</v>
          </cell>
          <cell r="AQ180" t="str">
            <v>No bill no pay</v>
          </cell>
        </row>
        <row r="181">
          <cell r="A181">
            <v>1</v>
          </cell>
          <cell r="B181" t="str">
            <v>WellnessWarriors-Healthcare</v>
          </cell>
          <cell r="C181" t="str">
            <v>Delia Reynolds</v>
          </cell>
          <cell r="D181" t="str">
            <v>Mohini Chand</v>
          </cell>
          <cell r="F181" t="str">
            <v xml:space="preserve">Shailesh Sharma </v>
          </cell>
          <cell r="G181" t="str">
            <v xml:space="preserve">Shailesh Sharma </v>
          </cell>
          <cell r="L181" t="str">
            <v xml:space="preserve">Ultrasound Technologist  </v>
          </cell>
          <cell r="M181" t="str">
            <v>April</v>
          </cell>
          <cell r="N181">
            <v>45754</v>
          </cell>
          <cell r="O181">
            <v>45834</v>
          </cell>
          <cell r="P181" t="str">
            <v>HWL</v>
          </cell>
          <cell r="R181" t="str">
            <v>Contract</v>
          </cell>
          <cell r="S181" t="str">
            <v>W2</v>
          </cell>
          <cell r="V181">
            <v>79.5</v>
          </cell>
          <cell r="AA181">
            <v>6</v>
          </cell>
          <cell r="AN181">
            <v>848</v>
          </cell>
          <cell r="AO181">
            <v>5088</v>
          </cell>
          <cell r="AP181" t="str">
            <v>Done</v>
          </cell>
          <cell r="AQ181" t="str">
            <v>Sep</v>
          </cell>
        </row>
        <row r="182">
          <cell r="A182">
            <v>1</v>
          </cell>
          <cell r="B182" t="str">
            <v>WellnessWarriors-Healthcare</v>
          </cell>
          <cell r="C182" t="str">
            <v>James Navera</v>
          </cell>
          <cell r="D182" t="str">
            <v>Sachin Singh</v>
          </cell>
          <cell r="F182" t="str">
            <v>Abhishek Singh</v>
          </cell>
          <cell r="G182" t="str">
            <v>Abhishek Singh</v>
          </cell>
          <cell r="L182" t="str">
            <v>Respiratory Care Practitioner/ PRN</v>
          </cell>
          <cell r="M182" t="str">
            <v>April</v>
          </cell>
          <cell r="N182">
            <v>45758</v>
          </cell>
          <cell r="O182" t="str">
            <v>NA</v>
          </cell>
          <cell r="P182" t="str">
            <v>Prime/Hallmark</v>
          </cell>
          <cell r="R182" t="str">
            <v>Contract</v>
          </cell>
          <cell r="S182" t="str">
            <v>W2</v>
          </cell>
          <cell r="V182">
            <v>65</v>
          </cell>
          <cell r="AA182">
            <v>7.95</v>
          </cell>
          <cell r="AN182">
            <v>776</v>
          </cell>
          <cell r="AO182">
            <v>6169.2</v>
          </cell>
          <cell r="AP182" t="str">
            <v>Active</v>
          </cell>
          <cell r="AQ182" t="str">
            <v>Sep</v>
          </cell>
        </row>
        <row r="183">
          <cell r="A183">
            <v>1</v>
          </cell>
          <cell r="B183" t="str">
            <v>WellnessWarriors-Healthcare</v>
          </cell>
          <cell r="C183" t="str">
            <v>Christopher Garn</v>
          </cell>
          <cell r="D183" t="str">
            <v>Tushar Mishra</v>
          </cell>
          <cell r="F183" t="str">
            <v>Abhishek Singh</v>
          </cell>
          <cell r="G183" t="str">
            <v>Abhishek Singh</v>
          </cell>
          <cell r="L183" t="str">
            <v>Echocardiography Technician / PRN</v>
          </cell>
          <cell r="M183" t="str">
            <v>April</v>
          </cell>
          <cell r="N183">
            <v>45761</v>
          </cell>
          <cell r="O183" t="str">
            <v>NA</v>
          </cell>
          <cell r="P183" t="str">
            <v>Prime/Hallmark</v>
          </cell>
          <cell r="R183" t="str">
            <v>Contract</v>
          </cell>
          <cell r="S183" t="str">
            <v>W2</v>
          </cell>
          <cell r="V183">
            <v>95</v>
          </cell>
          <cell r="AA183">
            <v>6</v>
          </cell>
          <cell r="AN183">
            <v>688</v>
          </cell>
          <cell r="AO183">
            <v>4128</v>
          </cell>
          <cell r="AP183" t="str">
            <v>Active</v>
          </cell>
          <cell r="AQ183" t="str">
            <v>Sep</v>
          </cell>
        </row>
        <row r="184">
          <cell r="A184">
            <v>1</v>
          </cell>
          <cell r="B184" t="str">
            <v>WellnessWarriors-Healthcare</v>
          </cell>
          <cell r="C184" t="str">
            <v>Mohammed Abdul Rahman Jawaid</v>
          </cell>
          <cell r="D184" t="str">
            <v>Anuj Kumar (David)</v>
          </cell>
          <cell r="F184" t="str">
            <v>Abhishek Singh</v>
          </cell>
          <cell r="G184" t="str">
            <v>Abhishek Singh</v>
          </cell>
          <cell r="L184" t="str">
            <v>Travel RN</v>
          </cell>
          <cell r="M184" t="str">
            <v>April</v>
          </cell>
          <cell r="N184">
            <v>45775</v>
          </cell>
          <cell r="O184">
            <v>45821</v>
          </cell>
          <cell r="P184" t="str">
            <v>Prime/Hallmark</v>
          </cell>
          <cell r="R184" t="str">
            <v>Contract</v>
          </cell>
          <cell r="S184" t="str">
            <v>W2</v>
          </cell>
          <cell r="V184">
            <v>85</v>
          </cell>
          <cell r="AA184">
            <v>5</v>
          </cell>
          <cell r="AN184">
            <v>848</v>
          </cell>
          <cell r="AO184">
            <v>4240</v>
          </cell>
          <cell r="AP184" t="str">
            <v>Active</v>
          </cell>
          <cell r="AQ184" t="str">
            <v>Sep</v>
          </cell>
        </row>
        <row r="185">
          <cell r="A185">
            <v>1</v>
          </cell>
          <cell r="B185" t="str">
            <v>WellnessWarriors-Healthcare</v>
          </cell>
          <cell r="C185" t="str">
            <v>Doris Marie Yadav</v>
          </cell>
          <cell r="D185" t="str">
            <v>Tushar Mishra (Theo)</v>
          </cell>
          <cell r="F185" t="str">
            <v>Abhishek Singh</v>
          </cell>
          <cell r="G185" t="str">
            <v>Abhishek Singh</v>
          </cell>
          <cell r="L185" t="str">
            <v>Travel X Ray Tech</v>
          </cell>
          <cell r="M185" t="str">
            <v>April</v>
          </cell>
          <cell r="N185">
            <v>45775</v>
          </cell>
          <cell r="O185">
            <v>45786</v>
          </cell>
          <cell r="P185" t="str">
            <v>Prime/Hallmark</v>
          </cell>
          <cell r="R185" t="str">
            <v>Contract</v>
          </cell>
          <cell r="S185" t="str">
            <v>W2</v>
          </cell>
          <cell r="V185">
            <v>70</v>
          </cell>
          <cell r="AA185">
            <v>2</v>
          </cell>
          <cell r="AN185">
            <v>0</v>
          </cell>
          <cell r="AO185">
            <v>0</v>
          </cell>
          <cell r="AP185" t="str">
            <v>Active</v>
          </cell>
          <cell r="AQ185" t="str">
            <v>Sep</v>
          </cell>
        </row>
        <row r="186">
          <cell r="A186">
            <v>1</v>
          </cell>
          <cell r="B186" t="str">
            <v>WellnessWarriors-Healthcare</v>
          </cell>
          <cell r="C186" t="str">
            <v xml:space="preserve">Kevin Higgs </v>
          </cell>
          <cell r="D186" t="str">
            <v>Anuj Kumar (David)</v>
          </cell>
          <cell r="F186" t="str">
            <v>Abhishek Singh</v>
          </cell>
          <cell r="G186" t="str">
            <v>Abhishek Singh</v>
          </cell>
          <cell r="L186" t="str">
            <v>Travel RN Neuro Stepdown</v>
          </cell>
          <cell r="M186" t="str">
            <v>May</v>
          </cell>
          <cell r="N186">
            <v>45789</v>
          </cell>
          <cell r="O186">
            <v>45930</v>
          </cell>
          <cell r="P186" t="str">
            <v>Prime/Hallmark</v>
          </cell>
          <cell r="R186" t="str">
            <v>Contract</v>
          </cell>
          <cell r="S186" t="str">
            <v>W2</v>
          </cell>
          <cell r="V186">
            <v>70</v>
          </cell>
          <cell r="AA186">
            <v>4</v>
          </cell>
          <cell r="AN186">
            <v>912</v>
          </cell>
          <cell r="AO186">
            <v>3648</v>
          </cell>
          <cell r="AP186" t="str">
            <v>Active</v>
          </cell>
          <cell r="AQ186" t="str">
            <v>Sep</v>
          </cell>
        </row>
        <row r="187">
          <cell r="A187">
            <v>1</v>
          </cell>
          <cell r="B187" t="str">
            <v>WellnessWarriors-Healthcare</v>
          </cell>
          <cell r="C187" t="str">
            <v>Joanna Veronika Chervinko</v>
          </cell>
          <cell r="D187" t="str">
            <v>Anuj Kumar (David)</v>
          </cell>
          <cell r="F187" t="str">
            <v>Abhishek Singh</v>
          </cell>
          <cell r="G187" t="str">
            <v>Abhishek Singh</v>
          </cell>
          <cell r="L187" t="str">
            <v>Per Diem RN</v>
          </cell>
          <cell r="M187" t="str">
            <v>May</v>
          </cell>
          <cell r="N187">
            <v>45789</v>
          </cell>
          <cell r="O187">
            <v>45968</v>
          </cell>
          <cell r="P187" t="str">
            <v>Prime/Hallmark</v>
          </cell>
          <cell r="R187" t="str">
            <v>Contract</v>
          </cell>
          <cell r="S187" t="str">
            <v>W2</v>
          </cell>
          <cell r="V187">
            <v>70</v>
          </cell>
          <cell r="AA187">
            <v>8.0500000000000007</v>
          </cell>
          <cell r="AN187">
            <v>457.5</v>
          </cell>
          <cell r="AO187">
            <v>3682.8750000000005</v>
          </cell>
          <cell r="AP187" t="str">
            <v>Active</v>
          </cell>
          <cell r="AQ187" t="str">
            <v>aug</v>
          </cell>
        </row>
        <row r="188">
          <cell r="A188">
            <v>1</v>
          </cell>
          <cell r="B188" t="str">
            <v>WellnessWarriors-Healthcare</v>
          </cell>
          <cell r="C188" t="str">
            <v>Rhoda Laxamana Fadri</v>
          </cell>
          <cell r="D188" t="str">
            <v>Ananya Agarwal</v>
          </cell>
          <cell r="F188" t="str">
            <v>Ranveer Kumar</v>
          </cell>
          <cell r="G188" t="str">
            <v>Ranveer Kumar</v>
          </cell>
          <cell r="L188" t="str">
            <v>RN-Neuro Stepdown</v>
          </cell>
          <cell r="M188" t="str">
            <v>May</v>
          </cell>
          <cell r="N188">
            <v>45789</v>
          </cell>
          <cell r="O188">
            <v>45863</v>
          </cell>
          <cell r="P188" t="str">
            <v>Prime/Hallmark</v>
          </cell>
          <cell r="R188" t="str">
            <v>Contract</v>
          </cell>
          <cell r="S188" t="str">
            <v>W2</v>
          </cell>
          <cell r="V188">
            <v>75</v>
          </cell>
          <cell r="AA188">
            <v>5.65</v>
          </cell>
          <cell r="AN188">
            <v>632</v>
          </cell>
          <cell r="AO188">
            <v>3570.8</v>
          </cell>
          <cell r="AP188" t="str">
            <v>Active</v>
          </cell>
          <cell r="AQ188" t="str">
            <v>Sep</v>
          </cell>
        </row>
        <row r="189">
          <cell r="A189">
            <v>1</v>
          </cell>
          <cell r="B189" t="str">
            <v>WellnessWarriors-Healthcare</v>
          </cell>
          <cell r="C189" t="str">
            <v xml:space="preserve">Fatima Yeabeh Jalloh </v>
          </cell>
          <cell r="D189" t="str">
            <v>Arpita Singh (Sana)</v>
          </cell>
          <cell r="F189" t="str">
            <v>Abhishek Singh</v>
          </cell>
          <cell r="G189" t="str">
            <v>Abhishek Singh</v>
          </cell>
          <cell r="L189" t="str">
            <v>T-CT Tech</v>
          </cell>
          <cell r="M189" t="str">
            <v>May</v>
          </cell>
          <cell r="N189">
            <v>45796</v>
          </cell>
          <cell r="O189">
            <v>45805</v>
          </cell>
          <cell r="P189" t="str">
            <v>Prime/Hallmark</v>
          </cell>
          <cell r="R189" t="str">
            <v>Contract</v>
          </cell>
          <cell r="S189" t="str">
            <v>W2</v>
          </cell>
          <cell r="V189">
            <v>90</v>
          </cell>
          <cell r="AA189">
            <v>8</v>
          </cell>
          <cell r="AO189">
            <v>0</v>
          </cell>
          <cell r="AP189" t="str">
            <v>Active</v>
          </cell>
          <cell r="AQ189" t="str">
            <v>Sep</v>
          </cell>
        </row>
        <row r="190">
          <cell r="A190">
            <v>1</v>
          </cell>
          <cell r="B190" t="str">
            <v>WellnessWarriors-Healthcare</v>
          </cell>
          <cell r="C190" t="str">
            <v>Michael Raul Ortega Mera 2nd</v>
          </cell>
          <cell r="D190" t="str">
            <v>Tushar Mishra (Theo)</v>
          </cell>
          <cell r="F190" t="str">
            <v>Abhishek Singh</v>
          </cell>
          <cell r="G190" t="str">
            <v>Abhishek Singh</v>
          </cell>
          <cell r="L190" t="str">
            <v>T-RN</v>
          </cell>
          <cell r="M190" t="str">
            <v>May</v>
          </cell>
          <cell r="N190">
            <v>45796</v>
          </cell>
          <cell r="O190" t="str">
            <v>NA</v>
          </cell>
          <cell r="P190" t="str">
            <v>Prime/Hallmark</v>
          </cell>
          <cell r="R190" t="str">
            <v>Contract</v>
          </cell>
          <cell r="S190" t="str">
            <v>W2</v>
          </cell>
          <cell r="V190">
            <v>80</v>
          </cell>
          <cell r="AA190">
            <v>6</v>
          </cell>
          <cell r="AN190">
            <v>536</v>
          </cell>
          <cell r="AO190">
            <v>3216</v>
          </cell>
          <cell r="AP190" t="str">
            <v>Active</v>
          </cell>
          <cell r="AQ190" t="str">
            <v>Sep</v>
          </cell>
        </row>
        <row r="191">
          <cell r="A191">
            <v>1</v>
          </cell>
          <cell r="B191" t="str">
            <v>WellnessWarriors-Healthcare</v>
          </cell>
          <cell r="C191" t="str">
            <v>Portia C Hanton</v>
          </cell>
          <cell r="D191" t="str">
            <v>Anjali Sah (Annie)</v>
          </cell>
          <cell r="F191" t="str">
            <v xml:space="preserve">Shailesh Sharma </v>
          </cell>
          <cell r="G191" t="str">
            <v xml:space="preserve">Shailesh Sharma </v>
          </cell>
          <cell r="L191" t="str">
            <v xml:space="preserve">RN Cath Lab </v>
          </cell>
          <cell r="M191" t="str">
            <v>October</v>
          </cell>
          <cell r="N191">
            <v>45950</v>
          </cell>
          <cell r="O191" t="str">
            <v>NA</v>
          </cell>
          <cell r="P191" t="str">
            <v>Prime</v>
          </cell>
          <cell r="R191" t="str">
            <v>Contract</v>
          </cell>
          <cell r="S191" t="str">
            <v>W2</v>
          </cell>
          <cell r="V191">
            <v>135</v>
          </cell>
          <cell r="AA191">
            <v>2</v>
          </cell>
          <cell r="AN191">
            <v>632</v>
          </cell>
          <cell r="AO191">
            <v>1264</v>
          </cell>
          <cell r="AP191" t="str">
            <v>Active</v>
          </cell>
          <cell r="AQ191" t="str">
            <v>Sep</v>
          </cell>
        </row>
        <row r="192">
          <cell r="A192">
            <v>1</v>
          </cell>
          <cell r="B192" t="str">
            <v>WellnessWarriors-Healthcare</v>
          </cell>
          <cell r="C192" t="str">
            <v>Annette Glenn</v>
          </cell>
          <cell r="D192" t="str">
            <v>Vishal Jaiswal (Victor)</v>
          </cell>
          <cell r="F192" t="str">
            <v>Abhishek Singh</v>
          </cell>
          <cell r="G192" t="str">
            <v>Abhishek Singh</v>
          </cell>
          <cell r="L192" t="str">
            <v>Travel RN</v>
          </cell>
          <cell r="M192" t="str">
            <v>May</v>
          </cell>
          <cell r="N192">
            <v>45804</v>
          </cell>
          <cell r="O192">
            <v>45846</v>
          </cell>
          <cell r="P192" t="str">
            <v>Prime/Hallmark</v>
          </cell>
          <cell r="R192" t="str">
            <v>Contract</v>
          </cell>
          <cell r="S192" t="str">
            <v>W2</v>
          </cell>
          <cell r="V192">
            <v>90</v>
          </cell>
          <cell r="AA192">
            <v>2</v>
          </cell>
          <cell r="AN192">
            <v>584</v>
          </cell>
          <cell r="AO192">
            <v>1168</v>
          </cell>
          <cell r="AP192" t="str">
            <v>Active</v>
          </cell>
          <cell r="AQ192" t="str">
            <v>Sep</v>
          </cell>
        </row>
        <row r="193">
          <cell r="A193">
            <v>1</v>
          </cell>
          <cell r="B193" t="str">
            <v>WellnessWarriors-Healthcare</v>
          </cell>
          <cell r="C193" t="str">
            <v>April Franklin 1, 2</v>
          </cell>
          <cell r="D193" t="str">
            <v>Abhinesh Yadav</v>
          </cell>
          <cell r="F193" t="str">
            <v>Abhishek Singh</v>
          </cell>
          <cell r="G193" t="str">
            <v>Abhishek Singh</v>
          </cell>
          <cell r="L193" t="str">
            <v>Travel OT</v>
          </cell>
          <cell r="M193" t="str">
            <v>June</v>
          </cell>
          <cell r="N193">
            <v>45810</v>
          </cell>
          <cell r="O193" t="str">
            <v>NA</v>
          </cell>
          <cell r="P193" t="str">
            <v>CSU</v>
          </cell>
          <cell r="R193" t="str">
            <v>Contract</v>
          </cell>
          <cell r="S193" t="str">
            <v>W2</v>
          </cell>
          <cell r="V193">
            <v>98</v>
          </cell>
          <cell r="AA193">
            <v>10</v>
          </cell>
          <cell r="AN193">
            <v>424</v>
          </cell>
          <cell r="AO193">
            <v>4240</v>
          </cell>
          <cell r="AP193" t="str">
            <v>No Bill No Pay</v>
          </cell>
          <cell r="AQ193" t="str">
            <v>No bill no pay</v>
          </cell>
        </row>
        <row r="194">
          <cell r="A194">
            <v>1</v>
          </cell>
          <cell r="B194" t="str">
            <v>WellnessWarriors-Healthcare</v>
          </cell>
          <cell r="C194" t="str">
            <v>Jennifer Scott</v>
          </cell>
          <cell r="D194" t="str">
            <v>Mohini Chand</v>
          </cell>
          <cell r="F194" t="str">
            <v xml:space="preserve">Shailesh Sharma </v>
          </cell>
          <cell r="G194" t="str">
            <v xml:space="preserve">Shailesh Sharma </v>
          </cell>
          <cell r="L194" t="str">
            <v>Care Coordinator (Local)</v>
          </cell>
          <cell r="M194" t="str">
            <v>June</v>
          </cell>
          <cell r="N194">
            <v>45817</v>
          </cell>
          <cell r="O194">
            <v>45860</v>
          </cell>
          <cell r="P194" t="str">
            <v>CSU</v>
          </cell>
          <cell r="R194" t="str">
            <v>Contract</v>
          </cell>
          <cell r="S194" t="str">
            <v>W2</v>
          </cell>
          <cell r="V194">
            <v>34</v>
          </cell>
          <cell r="AA194">
            <v>15</v>
          </cell>
          <cell r="AN194">
            <v>448</v>
          </cell>
          <cell r="AO194">
            <v>6720</v>
          </cell>
          <cell r="AP194" t="str">
            <v>Active</v>
          </cell>
          <cell r="AQ194" t="str">
            <v>Sep</v>
          </cell>
        </row>
        <row r="195">
          <cell r="A195">
            <v>1</v>
          </cell>
          <cell r="B195" t="str">
            <v>WellnessWarriors-Healthcare</v>
          </cell>
          <cell r="C195" t="str">
            <v xml:space="preserve">Sherry Mohr </v>
          </cell>
          <cell r="D195" t="str">
            <v>Mohini Chand</v>
          </cell>
          <cell r="F195" t="str">
            <v xml:space="preserve">Shailesh Sharma </v>
          </cell>
          <cell r="G195" t="str">
            <v xml:space="preserve">Shailesh Sharma </v>
          </cell>
          <cell r="L195" t="str">
            <v xml:space="preserve">RN Cardiac Cath Lab </v>
          </cell>
          <cell r="M195" t="str">
            <v>June</v>
          </cell>
          <cell r="N195">
            <v>45817</v>
          </cell>
          <cell r="O195">
            <v>45898</v>
          </cell>
          <cell r="P195" t="str">
            <v>Prime</v>
          </cell>
          <cell r="R195" t="str">
            <v>Contract</v>
          </cell>
          <cell r="S195" t="str">
            <v>W2</v>
          </cell>
          <cell r="V195">
            <v>125</v>
          </cell>
          <cell r="AA195">
            <v>3</v>
          </cell>
          <cell r="AN195">
            <v>354</v>
          </cell>
          <cell r="AO195">
            <v>1062</v>
          </cell>
          <cell r="AP195" t="str">
            <v>Active</v>
          </cell>
          <cell r="AQ195" t="str">
            <v>Sep</v>
          </cell>
        </row>
        <row r="196">
          <cell r="A196">
            <v>1</v>
          </cell>
          <cell r="B196" t="str">
            <v>WellnessWarriors-Healthcare</v>
          </cell>
          <cell r="C196" t="str">
            <v>Amado Arteaga</v>
          </cell>
          <cell r="D196" t="str">
            <v>Tushar Mishra (Theo)</v>
          </cell>
          <cell r="F196" t="str">
            <v>Abhishek Singh</v>
          </cell>
          <cell r="G196" t="str">
            <v>Abhishek Singh</v>
          </cell>
          <cell r="L196" t="str">
            <v>Travel Licensed BH Professional</v>
          </cell>
          <cell r="M196" t="str">
            <v>October</v>
          </cell>
          <cell r="N196">
            <v>45959</v>
          </cell>
          <cell r="O196" t="str">
            <v>NA</v>
          </cell>
          <cell r="P196" t="str">
            <v>CSU</v>
          </cell>
          <cell r="R196" t="str">
            <v>Contract</v>
          </cell>
          <cell r="S196" t="str">
            <v>W2</v>
          </cell>
          <cell r="V196">
            <v>90</v>
          </cell>
          <cell r="AA196">
            <v>8</v>
          </cell>
          <cell r="AN196">
            <v>280</v>
          </cell>
          <cell r="AO196">
            <v>2240</v>
          </cell>
          <cell r="AP196" t="str">
            <v>Active</v>
          </cell>
          <cell r="AQ196" t="str">
            <v>Sep</v>
          </cell>
        </row>
        <row r="197">
          <cell r="A197">
            <v>1</v>
          </cell>
          <cell r="B197" t="str">
            <v>WellnessWarriors-Healthcare</v>
          </cell>
          <cell r="C197" t="str">
            <v xml:space="preserve">Terrell Fleming  </v>
          </cell>
          <cell r="D197" t="str">
            <v>Ananya Agarwal</v>
          </cell>
          <cell r="F197" t="str">
            <v>Ranveer Kumar</v>
          </cell>
          <cell r="G197" t="str">
            <v>Ranveer Kumar</v>
          </cell>
          <cell r="L197" t="str">
            <v>CT Tech Traveler</v>
          </cell>
          <cell r="M197" t="str">
            <v>June</v>
          </cell>
          <cell r="N197">
            <v>45820</v>
          </cell>
          <cell r="O197">
            <v>45884</v>
          </cell>
          <cell r="P197" t="str">
            <v>Hallmark</v>
          </cell>
          <cell r="R197" t="str">
            <v>Contract</v>
          </cell>
          <cell r="S197" t="str">
            <v>W2</v>
          </cell>
          <cell r="V197">
            <v>95</v>
          </cell>
          <cell r="AA197">
            <v>5</v>
          </cell>
          <cell r="AN197">
            <v>440</v>
          </cell>
          <cell r="AO197">
            <v>2200</v>
          </cell>
          <cell r="AP197" t="str">
            <v>Active</v>
          </cell>
          <cell r="AQ197" t="str">
            <v>Sep</v>
          </cell>
        </row>
        <row r="198">
          <cell r="A198">
            <v>1</v>
          </cell>
          <cell r="B198" t="str">
            <v>WellnessWarriors-Healthcare</v>
          </cell>
          <cell r="C198" t="str">
            <v>Nallely Lopez Carrada</v>
          </cell>
          <cell r="D198" t="str">
            <v>Nimisha Agarwal</v>
          </cell>
          <cell r="F198" t="str">
            <v>Ranveer Kumar</v>
          </cell>
          <cell r="G198" t="str">
            <v>Ranveer Kumar</v>
          </cell>
          <cell r="L198" t="str">
            <v>LPN-Rehab</v>
          </cell>
          <cell r="M198" t="str">
            <v>June</v>
          </cell>
          <cell r="N198">
            <v>45824</v>
          </cell>
          <cell r="O198">
            <v>45912</v>
          </cell>
          <cell r="P198" t="str">
            <v>HWL</v>
          </cell>
          <cell r="R198" t="str">
            <v>Contract</v>
          </cell>
          <cell r="S198" t="str">
            <v>W2</v>
          </cell>
          <cell r="V198">
            <v>53</v>
          </cell>
          <cell r="AA198">
            <v>7</v>
          </cell>
          <cell r="AN198">
            <v>288</v>
          </cell>
          <cell r="AO198">
            <v>2016</v>
          </cell>
          <cell r="AP198" t="str">
            <v>Active</v>
          </cell>
          <cell r="AQ198" t="str">
            <v>Sep</v>
          </cell>
        </row>
        <row r="199">
          <cell r="A199">
            <v>1</v>
          </cell>
          <cell r="B199" t="str">
            <v>WellnessWarriors-Healthcare</v>
          </cell>
          <cell r="C199" t="str">
            <v>Emmanuel Somto Okafor</v>
          </cell>
          <cell r="D199" t="str">
            <v>Sachin Singh</v>
          </cell>
          <cell r="F199" t="str">
            <v>Abhishek Singh</v>
          </cell>
          <cell r="G199" t="str">
            <v>Abhishek Singh</v>
          </cell>
          <cell r="L199" t="str">
            <v>Respiratory Care Practitioner/ PRN</v>
          </cell>
          <cell r="M199" t="str">
            <v>June</v>
          </cell>
          <cell r="N199">
            <v>45824</v>
          </cell>
          <cell r="O199" t="str">
            <v>NA</v>
          </cell>
          <cell r="P199" t="str">
            <v>Prime/Hallmark</v>
          </cell>
          <cell r="R199" t="str">
            <v>Contract</v>
          </cell>
          <cell r="S199" t="str">
            <v>W2</v>
          </cell>
          <cell r="V199">
            <v>60</v>
          </cell>
          <cell r="AA199">
            <v>8</v>
          </cell>
          <cell r="AN199">
            <v>227</v>
          </cell>
          <cell r="AO199">
            <v>1816</v>
          </cell>
          <cell r="AP199" t="str">
            <v>Active</v>
          </cell>
          <cell r="AQ199" t="str">
            <v>Sep</v>
          </cell>
        </row>
        <row r="200">
          <cell r="A200">
            <v>1</v>
          </cell>
          <cell r="B200" t="str">
            <v>WellnessWarriors-Healthcare</v>
          </cell>
          <cell r="C200" t="str">
            <v>Lashondra Scott</v>
          </cell>
          <cell r="D200" t="str">
            <v>Tushar Mishra (Theo)</v>
          </cell>
          <cell r="F200" t="str">
            <v>Abhishek Singh</v>
          </cell>
          <cell r="G200" t="str">
            <v>Abhishek Singh</v>
          </cell>
          <cell r="L200" t="str">
            <v>Travel Sterile Processing Tech</v>
          </cell>
          <cell r="M200" t="str">
            <v>June</v>
          </cell>
          <cell r="N200">
            <v>45831</v>
          </cell>
          <cell r="O200" t="str">
            <v>NA</v>
          </cell>
          <cell r="P200" t="str">
            <v>Prime/Hallmark</v>
          </cell>
          <cell r="R200" t="str">
            <v>Contract</v>
          </cell>
          <cell r="S200" t="str">
            <v>W2</v>
          </cell>
          <cell r="V200">
            <v>45</v>
          </cell>
          <cell r="AA200">
            <v>7.25</v>
          </cell>
          <cell r="AN200">
            <v>312</v>
          </cell>
          <cell r="AO200">
            <v>2262</v>
          </cell>
          <cell r="AP200" t="str">
            <v>Active</v>
          </cell>
        </row>
        <row r="201">
          <cell r="A201">
            <v>1</v>
          </cell>
          <cell r="B201" t="str">
            <v>WellnessWarriors-Healthcare</v>
          </cell>
          <cell r="C201" t="str">
            <v>William Michael McAllister</v>
          </cell>
          <cell r="D201" t="str">
            <v>Meghna Khanna (Meg)</v>
          </cell>
          <cell r="F201" t="str">
            <v xml:space="preserve">Shailesh Sharma </v>
          </cell>
          <cell r="G201" t="str">
            <v xml:space="preserve">Shailesh Sharma </v>
          </cell>
          <cell r="L201" t="str">
            <v>Local – Certified Medical Assistant</v>
          </cell>
          <cell r="M201" t="str">
            <v>June</v>
          </cell>
          <cell r="N201">
            <v>45831</v>
          </cell>
          <cell r="O201" t="str">
            <v>NA</v>
          </cell>
          <cell r="P201" t="str">
            <v>CSU</v>
          </cell>
          <cell r="R201" t="str">
            <v>Contract</v>
          </cell>
          <cell r="S201" t="str">
            <v>W2</v>
          </cell>
          <cell r="V201">
            <v>34</v>
          </cell>
          <cell r="AA201">
            <v>15</v>
          </cell>
          <cell r="AN201">
            <v>288</v>
          </cell>
          <cell r="AO201">
            <v>4320</v>
          </cell>
          <cell r="AP201" t="str">
            <v>Active</v>
          </cell>
        </row>
        <row r="202">
          <cell r="A202">
            <v>1</v>
          </cell>
          <cell r="B202" t="str">
            <v>WellnessWarriors-Healthcare</v>
          </cell>
          <cell r="C202" t="str">
            <v xml:space="preserve">Muriya Washington </v>
          </cell>
          <cell r="D202" t="str">
            <v>Shivam Chaurasia (Samson)</v>
          </cell>
          <cell r="F202" t="str">
            <v xml:space="preserve">Shailesh Sharma </v>
          </cell>
          <cell r="G202" t="str">
            <v xml:space="preserve">Shailesh Sharma </v>
          </cell>
          <cell r="L202" t="str">
            <v>Local- RN CVICU - Per Diem</v>
          </cell>
          <cell r="M202" t="str">
            <v>June</v>
          </cell>
          <cell r="N202">
            <v>45838</v>
          </cell>
          <cell r="O202" t="str">
            <v>NA</v>
          </cell>
          <cell r="P202" t="str">
            <v>Prime</v>
          </cell>
          <cell r="R202" t="str">
            <v>Contract</v>
          </cell>
          <cell r="S202" t="str">
            <v>W2</v>
          </cell>
          <cell r="V202">
            <v>90</v>
          </cell>
          <cell r="AA202">
            <v>6</v>
          </cell>
          <cell r="AO202">
            <v>0</v>
          </cell>
          <cell r="AP202" t="str">
            <v>Active</v>
          </cell>
        </row>
        <row r="203">
          <cell r="A203">
            <v>1</v>
          </cell>
          <cell r="B203" t="str">
            <v>WellnessWarriors-Healthcare</v>
          </cell>
          <cell r="C203" t="str">
            <v xml:space="preserve">Rosland Caselberry </v>
          </cell>
          <cell r="D203" t="str">
            <v>Abhinesh Yadav</v>
          </cell>
          <cell r="F203" t="str">
            <v>Abhishek Singh</v>
          </cell>
          <cell r="G203" t="str">
            <v>Abhishek Singh</v>
          </cell>
          <cell r="L203" t="str">
            <v>Travel LPN</v>
          </cell>
          <cell r="M203" t="str">
            <v>June</v>
          </cell>
          <cell r="N203">
            <v>45838</v>
          </cell>
          <cell r="O203" t="str">
            <v>NA</v>
          </cell>
          <cell r="P203" t="str">
            <v>HWL</v>
          </cell>
          <cell r="R203" t="str">
            <v>Contract</v>
          </cell>
          <cell r="S203" t="str">
            <v>W2</v>
          </cell>
          <cell r="V203">
            <v>60</v>
          </cell>
          <cell r="AA203">
            <v>11</v>
          </cell>
          <cell r="AN203">
            <v>192</v>
          </cell>
          <cell r="AO203">
            <v>2112</v>
          </cell>
          <cell r="AP203" t="str">
            <v>Done</v>
          </cell>
          <cell r="AQ203" t="str">
            <v>Done</v>
          </cell>
        </row>
        <row r="204">
          <cell r="A204">
            <v>1</v>
          </cell>
          <cell r="B204" t="str">
            <v>WellnessWarriors-Healthcare</v>
          </cell>
          <cell r="C204" t="str">
            <v>Raven Shiana Floyd</v>
          </cell>
          <cell r="D204" t="str">
            <v>Kirti Gautam (Kitty)</v>
          </cell>
          <cell r="F204" t="str">
            <v xml:space="preserve">Shailesh Sharma </v>
          </cell>
          <cell r="G204" t="str">
            <v xml:space="preserve">Shailesh Sharma </v>
          </cell>
          <cell r="L204" t="str">
            <v>RN Correction / Travel</v>
          </cell>
          <cell r="M204" t="str">
            <v>July</v>
          </cell>
          <cell r="N204">
            <v>45841</v>
          </cell>
          <cell r="O204">
            <v>45892</v>
          </cell>
          <cell r="P204" t="str">
            <v>Right Sourcing</v>
          </cell>
          <cell r="R204" t="str">
            <v>Contract</v>
          </cell>
          <cell r="S204" t="str">
            <v>W2</v>
          </cell>
          <cell r="V204">
            <v>72</v>
          </cell>
          <cell r="AA204">
            <v>15</v>
          </cell>
          <cell r="AN204">
            <v>104</v>
          </cell>
          <cell r="AO204">
            <v>1560</v>
          </cell>
          <cell r="AP204" t="str">
            <v>Done</v>
          </cell>
          <cell r="AQ204" t="str">
            <v>Done</v>
          </cell>
        </row>
        <row r="205">
          <cell r="A205">
            <v>1</v>
          </cell>
          <cell r="B205" t="str">
            <v>WellnessWarriors-Healthcare</v>
          </cell>
          <cell r="C205" t="str">
            <v>Margaret Marina Munguia</v>
          </cell>
          <cell r="D205" t="str">
            <v>Tushar Mishra (Theo)</v>
          </cell>
          <cell r="F205" t="str">
            <v>Abhishek Singh</v>
          </cell>
          <cell r="G205" t="str">
            <v>Abhishek Singh</v>
          </cell>
          <cell r="L205" t="str">
            <v>Per Diem RN</v>
          </cell>
          <cell r="M205" t="str">
            <v>July</v>
          </cell>
          <cell r="N205">
            <v>45841</v>
          </cell>
          <cell r="O205" t="str">
            <v>NA</v>
          </cell>
          <cell r="P205" t="str">
            <v>Prime/Hallmark</v>
          </cell>
          <cell r="R205" t="str">
            <v>Contract</v>
          </cell>
          <cell r="S205" t="str">
            <v>W2</v>
          </cell>
          <cell r="V205">
            <v>70</v>
          </cell>
          <cell r="AA205">
            <v>15</v>
          </cell>
          <cell r="AN205">
            <v>56</v>
          </cell>
          <cell r="AO205">
            <v>840</v>
          </cell>
          <cell r="AP205" t="str">
            <v>Done</v>
          </cell>
          <cell r="AQ205" t="str">
            <v>Done</v>
          </cell>
        </row>
        <row r="206">
          <cell r="A206">
            <v>1</v>
          </cell>
          <cell r="B206" t="str">
            <v>WellnessWarriors-Healthcare</v>
          </cell>
          <cell r="C206" t="str">
            <v>Johnny Jefferson 2</v>
          </cell>
          <cell r="D206" t="str">
            <v>Tushar Mishra (Theo)</v>
          </cell>
          <cell r="F206" t="str">
            <v>Abhishek Singh</v>
          </cell>
          <cell r="G206" t="str">
            <v>Abhishek Singh</v>
          </cell>
          <cell r="L206" t="str">
            <v>T- LPN</v>
          </cell>
          <cell r="M206" t="str">
            <v>July</v>
          </cell>
          <cell r="N206">
            <v>45852</v>
          </cell>
          <cell r="O206">
            <v>45910</v>
          </cell>
          <cell r="P206" t="str">
            <v>CSU/Yes Care</v>
          </cell>
          <cell r="R206" t="str">
            <v>Contract</v>
          </cell>
          <cell r="S206" t="str">
            <v>W2</v>
          </cell>
          <cell r="V206">
            <v>67</v>
          </cell>
          <cell r="AA206">
            <v>6</v>
          </cell>
          <cell r="AN206">
            <v>56</v>
          </cell>
          <cell r="AO206">
            <v>336</v>
          </cell>
          <cell r="AP206" t="str">
            <v>Pending</v>
          </cell>
          <cell r="AQ206" t="str">
            <v>Pending</v>
          </cell>
        </row>
        <row r="207">
          <cell r="A207">
            <v>1</v>
          </cell>
          <cell r="B207" t="str">
            <v>WellnessWarriors-Healthcare</v>
          </cell>
          <cell r="C207" t="str">
            <v>Jessica Nunez</v>
          </cell>
          <cell r="D207" t="str">
            <v>Mohini Chand</v>
          </cell>
          <cell r="F207" t="str">
            <v xml:space="preserve">Shailesh Sharma </v>
          </cell>
          <cell r="G207" t="str">
            <v xml:space="preserve">Shailesh Sharma </v>
          </cell>
          <cell r="L207" t="str">
            <v>Travel - Licensed Behavioral Health Professional</v>
          </cell>
          <cell r="M207" t="str">
            <v>July</v>
          </cell>
          <cell r="N207">
            <v>45859</v>
          </cell>
          <cell r="O207">
            <v>45943</v>
          </cell>
          <cell r="P207" t="str">
            <v>CSU</v>
          </cell>
          <cell r="R207" t="str">
            <v>Contract</v>
          </cell>
          <cell r="S207" t="str">
            <v>W2</v>
          </cell>
          <cell r="V207">
            <v>74</v>
          </cell>
          <cell r="AA207">
            <v>1</v>
          </cell>
          <cell r="AN207">
            <v>40</v>
          </cell>
          <cell r="AO207">
            <v>40</v>
          </cell>
          <cell r="AP207" t="str">
            <v>Done</v>
          </cell>
          <cell r="AQ207" t="str">
            <v>Done</v>
          </cell>
        </row>
        <row r="208">
          <cell r="A208">
            <v>1</v>
          </cell>
          <cell r="B208" t="str">
            <v>WellnessWarriors-Healthcare</v>
          </cell>
          <cell r="C208" t="str">
            <v>Brittany Perfetti</v>
          </cell>
          <cell r="D208" t="str">
            <v>Puneet Pandey (Patrick Jones)</v>
          </cell>
          <cell r="F208" t="str">
            <v xml:space="preserve">Shailesh Sharma </v>
          </cell>
          <cell r="G208" t="str">
            <v xml:space="preserve">Shailesh Sharma </v>
          </cell>
          <cell r="L208" t="str">
            <v>Local - Licensed Practical Nurse</v>
          </cell>
          <cell r="M208" t="str">
            <v>July</v>
          </cell>
          <cell r="N208">
            <v>45859</v>
          </cell>
          <cell r="O208" t="str">
            <v>NA</v>
          </cell>
          <cell r="P208" t="str">
            <v>CSU</v>
          </cell>
          <cell r="R208" t="str">
            <v>Contract</v>
          </cell>
          <cell r="S208" t="str">
            <v>W2</v>
          </cell>
          <cell r="V208">
            <v>60</v>
          </cell>
          <cell r="AA208">
            <v>8</v>
          </cell>
          <cell r="AN208">
            <v>80</v>
          </cell>
          <cell r="AO208">
            <v>640</v>
          </cell>
          <cell r="AP208" t="str">
            <v>Pending</v>
          </cell>
          <cell r="AQ208" t="str">
            <v>Pending</v>
          </cell>
        </row>
        <row r="209">
          <cell r="A209">
            <v>1</v>
          </cell>
          <cell r="B209" t="str">
            <v>WellnessWarriors-Healthcare</v>
          </cell>
          <cell r="C209" t="str">
            <v>Caitlin A Westcott</v>
          </cell>
          <cell r="D209" t="str">
            <v>Uttam Chandra</v>
          </cell>
          <cell r="F209" t="str">
            <v>Ranveer Kumar</v>
          </cell>
          <cell r="G209" t="str">
            <v>Ranveer Kumar</v>
          </cell>
          <cell r="L209" t="str">
            <v>BH Professional</v>
          </cell>
          <cell r="M209" t="str">
            <v>October</v>
          </cell>
          <cell r="N209">
            <v>45948</v>
          </cell>
          <cell r="O209" t="str">
            <v>NA</v>
          </cell>
          <cell r="P209" t="str">
            <v>CSU</v>
          </cell>
          <cell r="R209" t="str">
            <v>Contract</v>
          </cell>
          <cell r="S209" t="str">
            <v>W2</v>
          </cell>
          <cell r="V209">
            <v>74</v>
          </cell>
          <cell r="AA209">
            <v>10</v>
          </cell>
          <cell r="AN209">
            <v>0</v>
          </cell>
          <cell r="AO209">
            <v>0</v>
          </cell>
          <cell r="AP209" t="str">
            <v>Done</v>
          </cell>
          <cell r="AQ209" t="str">
            <v>Done</v>
          </cell>
        </row>
        <row r="210">
          <cell r="A210">
            <v>1</v>
          </cell>
          <cell r="B210" t="str">
            <v>WellnessWarriors-Healthcare</v>
          </cell>
          <cell r="C210" t="str">
            <v>Navya Sharma</v>
          </cell>
          <cell r="D210" t="str">
            <v>Uttam Chandra</v>
          </cell>
          <cell r="F210" t="str">
            <v>Ranveer Kumar</v>
          </cell>
          <cell r="G210" t="str">
            <v>Ranveer Kumar</v>
          </cell>
          <cell r="L210" t="str">
            <v>RN-Dialysis</v>
          </cell>
          <cell r="M210" t="str">
            <v>July</v>
          </cell>
          <cell r="N210">
            <v>45859</v>
          </cell>
          <cell r="O210">
            <v>45948</v>
          </cell>
          <cell r="P210" t="str">
            <v>Hallmark</v>
          </cell>
          <cell r="R210" t="str">
            <v>Contract</v>
          </cell>
          <cell r="S210" t="str">
            <v>W2</v>
          </cell>
          <cell r="V210">
            <v>85</v>
          </cell>
          <cell r="AA210">
            <v>13</v>
          </cell>
          <cell r="AN210">
            <v>664</v>
          </cell>
          <cell r="AO210">
            <v>8632</v>
          </cell>
          <cell r="AP210" t="str">
            <v>Pending</v>
          </cell>
          <cell r="AQ210" t="str">
            <v>Pending</v>
          </cell>
        </row>
        <row r="211">
          <cell r="A211">
            <v>1</v>
          </cell>
          <cell r="B211" t="str">
            <v>WellnessWarriors-Healthcare</v>
          </cell>
          <cell r="C211" t="str">
            <v>Shriniwas Sattyanarayan Pasnur</v>
          </cell>
          <cell r="D211" t="str">
            <v>Anuj Kumar (David)</v>
          </cell>
          <cell r="F211" t="str">
            <v>Abhishek Singh</v>
          </cell>
          <cell r="G211" t="str">
            <v>Abhishek Singh</v>
          </cell>
          <cell r="L211" t="str">
            <v>Travel CT Tech</v>
          </cell>
          <cell r="M211" t="str">
            <v>July</v>
          </cell>
          <cell r="N211">
            <v>45866</v>
          </cell>
          <cell r="O211">
            <v>45953</v>
          </cell>
          <cell r="P211" t="str">
            <v>Prime/Hallmark</v>
          </cell>
          <cell r="R211" t="str">
            <v>Contract</v>
          </cell>
          <cell r="S211" t="str">
            <v>W2</v>
          </cell>
          <cell r="V211">
            <v>95</v>
          </cell>
          <cell r="AA211">
            <v>1</v>
          </cell>
          <cell r="AN211">
            <v>824</v>
          </cell>
          <cell r="AO211">
            <v>824</v>
          </cell>
          <cell r="AP211" t="str">
            <v>Done</v>
          </cell>
          <cell r="AQ211" t="str">
            <v>Done</v>
          </cell>
        </row>
        <row r="212">
          <cell r="A212">
            <v>1</v>
          </cell>
          <cell r="B212" t="str">
            <v>WellnessWarriors-Healthcare</v>
          </cell>
          <cell r="C212" t="str">
            <v>Christopher William Ball</v>
          </cell>
          <cell r="D212" t="str">
            <v>Aman Singh</v>
          </cell>
          <cell r="F212" t="str">
            <v>Shailesh Sharma</v>
          </cell>
          <cell r="G212" t="str">
            <v>Shailesh Sharma</v>
          </cell>
          <cell r="L212" t="str">
            <v>Registered Nurse</v>
          </cell>
          <cell r="M212" t="str">
            <v>July</v>
          </cell>
          <cell r="N212">
            <v>45867</v>
          </cell>
          <cell r="O212">
            <v>45947</v>
          </cell>
          <cell r="P212" t="str">
            <v>Right Sourcing (Magnit)</v>
          </cell>
          <cell r="R212" t="str">
            <v>Contract</v>
          </cell>
          <cell r="S212" t="str">
            <v>W2</v>
          </cell>
          <cell r="V212">
            <v>72</v>
          </cell>
          <cell r="AA212">
            <v>2</v>
          </cell>
          <cell r="AN212">
            <v>1012</v>
          </cell>
          <cell r="AO212">
            <v>2024</v>
          </cell>
          <cell r="AP212" t="str">
            <v>Pending</v>
          </cell>
          <cell r="AQ212" t="str">
            <v>Pending</v>
          </cell>
        </row>
        <row r="213">
          <cell r="A213">
            <v>1</v>
          </cell>
          <cell r="B213" t="str">
            <v>Trust</v>
          </cell>
          <cell r="C213" t="str">
            <v>PRADEEP KUMAR BOBBILI</v>
          </cell>
          <cell r="D213" t="str">
            <v>Ashish Saxena</v>
          </cell>
          <cell r="F213" t="str">
            <v>Ashish Saxena</v>
          </cell>
          <cell r="G213" t="str">
            <v>Harsh Agrawal</v>
          </cell>
          <cell r="L213" t="str">
            <v>Consultant, Content Engineering</v>
          </cell>
          <cell r="M213" t="str">
            <v>August</v>
          </cell>
          <cell r="N213">
            <v>45875</v>
          </cell>
          <cell r="O213" t="str">
            <v>NA</v>
          </cell>
          <cell r="P213" t="str">
            <v>Global Logic</v>
          </cell>
          <cell r="R213" t="str">
            <v>Contract</v>
          </cell>
          <cell r="S213" t="str">
            <v>T4A</v>
          </cell>
          <cell r="V213">
            <v>30</v>
          </cell>
          <cell r="AA213">
            <v>10</v>
          </cell>
          <cell r="AN213">
            <v>12</v>
          </cell>
          <cell r="AO213">
            <v>120</v>
          </cell>
          <cell r="AP213" t="str">
            <v>Pending</v>
          </cell>
          <cell r="AQ213" t="str">
            <v>Pending</v>
          </cell>
        </row>
        <row r="214">
          <cell r="A214">
            <v>1</v>
          </cell>
          <cell r="B214" t="str">
            <v>Mavericks</v>
          </cell>
          <cell r="C214" t="str">
            <v>Ravi Teja Chennupati</v>
          </cell>
          <cell r="D214" t="str">
            <v>Vaibhav Kumar</v>
          </cell>
          <cell r="F214" t="str">
            <v>Kashif Nabi</v>
          </cell>
          <cell r="G214" t="str">
            <v>Vaibhav Kumar</v>
          </cell>
          <cell r="L214" t="str">
            <v>SAP PP Consultant</v>
          </cell>
          <cell r="M214" t="str">
            <v>September</v>
          </cell>
          <cell r="N214">
            <v>45904</v>
          </cell>
          <cell r="O214" t="str">
            <v>NA</v>
          </cell>
          <cell r="P214" t="str">
            <v>Genpact</v>
          </cell>
          <cell r="R214" t="str">
            <v>Contract</v>
          </cell>
          <cell r="S214" t="str">
            <v>C2C Canada</v>
          </cell>
          <cell r="V214">
            <v>77</v>
          </cell>
          <cell r="AA214">
            <v>4</v>
          </cell>
          <cell r="AN214">
            <v>1032</v>
          </cell>
          <cell r="AO214">
            <v>4128</v>
          </cell>
          <cell r="AP214" t="str">
            <v>Pending</v>
          </cell>
          <cell r="AQ214" t="str">
            <v>Pending</v>
          </cell>
        </row>
        <row r="215">
          <cell r="A215">
            <v>1</v>
          </cell>
          <cell r="B215" t="str">
            <v>Mavericks/Titans</v>
          </cell>
          <cell r="C215" t="str">
            <v>Dionte T Lindsey</v>
          </cell>
          <cell r="D215" t="str">
            <v>Ratnesh Kashyap</v>
          </cell>
          <cell r="F215" t="str">
            <v>Kashif Nabi Lead Nitin</v>
          </cell>
          <cell r="G215" t="str">
            <v>Kashif Nabi Lead Nitin</v>
          </cell>
          <cell r="L215" t="str">
            <v>Documentation Expert</v>
          </cell>
          <cell r="M215" t="str">
            <v>August</v>
          </cell>
          <cell r="N215">
            <v>45887</v>
          </cell>
          <cell r="O215">
            <v>45954</v>
          </cell>
          <cell r="P215" t="str">
            <v>Genpact</v>
          </cell>
          <cell r="R215" t="str">
            <v>Contract</v>
          </cell>
          <cell r="S215">
            <v>1099</v>
          </cell>
          <cell r="V215">
            <v>25</v>
          </cell>
          <cell r="AA215">
            <v>10</v>
          </cell>
          <cell r="AN215">
            <v>979</v>
          </cell>
          <cell r="AO215">
            <v>9790</v>
          </cell>
          <cell r="AP215" t="str">
            <v>No Bill No Pay</v>
          </cell>
          <cell r="AQ215" t="str">
            <v>No bill no pay</v>
          </cell>
        </row>
        <row r="216">
          <cell r="A216">
            <v>1</v>
          </cell>
          <cell r="B216" t="str">
            <v>Mavericks</v>
          </cell>
          <cell r="C216" t="str">
            <v>Tabia L Comer</v>
          </cell>
          <cell r="D216" t="str">
            <v>Saurabh Mishra</v>
          </cell>
          <cell r="F216" t="str">
            <v xml:space="preserve">Kashif Nabi </v>
          </cell>
          <cell r="G216" t="str">
            <v xml:space="preserve">Kashif Nabi </v>
          </cell>
          <cell r="L216" t="str">
            <v xml:space="preserve">ABAP ODATA Backend Developer </v>
          </cell>
          <cell r="M216" t="str">
            <v>August</v>
          </cell>
          <cell r="N216">
            <v>45887</v>
          </cell>
          <cell r="O216" t="str">
            <v>NA</v>
          </cell>
          <cell r="P216" t="str">
            <v>Genpact</v>
          </cell>
          <cell r="R216" t="str">
            <v>Contract</v>
          </cell>
          <cell r="S216" t="str">
            <v>C2C</v>
          </cell>
          <cell r="V216">
            <v>85</v>
          </cell>
          <cell r="AA216">
            <v>2</v>
          </cell>
          <cell r="AN216">
            <v>912</v>
          </cell>
          <cell r="AO216">
            <v>1824</v>
          </cell>
          <cell r="AP216" t="str">
            <v>Active</v>
          </cell>
          <cell r="AQ216" t="str">
            <v>May</v>
          </cell>
        </row>
        <row r="217">
          <cell r="A217">
            <v>1</v>
          </cell>
          <cell r="B217" t="str">
            <v>Mavericks</v>
          </cell>
          <cell r="C217" t="str">
            <v>Manmohan Singh Parmar</v>
          </cell>
          <cell r="D217" t="str">
            <v>Vasudev Srivastava</v>
          </cell>
          <cell r="F217" t="str">
            <v>Kashif Nabi</v>
          </cell>
          <cell r="G217" t="str">
            <v>Khatib Rahman</v>
          </cell>
          <cell r="L217" t="str">
            <v xml:space="preserve">SAP ABAP SME </v>
          </cell>
          <cell r="M217" t="str">
            <v>August</v>
          </cell>
          <cell r="N217">
            <v>45887</v>
          </cell>
          <cell r="O217">
            <v>45977</v>
          </cell>
          <cell r="P217" t="str">
            <v>Genpact</v>
          </cell>
          <cell r="R217" t="str">
            <v>Contract</v>
          </cell>
          <cell r="S217" t="str">
            <v>C2C</v>
          </cell>
          <cell r="V217">
            <v>85</v>
          </cell>
          <cell r="AA217">
            <v>9</v>
          </cell>
          <cell r="AN217">
            <v>904</v>
          </cell>
          <cell r="AO217">
            <v>8136</v>
          </cell>
          <cell r="AP217" t="str">
            <v>Active</v>
          </cell>
          <cell r="AQ217" t="str">
            <v>Sep</v>
          </cell>
        </row>
        <row r="218">
          <cell r="A218">
            <v>1</v>
          </cell>
          <cell r="B218" t="str">
            <v>WellnessWarriors-Healthcare</v>
          </cell>
          <cell r="C218" t="str">
            <v>Nageshwar Rao Bhukya</v>
          </cell>
          <cell r="D218" t="str">
            <v>Anjali Sah (Annie)</v>
          </cell>
          <cell r="F218" t="str">
            <v>Shailesh Sharma (Sam)</v>
          </cell>
          <cell r="G218" t="str">
            <v>Shailesh Sharma (Sam)</v>
          </cell>
          <cell r="L218" t="str">
            <v>RN ICU - Per Diem - Days</v>
          </cell>
          <cell r="M218" t="str">
            <v>August</v>
          </cell>
          <cell r="N218">
            <v>45873</v>
          </cell>
          <cell r="O218">
            <v>45884</v>
          </cell>
          <cell r="P218" t="str">
            <v>Prime</v>
          </cell>
          <cell r="R218" t="str">
            <v>Contract</v>
          </cell>
          <cell r="S218" t="str">
            <v>W2</v>
          </cell>
          <cell r="V218">
            <v>75</v>
          </cell>
          <cell r="AA218">
            <v>1</v>
          </cell>
          <cell r="AN218">
            <v>264</v>
          </cell>
          <cell r="AO218">
            <v>264</v>
          </cell>
          <cell r="AP218" t="str">
            <v>Active</v>
          </cell>
          <cell r="AQ218" t="str">
            <v>Sep</v>
          </cell>
        </row>
        <row r="219">
          <cell r="A219">
            <v>1</v>
          </cell>
          <cell r="B219" t="str">
            <v>WellnessWarriors-Healthcare</v>
          </cell>
          <cell r="C219" t="str">
            <v>Boja Sri Manu Koti Naidu</v>
          </cell>
          <cell r="D219" t="str">
            <v>Anjali Sah (Annie)</v>
          </cell>
          <cell r="F219" t="str">
            <v>Shailesh Sharma (Sam)</v>
          </cell>
          <cell r="G219" t="str">
            <v>Shailesh Sharma (Sam)</v>
          </cell>
          <cell r="L219" t="str">
            <v>Certified Medical Assistant (CMA)</v>
          </cell>
          <cell r="M219" t="str">
            <v>August</v>
          </cell>
          <cell r="N219">
            <v>45873</v>
          </cell>
          <cell r="O219" t="str">
            <v>NA</v>
          </cell>
          <cell r="P219" t="str">
            <v>CSU</v>
          </cell>
          <cell r="R219" t="str">
            <v>Contract</v>
          </cell>
          <cell r="S219" t="str">
            <v>W2</v>
          </cell>
          <cell r="V219">
            <v>34</v>
          </cell>
          <cell r="AA219">
            <v>7.25</v>
          </cell>
          <cell r="AN219">
            <v>848</v>
          </cell>
          <cell r="AO219">
            <v>6148</v>
          </cell>
          <cell r="AP219" t="str">
            <v>Quit</v>
          </cell>
          <cell r="AQ219">
            <v>45775</v>
          </cell>
        </row>
        <row r="220">
          <cell r="A220">
            <v>1</v>
          </cell>
          <cell r="B220" t="str">
            <v>Mavericks</v>
          </cell>
          <cell r="C220" t="str">
            <v>Yash Narayan</v>
          </cell>
          <cell r="D220" t="str">
            <v>Anuj Tewari</v>
          </cell>
          <cell r="F220" t="str">
            <v>Rohit Gupta</v>
          </cell>
          <cell r="G220" t="str">
            <v>Vivek Kumar Yadav</v>
          </cell>
          <cell r="L220" t="str">
            <v>Cloud Engineer</v>
          </cell>
          <cell r="M220" t="str">
            <v>August</v>
          </cell>
          <cell r="N220">
            <v>45887</v>
          </cell>
          <cell r="O220">
            <v>45898</v>
          </cell>
          <cell r="P220" t="str">
            <v>CoForge</v>
          </cell>
          <cell r="R220" t="str">
            <v>Contract</v>
          </cell>
          <cell r="S220" t="str">
            <v>C2C Canada</v>
          </cell>
          <cell r="V220">
            <v>78</v>
          </cell>
          <cell r="AA220">
            <v>8.4499999999999993</v>
          </cell>
          <cell r="AN220">
            <v>776</v>
          </cell>
          <cell r="AO220">
            <v>6557.2</v>
          </cell>
          <cell r="AP220" t="str">
            <v>Active</v>
          </cell>
          <cell r="AQ220" t="str">
            <v>Sep</v>
          </cell>
        </row>
        <row r="221">
          <cell r="A221">
            <v>1</v>
          </cell>
          <cell r="B221" t="str">
            <v>Mavericks</v>
          </cell>
          <cell r="C221" t="str">
            <v>Srihari Bombai</v>
          </cell>
          <cell r="D221" t="str">
            <v>Ubaid Rahman</v>
          </cell>
          <cell r="F221" t="str">
            <v>Kashif Nabi</v>
          </cell>
          <cell r="G221" t="str">
            <v>Kashif Nabi</v>
          </cell>
          <cell r="L221" t="str">
            <v xml:space="preserve">SAP FIORI Frontend Developer </v>
          </cell>
          <cell r="M221" t="str">
            <v>August</v>
          </cell>
          <cell r="N221">
            <v>45887</v>
          </cell>
          <cell r="O221" t="str">
            <v>NA</v>
          </cell>
          <cell r="P221" t="str">
            <v>Genpact</v>
          </cell>
          <cell r="R221" t="str">
            <v>Contract</v>
          </cell>
          <cell r="S221" t="str">
            <v>C2C</v>
          </cell>
          <cell r="V221">
            <v>85</v>
          </cell>
          <cell r="AA221">
            <v>9</v>
          </cell>
          <cell r="AN221">
            <v>688</v>
          </cell>
          <cell r="AO221">
            <v>6192</v>
          </cell>
          <cell r="AP221" t="str">
            <v>Active</v>
          </cell>
          <cell r="AQ221" t="str">
            <v>Sep</v>
          </cell>
        </row>
        <row r="222">
          <cell r="A222">
            <v>1</v>
          </cell>
          <cell r="B222" t="str">
            <v>Mavericks</v>
          </cell>
          <cell r="C222" t="str">
            <v>Akiet Wang</v>
          </cell>
          <cell r="D222" t="str">
            <v>Nilesh Shahi</v>
          </cell>
          <cell r="F222" t="str">
            <v>Rohit Gupta</v>
          </cell>
          <cell r="G222" t="str">
            <v>Yogesh Bisht</v>
          </cell>
          <cell r="L222" t="str">
            <v>Java Backend Developer</v>
          </cell>
          <cell r="M222" t="str">
            <v>September</v>
          </cell>
          <cell r="N222">
            <v>45902</v>
          </cell>
          <cell r="O222" t="str">
            <v>NA</v>
          </cell>
          <cell r="P222" t="str">
            <v>Mphasis</v>
          </cell>
          <cell r="R222" t="str">
            <v>Contract</v>
          </cell>
          <cell r="S222" t="str">
            <v>C2C</v>
          </cell>
          <cell r="V222">
            <v>75</v>
          </cell>
          <cell r="AA222">
            <v>5</v>
          </cell>
          <cell r="AN222">
            <v>848</v>
          </cell>
          <cell r="AO222">
            <v>4240</v>
          </cell>
          <cell r="AP222" t="str">
            <v>Active</v>
          </cell>
          <cell r="AQ222" t="str">
            <v>Sep</v>
          </cell>
        </row>
        <row r="223">
          <cell r="A223">
            <v>1</v>
          </cell>
          <cell r="B223" t="str">
            <v>Wellness Warriors-IT</v>
          </cell>
          <cell r="C223" t="str">
            <v>Hippolyte Fombi Asah</v>
          </cell>
          <cell r="D223" t="str">
            <v xml:space="preserve">Aatma Nand Vihangam </v>
          </cell>
          <cell r="F223" t="str">
            <v xml:space="preserve">Abdul Rahman </v>
          </cell>
          <cell r="G223" t="str">
            <v xml:space="preserve">Abdul Rahman </v>
          </cell>
          <cell r="L223" t="str">
            <v xml:space="preserve">Cloud Platform Support Engineer </v>
          </cell>
          <cell r="M223" t="str">
            <v>August</v>
          </cell>
          <cell r="N223">
            <v>45880</v>
          </cell>
          <cell r="O223" t="str">
            <v>NA</v>
          </cell>
          <cell r="P223" t="str">
            <v xml:space="preserve">Xebia </v>
          </cell>
          <cell r="R223" t="str">
            <v>Contract</v>
          </cell>
          <cell r="S223" t="str">
            <v>C2C Canada</v>
          </cell>
          <cell r="V223">
            <v>55</v>
          </cell>
          <cell r="AA223">
            <v>6</v>
          </cell>
          <cell r="AN223">
            <v>0</v>
          </cell>
          <cell r="AO223">
            <v>0</v>
          </cell>
          <cell r="AP223" t="str">
            <v>Active</v>
          </cell>
          <cell r="AQ223" t="str">
            <v>Sep</v>
          </cell>
        </row>
        <row r="224">
          <cell r="A224">
            <v>1</v>
          </cell>
          <cell r="B224" t="str">
            <v>Mavericks</v>
          </cell>
          <cell r="C224" t="str">
            <v>Soniya Awasthi</v>
          </cell>
          <cell r="D224" t="str">
            <v>Satyajeet Singh</v>
          </cell>
          <cell r="F224" t="str">
            <v>Kashif Nabi</v>
          </cell>
          <cell r="G224" t="str">
            <v>Kashif Nabi</v>
          </cell>
          <cell r="L224" t="str">
            <v>Technical Architect - SFDC</v>
          </cell>
          <cell r="M224" t="str">
            <v>August</v>
          </cell>
          <cell r="N224">
            <v>45888</v>
          </cell>
          <cell r="O224" t="str">
            <v>NA</v>
          </cell>
          <cell r="P224" t="str">
            <v>Genpact Beeline</v>
          </cell>
          <cell r="R224" t="str">
            <v>Contract</v>
          </cell>
          <cell r="S224" t="str">
            <v>C2C</v>
          </cell>
          <cell r="V224">
            <v>109</v>
          </cell>
          <cell r="AA224">
            <v>7.95</v>
          </cell>
          <cell r="AN224">
            <v>912</v>
          </cell>
          <cell r="AO224">
            <v>7250.4000000000005</v>
          </cell>
          <cell r="AP224" t="str">
            <v>Active</v>
          </cell>
          <cell r="AQ224" t="str">
            <v>Jun</v>
          </cell>
        </row>
        <row r="225">
          <cell r="A225">
            <v>1</v>
          </cell>
          <cell r="B225" t="str">
            <v>WellnessWarriors-Healthcare</v>
          </cell>
          <cell r="C225" t="str">
            <v>Theophilus Mensah</v>
          </cell>
          <cell r="D225" t="str">
            <v>Mohini Chand</v>
          </cell>
          <cell r="F225" t="str">
            <v>Shailesh Sharma (Sam)</v>
          </cell>
          <cell r="G225" t="str">
            <v>Shailesh Sharma (Sam)</v>
          </cell>
          <cell r="L225" t="str">
            <v>Cath Lab Tech Traveler</v>
          </cell>
          <cell r="M225" t="str">
            <v>August</v>
          </cell>
          <cell r="N225">
            <v>45880</v>
          </cell>
          <cell r="O225">
            <v>45888</v>
          </cell>
          <cell r="P225" t="str">
            <v>Prime</v>
          </cell>
          <cell r="R225" t="str">
            <v>Contract</v>
          </cell>
          <cell r="S225" t="str">
            <v>W2</v>
          </cell>
          <cell r="V225">
            <v>110</v>
          </cell>
          <cell r="AA225">
            <v>6</v>
          </cell>
          <cell r="AN225">
            <v>457.5</v>
          </cell>
          <cell r="AO225">
            <v>2745</v>
          </cell>
          <cell r="AP225" t="str">
            <v>Active</v>
          </cell>
          <cell r="AQ225" t="str">
            <v>Sep</v>
          </cell>
        </row>
        <row r="226">
          <cell r="A226">
            <v>1</v>
          </cell>
          <cell r="B226" t="str">
            <v>Wellness Warriors-IT</v>
          </cell>
          <cell r="C226" t="str">
            <v>Tharun Teja Satla</v>
          </cell>
          <cell r="D226" t="str">
            <v xml:space="preserve">Mohd Ateeq </v>
          </cell>
          <cell r="F226" t="str">
            <v xml:space="preserve">Abdul Rahman Khan </v>
          </cell>
          <cell r="G226" t="str">
            <v xml:space="preserve">Abdul Rahman Khan </v>
          </cell>
          <cell r="L226" t="str">
            <v xml:space="preserve">HPC Engineer </v>
          </cell>
          <cell r="M226" t="str">
            <v>August</v>
          </cell>
          <cell r="N226">
            <v>45882</v>
          </cell>
          <cell r="O226" t="str">
            <v>NA</v>
          </cell>
          <cell r="P226" t="str">
            <v xml:space="preserve">Xebia </v>
          </cell>
          <cell r="R226" t="str">
            <v>Contract</v>
          </cell>
          <cell r="S226" t="str">
            <v>C2C</v>
          </cell>
          <cell r="V226">
            <v>65</v>
          </cell>
          <cell r="AA226">
            <v>5</v>
          </cell>
          <cell r="AN226">
            <v>632</v>
          </cell>
          <cell r="AO226">
            <v>3160</v>
          </cell>
          <cell r="AP226" t="str">
            <v>Active</v>
          </cell>
          <cell r="AQ226" t="str">
            <v>Sep</v>
          </cell>
        </row>
        <row r="227">
          <cell r="A227">
            <v>1</v>
          </cell>
          <cell r="B227" t="str">
            <v>Titans</v>
          </cell>
          <cell r="C227" t="str">
            <v>Lakeshia R Nelson</v>
          </cell>
          <cell r="D227" t="str">
            <v>Priya Yadav</v>
          </cell>
          <cell r="F227" t="str">
            <v>Abhishek Yadav</v>
          </cell>
          <cell r="G227" t="str">
            <v>Abhishek Yadav</v>
          </cell>
          <cell r="L227" t="str">
            <v xml:space="preserve">Business System Analyst </v>
          </cell>
          <cell r="M227" t="str">
            <v>September</v>
          </cell>
          <cell r="N227">
            <v>45908</v>
          </cell>
          <cell r="O227" t="str">
            <v>NA</v>
          </cell>
          <cell r="P227" t="str">
            <v>Genpact</v>
          </cell>
          <cell r="R227" t="str">
            <v>Contract</v>
          </cell>
          <cell r="S227" t="str">
            <v>C2C Canada</v>
          </cell>
          <cell r="V227">
            <v>60</v>
          </cell>
          <cell r="AA227">
            <v>2</v>
          </cell>
          <cell r="AN227">
            <v>5</v>
          </cell>
          <cell r="AO227">
            <v>10</v>
          </cell>
          <cell r="AP227" t="str">
            <v>Active</v>
          </cell>
          <cell r="AQ227" t="str">
            <v>Sep</v>
          </cell>
        </row>
        <row r="228">
          <cell r="A228">
            <v>1</v>
          </cell>
          <cell r="B228" t="str">
            <v>Trust</v>
          </cell>
          <cell r="C228" t="str">
            <v>Koushik Janapareddi</v>
          </cell>
          <cell r="D228" t="str">
            <v>Shubham Saini</v>
          </cell>
          <cell r="F228" t="str">
            <v>Vivek Mishra</v>
          </cell>
          <cell r="G228" t="str">
            <v>Vivek Mishra</v>
          </cell>
          <cell r="L228" t="str">
            <v>Procurement Specialist (Non-IT) - Intermediate</v>
          </cell>
          <cell r="M228" t="str">
            <v>August</v>
          </cell>
          <cell r="N228">
            <v>45896</v>
          </cell>
          <cell r="O228" t="str">
            <v>NA</v>
          </cell>
          <cell r="P228" t="str">
            <v>Government of Alberta</v>
          </cell>
          <cell r="R228" t="str">
            <v>Contract</v>
          </cell>
          <cell r="S228" t="str">
            <v>C2C Canada</v>
          </cell>
          <cell r="V228">
            <v>65</v>
          </cell>
          <cell r="AA228">
            <v>4</v>
          </cell>
          <cell r="AN228">
            <v>536</v>
          </cell>
          <cell r="AO228">
            <v>2144</v>
          </cell>
          <cell r="AP228" t="str">
            <v>Active</v>
          </cell>
          <cell r="AQ228" t="str">
            <v>Sep</v>
          </cell>
        </row>
        <row r="229">
          <cell r="A229">
            <v>1</v>
          </cell>
          <cell r="B229" t="str">
            <v>Mavericks</v>
          </cell>
          <cell r="C229" t="str">
            <v>Judith Marie Castano salinas</v>
          </cell>
          <cell r="D229" t="str">
            <v>Anuj Tewari</v>
          </cell>
          <cell r="F229" t="str">
            <v>Rohit Gupta</v>
          </cell>
          <cell r="G229" t="str">
            <v xml:space="preserve"> Vivek Yadav</v>
          </cell>
          <cell r="L229" t="str">
            <v>AWS Python Developer</v>
          </cell>
          <cell r="M229" t="str">
            <v>August</v>
          </cell>
          <cell r="N229">
            <v>45894</v>
          </cell>
          <cell r="O229">
            <v>45940</v>
          </cell>
          <cell r="P229" t="str">
            <v>CoForge</v>
          </cell>
          <cell r="R229" t="str">
            <v>Contract</v>
          </cell>
          <cell r="S229" t="str">
            <v>C2C</v>
          </cell>
          <cell r="V229">
            <v>75</v>
          </cell>
          <cell r="AA229">
            <v>8.0500000000000007</v>
          </cell>
          <cell r="AN229">
            <v>632</v>
          </cell>
          <cell r="AO229">
            <v>5087.6000000000004</v>
          </cell>
          <cell r="AP229" t="str">
            <v>No Bill No Pay</v>
          </cell>
          <cell r="AQ229" t="str">
            <v>No bill no pay</v>
          </cell>
        </row>
        <row r="230">
          <cell r="A230">
            <v>1</v>
          </cell>
          <cell r="B230" t="str">
            <v>WellnessWarriors-Healthcare</v>
          </cell>
          <cell r="C230" t="str">
            <v>Sujeet Gupta Bachu</v>
          </cell>
          <cell r="D230" t="str">
            <v>Vishal Jaiswal (Victor)</v>
          </cell>
          <cell r="F230" t="str">
            <v>Abhishek Singh</v>
          </cell>
          <cell r="G230" t="str">
            <v>Abhishek Singh</v>
          </cell>
          <cell r="L230" t="str">
            <v>Travel RN</v>
          </cell>
          <cell r="M230" t="str">
            <v>August</v>
          </cell>
          <cell r="N230">
            <v>45887</v>
          </cell>
          <cell r="O230" t="str">
            <v>NA</v>
          </cell>
          <cell r="P230" t="str">
            <v>CSU/Yes Care</v>
          </cell>
          <cell r="R230" t="str">
            <v>Contract</v>
          </cell>
          <cell r="S230" t="str">
            <v>W2</v>
          </cell>
          <cell r="V230">
            <v>72</v>
          </cell>
          <cell r="AA230">
            <v>5.65</v>
          </cell>
          <cell r="AN230">
            <v>584</v>
          </cell>
          <cell r="AO230">
            <v>3299.6000000000004</v>
          </cell>
          <cell r="AP230" t="str">
            <v>Active</v>
          </cell>
          <cell r="AQ230" t="str">
            <v>Sep</v>
          </cell>
        </row>
        <row r="231">
          <cell r="A231">
            <v>1</v>
          </cell>
          <cell r="B231" t="str">
            <v>Mavericks</v>
          </cell>
          <cell r="C231" t="str">
            <v>Krishna Madagoni</v>
          </cell>
          <cell r="D231" t="str">
            <v>Anuj Tewari</v>
          </cell>
          <cell r="F231" t="str">
            <v>Rohit Gupta</v>
          </cell>
          <cell r="G231" t="str">
            <v>Vivek Kumar Yadav</v>
          </cell>
          <cell r="L231" t="str">
            <v>MuleSoft Technical Architect</v>
          </cell>
          <cell r="M231" t="str">
            <v>August</v>
          </cell>
          <cell r="N231">
            <v>45894</v>
          </cell>
          <cell r="O231">
            <v>45938</v>
          </cell>
          <cell r="P231" t="str">
            <v>Cloud Odyssey IT Solutions Ltd</v>
          </cell>
          <cell r="R231" t="str">
            <v>Contract</v>
          </cell>
          <cell r="S231" t="str">
            <v>C2C</v>
          </cell>
          <cell r="V231">
            <v>100</v>
          </cell>
          <cell r="AA231">
            <v>8</v>
          </cell>
          <cell r="AN231">
            <v>424</v>
          </cell>
          <cell r="AO231">
            <v>3392</v>
          </cell>
          <cell r="AP231" t="str">
            <v>Active</v>
          </cell>
          <cell r="AQ231" t="str">
            <v>Sep</v>
          </cell>
        </row>
        <row r="232">
          <cell r="A232">
            <v>1</v>
          </cell>
          <cell r="B232" t="str">
            <v>Titans</v>
          </cell>
          <cell r="C232" t="str">
            <v>Ramana Kumar Bompala</v>
          </cell>
          <cell r="D232" t="str">
            <v>Manish Kumar Dhiman</v>
          </cell>
          <cell r="F232" t="str">
            <v>Abhishek Yadav</v>
          </cell>
          <cell r="G232" t="str">
            <v>Abhishek Yadav</v>
          </cell>
          <cell r="L232" t="str">
            <v>Senior Manager – Hire to Retire</v>
          </cell>
          <cell r="M232" t="str">
            <v>September</v>
          </cell>
          <cell r="N232">
            <v>45909</v>
          </cell>
          <cell r="O232" t="str">
            <v>NA</v>
          </cell>
          <cell r="P232" t="str">
            <v>Genpact</v>
          </cell>
          <cell r="R232" t="str">
            <v>Contract</v>
          </cell>
          <cell r="S232" t="str">
            <v>W2</v>
          </cell>
          <cell r="V232">
            <v>80</v>
          </cell>
          <cell r="AA232">
            <v>6</v>
          </cell>
          <cell r="AN232">
            <v>448</v>
          </cell>
          <cell r="AO232">
            <v>2688</v>
          </cell>
          <cell r="AP232" t="str">
            <v>Active</v>
          </cell>
          <cell r="AQ232" t="str">
            <v>sep</v>
          </cell>
        </row>
        <row r="233">
          <cell r="A233">
            <v>1</v>
          </cell>
          <cell r="B233" t="str">
            <v>Titans</v>
          </cell>
          <cell r="C233" t="str">
            <v>Harish Vitta</v>
          </cell>
          <cell r="D233" t="str">
            <v>Shagun Jaiswal</v>
          </cell>
          <cell r="F233" t="str">
            <v>Aditya Kumar Yadav</v>
          </cell>
          <cell r="G233" t="str">
            <v>Aditya Kumar Yadav</v>
          </cell>
          <cell r="L233" t="str">
            <v>Oracle HCM Business Analyst-Functional</v>
          </cell>
          <cell r="M233" t="str">
            <v>September</v>
          </cell>
          <cell r="N233">
            <v>45902</v>
          </cell>
          <cell r="O233">
            <v>45943</v>
          </cell>
          <cell r="P233" t="str">
            <v>Microland</v>
          </cell>
          <cell r="R233" t="str">
            <v>Contract</v>
          </cell>
          <cell r="S233" t="str">
            <v>C2C</v>
          </cell>
          <cell r="V233">
            <v>58</v>
          </cell>
          <cell r="AA233">
            <v>2</v>
          </cell>
          <cell r="AN233">
            <v>354</v>
          </cell>
          <cell r="AO233">
            <v>708</v>
          </cell>
          <cell r="AP233" t="str">
            <v>No Bill No Pay</v>
          </cell>
          <cell r="AQ233" t="str">
            <v>No bill no pay</v>
          </cell>
        </row>
        <row r="234">
          <cell r="A234">
            <v>1</v>
          </cell>
          <cell r="B234" t="str">
            <v>Titans</v>
          </cell>
          <cell r="C234" t="str">
            <v>Kathleen Marie Castaldo</v>
          </cell>
          <cell r="D234" t="str">
            <v>Heena Akshay Pandey</v>
          </cell>
          <cell r="F234" t="str">
            <v>Abhishek Yadav</v>
          </cell>
          <cell r="G234" t="str">
            <v>Abhishek Yadav</v>
          </cell>
          <cell r="L234" t="str">
            <v>CMC Regulatory Consultant</v>
          </cell>
          <cell r="M234" t="str">
            <v>September</v>
          </cell>
          <cell r="N234">
            <v>45908</v>
          </cell>
          <cell r="O234" t="str">
            <v>NA</v>
          </cell>
          <cell r="P234" t="str">
            <v>Genpact</v>
          </cell>
          <cell r="R234" t="str">
            <v>Contract</v>
          </cell>
          <cell r="S234" t="str">
            <v>C2C</v>
          </cell>
          <cell r="V234">
            <v>65</v>
          </cell>
          <cell r="AA234">
            <v>2</v>
          </cell>
          <cell r="AN234">
            <v>280</v>
          </cell>
          <cell r="AO234">
            <v>560</v>
          </cell>
          <cell r="AP234" t="str">
            <v>Done</v>
          </cell>
          <cell r="AQ234" t="str">
            <v>Sep</v>
          </cell>
        </row>
        <row r="235">
          <cell r="A235">
            <v>1</v>
          </cell>
          <cell r="B235" t="str">
            <v>Wellness Warriors-IT</v>
          </cell>
          <cell r="C235" t="str">
            <v>Capreecia Wysinge</v>
          </cell>
          <cell r="D235" t="str">
            <v>Vishali Kundal</v>
          </cell>
          <cell r="F235" t="str">
            <v xml:space="preserve">Abdul Rahman </v>
          </cell>
          <cell r="G235" t="str">
            <v xml:space="preserve">Abdul Rahman </v>
          </cell>
          <cell r="L235" t="str">
            <v xml:space="preserve">Java GCP Developer </v>
          </cell>
          <cell r="M235" t="str">
            <v>September</v>
          </cell>
          <cell r="N235">
            <v>45902</v>
          </cell>
          <cell r="O235">
            <v>45961</v>
          </cell>
          <cell r="P235" t="str">
            <v>Xebia</v>
          </cell>
          <cell r="R235" t="str">
            <v>Contract</v>
          </cell>
          <cell r="S235" t="str">
            <v>C2C</v>
          </cell>
          <cell r="V235">
            <v>68</v>
          </cell>
          <cell r="AA235">
            <v>10</v>
          </cell>
          <cell r="AN235">
            <v>440</v>
          </cell>
          <cell r="AO235">
            <v>4400</v>
          </cell>
          <cell r="AP235" t="str">
            <v>Active</v>
          </cell>
          <cell r="AQ235" t="str">
            <v>Sep</v>
          </cell>
        </row>
        <row r="236">
          <cell r="A236">
            <v>1</v>
          </cell>
          <cell r="B236" t="str">
            <v>Mavericks</v>
          </cell>
          <cell r="C236" t="str">
            <v>Sridhar Patchigolla</v>
          </cell>
          <cell r="D236" t="str">
            <v>Ubaid Rahman</v>
          </cell>
          <cell r="F236" t="str">
            <v>Kashif Nabi</v>
          </cell>
          <cell r="G236" t="str">
            <v>Kashif Nabi</v>
          </cell>
          <cell r="L236" t="str">
            <v xml:space="preserve">SAP ABAP SME </v>
          </cell>
          <cell r="M236" t="str">
            <v>September</v>
          </cell>
          <cell r="N236">
            <v>45922</v>
          </cell>
          <cell r="O236" t="str">
            <v>NA</v>
          </cell>
          <cell r="P236" t="str">
            <v>Genpact Beeline</v>
          </cell>
          <cell r="R236" t="str">
            <v>Contract</v>
          </cell>
          <cell r="S236" t="str">
            <v>C2C</v>
          </cell>
          <cell r="V236">
            <v>80</v>
          </cell>
          <cell r="AA236">
            <v>15</v>
          </cell>
          <cell r="AN236">
            <v>288</v>
          </cell>
          <cell r="AO236">
            <v>4320</v>
          </cell>
          <cell r="AP236" t="str">
            <v>Active</v>
          </cell>
          <cell r="AQ236" t="str">
            <v>Sep</v>
          </cell>
        </row>
        <row r="237">
          <cell r="A237">
            <v>1</v>
          </cell>
          <cell r="B237" t="str">
            <v>WellnessWarriors-Healthcare</v>
          </cell>
          <cell r="C237" t="str">
            <v>Donald Sykes</v>
          </cell>
          <cell r="D237" t="str">
            <v>Anjali Sah (Annie)</v>
          </cell>
          <cell r="F237" t="str">
            <v>Shailesh Sharma (Sam)</v>
          </cell>
          <cell r="G237" t="str">
            <v>Shailesh Sharma (Sam)</v>
          </cell>
          <cell r="L237" t="str">
            <v>RN – Cath Lab</v>
          </cell>
          <cell r="M237" t="str">
            <v>September</v>
          </cell>
          <cell r="N237">
            <v>45902</v>
          </cell>
          <cell r="O237" t="str">
            <v>NA</v>
          </cell>
          <cell r="P237" t="str">
            <v>Prime</v>
          </cell>
          <cell r="R237" t="str">
            <v>Contract</v>
          </cell>
          <cell r="S237" t="str">
            <v>W2</v>
          </cell>
          <cell r="V237">
            <v>100</v>
          </cell>
          <cell r="AA237">
            <v>3</v>
          </cell>
          <cell r="AN237">
            <v>227</v>
          </cell>
          <cell r="AO237">
            <v>681</v>
          </cell>
          <cell r="AP237" t="str">
            <v>Active</v>
          </cell>
          <cell r="AQ237" t="str">
            <v>Sep</v>
          </cell>
        </row>
        <row r="238">
          <cell r="A238">
            <v>1</v>
          </cell>
          <cell r="B238" t="str">
            <v>WellnessWarriors-Healthcare</v>
          </cell>
          <cell r="C238" t="str">
            <v xml:space="preserve">Harshitha Gundala </v>
          </cell>
          <cell r="D238" t="str">
            <v>Abhinesh Yadav (Albert)</v>
          </cell>
          <cell r="F238" t="str">
            <v>Abhishek Singh</v>
          </cell>
          <cell r="G238" t="str">
            <v>Abhishek Singh</v>
          </cell>
          <cell r="L238" t="str">
            <v>T- LPN</v>
          </cell>
          <cell r="M238" t="str">
            <v>September</v>
          </cell>
          <cell r="N238">
            <v>45902</v>
          </cell>
          <cell r="O238" t="str">
            <v>NA</v>
          </cell>
          <cell r="P238" t="str">
            <v>CSU/Yes Care</v>
          </cell>
          <cell r="R238" t="str">
            <v>Contract</v>
          </cell>
          <cell r="S238" t="str">
            <v>W2</v>
          </cell>
          <cell r="V238">
            <v>67</v>
          </cell>
          <cell r="AA238">
            <v>8</v>
          </cell>
          <cell r="AN238">
            <v>312</v>
          </cell>
          <cell r="AO238">
            <v>2496</v>
          </cell>
          <cell r="AP238" t="str">
            <v>Active</v>
          </cell>
          <cell r="AQ238" t="str">
            <v>Sep</v>
          </cell>
        </row>
        <row r="239">
          <cell r="A239">
            <v>1</v>
          </cell>
          <cell r="B239" t="str">
            <v>Mavericks</v>
          </cell>
          <cell r="C239" t="str">
            <v>Gowthaman Masilamani</v>
          </cell>
          <cell r="D239" t="str">
            <v>Saurabh Mishra</v>
          </cell>
          <cell r="F239" t="str">
            <v>Kashif Nabi</v>
          </cell>
          <cell r="G239" t="str">
            <v>Kashif Nabi</v>
          </cell>
          <cell r="L239" t="str">
            <v>SAP Solution Architect</v>
          </cell>
          <cell r="M239" t="str">
            <v>September</v>
          </cell>
          <cell r="N239">
            <v>45915</v>
          </cell>
          <cell r="O239">
            <v>45930</v>
          </cell>
          <cell r="P239" t="str">
            <v>Genpact Beeline</v>
          </cell>
          <cell r="R239" t="str">
            <v>Contract</v>
          </cell>
          <cell r="S239" t="str">
            <v>C2C</v>
          </cell>
          <cell r="V239">
            <v>120</v>
          </cell>
          <cell r="AA239">
            <v>5</v>
          </cell>
          <cell r="AN239">
            <v>288</v>
          </cell>
          <cell r="AO239">
            <v>1440</v>
          </cell>
          <cell r="AP239" t="str">
            <v>Active</v>
          </cell>
          <cell r="AQ239" t="str">
            <v>Sep</v>
          </cell>
        </row>
        <row r="240">
          <cell r="A240">
            <v>1</v>
          </cell>
          <cell r="B240" t="str">
            <v>Titans</v>
          </cell>
          <cell r="C240" t="str">
            <v>Soumyashree Sarangi</v>
          </cell>
          <cell r="D240" t="str">
            <v>Samad Quraishi</v>
          </cell>
          <cell r="F240" t="str">
            <v>Nitin Saxena</v>
          </cell>
          <cell r="G240" t="str">
            <v>Nitin Saxena</v>
          </cell>
          <cell r="L240" t="str">
            <v>Retirement Industry SME – Required Minimum Distribution (RMD)</v>
          </cell>
          <cell r="M240" t="str">
            <v>August</v>
          </cell>
          <cell r="N240">
            <v>45891</v>
          </cell>
          <cell r="O240" t="str">
            <v>NA</v>
          </cell>
          <cell r="P240" t="str">
            <v>Genpact</v>
          </cell>
          <cell r="R240" t="str">
            <v>Contract</v>
          </cell>
          <cell r="S240">
            <v>1099</v>
          </cell>
          <cell r="V240">
            <v>450</v>
          </cell>
          <cell r="AA240">
            <v>7</v>
          </cell>
          <cell r="AO240">
            <v>0</v>
          </cell>
          <cell r="AP240" t="str">
            <v>Active</v>
          </cell>
          <cell r="AQ240" t="str">
            <v>aug</v>
          </cell>
        </row>
        <row r="241">
          <cell r="A241">
            <v>1</v>
          </cell>
          <cell r="B241" t="str">
            <v>Mavericks</v>
          </cell>
          <cell r="C241" t="str">
            <v>Michael mends</v>
          </cell>
          <cell r="D241" t="str">
            <v>Anuj Tewari</v>
          </cell>
          <cell r="F241" t="str">
            <v>Rohit Gupta</v>
          </cell>
          <cell r="G241" t="str">
            <v>Vivek Kumar Yadav</v>
          </cell>
          <cell r="L241" t="str">
            <v>ServiceNow Technical Developer</v>
          </cell>
          <cell r="M241" t="str">
            <v>September</v>
          </cell>
          <cell r="N241">
            <v>45922</v>
          </cell>
          <cell r="O241" t="str">
            <v>NA</v>
          </cell>
          <cell r="P241" t="str">
            <v>CoForge</v>
          </cell>
          <cell r="R241" t="str">
            <v>Contract</v>
          </cell>
          <cell r="S241" t="str">
            <v>C2C</v>
          </cell>
          <cell r="V241">
            <v>78</v>
          </cell>
          <cell r="AA241">
            <v>8</v>
          </cell>
          <cell r="AN241">
            <v>192</v>
          </cell>
          <cell r="AO241">
            <v>1536</v>
          </cell>
          <cell r="AP241" t="str">
            <v>Active</v>
          </cell>
          <cell r="AQ241" t="str">
            <v>Sep</v>
          </cell>
        </row>
        <row r="242">
          <cell r="A242">
            <v>1</v>
          </cell>
          <cell r="B242" t="str">
            <v>Mavericks</v>
          </cell>
          <cell r="C242" t="str">
            <v>Natraj Manickavelu</v>
          </cell>
          <cell r="D242" t="str">
            <v>Abhishek Mishra Mavericks</v>
          </cell>
          <cell r="F242" t="str">
            <v>Rohit Gupta</v>
          </cell>
          <cell r="G242" t="str">
            <v>Vivek Kumar Yadav</v>
          </cell>
          <cell r="L242" t="str">
            <v>Azure Data Architect</v>
          </cell>
          <cell r="M242" t="str">
            <v>September</v>
          </cell>
          <cell r="N242">
            <v>45916</v>
          </cell>
          <cell r="O242" t="str">
            <v>NA</v>
          </cell>
          <cell r="P242" t="str">
            <v>CoForge</v>
          </cell>
          <cell r="R242" t="str">
            <v>Contract</v>
          </cell>
          <cell r="S242" t="str">
            <v>C2C</v>
          </cell>
          <cell r="V242">
            <v>73</v>
          </cell>
          <cell r="AA242">
            <v>7.25</v>
          </cell>
          <cell r="AN242">
            <v>104</v>
          </cell>
          <cell r="AO242">
            <v>754</v>
          </cell>
          <cell r="AP242" t="str">
            <v>Active</v>
          </cell>
          <cell r="AQ242" t="str">
            <v>Sep</v>
          </cell>
        </row>
        <row r="243">
          <cell r="A243">
            <v>1</v>
          </cell>
          <cell r="B243" t="str">
            <v>Mavericks</v>
          </cell>
          <cell r="C243" t="str">
            <v>Ruby Hurry Wilson</v>
          </cell>
          <cell r="D243" t="str">
            <v>Ritik Arya</v>
          </cell>
          <cell r="F243" t="str">
            <v>Kashif Nabi</v>
          </cell>
          <cell r="G243" t="str">
            <v>Kashif Nabi</v>
          </cell>
          <cell r="L243" t="str">
            <v>Leankor SME</v>
          </cell>
          <cell r="M243" t="str">
            <v>October</v>
          </cell>
          <cell r="N243">
            <v>45931</v>
          </cell>
          <cell r="O243" t="str">
            <v>NA</v>
          </cell>
          <cell r="P243" t="str">
            <v>Genpact</v>
          </cell>
          <cell r="R243" t="str">
            <v>Contract</v>
          </cell>
          <cell r="S243" t="str">
            <v>C2C</v>
          </cell>
          <cell r="V243">
            <v>132</v>
          </cell>
          <cell r="AA243">
            <v>15</v>
          </cell>
          <cell r="AN243">
            <v>56</v>
          </cell>
          <cell r="AO243">
            <v>840</v>
          </cell>
          <cell r="AP243" t="str">
            <v>Active</v>
          </cell>
          <cell r="AQ243" t="str">
            <v>Sep</v>
          </cell>
        </row>
        <row r="244">
          <cell r="A244">
            <v>1</v>
          </cell>
          <cell r="B244" t="str">
            <v>WellnessWarriors-Healthcare</v>
          </cell>
          <cell r="C244" t="str">
            <v>Asya Shklyar</v>
          </cell>
          <cell r="D244" t="str">
            <v>Ananya Agarwal</v>
          </cell>
          <cell r="F244" t="str">
            <v>Ranveer Kumar</v>
          </cell>
          <cell r="G244" t="str">
            <v>Ranveer Kumar</v>
          </cell>
          <cell r="L244" t="str">
            <v>CT Technologist</v>
          </cell>
          <cell r="M244" t="str">
            <v>September</v>
          </cell>
          <cell r="N244">
            <v>45908</v>
          </cell>
          <cell r="O244" t="str">
            <v>NA</v>
          </cell>
          <cell r="P244" t="str">
            <v>Prime</v>
          </cell>
          <cell r="R244" t="str">
            <v>Contract</v>
          </cell>
          <cell r="S244" t="str">
            <v>W2</v>
          </cell>
          <cell r="V244">
            <v>95</v>
          </cell>
          <cell r="AA244">
            <v>6</v>
          </cell>
          <cell r="AN244">
            <v>56</v>
          </cell>
          <cell r="AO244">
            <v>336</v>
          </cell>
          <cell r="AP244" t="str">
            <v>Active</v>
          </cell>
          <cell r="AQ244" t="str">
            <v>Sep</v>
          </cell>
        </row>
        <row r="245">
          <cell r="A245">
            <v>1</v>
          </cell>
          <cell r="B245" t="str">
            <v>Mavericks</v>
          </cell>
          <cell r="C245" t="str">
            <v>Sudheekshitha Malepati</v>
          </cell>
          <cell r="D245" t="str">
            <v>Abhishek Mishra Mavericks</v>
          </cell>
          <cell r="F245" t="str">
            <v>Rohit Gupta</v>
          </cell>
          <cell r="G245" t="str">
            <v>Vivek Kumar Yadav</v>
          </cell>
          <cell r="L245" t="str">
            <v>ServiceNow ITOM Consultant</v>
          </cell>
          <cell r="M245" t="str">
            <v>September</v>
          </cell>
          <cell r="N245">
            <v>45929</v>
          </cell>
          <cell r="O245" t="str">
            <v>NA</v>
          </cell>
          <cell r="P245" t="str">
            <v>CoForge</v>
          </cell>
          <cell r="R245" t="str">
            <v>Contract</v>
          </cell>
          <cell r="S245" t="str">
            <v>C2C</v>
          </cell>
          <cell r="V245">
            <v>78</v>
          </cell>
          <cell r="AA245">
            <v>11</v>
          </cell>
          <cell r="AN245">
            <v>40</v>
          </cell>
          <cell r="AO245">
            <v>440</v>
          </cell>
          <cell r="AP245" t="str">
            <v>Active</v>
          </cell>
          <cell r="AQ245" t="str">
            <v>Sep</v>
          </cell>
        </row>
        <row r="246">
          <cell r="A246">
            <v>1</v>
          </cell>
          <cell r="B246" t="str">
            <v>Titans</v>
          </cell>
          <cell r="C246" t="str">
            <v>Dinesh Gurumoorthy Soundararajan</v>
          </cell>
          <cell r="D246" t="str">
            <v>Aastha Tiwari</v>
          </cell>
          <cell r="F246" t="str">
            <v>Abhishek Yadav</v>
          </cell>
          <cell r="G246" t="str">
            <v>Aditya Kumar Yadav</v>
          </cell>
          <cell r="L246" t="str">
            <v>Project Manager-Manufacturing</v>
          </cell>
          <cell r="M246" t="str">
            <v>October</v>
          </cell>
          <cell r="N246">
            <v>45944</v>
          </cell>
          <cell r="O246" t="str">
            <v>NA</v>
          </cell>
          <cell r="P246" t="str">
            <v>Genpact</v>
          </cell>
          <cell r="R246" t="str">
            <v>Contract</v>
          </cell>
          <cell r="S246" t="str">
            <v>W2</v>
          </cell>
          <cell r="V246">
            <v>61</v>
          </cell>
          <cell r="AA246">
            <v>15</v>
          </cell>
          <cell r="AN246">
            <v>80</v>
          </cell>
          <cell r="AO246">
            <v>1200</v>
          </cell>
          <cell r="AP246" t="str">
            <v>No Bill No Pay</v>
          </cell>
          <cell r="AQ246" t="str">
            <v>No bill no pay</v>
          </cell>
        </row>
        <row r="247">
          <cell r="A247">
            <v>1</v>
          </cell>
          <cell r="B247" t="str">
            <v>Mavericks</v>
          </cell>
          <cell r="C247" t="str">
            <v>Raghu Devidas Vidhate</v>
          </cell>
          <cell r="D247" t="str">
            <v>Harshita Srivastava</v>
          </cell>
          <cell r="F247" t="str">
            <v>Kashif Nabi</v>
          </cell>
          <cell r="G247" t="str">
            <v>Kashif Nabi</v>
          </cell>
          <cell r="L247" t="str">
            <v xml:space="preserve">HPC Admin </v>
          </cell>
          <cell r="M247" t="str">
            <v>October</v>
          </cell>
          <cell r="N247">
            <v>45931</v>
          </cell>
          <cell r="O247" t="str">
            <v>NA</v>
          </cell>
          <cell r="P247" t="str">
            <v>Genpact Beeline</v>
          </cell>
          <cell r="R247" t="str">
            <v>Contract</v>
          </cell>
          <cell r="S247">
            <v>1099</v>
          </cell>
          <cell r="V247">
            <v>90</v>
          </cell>
          <cell r="AA247">
            <v>15</v>
          </cell>
          <cell r="AN247">
            <v>0</v>
          </cell>
          <cell r="AO247">
            <v>0</v>
          </cell>
          <cell r="AP247" t="str">
            <v>Active</v>
          </cell>
          <cell r="AQ247" t="str">
            <v>Sep</v>
          </cell>
        </row>
        <row r="248">
          <cell r="A248">
            <v>1</v>
          </cell>
          <cell r="B248" t="str">
            <v>Mavericks</v>
          </cell>
          <cell r="C248" t="str">
            <v xml:space="preserve">Estela Corona </v>
          </cell>
          <cell r="D248" t="str">
            <v>Vikas Malik</v>
          </cell>
          <cell r="F248" t="str">
            <v>Vikas Malik</v>
          </cell>
          <cell r="G248" t="str">
            <v>Vikas Malik</v>
          </cell>
          <cell r="L248" t="str">
            <v>AWS Data Lead Engineer </v>
          </cell>
          <cell r="M248" t="str">
            <v>September</v>
          </cell>
          <cell r="N248">
            <v>45929</v>
          </cell>
          <cell r="O248" t="str">
            <v>NA</v>
          </cell>
          <cell r="P248" t="str">
            <v>Wipro</v>
          </cell>
          <cell r="R248" t="str">
            <v>Contract</v>
          </cell>
          <cell r="S248" t="str">
            <v>C2C</v>
          </cell>
          <cell r="V248">
            <v>72</v>
          </cell>
          <cell r="AA248">
            <v>6</v>
          </cell>
          <cell r="AN248">
            <v>664</v>
          </cell>
          <cell r="AO248">
            <v>3984</v>
          </cell>
          <cell r="AP248" t="str">
            <v>Active</v>
          </cell>
          <cell r="AQ248" t="str">
            <v>Sep</v>
          </cell>
        </row>
        <row r="249">
          <cell r="A249">
            <v>1</v>
          </cell>
          <cell r="B249" t="str">
            <v>Mavericks</v>
          </cell>
          <cell r="C249" t="str">
            <v>Leela Krishna Chava</v>
          </cell>
          <cell r="D249" t="str">
            <v>Ritik Arya</v>
          </cell>
          <cell r="F249" t="str">
            <v>Kashif Nabi</v>
          </cell>
          <cell r="G249" t="str">
            <v>Kashif Nabi</v>
          </cell>
          <cell r="L249" t="str">
            <v>ServiceNow Tech Architect</v>
          </cell>
          <cell r="M249" t="str">
            <v>October</v>
          </cell>
          <cell r="N249">
            <v>45951</v>
          </cell>
          <cell r="O249" t="str">
            <v>NA</v>
          </cell>
          <cell r="P249" t="str">
            <v>Genpact</v>
          </cell>
          <cell r="R249" t="str">
            <v>Contract</v>
          </cell>
          <cell r="S249" t="str">
            <v>C2C Canada</v>
          </cell>
          <cell r="V249">
            <v>120</v>
          </cell>
          <cell r="AA249">
            <v>1</v>
          </cell>
          <cell r="AN249">
            <v>824</v>
          </cell>
          <cell r="AO249">
            <v>824</v>
          </cell>
          <cell r="AP249" t="str">
            <v>Active</v>
          </cell>
          <cell r="AQ249" t="str">
            <v>Sep</v>
          </cell>
        </row>
        <row r="250">
          <cell r="A250">
            <v>1</v>
          </cell>
          <cell r="B250" t="str">
            <v>Mavericks</v>
          </cell>
          <cell r="C250" t="str">
            <v>Allie Shae Balsdon</v>
          </cell>
          <cell r="D250" t="str">
            <v>Arpit Gupta</v>
          </cell>
          <cell r="F250" t="str">
            <v>Kashif Nabi</v>
          </cell>
          <cell r="G250" t="str">
            <v>Mohammad Tariq</v>
          </cell>
          <cell r="L250" t="str">
            <v>ServiceNow Tech Lead</v>
          </cell>
          <cell r="M250" t="str">
            <v>October</v>
          </cell>
          <cell r="N250">
            <v>45951</v>
          </cell>
          <cell r="O250" t="str">
            <v>NA</v>
          </cell>
          <cell r="P250" t="str">
            <v>Genpact</v>
          </cell>
          <cell r="R250" t="str">
            <v>Contract</v>
          </cell>
          <cell r="S250" t="str">
            <v>C2C Canada</v>
          </cell>
          <cell r="V250">
            <v>95</v>
          </cell>
          <cell r="AA250">
            <v>8</v>
          </cell>
          <cell r="AN250">
            <v>1012</v>
          </cell>
          <cell r="AO250">
            <v>8096</v>
          </cell>
          <cell r="AP250" t="str">
            <v>Active</v>
          </cell>
          <cell r="AQ250" t="str">
            <v>Sep</v>
          </cell>
        </row>
        <row r="251">
          <cell r="A251">
            <v>1</v>
          </cell>
          <cell r="B251" t="str">
            <v>Trust</v>
          </cell>
          <cell r="C251" t="str">
            <v>Julian Chazz Peavy</v>
          </cell>
          <cell r="D251" t="str">
            <v>Shivanshu Rastogi</v>
          </cell>
          <cell r="F251" t="str">
            <v>Shashank Yadav</v>
          </cell>
          <cell r="G251" t="str">
            <v>Shashank Yadav</v>
          </cell>
          <cell r="L251" t="str">
            <v>Logistics Officer</v>
          </cell>
          <cell r="M251" t="str">
            <v>October</v>
          </cell>
          <cell r="N251">
            <v>45936</v>
          </cell>
          <cell r="O251" t="str">
            <v>NA</v>
          </cell>
          <cell r="P251" t="str">
            <v>Precision IT</v>
          </cell>
          <cell r="R251" t="str">
            <v>Contract</v>
          </cell>
          <cell r="S251" t="str">
            <v>W2</v>
          </cell>
          <cell r="V251">
            <v>51</v>
          </cell>
          <cell r="AA251">
            <v>10</v>
          </cell>
          <cell r="AN251">
            <v>12</v>
          </cell>
          <cell r="AO251">
            <v>120</v>
          </cell>
          <cell r="AP251" t="str">
            <v>Active</v>
          </cell>
          <cell r="AQ251" t="str">
            <v>Sep</v>
          </cell>
        </row>
        <row r="252">
          <cell r="A252">
            <v>1</v>
          </cell>
          <cell r="B252" t="str">
            <v>Wellness Warriors-IT</v>
          </cell>
          <cell r="C252" t="str">
            <v>Shyamsundar Arunachalam</v>
          </cell>
          <cell r="D252" t="str">
            <v xml:space="preserve">Mohd Ateeq </v>
          </cell>
          <cell r="F252" t="str">
            <v xml:space="preserve">Abdul Rahman </v>
          </cell>
          <cell r="G252" t="str">
            <v xml:space="preserve">Abdul Rahman </v>
          </cell>
          <cell r="L252" t="str">
            <v>PARTNER CONSULTANT/ DEVOPS</v>
          </cell>
          <cell r="M252" t="str">
            <v>September</v>
          </cell>
          <cell r="N252">
            <v>45922</v>
          </cell>
          <cell r="O252" t="str">
            <v>NA</v>
          </cell>
          <cell r="P252" t="str">
            <v xml:space="preserve">Happiest Minds </v>
          </cell>
          <cell r="R252" t="str">
            <v>Contract</v>
          </cell>
          <cell r="S252" t="str">
            <v>C2C</v>
          </cell>
          <cell r="V252">
            <v>80</v>
          </cell>
          <cell r="AA252">
            <v>13</v>
          </cell>
          <cell r="AN252">
            <v>1032</v>
          </cell>
          <cell r="AO252">
            <v>13416</v>
          </cell>
          <cell r="AP252" t="str">
            <v>Active</v>
          </cell>
          <cell r="AQ252" t="str">
            <v>Sep</v>
          </cell>
        </row>
        <row r="253">
          <cell r="A253">
            <v>1</v>
          </cell>
          <cell r="B253" t="str">
            <v>WellnessWarriors-Healthcare</v>
          </cell>
          <cell r="C253" t="str">
            <v>Manikanta Rayala</v>
          </cell>
          <cell r="D253" t="str">
            <v>Falguni Srivastava (Faith)</v>
          </cell>
          <cell r="F253" t="str">
            <v>Shailesh Sharma (Sam)</v>
          </cell>
          <cell r="G253" t="str">
            <v>Shailesh Sharma (Sam)</v>
          </cell>
          <cell r="L253" t="str">
            <v>Travel Licensed Practical Nurse</v>
          </cell>
          <cell r="M253" t="str">
            <v>September</v>
          </cell>
          <cell r="N253">
            <v>45922</v>
          </cell>
          <cell r="O253">
            <v>45936</v>
          </cell>
          <cell r="P253" t="str">
            <v>Right Sourcing</v>
          </cell>
          <cell r="R253" t="str">
            <v>Contract</v>
          </cell>
          <cell r="S253" t="str">
            <v>W2</v>
          </cell>
          <cell r="V253">
            <v>62.92</v>
          </cell>
          <cell r="AA253">
            <v>1</v>
          </cell>
          <cell r="AN253">
            <v>979</v>
          </cell>
          <cell r="AO253">
            <v>979</v>
          </cell>
          <cell r="AP253" t="str">
            <v>Active</v>
          </cell>
        </row>
        <row r="254">
          <cell r="A254">
            <v>1</v>
          </cell>
          <cell r="B254" t="str">
            <v>Titans</v>
          </cell>
          <cell r="C254" t="str">
            <v>Edouard Roberto Adjovi</v>
          </cell>
          <cell r="D254" t="str">
            <v>Hamza</v>
          </cell>
          <cell r="F254" t="str">
            <v>Nitin Saxena</v>
          </cell>
          <cell r="G254" t="str">
            <v>Nitin Saxena</v>
          </cell>
          <cell r="L254" t="str">
            <v>Data Entry &amp; Job Reconciliation Analyst</v>
          </cell>
          <cell r="M254" t="str">
            <v>October</v>
          </cell>
          <cell r="N254">
            <v>45943</v>
          </cell>
          <cell r="O254" t="str">
            <v>NA</v>
          </cell>
          <cell r="P254" t="str">
            <v>Genpact</v>
          </cell>
          <cell r="R254" t="str">
            <v>Contract</v>
          </cell>
          <cell r="S254">
            <v>1099</v>
          </cell>
          <cell r="V254">
            <v>26</v>
          </cell>
          <cell r="AA254">
            <v>2</v>
          </cell>
          <cell r="AN254">
            <v>912</v>
          </cell>
          <cell r="AO254">
            <v>1824</v>
          </cell>
          <cell r="AP254" t="str">
            <v>Active</v>
          </cell>
        </row>
        <row r="255">
          <cell r="A255">
            <v>1</v>
          </cell>
          <cell r="B255" t="str">
            <v>Mavericks</v>
          </cell>
          <cell r="C255" t="str">
            <v>Nameeta Lal</v>
          </cell>
          <cell r="D255" t="str">
            <v>Md Rahmat Ali</v>
          </cell>
          <cell r="F255" t="str">
            <v>Vikas Malik</v>
          </cell>
          <cell r="G255" t="str">
            <v>Vikas Malik</v>
          </cell>
          <cell r="L255" t="str">
            <v>Sr. Technical Project Manager</v>
          </cell>
          <cell r="M255" t="str">
            <v>October</v>
          </cell>
          <cell r="N255">
            <v>45958</v>
          </cell>
          <cell r="O255">
            <v>45961</v>
          </cell>
          <cell r="P255" t="str">
            <v>Mphasis</v>
          </cell>
          <cell r="R255" t="str">
            <v>Contract</v>
          </cell>
          <cell r="S255" t="str">
            <v>C2C</v>
          </cell>
          <cell r="V255">
            <v>68</v>
          </cell>
          <cell r="AA255">
            <v>10</v>
          </cell>
          <cell r="AN255">
            <v>904</v>
          </cell>
          <cell r="AO255">
            <v>9040</v>
          </cell>
          <cell r="AP255" t="str">
            <v>Active</v>
          </cell>
        </row>
        <row r="256">
          <cell r="A256">
            <v>1</v>
          </cell>
          <cell r="B256" t="str">
            <v>Mavericks</v>
          </cell>
          <cell r="C256" t="str">
            <v xml:space="preserve">Alfonso Cedillo Jr </v>
          </cell>
          <cell r="D256" t="str">
            <v>Anuj Tewari</v>
          </cell>
          <cell r="F256" t="str">
            <v>Rohit Gupta</v>
          </cell>
          <cell r="G256" t="str">
            <v>Vivek Kumar Yadav</v>
          </cell>
          <cell r="L256" t="str">
            <v>Python scripting with Java and AWS</v>
          </cell>
          <cell r="M256" t="str">
            <v>October</v>
          </cell>
          <cell r="N256">
            <v>45937</v>
          </cell>
          <cell r="O256" t="str">
            <v>NA</v>
          </cell>
          <cell r="P256" t="str">
            <v>Mphasis</v>
          </cell>
          <cell r="R256" t="str">
            <v>Contract</v>
          </cell>
          <cell r="S256" t="str">
            <v>C2C</v>
          </cell>
          <cell r="V256">
            <v>78</v>
          </cell>
          <cell r="AA256">
            <v>4</v>
          </cell>
          <cell r="AN256">
            <v>264</v>
          </cell>
          <cell r="AO256">
            <v>1056</v>
          </cell>
          <cell r="AP256" t="str">
            <v>Done</v>
          </cell>
          <cell r="AQ256" t="str">
            <v>Done</v>
          </cell>
        </row>
        <row r="257">
          <cell r="A257">
            <v>1</v>
          </cell>
          <cell r="B257" t="str">
            <v>Titans</v>
          </cell>
          <cell r="C257" t="str">
            <v>Biswajit Ghosh 2</v>
          </cell>
          <cell r="D257" t="str">
            <v>Shubham Tripathi</v>
          </cell>
          <cell r="F257" t="str">
            <v>Abhishek Yadav</v>
          </cell>
          <cell r="G257" t="str">
            <v>Abhishek Yadav</v>
          </cell>
          <cell r="L257" t="str">
            <v xml:space="preserve">APS  Lead </v>
          </cell>
          <cell r="M257" t="str">
            <v>October</v>
          </cell>
          <cell r="N257">
            <v>45939</v>
          </cell>
          <cell r="O257" t="str">
            <v>NA</v>
          </cell>
          <cell r="P257" t="str">
            <v>Genpact</v>
          </cell>
          <cell r="R257" t="str">
            <v>Contract</v>
          </cell>
          <cell r="S257" t="str">
            <v>C2C Canada</v>
          </cell>
          <cell r="V257">
            <v>75</v>
          </cell>
          <cell r="AA257">
            <v>10</v>
          </cell>
          <cell r="AN257">
            <v>848</v>
          </cell>
          <cell r="AO257">
            <v>8480</v>
          </cell>
          <cell r="AP257" t="str">
            <v>Done</v>
          </cell>
          <cell r="AQ257" t="str">
            <v>Done</v>
          </cell>
        </row>
        <row r="258">
          <cell r="A258">
            <v>1</v>
          </cell>
          <cell r="B258" t="str">
            <v>Mavericks</v>
          </cell>
          <cell r="C258" t="str">
            <v>Julian Santos Montes</v>
          </cell>
          <cell r="D258" t="str">
            <v xml:space="preserve">Akash Raj </v>
          </cell>
          <cell r="F258" t="str">
            <v>Rohit Gupta</v>
          </cell>
          <cell r="G258" t="str">
            <v>Vivek Kumar Yadav</v>
          </cell>
          <cell r="L258" t="str">
            <v>Project Manager</v>
          </cell>
          <cell r="M258" t="str">
            <v>October</v>
          </cell>
          <cell r="N258">
            <v>45937</v>
          </cell>
          <cell r="O258" t="str">
            <v>NA</v>
          </cell>
          <cell r="P258" t="str">
            <v>CoForge</v>
          </cell>
          <cell r="R258" t="str">
            <v>Contract</v>
          </cell>
          <cell r="S258" t="str">
            <v>C2C</v>
          </cell>
          <cell r="V258">
            <v>83</v>
          </cell>
          <cell r="AA258">
            <v>2</v>
          </cell>
          <cell r="AN258">
            <v>776</v>
          </cell>
          <cell r="AO258">
            <v>1552</v>
          </cell>
          <cell r="AP258" t="str">
            <v>Done</v>
          </cell>
          <cell r="AQ258" t="str">
            <v>Done</v>
          </cell>
        </row>
        <row r="259">
          <cell r="A259">
            <v>1</v>
          </cell>
          <cell r="B259" t="str">
            <v>Titans</v>
          </cell>
          <cell r="C259" t="str">
            <v>Shannon Michelle Cook</v>
          </cell>
          <cell r="D259" t="str">
            <v>Hamza</v>
          </cell>
          <cell r="F259" t="str">
            <v>Nitin Saxena</v>
          </cell>
          <cell r="G259" t="str">
            <v>Nitin Saxena</v>
          </cell>
          <cell r="L259" t="str">
            <v>Data Entry &amp; Job Reconciliation Analyst</v>
          </cell>
          <cell r="M259" t="str">
            <v>October</v>
          </cell>
          <cell r="N259">
            <v>45943</v>
          </cell>
          <cell r="O259" t="str">
            <v>NA</v>
          </cell>
          <cell r="P259" t="str">
            <v>Genpact</v>
          </cell>
          <cell r="R259" t="str">
            <v>Contract</v>
          </cell>
          <cell r="S259">
            <v>1099</v>
          </cell>
          <cell r="V259">
            <v>25</v>
          </cell>
          <cell r="AA259">
            <v>9</v>
          </cell>
          <cell r="AN259">
            <v>688</v>
          </cell>
          <cell r="AO259">
            <v>6192</v>
          </cell>
          <cell r="AP259" t="str">
            <v>Pending</v>
          </cell>
          <cell r="AQ259" t="str">
            <v>Pending</v>
          </cell>
        </row>
        <row r="260">
          <cell r="A260">
            <v>1</v>
          </cell>
          <cell r="B260" t="str">
            <v>Wellness Warriors-IT</v>
          </cell>
          <cell r="C260" t="str">
            <v>Moulai Idrees Mbenga</v>
          </cell>
          <cell r="D260" t="str">
            <v>Hemant Kumar (VB1271)</v>
          </cell>
          <cell r="F260" t="str">
            <v>Akash Saxena</v>
          </cell>
          <cell r="G260" t="str">
            <v>Akash Saxena</v>
          </cell>
          <cell r="L260" t="str">
            <v>Data Engineer</v>
          </cell>
          <cell r="M260" t="str">
            <v>September</v>
          </cell>
          <cell r="N260">
            <v>45926</v>
          </cell>
          <cell r="O260" t="str">
            <v>NA</v>
          </cell>
          <cell r="P260" t="str">
            <v>CitiusTech</v>
          </cell>
          <cell r="R260" t="str">
            <v>Contract</v>
          </cell>
          <cell r="S260" t="str">
            <v>C2C</v>
          </cell>
          <cell r="V260">
            <v>73</v>
          </cell>
          <cell r="AA260">
            <v>1</v>
          </cell>
          <cell r="AN260">
            <v>848</v>
          </cell>
          <cell r="AO260">
            <v>848</v>
          </cell>
          <cell r="AP260" t="str">
            <v>Done</v>
          </cell>
          <cell r="AQ260" t="str">
            <v>Done</v>
          </cell>
        </row>
        <row r="261">
          <cell r="A261">
            <v>1</v>
          </cell>
          <cell r="B261" t="str">
            <v>Titans</v>
          </cell>
          <cell r="C261" t="str">
            <v>Raphael Limontas</v>
          </cell>
          <cell r="D261" t="str">
            <v>Aviral Shukla</v>
          </cell>
          <cell r="F261" t="str">
            <v>Nitin Saxena</v>
          </cell>
          <cell r="G261" t="str">
            <v>Nitin Saxena</v>
          </cell>
          <cell r="L261" t="str">
            <v>Data Entry &amp; Job Reconciliation Analyst</v>
          </cell>
          <cell r="M261" t="str">
            <v>October</v>
          </cell>
          <cell r="N261">
            <v>45943</v>
          </cell>
          <cell r="O261" t="str">
            <v>NA</v>
          </cell>
          <cell r="P261" t="str">
            <v>Genpact</v>
          </cell>
          <cell r="R261" t="str">
            <v>Contract</v>
          </cell>
          <cell r="S261">
            <v>1099</v>
          </cell>
          <cell r="V261">
            <v>26</v>
          </cell>
          <cell r="AA261">
            <v>7.25</v>
          </cell>
          <cell r="AN261">
            <v>0</v>
          </cell>
          <cell r="AO261">
            <v>0</v>
          </cell>
          <cell r="AP261" t="str">
            <v>Pending</v>
          </cell>
          <cell r="AQ261" t="str">
            <v>Pending</v>
          </cell>
        </row>
        <row r="262">
          <cell r="A262">
            <v>1</v>
          </cell>
          <cell r="B262" t="str">
            <v>WellnessWarriors-Healthcare</v>
          </cell>
          <cell r="C262" t="str">
            <v>Giriraj Alagirisamy Chettiar Rangaraju</v>
          </cell>
          <cell r="D262" t="str">
            <v>Abhinesh (Albert)</v>
          </cell>
          <cell r="F262" t="str">
            <v>Abhishek Singh</v>
          </cell>
          <cell r="G262" t="str">
            <v>Abhishek Singh</v>
          </cell>
          <cell r="L262" t="str">
            <v>T-RN</v>
          </cell>
          <cell r="M262" t="str">
            <v>September</v>
          </cell>
          <cell r="N262">
            <v>45929</v>
          </cell>
          <cell r="O262" t="str">
            <v>NA</v>
          </cell>
          <cell r="P262" t="str">
            <v>Prime/Hallmark</v>
          </cell>
          <cell r="R262" t="str">
            <v>Contract</v>
          </cell>
          <cell r="S262" t="str">
            <v>W2</v>
          </cell>
          <cell r="V262">
            <v>105</v>
          </cell>
          <cell r="AA262">
            <v>8.4499999999999993</v>
          </cell>
          <cell r="AN262">
            <v>912</v>
          </cell>
          <cell r="AO262">
            <v>7706.4</v>
          </cell>
          <cell r="AP262" t="str">
            <v>Done</v>
          </cell>
          <cell r="AQ262" t="str">
            <v>Done</v>
          </cell>
        </row>
        <row r="263">
          <cell r="A263">
            <v>1</v>
          </cell>
          <cell r="B263" t="str">
            <v>Titans</v>
          </cell>
          <cell r="C263" t="str">
            <v>Will Harvey Butalid BADOY</v>
          </cell>
          <cell r="D263" t="str">
            <v>Kajal Vats</v>
          </cell>
          <cell r="F263" t="str">
            <v>Nitin Saxena</v>
          </cell>
          <cell r="G263" t="str">
            <v>Nitin Saxena</v>
          </cell>
          <cell r="L263" t="str">
            <v>Lead Generation Sales Specialist</v>
          </cell>
          <cell r="M263" t="str">
            <v>October</v>
          </cell>
          <cell r="N263">
            <v>45946</v>
          </cell>
          <cell r="O263" t="str">
            <v>NA</v>
          </cell>
          <cell r="P263" t="str">
            <v>Genpact</v>
          </cell>
          <cell r="R263" t="str">
            <v>Contract</v>
          </cell>
          <cell r="S263">
            <v>1099</v>
          </cell>
          <cell r="V263">
            <v>57</v>
          </cell>
          <cell r="AA263">
            <v>9</v>
          </cell>
          <cell r="AN263">
            <v>457.5</v>
          </cell>
          <cell r="AO263">
            <v>4117.5</v>
          </cell>
          <cell r="AP263" t="str">
            <v>Pending</v>
          </cell>
          <cell r="AQ263" t="str">
            <v>Pending</v>
          </cell>
        </row>
        <row r="264">
          <cell r="A264">
            <v>1</v>
          </cell>
          <cell r="B264" t="str">
            <v>Titans</v>
          </cell>
          <cell r="C264" t="str">
            <v>Myrthala Aurora Trevino</v>
          </cell>
          <cell r="D264" t="str">
            <v>Ratnesh Kashyap</v>
          </cell>
          <cell r="F264" t="str">
            <v>Nitin Saxena</v>
          </cell>
          <cell r="G264" t="str">
            <v>Nitin Saxena</v>
          </cell>
          <cell r="L264" t="str">
            <v>Lead Generation Sales Specialist</v>
          </cell>
          <cell r="M264" t="str">
            <v>October</v>
          </cell>
          <cell r="N264">
            <v>45950</v>
          </cell>
          <cell r="O264">
            <v>45954</v>
          </cell>
          <cell r="P264" t="str">
            <v>Genpact</v>
          </cell>
          <cell r="R264" t="str">
            <v>Contract</v>
          </cell>
          <cell r="S264">
            <v>1099</v>
          </cell>
          <cell r="V264">
            <v>62</v>
          </cell>
          <cell r="AA264">
            <v>5</v>
          </cell>
          <cell r="AN264">
            <v>632</v>
          </cell>
          <cell r="AO264">
            <v>3160</v>
          </cell>
          <cell r="AP264" t="str">
            <v>No Bill No Pay</v>
          </cell>
          <cell r="AQ264" t="str">
            <v>Done</v>
          </cell>
        </row>
        <row r="265">
          <cell r="A265">
            <v>1</v>
          </cell>
          <cell r="B265" t="str">
            <v>Wellness Warriors-IT</v>
          </cell>
          <cell r="C265" t="str">
            <v>Akash Satpal Arora</v>
          </cell>
          <cell r="D265" t="str">
            <v>Prashant Pal (VB1217)</v>
          </cell>
          <cell r="F265" t="str">
            <v>Akash Saxena</v>
          </cell>
          <cell r="G265" t="str">
            <v>Akash Saxena</v>
          </cell>
          <cell r="L265" t="str">
            <v>Senior Solutions Architect – JAVA- AWS Migration</v>
          </cell>
          <cell r="M265" t="str">
            <v>October</v>
          </cell>
          <cell r="N265">
            <v>45936</v>
          </cell>
          <cell r="O265" t="str">
            <v>NA</v>
          </cell>
          <cell r="P265" t="str">
            <v>Citius Tech</v>
          </cell>
          <cell r="R265" t="str">
            <v>Contract</v>
          </cell>
          <cell r="S265" t="str">
            <v>C2C</v>
          </cell>
          <cell r="V265">
            <v>85</v>
          </cell>
          <cell r="AA265">
            <v>6</v>
          </cell>
          <cell r="AO265">
            <v>0</v>
          </cell>
          <cell r="AP265" t="str">
            <v>Pending</v>
          </cell>
          <cell r="AQ265" t="str">
            <v>Pending</v>
          </cell>
        </row>
        <row r="266">
          <cell r="A266">
            <v>1</v>
          </cell>
          <cell r="B266" t="str">
            <v>Titans</v>
          </cell>
          <cell r="C266" t="str">
            <v>Daron Howard</v>
          </cell>
          <cell r="D266" t="str">
            <v>Raj Chaudhary</v>
          </cell>
          <cell r="F266" t="str">
            <v>Abhishek Yadav</v>
          </cell>
          <cell r="G266" t="str">
            <v>Abhishek Yadav</v>
          </cell>
          <cell r="L266" t="str">
            <v xml:space="preserve">Data Analyst </v>
          </cell>
          <cell r="M266" t="str">
            <v>October</v>
          </cell>
          <cell r="N266">
            <v>45945</v>
          </cell>
          <cell r="O266" t="str">
            <v>NA</v>
          </cell>
          <cell r="P266" t="str">
            <v>Genpact</v>
          </cell>
          <cell r="R266" t="str">
            <v>Contract</v>
          </cell>
          <cell r="S266" t="str">
            <v>C2C Canada</v>
          </cell>
          <cell r="V266">
            <v>53</v>
          </cell>
          <cell r="AA266">
            <v>7.95</v>
          </cell>
          <cell r="AN266">
            <v>536</v>
          </cell>
          <cell r="AO266">
            <v>4261.2</v>
          </cell>
          <cell r="AP266" t="str">
            <v>Pending</v>
          </cell>
          <cell r="AQ266" t="str">
            <v>Pending</v>
          </cell>
        </row>
        <row r="267">
          <cell r="A267">
            <v>1</v>
          </cell>
          <cell r="B267" t="str">
            <v>Mavericks</v>
          </cell>
          <cell r="C267" t="str">
            <v>Mounika Yandapalli</v>
          </cell>
          <cell r="D267" t="str">
            <v>Priyanka Sharma</v>
          </cell>
          <cell r="F267" t="str">
            <v>Kashif Nabi</v>
          </cell>
          <cell r="G267" t="str">
            <v>Kashif Nabi</v>
          </cell>
          <cell r="L267" t="str">
            <v>Customer Interaction Center Associate</v>
          </cell>
          <cell r="M267" t="str">
            <v>October</v>
          </cell>
          <cell r="N267">
            <v>45950</v>
          </cell>
          <cell r="O267" t="str">
            <v>NA</v>
          </cell>
          <cell r="P267" t="str">
            <v>Genpact Beeline/Magnit</v>
          </cell>
          <cell r="R267" t="str">
            <v>Contract</v>
          </cell>
          <cell r="S267">
            <v>1099</v>
          </cell>
          <cell r="V267">
            <v>30</v>
          </cell>
          <cell r="AA267">
            <v>6</v>
          </cell>
          <cell r="AN267">
            <v>632</v>
          </cell>
          <cell r="AO267">
            <v>3792</v>
          </cell>
          <cell r="AP267" t="str">
            <v>Pending</v>
          </cell>
          <cell r="AQ267" t="str">
            <v>Pending</v>
          </cell>
        </row>
        <row r="268">
          <cell r="A268">
            <v>1</v>
          </cell>
          <cell r="B268" t="str">
            <v>Mavericks</v>
          </cell>
          <cell r="C268" t="str">
            <v>Bharath Marasa</v>
          </cell>
          <cell r="D268" t="str">
            <v>Vasudev Srivastava</v>
          </cell>
          <cell r="F268" t="str">
            <v>Kashif Nabi</v>
          </cell>
          <cell r="G268" t="str">
            <v>Khatib Rahman</v>
          </cell>
          <cell r="L268" t="str">
            <v xml:space="preserve">Python Engineer </v>
          </cell>
          <cell r="M268" t="str">
            <v>October</v>
          </cell>
          <cell r="N268">
            <v>45945</v>
          </cell>
          <cell r="O268" t="str">
            <v>NA</v>
          </cell>
          <cell r="P268" t="str">
            <v>Nous Infosystems</v>
          </cell>
          <cell r="R268" t="str">
            <v>Contract</v>
          </cell>
          <cell r="S268" t="str">
            <v>C2C Canada</v>
          </cell>
          <cell r="V268">
            <v>68</v>
          </cell>
          <cell r="AA268">
            <v>5</v>
          </cell>
          <cell r="AN268">
            <v>584</v>
          </cell>
          <cell r="AO268">
            <v>2920</v>
          </cell>
          <cell r="AP268" t="str">
            <v>No Bill No Pay</v>
          </cell>
          <cell r="AQ268" t="str">
            <v>No bill no pay</v>
          </cell>
        </row>
        <row r="269">
          <cell r="A269">
            <v>1</v>
          </cell>
          <cell r="B269" t="str">
            <v>Titans</v>
          </cell>
          <cell r="C269" t="str">
            <v>Moses Bukenya</v>
          </cell>
          <cell r="D269" t="str">
            <v>Hamza</v>
          </cell>
          <cell r="F269" t="str">
            <v>Nitin Saxena</v>
          </cell>
          <cell r="G269" t="str">
            <v>Nitin Saxena</v>
          </cell>
          <cell r="L269" t="str">
            <v>Associate Data Analyst</v>
          </cell>
          <cell r="M269" t="str">
            <v>October</v>
          </cell>
          <cell r="N269">
            <v>45952</v>
          </cell>
          <cell r="O269" t="str">
            <v>NA</v>
          </cell>
          <cell r="P269" t="str">
            <v>Genpact</v>
          </cell>
          <cell r="R269" t="str">
            <v>Contract</v>
          </cell>
          <cell r="S269">
            <v>1099</v>
          </cell>
          <cell r="V269">
            <v>26</v>
          </cell>
          <cell r="AA269">
            <v>2</v>
          </cell>
          <cell r="AN269">
            <v>424</v>
          </cell>
          <cell r="AO269">
            <v>848</v>
          </cell>
          <cell r="AP269" t="str">
            <v>Active</v>
          </cell>
          <cell r="AQ269" t="str">
            <v>May</v>
          </cell>
        </row>
        <row r="270">
          <cell r="A270">
            <v>1</v>
          </cell>
          <cell r="B270" t="str">
            <v>Wellness Warriors-IT</v>
          </cell>
          <cell r="C270" t="str">
            <v>Tazimbanu Kolhar</v>
          </cell>
          <cell r="D270" t="str">
            <v>Kartik Parashar (VB1939)</v>
          </cell>
          <cell r="F270" t="str">
            <v>Akash Saxena</v>
          </cell>
          <cell r="G270" t="str">
            <v>Akash Saxena</v>
          </cell>
          <cell r="L270" t="str">
            <v>Data Engineer</v>
          </cell>
          <cell r="M270" t="str">
            <v>October</v>
          </cell>
          <cell r="N270">
            <v>45954</v>
          </cell>
          <cell r="O270" t="str">
            <v>NA</v>
          </cell>
          <cell r="P270" t="str">
            <v>Citius Tech</v>
          </cell>
          <cell r="R270" t="str">
            <v>Contract</v>
          </cell>
          <cell r="S270" t="str">
            <v>C2C</v>
          </cell>
          <cell r="V270">
            <v>74</v>
          </cell>
          <cell r="AA270">
            <v>4</v>
          </cell>
          <cell r="AN270">
            <v>448</v>
          </cell>
          <cell r="AO270">
            <v>1792</v>
          </cell>
          <cell r="AP270" t="str">
            <v>Active</v>
          </cell>
          <cell r="AQ270" t="str">
            <v>Sep</v>
          </cell>
        </row>
        <row r="273">
          <cell r="A273">
            <v>1</v>
          </cell>
          <cell r="B273" t="str">
            <v>Mavericks</v>
          </cell>
          <cell r="C273" t="str">
            <v xml:space="preserve">Lakshmi Mounika Mandadapu </v>
          </cell>
          <cell r="D273" t="str">
            <v>Akash Raj Srivastava</v>
          </cell>
          <cell r="F273" t="str">
            <v>Kashif Nabi</v>
          </cell>
          <cell r="G273" t="str">
            <v>Rohit Gupta</v>
          </cell>
          <cell r="L273" t="str">
            <v xml:space="preserve">Senior QA Automation Engineer </v>
          </cell>
          <cell r="M273" t="str">
            <v>October</v>
          </cell>
          <cell r="N273">
            <v>45959</v>
          </cell>
          <cell r="O273" t="str">
            <v>NA</v>
          </cell>
          <cell r="P273" t="str">
            <v>Nous Infosystems</v>
          </cell>
          <cell r="R273" t="str">
            <v>Contract</v>
          </cell>
          <cell r="S273" t="str">
            <v>C2C Canada</v>
          </cell>
          <cell r="V273">
            <v>68</v>
          </cell>
          <cell r="AA273">
            <v>8</v>
          </cell>
          <cell r="AN273">
            <v>440</v>
          </cell>
          <cell r="AO273">
            <v>3520</v>
          </cell>
          <cell r="AP273" t="str">
            <v>Active</v>
          </cell>
          <cell r="AQ273" t="str">
            <v>Sep</v>
          </cell>
        </row>
        <row r="275">
          <cell r="A275">
            <v>1</v>
          </cell>
          <cell r="B275" t="str">
            <v>WellnessWarriors-Healthcare</v>
          </cell>
          <cell r="C275" t="str">
            <v>Rajat Jain</v>
          </cell>
          <cell r="D275" t="str">
            <v xml:space="preserve">Aman Singh </v>
          </cell>
          <cell r="F275" t="str">
            <v>Shailesh sharma</v>
          </cell>
          <cell r="G275" t="str">
            <v>Shailesh sharma</v>
          </cell>
          <cell r="L275" t="str">
            <v>RN ICU</v>
          </cell>
          <cell r="M275" t="str">
            <v>October</v>
          </cell>
          <cell r="N275">
            <v>45938</v>
          </cell>
          <cell r="O275" t="str">
            <v>NA</v>
          </cell>
          <cell r="P275" t="str">
            <v xml:space="preserve">CoreCivic /Right Sourcing  </v>
          </cell>
          <cell r="R275" t="str">
            <v>Contract</v>
          </cell>
          <cell r="S275" t="str">
            <v>W2</v>
          </cell>
          <cell r="V275">
            <v>87.12</v>
          </cell>
          <cell r="AA275">
            <v>2</v>
          </cell>
          <cell r="AN275">
            <v>227</v>
          </cell>
          <cell r="AO275">
            <v>454</v>
          </cell>
          <cell r="AP275" t="str">
            <v>Active</v>
          </cell>
          <cell r="AQ275" t="str">
            <v>Sep</v>
          </cell>
        </row>
        <row r="277">
          <cell r="A277">
            <v>1</v>
          </cell>
          <cell r="B277" t="str">
            <v>WellnessWarriors-Healthcare</v>
          </cell>
          <cell r="C277" t="str">
            <v>Mitchell Caslavka</v>
          </cell>
          <cell r="D277" t="str">
            <v>Vishal (Victor)</v>
          </cell>
          <cell r="F277" t="str">
            <v>Abhishek Singh</v>
          </cell>
          <cell r="G277" t="str">
            <v>Abhishek Singh</v>
          </cell>
          <cell r="L277" t="str">
            <v>T-RN</v>
          </cell>
          <cell r="M277" t="str">
            <v>October</v>
          </cell>
          <cell r="N277">
            <v>45950</v>
          </cell>
          <cell r="O277">
            <v>45952</v>
          </cell>
          <cell r="P277" t="str">
            <v>Prime/Hallmark</v>
          </cell>
          <cell r="R277" t="str">
            <v>Contract</v>
          </cell>
          <cell r="S277" t="str">
            <v>W2</v>
          </cell>
          <cell r="V277">
            <v>100</v>
          </cell>
          <cell r="AA277">
            <v>10</v>
          </cell>
          <cell r="AN277">
            <v>288</v>
          </cell>
          <cell r="AO277">
            <v>2880</v>
          </cell>
          <cell r="AP277" t="str">
            <v>Active</v>
          </cell>
          <cell r="AQ277" t="str">
            <v>Jun</v>
          </cell>
        </row>
        <row r="279">
          <cell r="A279">
            <v>1</v>
          </cell>
          <cell r="B279" t="str">
            <v>Wellness Warriors-IT</v>
          </cell>
          <cell r="C279" t="str">
            <v>Sasha Brie Warlow</v>
          </cell>
          <cell r="D279" t="str">
            <v xml:space="preserve">Avinay Shrivastav </v>
          </cell>
          <cell r="F279" t="str">
            <v xml:space="preserve">Abdul Rahman </v>
          </cell>
          <cell r="G279" t="str">
            <v xml:space="preserve">Abdul Rahman </v>
          </cell>
          <cell r="L279" t="str">
            <v xml:space="preserve">Partner Consultant/Databricks </v>
          </cell>
          <cell r="M279" t="str">
            <v>October</v>
          </cell>
          <cell r="N279">
            <v>45959</v>
          </cell>
          <cell r="O279" t="str">
            <v>NA</v>
          </cell>
          <cell r="P279" t="str">
            <v xml:space="preserve">Happiest Minds </v>
          </cell>
          <cell r="R279" t="str">
            <v>Contract</v>
          </cell>
          <cell r="S279" t="str">
            <v>C2C</v>
          </cell>
          <cell r="V279">
            <v>75</v>
          </cell>
          <cell r="AA279">
            <v>3</v>
          </cell>
          <cell r="AN279">
            <v>192</v>
          </cell>
          <cell r="AO279">
            <v>576</v>
          </cell>
          <cell r="AP279" t="str">
            <v>Active</v>
          </cell>
          <cell r="AQ279" t="str">
            <v>Sep</v>
          </cell>
        </row>
        <row r="282">
          <cell r="A282">
            <v>1</v>
          </cell>
          <cell r="B282" t="str">
            <v>WellnessWarriors-Healthcare</v>
          </cell>
          <cell r="C282" t="str">
            <v>Isatou Jallow</v>
          </cell>
          <cell r="D282" t="str">
            <v>Mohini Chand</v>
          </cell>
          <cell r="F282" t="str">
            <v>Shailesh Sharma (Sam)</v>
          </cell>
          <cell r="G282" t="str">
            <v>Shailesh Sharma (Sam)</v>
          </cell>
          <cell r="L282" t="str">
            <v>Traveler- Licensed Radiologic Technologist</v>
          </cell>
          <cell r="M282" t="str">
            <v>October</v>
          </cell>
          <cell r="N282">
            <v>45957</v>
          </cell>
          <cell r="O282" t="str">
            <v>NA</v>
          </cell>
          <cell r="P282" t="str">
            <v>Prime</v>
          </cell>
          <cell r="R282" t="str">
            <v>Contract</v>
          </cell>
          <cell r="S282" t="str">
            <v>W2</v>
          </cell>
          <cell r="V282">
            <v>150</v>
          </cell>
          <cell r="AA282">
            <v>7</v>
          </cell>
          <cell r="AN282">
            <v>56</v>
          </cell>
          <cell r="AO282">
            <v>392</v>
          </cell>
          <cell r="AP282" t="str">
            <v>No Bill No Pay</v>
          </cell>
          <cell r="AQ282" t="str">
            <v>No bill no pay</v>
          </cell>
        </row>
        <row r="289">
          <cell r="A289">
            <v>1</v>
          </cell>
          <cell r="B289" t="str">
            <v>WellnessWarriors-Healthcare</v>
          </cell>
          <cell r="C289" t="str">
            <v>Stephen Velasco Sumergido</v>
          </cell>
          <cell r="D289" t="str">
            <v>Hiten Sehgal</v>
          </cell>
          <cell r="F289" t="str">
            <v>Shailesh Sharma (Sam)</v>
          </cell>
          <cell r="G289" t="str">
            <v>Shailesh Sharma (Sam)</v>
          </cell>
          <cell r="L289" t="str">
            <v>RN Correctional</v>
          </cell>
          <cell r="M289" t="str">
            <v>October</v>
          </cell>
          <cell r="N289">
            <v>45960</v>
          </cell>
          <cell r="O289" t="str">
            <v>NA</v>
          </cell>
          <cell r="P289" t="str">
            <v>Corecivic</v>
          </cell>
          <cell r="R289" t="str">
            <v>Contract</v>
          </cell>
          <cell r="S289" t="str">
            <v>W2</v>
          </cell>
          <cell r="V289">
            <v>87.12</v>
          </cell>
          <cell r="AA289">
            <v>15</v>
          </cell>
          <cell r="AN289">
            <v>40</v>
          </cell>
          <cell r="AO289">
            <v>600</v>
          </cell>
          <cell r="AP289" t="str">
            <v>Active</v>
          </cell>
          <cell r="AQ289" t="str">
            <v>Sep</v>
          </cell>
        </row>
        <row r="299">
          <cell r="A299">
            <v>1</v>
          </cell>
          <cell r="B299" t="str">
            <v>Vantedge</v>
          </cell>
          <cell r="C299" t="str">
            <v>David Mussan-Levy</v>
          </cell>
          <cell r="D299" t="str">
            <v>Anshul Kumar</v>
          </cell>
          <cell r="F299" t="str">
            <v>Raunak Tripathi</v>
          </cell>
          <cell r="G299" t="str">
            <v>Anshul Kumar</v>
          </cell>
          <cell r="M299" t="str">
            <v>January</v>
          </cell>
          <cell r="N299">
            <v>45659</v>
          </cell>
          <cell r="O299" t="str">
            <v>NA</v>
          </cell>
          <cell r="P299" t="str">
            <v>Visionet Systems</v>
          </cell>
          <cell r="R299" t="str">
            <v>FTE</v>
          </cell>
          <cell r="AA299" t="str">
            <v>NA</v>
          </cell>
          <cell r="AN299" t="str">
            <v>NA</v>
          </cell>
          <cell r="AO299">
            <v>30000</v>
          </cell>
          <cell r="AP299" t="str">
            <v>Done</v>
          </cell>
        </row>
        <row r="300">
          <cell r="A300">
            <v>1</v>
          </cell>
          <cell r="B300" t="str">
            <v>RPO</v>
          </cell>
          <cell r="C300" t="str">
            <v>Krishna Mohan Bolineni</v>
          </cell>
          <cell r="D300" t="str">
            <v>Vanshika Srivastava</v>
          </cell>
          <cell r="F300" t="str">
            <v>Ankit Pandey</v>
          </cell>
          <cell r="G300" t="str">
            <v>Shubham Rastogi</v>
          </cell>
          <cell r="M300" t="str">
            <v>January</v>
          </cell>
          <cell r="N300">
            <v>45663</v>
          </cell>
          <cell r="O300" t="str">
            <v>NA</v>
          </cell>
          <cell r="P300" t="str">
            <v xml:space="preserve">GPC IT </v>
          </cell>
          <cell r="R300" t="str">
            <v>FTE</v>
          </cell>
          <cell r="AA300" t="str">
            <v>NA</v>
          </cell>
          <cell r="AN300" t="str">
            <v>NA</v>
          </cell>
          <cell r="AO300">
            <v>3000</v>
          </cell>
          <cell r="AP300" t="str">
            <v>Done</v>
          </cell>
        </row>
        <row r="301">
          <cell r="A301">
            <v>1</v>
          </cell>
          <cell r="B301" t="str">
            <v>RPO</v>
          </cell>
          <cell r="C301" t="str">
            <v>Rohan Rodney</v>
          </cell>
          <cell r="D301" t="str">
            <v>Sagar Chandani</v>
          </cell>
          <cell r="F301" t="str">
            <v>Ankit Pandey</v>
          </cell>
          <cell r="G301" t="str">
            <v>Shubham Rastogi</v>
          </cell>
          <cell r="M301" t="str">
            <v>January</v>
          </cell>
          <cell r="N301">
            <v>45663</v>
          </cell>
          <cell r="O301" t="str">
            <v>NA</v>
          </cell>
          <cell r="P301" t="str">
            <v xml:space="preserve">GPC IT </v>
          </cell>
          <cell r="R301" t="str">
            <v>FTE</v>
          </cell>
          <cell r="AA301" t="str">
            <v>NA</v>
          </cell>
          <cell r="AN301" t="str">
            <v>NA</v>
          </cell>
          <cell r="AO301">
            <v>3000</v>
          </cell>
          <cell r="AP301" t="str">
            <v>Done</v>
          </cell>
        </row>
        <row r="302">
          <cell r="A302">
            <v>1</v>
          </cell>
          <cell r="B302" t="str">
            <v>RPO</v>
          </cell>
          <cell r="C302" t="str">
            <v>Kyle Nichols</v>
          </cell>
          <cell r="D302" t="str">
            <v>Sagar Chandani</v>
          </cell>
          <cell r="F302" t="str">
            <v>Ankit Pandey</v>
          </cell>
          <cell r="G302" t="str">
            <v>Shubham Rastogi</v>
          </cell>
          <cell r="M302" t="str">
            <v>January</v>
          </cell>
          <cell r="N302">
            <v>45663</v>
          </cell>
          <cell r="O302" t="str">
            <v>NA</v>
          </cell>
          <cell r="P302" t="str">
            <v xml:space="preserve">GPC IT </v>
          </cell>
          <cell r="R302" t="str">
            <v>FTE</v>
          </cell>
          <cell r="AA302" t="str">
            <v>NA</v>
          </cell>
          <cell r="AN302" t="str">
            <v>NA</v>
          </cell>
          <cell r="AO302">
            <v>300</v>
          </cell>
          <cell r="AP302" t="str">
            <v>Done</v>
          </cell>
        </row>
        <row r="303">
          <cell r="A303">
            <v>1</v>
          </cell>
          <cell r="B303" t="str">
            <v>Vantedge</v>
          </cell>
          <cell r="C303" t="str">
            <v>Arbindoo Sood</v>
          </cell>
          <cell r="D303" t="str">
            <v>Mayank Saxena</v>
          </cell>
          <cell r="F303" t="str">
            <v>Mayank Saxena</v>
          </cell>
          <cell r="G303" t="str">
            <v>Mayank Saxena</v>
          </cell>
          <cell r="M303" t="str">
            <v>January</v>
          </cell>
          <cell r="N303">
            <v>45665</v>
          </cell>
          <cell r="O303" t="str">
            <v>NA</v>
          </cell>
          <cell r="P303" t="str">
            <v>RCG Global</v>
          </cell>
          <cell r="R303" t="str">
            <v>FTE</v>
          </cell>
          <cell r="AA303" t="str">
            <v>NA</v>
          </cell>
          <cell r="AN303" t="str">
            <v>NA</v>
          </cell>
          <cell r="AO303">
            <v>27950</v>
          </cell>
          <cell r="AP303" t="str">
            <v>Done</v>
          </cell>
        </row>
        <row r="305">
          <cell r="A305">
            <v>1</v>
          </cell>
          <cell r="B305" t="str">
            <v>RPO</v>
          </cell>
          <cell r="C305" t="str">
            <v>Avi Wallis</v>
          </cell>
          <cell r="D305" t="str">
            <v>Sagar Chandani</v>
          </cell>
          <cell r="F305" t="str">
            <v>Ankit Pandey</v>
          </cell>
          <cell r="G305" t="str">
            <v>Shubham Rastogi</v>
          </cell>
          <cell r="M305" t="str">
            <v>January</v>
          </cell>
          <cell r="N305">
            <v>45670</v>
          </cell>
          <cell r="O305" t="str">
            <v>NA</v>
          </cell>
          <cell r="P305" t="str">
            <v xml:space="preserve">GPC IT </v>
          </cell>
          <cell r="R305" t="str">
            <v>FTE</v>
          </cell>
          <cell r="AA305" t="str">
            <v>NA</v>
          </cell>
          <cell r="AN305" t="str">
            <v>NA</v>
          </cell>
          <cell r="AO305">
            <v>300</v>
          </cell>
          <cell r="AP305" t="str">
            <v>Done</v>
          </cell>
        </row>
        <row r="306">
          <cell r="A306">
            <v>1</v>
          </cell>
          <cell r="B306" t="str">
            <v>Wellness Warriors - Healthcare</v>
          </cell>
          <cell r="C306" t="str">
            <v>Brent Manning</v>
          </cell>
          <cell r="D306" t="str">
            <v>Panna Roy (Paul)</v>
          </cell>
          <cell r="F306" t="str">
            <v>Shailesh Sharma</v>
          </cell>
          <cell r="G306" t="str">
            <v>Shailesh Sharma</v>
          </cell>
          <cell r="M306" t="str">
            <v>January</v>
          </cell>
          <cell r="N306">
            <v>45670</v>
          </cell>
          <cell r="O306">
            <v>45698</v>
          </cell>
          <cell r="P306" t="str">
            <v>Medical Solutions</v>
          </cell>
          <cell r="R306" t="str">
            <v>FTE</v>
          </cell>
          <cell r="AA306" t="str">
            <v>NA</v>
          </cell>
          <cell r="AN306" t="str">
            <v>NA</v>
          </cell>
          <cell r="AP306" t="str">
            <v>Done</v>
          </cell>
        </row>
        <row r="307">
          <cell r="A307">
            <v>1</v>
          </cell>
          <cell r="B307" t="str">
            <v>RPO</v>
          </cell>
          <cell r="C307" t="str">
            <v>Lahari Vemana</v>
          </cell>
          <cell r="D307" t="str">
            <v>Shubham Rastogi</v>
          </cell>
          <cell r="F307" t="str">
            <v>Ankit Pandey</v>
          </cell>
          <cell r="G307" t="str">
            <v>Shubham Rastogi</v>
          </cell>
          <cell r="M307" t="str">
            <v>January</v>
          </cell>
          <cell r="N307">
            <v>45671</v>
          </cell>
          <cell r="O307" t="str">
            <v>NA</v>
          </cell>
          <cell r="P307" t="str">
            <v xml:space="preserve">GPC IT </v>
          </cell>
          <cell r="R307" t="str">
            <v>FTE</v>
          </cell>
          <cell r="AA307" t="str">
            <v>NA</v>
          </cell>
          <cell r="AN307" t="str">
            <v>NA</v>
          </cell>
          <cell r="AO307">
            <v>300</v>
          </cell>
          <cell r="AP307" t="str">
            <v>Done</v>
          </cell>
        </row>
        <row r="308">
          <cell r="A308">
            <v>1</v>
          </cell>
          <cell r="B308" t="str">
            <v>CSK/Vantedge</v>
          </cell>
          <cell r="C308" t="str">
            <v>Ashish Garg </v>
          </cell>
          <cell r="D308" t="str">
            <v>M Harinath</v>
          </cell>
          <cell r="F308" t="str">
            <v>Mayank Saxena</v>
          </cell>
          <cell r="G308" t="str">
            <v>Vinoth L</v>
          </cell>
          <cell r="M308" t="str">
            <v>January</v>
          </cell>
          <cell r="N308">
            <v>45684</v>
          </cell>
          <cell r="O308" t="str">
            <v>NA</v>
          </cell>
          <cell r="P308" t="str">
            <v>Tredence</v>
          </cell>
          <cell r="R308" t="str">
            <v>FTE</v>
          </cell>
          <cell r="AA308" t="str">
            <v>NA</v>
          </cell>
          <cell r="AN308" t="str">
            <v>NA</v>
          </cell>
          <cell r="AO308">
            <v>14000</v>
          </cell>
          <cell r="AP308" t="str">
            <v>Done</v>
          </cell>
        </row>
        <row r="310">
          <cell r="A310">
            <v>1</v>
          </cell>
          <cell r="B310" t="str">
            <v>Vantedge</v>
          </cell>
          <cell r="C310" t="str">
            <v>Sindhu Venkatesh </v>
          </cell>
          <cell r="D310" t="str">
            <v>Abhay Pratap Singh </v>
          </cell>
          <cell r="F310" t="str">
            <v>Rohini Parihar</v>
          </cell>
          <cell r="G310" t="str">
            <v>Umar Mujahid</v>
          </cell>
          <cell r="M310" t="str">
            <v>February</v>
          </cell>
          <cell r="N310">
            <v>45698</v>
          </cell>
          <cell r="O310" t="str">
            <v>NA</v>
          </cell>
          <cell r="P310" t="str">
            <v>QualiZeal </v>
          </cell>
          <cell r="R310" t="str">
            <v>FTE</v>
          </cell>
          <cell r="AA310" t="str">
            <v>NA</v>
          </cell>
          <cell r="AN310" t="str">
            <v>NA</v>
          </cell>
          <cell r="AO310">
            <v>25000</v>
          </cell>
          <cell r="AP310" t="str">
            <v>Done</v>
          </cell>
        </row>
        <row r="311">
          <cell r="A311">
            <v>1</v>
          </cell>
          <cell r="B311" t="str">
            <v>CSK</v>
          </cell>
          <cell r="C311" t="str">
            <v xml:space="preserve">David Richter </v>
          </cell>
          <cell r="D311" t="str">
            <v>Archana K</v>
          </cell>
          <cell r="F311" t="str">
            <v>Vinoth L</v>
          </cell>
          <cell r="G311" t="str">
            <v>Akbar I</v>
          </cell>
          <cell r="M311" t="str">
            <v>February</v>
          </cell>
          <cell r="N311">
            <v>45698</v>
          </cell>
          <cell r="O311" t="str">
            <v>NA</v>
          </cell>
          <cell r="P311" t="str">
            <v>Relevante</v>
          </cell>
          <cell r="R311" t="str">
            <v>FTE</v>
          </cell>
          <cell r="AA311" t="str">
            <v>NA</v>
          </cell>
          <cell r="AN311" t="str">
            <v>NA</v>
          </cell>
          <cell r="AO311">
            <v>4200</v>
          </cell>
          <cell r="AP311" t="str">
            <v>Done</v>
          </cell>
        </row>
        <row r="312">
          <cell r="A312">
            <v>1</v>
          </cell>
          <cell r="B312" t="str">
            <v>Trust</v>
          </cell>
          <cell r="C312" t="str">
            <v>Kshipra Jawdekar</v>
          </cell>
          <cell r="D312" t="str">
            <v>Sarfaraz Azam Ansari</v>
          </cell>
          <cell r="F312" t="str">
            <v>Bhanu Pratap Singh</v>
          </cell>
          <cell r="G312" t="str">
            <v>Shashank yadav</v>
          </cell>
          <cell r="M312" t="str">
            <v>February</v>
          </cell>
          <cell r="N312">
            <v>45691</v>
          </cell>
          <cell r="O312" t="str">
            <v>NA</v>
          </cell>
          <cell r="P312" t="str">
            <v>Infosys</v>
          </cell>
          <cell r="R312" t="str">
            <v>FTE</v>
          </cell>
          <cell r="AA312" t="str">
            <v>NA</v>
          </cell>
          <cell r="AN312" t="str">
            <v>NA</v>
          </cell>
          <cell r="AO312">
            <v>3500</v>
          </cell>
          <cell r="AP312" t="str">
            <v>Done</v>
          </cell>
        </row>
        <row r="313">
          <cell r="A313">
            <v>1</v>
          </cell>
          <cell r="B313" t="str">
            <v>Trust</v>
          </cell>
          <cell r="C313" t="str">
            <v>Shane Fraley</v>
          </cell>
          <cell r="D313" t="str">
            <v>Shivanshu Rastogi</v>
          </cell>
          <cell r="F313" t="str">
            <v>Bhanu Pratap Singh</v>
          </cell>
          <cell r="G313" t="str">
            <v>Shashank yadav</v>
          </cell>
          <cell r="M313" t="str">
            <v>February</v>
          </cell>
          <cell r="N313">
            <v>45715</v>
          </cell>
          <cell r="O313" t="str">
            <v>NA</v>
          </cell>
          <cell r="P313" t="str">
            <v>Reflik</v>
          </cell>
          <cell r="R313" t="str">
            <v>FTE</v>
          </cell>
          <cell r="AA313" t="str">
            <v>NA</v>
          </cell>
          <cell r="AN313" t="str">
            <v>NA</v>
          </cell>
          <cell r="AO313">
            <v>7500</v>
          </cell>
          <cell r="AP313" t="str">
            <v>Done</v>
          </cell>
        </row>
        <row r="314">
          <cell r="A314">
            <v>1</v>
          </cell>
          <cell r="B314" t="str">
            <v>Wellness Warriors-IT</v>
          </cell>
          <cell r="C314" t="str">
            <v>Mounika Mettupalli</v>
          </cell>
          <cell r="D314" t="str">
            <v xml:space="preserve">Hemant Kumar </v>
          </cell>
          <cell r="F314" t="str">
            <v>Akash Saxena</v>
          </cell>
          <cell r="M314" t="str">
            <v>February</v>
          </cell>
          <cell r="N314">
            <v>45698</v>
          </cell>
          <cell r="O314" t="str">
            <v>NA</v>
          </cell>
          <cell r="P314" t="str">
            <v xml:space="preserve">CitiusTech </v>
          </cell>
          <cell r="R314" t="str">
            <v>FTE</v>
          </cell>
          <cell r="AA314" t="str">
            <v>NA</v>
          </cell>
          <cell r="AN314" t="str">
            <v>NA</v>
          </cell>
          <cell r="AO314">
            <v>5000</v>
          </cell>
          <cell r="AP314" t="str">
            <v>Done</v>
          </cell>
        </row>
        <row r="315">
          <cell r="A315">
            <v>1</v>
          </cell>
          <cell r="B315" t="str">
            <v>Vantedge</v>
          </cell>
          <cell r="C315" t="str">
            <v>John Donaldson</v>
          </cell>
          <cell r="D315" t="str">
            <v>Umar M</v>
          </cell>
          <cell r="F315" t="str">
            <v>Anshul Kumar</v>
          </cell>
          <cell r="G315" t="str">
            <v>Anshul Kumar</v>
          </cell>
          <cell r="M315" t="str">
            <v>February</v>
          </cell>
          <cell r="N315">
            <v>45712</v>
          </cell>
          <cell r="O315" t="str">
            <v>NA</v>
          </cell>
          <cell r="P315" t="str">
            <v>WNS</v>
          </cell>
          <cell r="R315" t="str">
            <v>FTE</v>
          </cell>
          <cell r="AA315" t="str">
            <v>NA</v>
          </cell>
          <cell r="AN315" t="str">
            <v>NA</v>
          </cell>
          <cell r="AO315">
            <v>41250</v>
          </cell>
          <cell r="AP315" t="str">
            <v>Done</v>
          </cell>
        </row>
        <row r="316">
          <cell r="A316">
            <v>1</v>
          </cell>
          <cell r="B316" t="str">
            <v>Vantedge</v>
          </cell>
          <cell r="C316" t="str">
            <v>Juan salazar</v>
          </cell>
          <cell r="D316" t="str">
            <v>Shreya Singh</v>
          </cell>
          <cell r="F316" t="str">
            <v>Anshul Kumar</v>
          </cell>
          <cell r="G316" t="str">
            <v>Anshul Kumar</v>
          </cell>
          <cell r="M316" t="str">
            <v>February</v>
          </cell>
          <cell r="N316">
            <v>45705</v>
          </cell>
          <cell r="O316" t="str">
            <v>NA</v>
          </cell>
          <cell r="P316" t="str">
            <v>RCG (Myridius)</v>
          </cell>
          <cell r="R316" t="str">
            <v>FTE</v>
          </cell>
          <cell r="AA316" t="str">
            <v>NA</v>
          </cell>
          <cell r="AN316" t="str">
            <v>NA</v>
          </cell>
          <cell r="AO316">
            <v>27300</v>
          </cell>
          <cell r="AP316" t="str">
            <v>Done</v>
          </cell>
        </row>
        <row r="317">
          <cell r="A317">
            <v>1</v>
          </cell>
          <cell r="B317" t="str">
            <v>Pioneer RPO</v>
          </cell>
          <cell r="C317" t="str">
            <v>Sai Medha Thummalakunta</v>
          </cell>
          <cell r="D317" t="str">
            <v>Shubham Rastogi</v>
          </cell>
          <cell r="F317" t="str">
            <v>Ankit Pandey</v>
          </cell>
          <cell r="G317" t="str">
            <v>Shubham Rastogi</v>
          </cell>
          <cell r="M317" t="str">
            <v>February</v>
          </cell>
          <cell r="N317">
            <v>45691</v>
          </cell>
          <cell r="O317" t="str">
            <v>NA</v>
          </cell>
          <cell r="P317" t="str">
            <v xml:space="preserve">GPC IT </v>
          </cell>
          <cell r="R317" t="str">
            <v>FTE</v>
          </cell>
          <cell r="AA317" t="str">
            <v>NA</v>
          </cell>
          <cell r="AN317" t="str">
            <v>NA</v>
          </cell>
          <cell r="AO317">
            <v>300</v>
          </cell>
          <cell r="AP317" t="str">
            <v>Done</v>
          </cell>
        </row>
        <row r="318">
          <cell r="A318">
            <v>1</v>
          </cell>
          <cell r="B318" t="str">
            <v>Pioneer RPO</v>
          </cell>
          <cell r="C318" t="str">
            <v>Tanner Mortensen</v>
          </cell>
          <cell r="D318" t="str">
            <v xml:space="preserve">Priyanka Mishra </v>
          </cell>
          <cell r="F318" t="str">
            <v>Ankit Pandey</v>
          </cell>
          <cell r="G318" t="str">
            <v>Shubham Rastogi</v>
          </cell>
          <cell r="M318" t="str">
            <v>February</v>
          </cell>
          <cell r="N318">
            <v>45705</v>
          </cell>
          <cell r="O318" t="str">
            <v>NA</v>
          </cell>
          <cell r="P318" t="str">
            <v xml:space="preserve">GPC IT </v>
          </cell>
          <cell r="R318" t="str">
            <v>FTE</v>
          </cell>
          <cell r="AA318" t="str">
            <v>NA</v>
          </cell>
          <cell r="AN318" t="str">
            <v>NA</v>
          </cell>
          <cell r="AO318">
            <v>300</v>
          </cell>
          <cell r="AP318" t="str">
            <v>Done</v>
          </cell>
        </row>
        <row r="319">
          <cell r="A319">
            <v>1</v>
          </cell>
          <cell r="B319" t="str">
            <v>Pioneer RPO</v>
          </cell>
          <cell r="C319" t="str">
            <v>Deana Brennan</v>
          </cell>
          <cell r="D319" t="str">
            <v>Sagar Chandani</v>
          </cell>
          <cell r="F319" t="str">
            <v>Ankit Pandey</v>
          </cell>
          <cell r="G319" t="str">
            <v>Shubham Rastogi</v>
          </cell>
          <cell r="M319" t="str">
            <v>February</v>
          </cell>
          <cell r="N319">
            <v>45705</v>
          </cell>
          <cell r="O319" t="str">
            <v>NA</v>
          </cell>
          <cell r="P319" t="str">
            <v xml:space="preserve">GPC IT </v>
          </cell>
          <cell r="R319" t="str">
            <v>FTE</v>
          </cell>
          <cell r="AA319" t="str">
            <v>NA</v>
          </cell>
          <cell r="AN319" t="str">
            <v>NA</v>
          </cell>
          <cell r="AO319">
            <v>3000</v>
          </cell>
          <cell r="AP319" t="str">
            <v>Done</v>
          </cell>
        </row>
        <row r="320">
          <cell r="A320">
            <v>1</v>
          </cell>
          <cell r="B320" t="str">
            <v>Pioneer RPO</v>
          </cell>
          <cell r="C320" t="str">
            <v>RajaRajan  RadhaKrishnan</v>
          </cell>
          <cell r="D320" t="str">
            <v>Sagar Chandani</v>
          </cell>
          <cell r="F320" t="str">
            <v>Ankit Pandey</v>
          </cell>
          <cell r="G320" t="str">
            <v>Shubham Rastogi</v>
          </cell>
          <cell r="M320" t="str">
            <v>February</v>
          </cell>
          <cell r="N320">
            <v>45705</v>
          </cell>
          <cell r="O320" t="str">
            <v>NA</v>
          </cell>
          <cell r="P320" t="str">
            <v xml:space="preserve">GPC IT </v>
          </cell>
          <cell r="R320" t="str">
            <v>FTE</v>
          </cell>
          <cell r="AA320" t="str">
            <v>NA</v>
          </cell>
          <cell r="AN320" t="str">
            <v>NA</v>
          </cell>
          <cell r="AO320">
            <v>3000</v>
          </cell>
          <cell r="AP320" t="str">
            <v>Done</v>
          </cell>
        </row>
        <row r="321">
          <cell r="A321">
            <v>1</v>
          </cell>
          <cell r="B321" t="str">
            <v>Pioneer RPO</v>
          </cell>
          <cell r="C321" t="str">
            <v>Felipe Soares</v>
          </cell>
          <cell r="D321" t="str">
            <v>Utkarsh Rastogi</v>
          </cell>
          <cell r="F321" t="str">
            <v>Ankit Pandey</v>
          </cell>
          <cell r="G321" t="str">
            <v>Ankit Pandey</v>
          </cell>
          <cell r="M321" t="str">
            <v>February</v>
          </cell>
          <cell r="N321">
            <v>45698</v>
          </cell>
          <cell r="O321" t="str">
            <v>NA</v>
          </cell>
          <cell r="P321" t="str">
            <v>GPC USAG (NAPA)</v>
          </cell>
          <cell r="R321" t="str">
            <v>FTE</v>
          </cell>
          <cell r="AA321" t="str">
            <v>NA</v>
          </cell>
          <cell r="AN321" t="str">
            <v>NA</v>
          </cell>
          <cell r="AO321">
            <v>3000</v>
          </cell>
          <cell r="AP321" t="str">
            <v>Done</v>
          </cell>
        </row>
        <row r="322">
          <cell r="A322">
            <v>1</v>
          </cell>
          <cell r="B322" t="str">
            <v>Pioneer RPO</v>
          </cell>
          <cell r="C322" t="str">
            <v>JT Goodwin</v>
          </cell>
          <cell r="D322" t="str">
            <v xml:space="preserve">Bibhore Bhattacharya </v>
          </cell>
          <cell r="F322" t="str">
            <v>Ankit Pandey</v>
          </cell>
          <cell r="G322" t="str">
            <v>Ankit Pandey</v>
          </cell>
          <cell r="M322" t="str">
            <v>February</v>
          </cell>
          <cell r="N322">
            <v>45712</v>
          </cell>
          <cell r="O322" t="str">
            <v>NA</v>
          </cell>
          <cell r="P322" t="str">
            <v>GPC USAG (NAPA)</v>
          </cell>
          <cell r="R322" t="str">
            <v>FTE</v>
          </cell>
          <cell r="AA322" t="str">
            <v>NA</v>
          </cell>
          <cell r="AN322" t="str">
            <v>NA</v>
          </cell>
          <cell r="AO322">
            <v>300</v>
          </cell>
          <cell r="AP322" t="str">
            <v>Done</v>
          </cell>
        </row>
        <row r="323">
          <cell r="A323">
            <v>1</v>
          </cell>
          <cell r="B323" t="str">
            <v>Pioneer RPO</v>
          </cell>
          <cell r="C323" t="str">
            <v xml:space="preserve">Tyler Park </v>
          </cell>
          <cell r="D323" t="str">
            <v xml:space="preserve">Bibhore Bhattacharya </v>
          </cell>
          <cell r="F323" t="str">
            <v>Ankit Pandey</v>
          </cell>
          <cell r="G323" t="str">
            <v>Ankit Pandey</v>
          </cell>
          <cell r="M323" t="str">
            <v>February</v>
          </cell>
          <cell r="N323">
            <v>45698</v>
          </cell>
          <cell r="O323" t="str">
            <v>NA</v>
          </cell>
          <cell r="P323" t="str">
            <v>GPC USAG (NAPA)</v>
          </cell>
          <cell r="R323" t="str">
            <v>FTE</v>
          </cell>
          <cell r="AA323" t="str">
            <v>NA</v>
          </cell>
          <cell r="AN323" t="str">
            <v>NA</v>
          </cell>
          <cell r="AO323">
            <v>300</v>
          </cell>
          <cell r="AP323" t="str">
            <v>Done</v>
          </cell>
        </row>
        <row r="324">
          <cell r="A324">
            <v>1</v>
          </cell>
          <cell r="B324" t="str">
            <v>Titans</v>
          </cell>
          <cell r="C324" t="str">
            <v xml:space="preserve">Claude Auger </v>
          </cell>
          <cell r="D324" t="str">
            <v>Aastha Tiwari</v>
          </cell>
          <cell r="F324" t="str">
            <v>Aditya Yadav</v>
          </cell>
          <cell r="G324" t="str">
            <v>Aditya Yadav</v>
          </cell>
          <cell r="M324" t="str">
            <v>February</v>
          </cell>
          <cell r="N324">
            <v>45712</v>
          </cell>
          <cell r="O324" t="str">
            <v>NA</v>
          </cell>
          <cell r="P324" t="str">
            <v>Cyient</v>
          </cell>
          <cell r="R324" t="str">
            <v>FTE</v>
          </cell>
          <cell r="AA324" t="str">
            <v>NA</v>
          </cell>
          <cell r="AN324" t="str">
            <v>NA</v>
          </cell>
          <cell r="AO324">
            <v>4500</v>
          </cell>
          <cell r="AP324" t="str">
            <v>Done</v>
          </cell>
        </row>
        <row r="325">
          <cell r="A325">
            <v>1</v>
          </cell>
          <cell r="B325" t="str">
            <v>Titans</v>
          </cell>
          <cell r="C325" t="str">
            <v>Kendall Wade</v>
          </cell>
          <cell r="D325" t="str">
            <v>Ratnesh Kashyap</v>
          </cell>
          <cell r="F325" t="str">
            <v>Aditya Yadav</v>
          </cell>
          <cell r="G325" t="str">
            <v>Nitin Saxena</v>
          </cell>
          <cell r="M325" t="str">
            <v>February</v>
          </cell>
          <cell r="N325">
            <v>45712</v>
          </cell>
          <cell r="O325" t="str">
            <v>NA</v>
          </cell>
          <cell r="P325" t="str">
            <v xml:space="preserve">Cyient | Parker Hannifin </v>
          </cell>
          <cell r="R325" t="str">
            <v>FTE</v>
          </cell>
          <cell r="AA325" t="str">
            <v>NA</v>
          </cell>
          <cell r="AN325" t="str">
            <v>NA</v>
          </cell>
          <cell r="AO325">
            <v>4500</v>
          </cell>
          <cell r="AP325" t="str">
            <v>Done</v>
          </cell>
        </row>
        <row r="326">
          <cell r="A326">
            <v>1</v>
          </cell>
          <cell r="B326" t="str">
            <v>Titans</v>
          </cell>
          <cell r="C326" t="str">
            <v>Yuko Namiki</v>
          </cell>
          <cell r="D326" t="str">
            <v>Samad Quraishi</v>
          </cell>
          <cell r="F326" t="str">
            <v>Nitin Saxena</v>
          </cell>
          <cell r="G326" t="str">
            <v>Nitin Saxena</v>
          </cell>
          <cell r="M326" t="str">
            <v>February</v>
          </cell>
          <cell r="N326">
            <v>45706</v>
          </cell>
          <cell r="O326" t="str">
            <v>NA</v>
          </cell>
          <cell r="P326" t="str">
            <v>Relevante</v>
          </cell>
          <cell r="R326" t="str">
            <v>FTE</v>
          </cell>
          <cell r="AA326" t="str">
            <v>NA</v>
          </cell>
          <cell r="AN326" t="str">
            <v>NA</v>
          </cell>
          <cell r="AO326">
            <v>5250</v>
          </cell>
          <cell r="AP326" t="str">
            <v>Done</v>
          </cell>
        </row>
        <row r="327">
          <cell r="A327">
            <v>1</v>
          </cell>
          <cell r="B327" t="str">
            <v>Titans</v>
          </cell>
          <cell r="C327" t="str">
            <v>Jonathan Papay</v>
          </cell>
          <cell r="D327" t="str">
            <v>Hamza</v>
          </cell>
          <cell r="F327" t="str">
            <v>Nitin Saxena</v>
          </cell>
          <cell r="G327" t="str">
            <v>Nitin Saxena</v>
          </cell>
          <cell r="M327" t="str">
            <v>February</v>
          </cell>
          <cell r="N327">
            <v>45713</v>
          </cell>
          <cell r="O327" t="str">
            <v>NA</v>
          </cell>
          <cell r="P327" t="str">
            <v>WNS</v>
          </cell>
          <cell r="R327" t="str">
            <v>FTE</v>
          </cell>
          <cell r="AA327" t="str">
            <v>NA</v>
          </cell>
          <cell r="AN327" t="str">
            <v>NA</v>
          </cell>
          <cell r="AO327">
            <v>4576</v>
          </cell>
          <cell r="AP327" t="str">
            <v>Done</v>
          </cell>
        </row>
        <row r="328">
          <cell r="A328">
            <v>1</v>
          </cell>
          <cell r="B328" t="str">
            <v>Titans</v>
          </cell>
          <cell r="C328" t="str">
            <v xml:space="preserve">Alexander Berendt </v>
          </cell>
          <cell r="D328" t="str">
            <v>Ratnesh Kashyap</v>
          </cell>
          <cell r="F328" t="str">
            <v>Aditya Yadav</v>
          </cell>
          <cell r="G328" t="str">
            <v>Nitin Saxena</v>
          </cell>
          <cell r="M328" t="str">
            <v>February</v>
          </cell>
          <cell r="N328">
            <v>45698</v>
          </cell>
          <cell r="O328">
            <v>45758</v>
          </cell>
          <cell r="P328" t="str">
            <v>LTTS</v>
          </cell>
          <cell r="R328" t="str">
            <v>FTE</v>
          </cell>
          <cell r="AA328" t="str">
            <v>NA</v>
          </cell>
          <cell r="AN328" t="str">
            <v>NA</v>
          </cell>
          <cell r="AO328">
            <v>0</v>
          </cell>
          <cell r="AP328" t="str">
            <v>Done</v>
          </cell>
        </row>
        <row r="329">
          <cell r="A329">
            <v>1</v>
          </cell>
          <cell r="B329" t="str">
            <v>Titans</v>
          </cell>
          <cell r="C329" t="str">
            <v>Joseph Kerns</v>
          </cell>
          <cell r="D329" t="str">
            <v>Aviral Shukla</v>
          </cell>
          <cell r="F329" t="str">
            <v>Nitin Saxena</v>
          </cell>
          <cell r="G329" t="str">
            <v>Nitin Saxena</v>
          </cell>
          <cell r="M329" t="str">
            <v>February</v>
          </cell>
          <cell r="N329">
            <v>45705</v>
          </cell>
          <cell r="O329" t="str">
            <v>NA</v>
          </cell>
          <cell r="P329" t="str">
            <v>WNS</v>
          </cell>
          <cell r="R329" t="str">
            <v>FTE</v>
          </cell>
          <cell r="AA329" t="str">
            <v>NA</v>
          </cell>
          <cell r="AN329" t="str">
            <v>NA</v>
          </cell>
          <cell r="AO329">
            <v>0</v>
          </cell>
          <cell r="AP329" t="str">
            <v>Done</v>
          </cell>
        </row>
        <row r="330">
          <cell r="A330">
            <v>1</v>
          </cell>
          <cell r="B330" t="str">
            <v>Titans</v>
          </cell>
          <cell r="C330" t="str">
            <v>Shermal Thomas</v>
          </cell>
          <cell r="D330" t="str">
            <v>Hamza</v>
          </cell>
          <cell r="F330" t="str">
            <v>Nitin Saxena</v>
          </cell>
          <cell r="G330" t="str">
            <v>Nitin Saxena</v>
          </cell>
          <cell r="M330" t="str">
            <v>February</v>
          </cell>
          <cell r="N330">
            <v>45705</v>
          </cell>
          <cell r="O330" t="str">
            <v>NA</v>
          </cell>
          <cell r="P330" t="str">
            <v>WNS</v>
          </cell>
          <cell r="R330" t="str">
            <v>FTE</v>
          </cell>
          <cell r="AA330" t="str">
            <v>NA</v>
          </cell>
          <cell r="AN330" t="str">
            <v>NA</v>
          </cell>
          <cell r="AO330">
            <v>0</v>
          </cell>
          <cell r="AP330" t="str">
            <v>Done</v>
          </cell>
        </row>
        <row r="331">
          <cell r="A331">
            <v>1</v>
          </cell>
          <cell r="B331" t="str">
            <v>Titans</v>
          </cell>
          <cell r="C331" t="str">
            <v>Sharon L. Moore</v>
          </cell>
          <cell r="D331" t="str">
            <v>Aman Bajpai</v>
          </cell>
          <cell r="F331" t="str">
            <v>Nitin Saxena</v>
          </cell>
          <cell r="G331" t="str">
            <v>Nitin Saxena</v>
          </cell>
          <cell r="M331" t="str">
            <v>February</v>
          </cell>
          <cell r="N331">
            <v>45713</v>
          </cell>
          <cell r="O331">
            <v>45764</v>
          </cell>
          <cell r="P331" t="str">
            <v>WNS</v>
          </cell>
          <cell r="R331" t="str">
            <v>FTE</v>
          </cell>
          <cell r="AA331" t="str">
            <v>NA</v>
          </cell>
          <cell r="AN331" t="str">
            <v>NA</v>
          </cell>
          <cell r="AO331">
            <v>0</v>
          </cell>
          <cell r="AP331" t="str">
            <v>Done</v>
          </cell>
        </row>
        <row r="332">
          <cell r="A332">
            <v>1</v>
          </cell>
          <cell r="B332" t="str">
            <v>CSK/Vantedge</v>
          </cell>
          <cell r="C332" t="str">
            <v>Yogendra Gijare</v>
          </cell>
          <cell r="D332" t="str">
            <v>M Harinath</v>
          </cell>
          <cell r="F332" t="str">
            <v>Mayank Saxena</v>
          </cell>
          <cell r="G332" t="str">
            <v>Vinoth L</v>
          </cell>
          <cell r="M332" t="str">
            <v>March</v>
          </cell>
          <cell r="N332">
            <v>45726</v>
          </cell>
          <cell r="O332" t="str">
            <v>NA</v>
          </cell>
          <cell r="P332" t="str">
            <v>Tredence</v>
          </cell>
          <cell r="R332" t="str">
            <v>FTE</v>
          </cell>
          <cell r="AA332" t="str">
            <v>NA</v>
          </cell>
          <cell r="AN332" t="str">
            <v>NA</v>
          </cell>
          <cell r="AO332">
            <v>13600</v>
          </cell>
          <cell r="AP332" t="str">
            <v>Done</v>
          </cell>
        </row>
        <row r="333">
          <cell r="A333">
            <v>1</v>
          </cell>
          <cell r="B333" t="str">
            <v>CSK</v>
          </cell>
          <cell r="C333" t="str">
            <v>Jodi Homaune</v>
          </cell>
          <cell r="D333" t="str">
            <v>Ajithkumar G</v>
          </cell>
          <cell r="F333" t="str">
            <v>Vinoth L</v>
          </cell>
          <cell r="G333" t="str">
            <v>Akbar I</v>
          </cell>
          <cell r="M333" t="str">
            <v>March</v>
          </cell>
          <cell r="N333">
            <v>45726</v>
          </cell>
          <cell r="O333" t="str">
            <v>NA</v>
          </cell>
          <cell r="P333" t="str">
            <v>Relevante</v>
          </cell>
          <cell r="R333" t="str">
            <v>FTE</v>
          </cell>
          <cell r="AA333" t="str">
            <v>NA</v>
          </cell>
          <cell r="AN333" t="str">
            <v>NA</v>
          </cell>
          <cell r="AO333">
            <v>4515</v>
          </cell>
          <cell r="AP333" t="str">
            <v>Done</v>
          </cell>
        </row>
        <row r="334">
          <cell r="A334">
            <v>1</v>
          </cell>
          <cell r="B334" t="str">
            <v>Titans</v>
          </cell>
          <cell r="C334" t="str">
            <v>Siara Barrera</v>
          </cell>
          <cell r="D334" t="str">
            <v>Hamza</v>
          </cell>
          <cell r="F334" t="str">
            <v>Nitin Saxena</v>
          </cell>
          <cell r="G334" t="str">
            <v>Nitin Saxena</v>
          </cell>
          <cell r="M334" t="str">
            <v>March</v>
          </cell>
          <cell r="N334">
            <v>45726</v>
          </cell>
          <cell r="O334" t="str">
            <v>NA</v>
          </cell>
          <cell r="P334" t="str">
            <v>WNS</v>
          </cell>
          <cell r="R334" t="str">
            <v>FTE</v>
          </cell>
          <cell r="AA334" t="str">
            <v>NA</v>
          </cell>
          <cell r="AN334" t="str">
            <v>NA</v>
          </cell>
          <cell r="AO334">
            <v>4576</v>
          </cell>
          <cell r="AP334" t="str">
            <v>Done</v>
          </cell>
        </row>
        <row r="335">
          <cell r="A335">
            <v>1</v>
          </cell>
          <cell r="B335" t="str">
            <v>Titans</v>
          </cell>
          <cell r="C335" t="str">
            <v>David Muhanad Kassis</v>
          </cell>
          <cell r="D335" t="str">
            <v>Santosh Singh</v>
          </cell>
          <cell r="F335" t="str">
            <v>Aditya Yadav</v>
          </cell>
          <cell r="G335" t="str">
            <v>Aditya Yadav</v>
          </cell>
          <cell r="M335" t="str">
            <v>March</v>
          </cell>
          <cell r="N335">
            <v>45733</v>
          </cell>
          <cell r="O335" t="str">
            <v>NA</v>
          </cell>
          <cell r="P335" t="str">
            <v>LTTS | Pratt &amp; Whitney</v>
          </cell>
          <cell r="R335" t="str">
            <v>FTE</v>
          </cell>
          <cell r="AA335" t="str">
            <v>NA</v>
          </cell>
          <cell r="AN335" t="str">
            <v>NA</v>
          </cell>
          <cell r="AO335">
            <v>5864</v>
          </cell>
          <cell r="AP335" t="str">
            <v>Done</v>
          </cell>
        </row>
        <row r="336">
          <cell r="A336">
            <v>1</v>
          </cell>
          <cell r="B336" t="str">
            <v>Titans</v>
          </cell>
          <cell r="C336" t="str">
            <v>Joshua Smith</v>
          </cell>
          <cell r="D336" t="str">
            <v>Shivam Sharma</v>
          </cell>
          <cell r="F336" t="str">
            <v>Aditya Yadav</v>
          </cell>
          <cell r="G336" t="str">
            <v>Aditya Yadav</v>
          </cell>
          <cell r="M336" t="str">
            <v>March</v>
          </cell>
          <cell r="N336">
            <v>45740</v>
          </cell>
          <cell r="O336" t="str">
            <v>NA</v>
          </cell>
          <cell r="P336" t="str">
            <v>LTTS | Harley Davidson</v>
          </cell>
          <cell r="R336" t="str">
            <v>FTE</v>
          </cell>
          <cell r="AA336" t="str">
            <v>NA</v>
          </cell>
          <cell r="AN336" t="str">
            <v>NA</v>
          </cell>
          <cell r="AO336">
            <v>6597</v>
          </cell>
          <cell r="AP336" t="str">
            <v>Done</v>
          </cell>
        </row>
        <row r="337">
          <cell r="A337">
            <v>1</v>
          </cell>
          <cell r="B337" t="str">
            <v>Titans</v>
          </cell>
          <cell r="C337" t="str">
            <v>Brianna Myers</v>
          </cell>
          <cell r="D337" t="str">
            <v>Samad Quraishi</v>
          </cell>
          <cell r="F337" t="str">
            <v>Nitin Saxena</v>
          </cell>
          <cell r="G337" t="str">
            <v>Nitin Saxena</v>
          </cell>
          <cell r="M337" t="str">
            <v>March</v>
          </cell>
          <cell r="N337">
            <v>45747</v>
          </cell>
          <cell r="O337" t="str">
            <v>NA</v>
          </cell>
          <cell r="P337" t="str">
            <v>WNS</v>
          </cell>
          <cell r="R337" t="str">
            <v>FTE</v>
          </cell>
          <cell r="AA337" t="str">
            <v>NA</v>
          </cell>
          <cell r="AN337" t="str">
            <v>NA</v>
          </cell>
          <cell r="AO337">
            <v>4784</v>
          </cell>
          <cell r="AP337" t="str">
            <v>Done</v>
          </cell>
        </row>
        <row r="338">
          <cell r="A338">
            <v>1</v>
          </cell>
          <cell r="B338" t="str">
            <v>Titans</v>
          </cell>
          <cell r="C338" t="str">
            <v>Marysol Serrano</v>
          </cell>
          <cell r="D338" t="str">
            <v>Samad Quraishi</v>
          </cell>
          <cell r="F338" t="str">
            <v>Nitin Saxena</v>
          </cell>
          <cell r="G338" t="str">
            <v>Nitin Saxena</v>
          </cell>
          <cell r="M338" t="str">
            <v>March</v>
          </cell>
          <cell r="N338">
            <v>45747</v>
          </cell>
          <cell r="O338" t="str">
            <v>NA</v>
          </cell>
          <cell r="P338" t="str">
            <v>WNS</v>
          </cell>
          <cell r="R338" t="str">
            <v>FTE</v>
          </cell>
          <cell r="AA338" t="str">
            <v>NA</v>
          </cell>
          <cell r="AN338" t="str">
            <v>NA</v>
          </cell>
          <cell r="AO338">
            <v>5200</v>
          </cell>
          <cell r="AP338" t="str">
            <v>Done</v>
          </cell>
        </row>
        <row r="339">
          <cell r="A339">
            <v>1</v>
          </cell>
          <cell r="B339" t="str">
            <v>Trust</v>
          </cell>
          <cell r="C339" t="str">
            <v>Ramiro Espinosa Zambrano</v>
          </cell>
          <cell r="D339" t="str">
            <v>Virendra Vikram Singh</v>
          </cell>
          <cell r="F339" t="str">
            <v>Bhanu Pratap Singh</v>
          </cell>
          <cell r="G339" t="str">
            <v>Harsh Agrawal</v>
          </cell>
          <cell r="M339" t="str">
            <v>March</v>
          </cell>
          <cell r="N339">
            <v>45719</v>
          </cell>
          <cell r="O339" t="str">
            <v>NA</v>
          </cell>
          <cell r="P339" t="str">
            <v>Infosys</v>
          </cell>
          <cell r="R339" t="str">
            <v>FTE</v>
          </cell>
          <cell r="AA339" t="str">
            <v>NA</v>
          </cell>
          <cell r="AN339" t="str">
            <v>NA</v>
          </cell>
          <cell r="AO339">
            <v>3500</v>
          </cell>
          <cell r="AP339" t="str">
            <v>Done</v>
          </cell>
        </row>
        <row r="340">
          <cell r="A340">
            <v>1</v>
          </cell>
          <cell r="B340" t="str">
            <v>Trust</v>
          </cell>
          <cell r="C340" t="str">
            <v>Seshagiri Kalluru</v>
          </cell>
          <cell r="D340" t="str">
            <v>Rajat Arora</v>
          </cell>
          <cell r="F340" t="str">
            <v>Bhanu Pratap Singh</v>
          </cell>
          <cell r="G340" t="str">
            <v>Harsh Agrawal</v>
          </cell>
          <cell r="M340" t="str">
            <v>March</v>
          </cell>
          <cell r="N340">
            <v>45733</v>
          </cell>
          <cell r="O340" t="str">
            <v>NA</v>
          </cell>
          <cell r="P340" t="str">
            <v>Infosys</v>
          </cell>
          <cell r="R340" t="str">
            <v>FTE</v>
          </cell>
          <cell r="AA340" t="str">
            <v>NA</v>
          </cell>
          <cell r="AN340" t="str">
            <v>NA</v>
          </cell>
          <cell r="AO340">
            <v>3500</v>
          </cell>
          <cell r="AP340" t="str">
            <v>Done</v>
          </cell>
        </row>
        <row r="341">
          <cell r="A341">
            <v>1</v>
          </cell>
          <cell r="B341" t="str">
            <v>Vantedge</v>
          </cell>
          <cell r="C341" t="str">
            <v>Pooja Agarwal</v>
          </cell>
          <cell r="D341" t="str">
            <v>Abhay Pratap Singh</v>
          </cell>
          <cell r="F341" t="str">
            <v>Umar Mujahid</v>
          </cell>
          <cell r="G341" t="str">
            <v>Umar Mujahid</v>
          </cell>
          <cell r="M341" t="str">
            <v>March</v>
          </cell>
          <cell r="N341">
            <v>45733</v>
          </cell>
          <cell r="O341" t="str">
            <v>NA</v>
          </cell>
          <cell r="P341" t="str">
            <v>Qualitest</v>
          </cell>
          <cell r="R341" t="str">
            <v>FTE</v>
          </cell>
          <cell r="AA341" t="str">
            <v>NA</v>
          </cell>
          <cell r="AN341" t="str">
            <v>NA</v>
          </cell>
          <cell r="AO341">
            <v>28500</v>
          </cell>
          <cell r="AP341" t="str">
            <v>Done</v>
          </cell>
        </row>
        <row r="342">
          <cell r="A342">
            <v>1</v>
          </cell>
          <cell r="B342" t="str">
            <v>Vantedge</v>
          </cell>
          <cell r="C342" t="str">
            <v>David Smith</v>
          </cell>
          <cell r="D342" t="str">
            <v>Umar M</v>
          </cell>
          <cell r="F342" t="str">
            <v>Umar Mujahid</v>
          </cell>
          <cell r="G342" t="str">
            <v>Umar Mujahid</v>
          </cell>
          <cell r="M342" t="str">
            <v>March</v>
          </cell>
          <cell r="N342">
            <v>45734</v>
          </cell>
          <cell r="O342" t="str">
            <v>NA</v>
          </cell>
          <cell r="P342" t="str">
            <v>PocketFM</v>
          </cell>
          <cell r="R342" t="str">
            <v>FTE</v>
          </cell>
          <cell r="AA342" t="str">
            <v>NA</v>
          </cell>
          <cell r="AN342" t="str">
            <v>NA</v>
          </cell>
          <cell r="AO342">
            <v>43200</v>
          </cell>
          <cell r="AP342" t="str">
            <v>Done</v>
          </cell>
        </row>
        <row r="343">
          <cell r="A343">
            <v>1</v>
          </cell>
          <cell r="B343" t="str">
            <v>Vantedge</v>
          </cell>
          <cell r="C343" t="str">
            <v> Kishore Ramakrishnan</v>
          </cell>
          <cell r="D343" t="str">
            <v> Shruti Shukla</v>
          </cell>
          <cell r="F343" t="str">
            <v>Mayank Saxena</v>
          </cell>
          <cell r="G343" t="str">
            <v>Mayank Saxena</v>
          </cell>
          <cell r="M343" t="str">
            <v>March</v>
          </cell>
          <cell r="N343">
            <v>45726</v>
          </cell>
          <cell r="O343" t="str">
            <v>NA</v>
          </cell>
          <cell r="P343" t="str">
            <v>Tredence</v>
          </cell>
          <cell r="R343" t="str">
            <v>FTE</v>
          </cell>
          <cell r="AA343" t="str">
            <v>NA</v>
          </cell>
          <cell r="AN343" t="str">
            <v>NA</v>
          </cell>
          <cell r="AO343">
            <v>12320</v>
          </cell>
          <cell r="AP343" t="str">
            <v>Done</v>
          </cell>
        </row>
        <row r="344">
          <cell r="A344">
            <v>1</v>
          </cell>
          <cell r="B344" t="str">
            <v>Vantedge</v>
          </cell>
          <cell r="C344" t="str">
            <v>Brandon Ross</v>
          </cell>
          <cell r="D344" t="str">
            <v>Priyansh Khare</v>
          </cell>
          <cell r="F344" t="str">
            <v>Anshul Kumar</v>
          </cell>
          <cell r="G344" t="str">
            <v>Anshul Kumar</v>
          </cell>
          <cell r="M344" t="str">
            <v>March</v>
          </cell>
          <cell r="N344">
            <v>45733</v>
          </cell>
          <cell r="O344" t="str">
            <v>NA</v>
          </cell>
          <cell r="P344" t="str">
            <v>VXI</v>
          </cell>
          <cell r="R344" t="str">
            <v>FTE</v>
          </cell>
          <cell r="AA344" t="str">
            <v>NA</v>
          </cell>
          <cell r="AN344" t="str">
            <v>NA</v>
          </cell>
          <cell r="AO344">
            <v>20250</v>
          </cell>
          <cell r="AP344" t="str">
            <v>Done</v>
          </cell>
        </row>
        <row r="345">
          <cell r="A345">
            <v>1</v>
          </cell>
          <cell r="B345" t="str">
            <v>Vantedge</v>
          </cell>
          <cell r="C345" t="str">
            <v>David Jaime illescas</v>
          </cell>
          <cell r="D345" t="str">
            <v> Anshul Kumar</v>
          </cell>
          <cell r="F345" t="str">
            <v>Anshul Kumar</v>
          </cell>
          <cell r="G345" t="str">
            <v>Anshul Kumar</v>
          </cell>
          <cell r="M345" t="str">
            <v>March</v>
          </cell>
          <cell r="N345">
            <v>45740</v>
          </cell>
          <cell r="O345" t="str">
            <v>NA</v>
          </cell>
          <cell r="P345" t="str">
            <v>ACL Digital</v>
          </cell>
          <cell r="R345" t="str">
            <v>FTE</v>
          </cell>
          <cell r="AA345" t="str">
            <v>NA</v>
          </cell>
          <cell r="AN345" t="str">
            <v>NA</v>
          </cell>
          <cell r="AO345">
            <v>39600</v>
          </cell>
          <cell r="AP345" t="str">
            <v>Done</v>
          </cell>
        </row>
        <row r="346">
          <cell r="A346">
            <v>1</v>
          </cell>
          <cell r="B346" t="str">
            <v>Pioneer RPO</v>
          </cell>
          <cell r="C346" t="str">
            <v>Tom Simcox</v>
          </cell>
          <cell r="D346" t="str">
            <v>Sagar Chandani</v>
          </cell>
          <cell r="F346" t="str">
            <v>Ankit Pandey</v>
          </cell>
          <cell r="G346" t="str">
            <v>Shubham Rastogi</v>
          </cell>
          <cell r="M346" t="str">
            <v>March</v>
          </cell>
          <cell r="N346">
            <v>45717</v>
          </cell>
          <cell r="O346" t="str">
            <v>NA</v>
          </cell>
          <cell r="P346" t="str">
            <v xml:space="preserve">GPC IT </v>
          </cell>
          <cell r="R346" t="str">
            <v>FTE</v>
          </cell>
          <cell r="AA346" t="str">
            <v>NA</v>
          </cell>
          <cell r="AN346" t="str">
            <v>NA</v>
          </cell>
          <cell r="AO346">
            <v>300</v>
          </cell>
          <cell r="AP346" t="str">
            <v>Done</v>
          </cell>
        </row>
        <row r="347">
          <cell r="A347">
            <v>1</v>
          </cell>
          <cell r="B347" t="str">
            <v>Pioneer RPO</v>
          </cell>
          <cell r="C347" t="str">
            <v>Sundaram Saminathan</v>
          </cell>
          <cell r="D347" t="str">
            <v>Sagar Chandani</v>
          </cell>
          <cell r="F347" t="str">
            <v>Ankit Pandey</v>
          </cell>
          <cell r="G347" t="str">
            <v>Shubham Rastogi</v>
          </cell>
          <cell r="M347" t="str">
            <v>March</v>
          </cell>
          <cell r="N347">
            <v>45728</v>
          </cell>
          <cell r="O347" t="str">
            <v>NA</v>
          </cell>
          <cell r="P347" t="str">
            <v xml:space="preserve">GPC IT </v>
          </cell>
          <cell r="R347" t="str">
            <v>FTE</v>
          </cell>
          <cell r="AA347" t="str">
            <v>NA</v>
          </cell>
          <cell r="AN347" t="str">
            <v>NA</v>
          </cell>
          <cell r="AO347">
            <v>3000</v>
          </cell>
          <cell r="AP347" t="str">
            <v>Done</v>
          </cell>
        </row>
        <row r="348">
          <cell r="A348">
            <v>1</v>
          </cell>
          <cell r="B348" t="str">
            <v>Pioneer RPO</v>
          </cell>
          <cell r="C348" t="str">
            <v>Raghu Guttikonda</v>
          </cell>
          <cell r="D348" t="str">
            <v>Shubham Rastogi</v>
          </cell>
          <cell r="F348" t="str">
            <v>Ankit Pandey</v>
          </cell>
          <cell r="G348" t="str">
            <v>Shubham Rastogi</v>
          </cell>
          <cell r="M348" t="str">
            <v>March</v>
          </cell>
          <cell r="N348">
            <v>45733</v>
          </cell>
          <cell r="O348" t="str">
            <v>NA</v>
          </cell>
          <cell r="P348" t="str">
            <v xml:space="preserve">GPC IT </v>
          </cell>
          <cell r="R348" t="str">
            <v>FTE</v>
          </cell>
          <cell r="AA348" t="str">
            <v>NA</v>
          </cell>
          <cell r="AN348" t="str">
            <v>NA</v>
          </cell>
          <cell r="AO348">
            <v>3000</v>
          </cell>
          <cell r="AP348" t="str">
            <v>Done</v>
          </cell>
        </row>
        <row r="349">
          <cell r="A349">
            <v>1</v>
          </cell>
          <cell r="B349" t="str">
            <v>Vantedge</v>
          </cell>
          <cell r="C349" t="str">
            <v>Mary Andrews</v>
          </cell>
          <cell r="D349" t="str">
            <v>Rashmi Bhatnagar</v>
          </cell>
          <cell r="F349" t="str">
            <v>Rashmi Bhatnagar</v>
          </cell>
          <cell r="G349" t="str">
            <v>Rashmi Bhatnagar</v>
          </cell>
          <cell r="M349" t="str">
            <v>March</v>
          </cell>
          <cell r="N349">
            <v>45728</v>
          </cell>
          <cell r="O349" t="str">
            <v>NA</v>
          </cell>
          <cell r="P349" t="str">
            <v>Sutherland</v>
          </cell>
          <cell r="R349" t="str">
            <v>FTE</v>
          </cell>
          <cell r="AA349" t="str">
            <v>NA</v>
          </cell>
          <cell r="AN349" t="str">
            <v>NA</v>
          </cell>
          <cell r="AO349">
            <v>4808.75</v>
          </cell>
          <cell r="AP349" t="str">
            <v>Done</v>
          </cell>
        </row>
        <row r="350">
          <cell r="A350">
            <v>1</v>
          </cell>
          <cell r="B350" t="str">
            <v>Vantedge</v>
          </cell>
          <cell r="C350" t="str">
            <v>Alex Dee</v>
          </cell>
          <cell r="D350" t="str">
            <v>Devansh Mishra</v>
          </cell>
          <cell r="F350" t="str">
            <v>Anshul Kumar</v>
          </cell>
          <cell r="G350" t="str">
            <v>Raunak Tripathi</v>
          </cell>
          <cell r="M350" t="str">
            <v>March</v>
          </cell>
          <cell r="N350">
            <v>45747</v>
          </cell>
          <cell r="O350">
            <v>45762</v>
          </cell>
          <cell r="P350" t="str">
            <v>Waverly</v>
          </cell>
          <cell r="R350" t="str">
            <v>FTE</v>
          </cell>
          <cell r="AA350" t="str">
            <v>NA</v>
          </cell>
          <cell r="AN350" t="str">
            <v>NA</v>
          </cell>
          <cell r="AO350">
            <v>0</v>
          </cell>
          <cell r="AP350" t="str">
            <v>Done</v>
          </cell>
        </row>
        <row r="351">
          <cell r="A351">
            <v>1</v>
          </cell>
          <cell r="B351" t="str">
            <v>Vantedge</v>
          </cell>
          <cell r="C351" t="str">
            <v>Satish Manam</v>
          </cell>
          <cell r="D351" t="str">
            <v>Govind Srivastava</v>
          </cell>
          <cell r="F351" t="str">
            <v>Mayank Saxena</v>
          </cell>
          <cell r="G351" t="str">
            <v>Mayank Saxena</v>
          </cell>
          <cell r="M351" t="str">
            <v>March</v>
          </cell>
          <cell r="N351">
            <v>45740</v>
          </cell>
          <cell r="O351" t="str">
            <v>NA</v>
          </cell>
          <cell r="P351" t="str">
            <v>Quess</v>
          </cell>
          <cell r="R351" t="str">
            <v>FTE</v>
          </cell>
          <cell r="AA351" t="str">
            <v>NA</v>
          </cell>
          <cell r="AN351" t="str">
            <v>NA</v>
          </cell>
          <cell r="AO351">
            <v>29900</v>
          </cell>
          <cell r="AP351" t="str">
            <v>Done</v>
          </cell>
        </row>
        <row r="352">
          <cell r="A352">
            <v>1</v>
          </cell>
          <cell r="B352" t="str">
            <v>Titans</v>
          </cell>
          <cell r="C352" t="str">
            <v>Alex Gonzalez</v>
          </cell>
          <cell r="D352" t="str">
            <v>Hamza</v>
          </cell>
          <cell r="F352" t="str">
            <v>Nitin Saxena</v>
          </cell>
          <cell r="G352" t="str">
            <v>Nitin Saxena</v>
          </cell>
          <cell r="M352" t="str">
            <v>April</v>
          </cell>
          <cell r="N352">
            <v>45748</v>
          </cell>
          <cell r="O352" t="str">
            <v>NA</v>
          </cell>
          <cell r="P352" t="str">
            <v>WNS</v>
          </cell>
          <cell r="R352" t="str">
            <v>FTE</v>
          </cell>
          <cell r="AA352" t="str">
            <v>NA</v>
          </cell>
          <cell r="AN352" t="str">
            <v>NA</v>
          </cell>
          <cell r="AO352">
            <v>4992</v>
          </cell>
          <cell r="AP352" t="str">
            <v>Done</v>
          </cell>
        </row>
        <row r="353">
          <cell r="A353">
            <v>1</v>
          </cell>
          <cell r="B353" t="str">
            <v>Wellness Warriors - Healthcare</v>
          </cell>
          <cell r="C353" t="str">
            <v>Erika Blanco</v>
          </cell>
          <cell r="D353" t="str">
            <v>Ananya Agarwal</v>
          </cell>
          <cell r="F353" t="str">
            <v>Ranveer Kumar</v>
          </cell>
          <cell r="M353" t="str">
            <v>April</v>
          </cell>
          <cell r="N353">
            <v>45754</v>
          </cell>
          <cell r="O353" t="str">
            <v>NA</v>
          </cell>
          <cell r="P353" t="str">
            <v>CBREX</v>
          </cell>
          <cell r="R353" t="str">
            <v>FTE</v>
          </cell>
          <cell r="AA353" t="str">
            <v>NA</v>
          </cell>
          <cell r="AN353" t="str">
            <v>NA</v>
          </cell>
          <cell r="AO353">
            <v>3250</v>
          </cell>
          <cell r="AP353" t="str">
            <v>Done</v>
          </cell>
        </row>
        <row r="354">
          <cell r="A354">
            <v>1</v>
          </cell>
          <cell r="B354" t="str">
            <v>Wellness Warriors-IT</v>
          </cell>
          <cell r="C354" t="str">
            <v>Desmond Ejimbo Amadigwe</v>
          </cell>
          <cell r="D354" t="str">
            <v>Abdul Rahman</v>
          </cell>
          <cell r="F354" t="str">
            <v>Abdul Rahman</v>
          </cell>
          <cell r="M354" t="str">
            <v>April</v>
          </cell>
          <cell r="N354">
            <v>45750</v>
          </cell>
          <cell r="O354" t="str">
            <v>NA</v>
          </cell>
          <cell r="P354" t="str">
            <v>LTIMindtree</v>
          </cell>
          <cell r="R354" t="str">
            <v>FTE</v>
          </cell>
          <cell r="AA354" t="str">
            <v>NA</v>
          </cell>
          <cell r="AN354" t="str">
            <v>NA</v>
          </cell>
          <cell r="AO354">
            <v>3500</v>
          </cell>
          <cell r="AP354" t="str">
            <v>Done</v>
          </cell>
        </row>
        <row r="355">
          <cell r="A355">
            <v>1</v>
          </cell>
          <cell r="B355" t="str">
            <v>Vantedge</v>
          </cell>
          <cell r="C355" t="str">
            <v>Praveen Narayana</v>
          </cell>
          <cell r="D355" t="str">
            <v>Abhay Pratap Singh</v>
          </cell>
          <cell r="F355" t="str">
            <v>Umar Mujahid</v>
          </cell>
          <cell r="G355" t="str">
            <v>Umar Mujahid</v>
          </cell>
          <cell r="M355" t="str">
            <v>April</v>
          </cell>
          <cell r="N355">
            <v>45761</v>
          </cell>
          <cell r="O355" t="str">
            <v>NA</v>
          </cell>
          <cell r="P355" t="str">
            <v>Tech Mahindra</v>
          </cell>
          <cell r="R355" t="str">
            <v>FTE</v>
          </cell>
          <cell r="AA355" t="str">
            <v>NA</v>
          </cell>
          <cell r="AN355" t="str">
            <v>NA</v>
          </cell>
          <cell r="AO355">
            <v>20825</v>
          </cell>
          <cell r="AP355" t="str">
            <v>Done</v>
          </cell>
        </row>
        <row r="356">
          <cell r="A356">
            <v>1</v>
          </cell>
          <cell r="B356" t="str">
            <v>Vantedge</v>
          </cell>
          <cell r="C356" t="str">
            <v>Helen Kim</v>
          </cell>
          <cell r="D356" t="str">
            <v>Ranjeet Kumar</v>
          </cell>
          <cell r="F356" t="str">
            <v>Raunak Tripathi</v>
          </cell>
          <cell r="G356" t="str">
            <v>Raunak Tripathi</v>
          </cell>
          <cell r="M356" t="str">
            <v>April</v>
          </cell>
          <cell r="N356">
            <v>45754</v>
          </cell>
          <cell r="O356" t="str">
            <v>NA</v>
          </cell>
          <cell r="P356" t="str">
            <v>Coforge</v>
          </cell>
          <cell r="R356" t="str">
            <v>FTE</v>
          </cell>
          <cell r="AA356" t="str">
            <v>NA</v>
          </cell>
          <cell r="AN356" t="str">
            <v>NA</v>
          </cell>
          <cell r="AO356">
            <v>33000</v>
          </cell>
          <cell r="AP356" t="str">
            <v>Done</v>
          </cell>
        </row>
        <row r="357">
          <cell r="A357">
            <v>1</v>
          </cell>
          <cell r="B357" t="str">
            <v>Vantedge</v>
          </cell>
          <cell r="C357" t="str">
            <v>Maria Flock</v>
          </cell>
          <cell r="D357" t="str">
            <v>Alok Mishra</v>
          </cell>
          <cell r="F357" t="str">
            <v>Alok Mishra</v>
          </cell>
          <cell r="G357" t="str">
            <v>Alok Mishra</v>
          </cell>
          <cell r="M357" t="str">
            <v>April</v>
          </cell>
          <cell r="N357">
            <v>45754</v>
          </cell>
          <cell r="O357" t="str">
            <v>NA</v>
          </cell>
          <cell r="P357" t="str">
            <v>Sutherland</v>
          </cell>
          <cell r="R357" t="str">
            <v>FTE</v>
          </cell>
          <cell r="AA357" t="str">
            <v>NA</v>
          </cell>
          <cell r="AN357" t="str">
            <v>NA</v>
          </cell>
          <cell r="AO357">
            <v>65000</v>
          </cell>
          <cell r="AP357" t="str">
            <v>Done</v>
          </cell>
        </row>
        <row r="358">
          <cell r="A358">
            <v>1</v>
          </cell>
          <cell r="B358" t="str">
            <v>Trust</v>
          </cell>
          <cell r="C358" t="str">
            <v>Colin Simpson</v>
          </cell>
          <cell r="D358" t="str">
            <v>Anshika Srivastava</v>
          </cell>
          <cell r="F358" t="str">
            <v>Bhanu Pratap Singh</v>
          </cell>
          <cell r="G358" t="str">
            <v>Shashank Yadav</v>
          </cell>
          <cell r="M358" t="str">
            <v>April</v>
          </cell>
          <cell r="N358">
            <v>45761</v>
          </cell>
          <cell r="O358" t="str">
            <v>NA</v>
          </cell>
          <cell r="P358" t="str">
            <v>Reflik</v>
          </cell>
          <cell r="R358" t="str">
            <v>FTE</v>
          </cell>
          <cell r="AA358" t="str">
            <v>NA</v>
          </cell>
          <cell r="AN358" t="str">
            <v>NA</v>
          </cell>
          <cell r="AO358">
            <v>5000</v>
          </cell>
          <cell r="AP358" t="str">
            <v>Done</v>
          </cell>
        </row>
        <row r="359">
          <cell r="A359">
            <v>1</v>
          </cell>
          <cell r="B359" t="str">
            <v>Titans</v>
          </cell>
          <cell r="C359" t="str">
            <v>Steven Cruz</v>
          </cell>
          <cell r="D359" t="str">
            <v>Aviral Shukla</v>
          </cell>
          <cell r="F359" t="str">
            <v>Nitin Saxena</v>
          </cell>
          <cell r="G359" t="str">
            <v>Nitin Saxena</v>
          </cell>
          <cell r="M359" t="str">
            <v>April</v>
          </cell>
          <cell r="N359">
            <v>45775</v>
          </cell>
          <cell r="O359" t="str">
            <v>NA</v>
          </cell>
          <cell r="P359" t="str">
            <v>Genpact</v>
          </cell>
          <cell r="R359" t="str">
            <v>FTE</v>
          </cell>
          <cell r="AA359" t="str">
            <v>NA</v>
          </cell>
          <cell r="AN359" t="str">
            <v>NA</v>
          </cell>
          <cell r="AO359">
            <v>4500</v>
          </cell>
          <cell r="AP359" t="str">
            <v>Done</v>
          </cell>
        </row>
        <row r="360">
          <cell r="A360">
            <v>1</v>
          </cell>
          <cell r="B360" t="str">
            <v>Titans</v>
          </cell>
          <cell r="C360" t="str">
            <v>Panchanan Nayak</v>
          </cell>
          <cell r="D360" t="str">
            <v>Noor</v>
          </cell>
          <cell r="M360" t="str">
            <v>April</v>
          </cell>
          <cell r="N360">
            <v>45770</v>
          </cell>
          <cell r="O360" t="str">
            <v>NA</v>
          </cell>
          <cell r="P360" t="str">
            <v>Genpact</v>
          </cell>
          <cell r="R360" t="str">
            <v>FTE</v>
          </cell>
          <cell r="AA360" t="str">
            <v>NA</v>
          </cell>
          <cell r="AN360" t="str">
            <v>NA</v>
          </cell>
          <cell r="AO360">
            <v>8096</v>
          </cell>
          <cell r="AP360" t="str">
            <v>Done</v>
          </cell>
        </row>
        <row r="361">
          <cell r="A361">
            <v>1</v>
          </cell>
          <cell r="B361" t="str">
            <v>Trust</v>
          </cell>
          <cell r="C361" t="str">
            <v>Senthil Kumar Kathirvel</v>
          </cell>
          <cell r="D361" t="str">
            <v>Pushpendra Kumar</v>
          </cell>
          <cell r="F361" t="str">
            <v>Bhanu Pratap Singh</v>
          </cell>
          <cell r="G361" t="str">
            <v>Harsh Agrawal</v>
          </cell>
          <cell r="M361" t="str">
            <v>April</v>
          </cell>
          <cell r="N361">
            <v>45768</v>
          </cell>
          <cell r="O361" t="str">
            <v>NA</v>
          </cell>
          <cell r="P361" t="str">
            <v>Infosys</v>
          </cell>
          <cell r="R361" t="str">
            <v>FTE</v>
          </cell>
          <cell r="AA361" t="str">
            <v>NA</v>
          </cell>
          <cell r="AN361" t="str">
            <v>NA</v>
          </cell>
          <cell r="AO361">
            <v>3500</v>
          </cell>
          <cell r="AP361" t="str">
            <v>Done</v>
          </cell>
        </row>
        <row r="362">
          <cell r="A362">
            <v>1</v>
          </cell>
          <cell r="B362" t="str">
            <v>Trust</v>
          </cell>
          <cell r="C362" t="str">
            <v>Smita Pattanaik</v>
          </cell>
          <cell r="D362" t="str">
            <v>Harsh Shukla</v>
          </cell>
          <cell r="F362" t="str">
            <v>Bhanu Pratap Singh</v>
          </cell>
          <cell r="G362" t="str">
            <v>Harsh Agrawal</v>
          </cell>
          <cell r="M362" t="str">
            <v>April</v>
          </cell>
          <cell r="N362">
            <v>45775</v>
          </cell>
          <cell r="O362" t="str">
            <v>NA</v>
          </cell>
          <cell r="P362" t="str">
            <v>Infosys</v>
          </cell>
          <cell r="R362" t="str">
            <v>FTE</v>
          </cell>
          <cell r="AA362" t="str">
            <v>NA</v>
          </cell>
          <cell r="AN362" t="str">
            <v>NA</v>
          </cell>
          <cell r="AO362">
            <v>3500</v>
          </cell>
          <cell r="AP362" t="str">
            <v>Done</v>
          </cell>
        </row>
        <row r="363">
          <cell r="A363">
            <v>1</v>
          </cell>
          <cell r="B363" t="str">
            <v>Trust</v>
          </cell>
          <cell r="C363" t="str">
            <v>Srinivas Guntupalli</v>
          </cell>
          <cell r="D363" t="str">
            <v>Aman Singh Chauhan</v>
          </cell>
          <cell r="F363" t="str">
            <v>Bhanu Pratap Singh</v>
          </cell>
          <cell r="G363" t="str">
            <v>Shashank Yadav</v>
          </cell>
          <cell r="M363" t="str">
            <v>April</v>
          </cell>
          <cell r="N363">
            <v>45775</v>
          </cell>
          <cell r="O363" t="str">
            <v>NA</v>
          </cell>
          <cell r="P363" t="str">
            <v>Infosys</v>
          </cell>
          <cell r="R363" t="str">
            <v>FTE</v>
          </cell>
          <cell r="AA363" t="str">
            <v>NA</v>
          </cell>
          <cell r="AN363" t="str">
            <v>NA</v>
          </cell>
          <cell r="AO363">
            <v>3500</v>
          </cell>
          <cell r="AP363" t="str">
            <v>Done</v>
          </cell>
        </row>
        <row r="364">
          <cell r="A364">
            <v>1</v>
          </cell>
          <cell r="B364" t="str">
            <v>Pioneer RPO</v>
          </cell>
          <cell r="C364" t="str">
            <v>Juan Peyrani</v>
          </cell>
          <cell r="D364" t="str">
            <v xml:space="preserve">Priyanka Mishra </v>
          </cell>
          <cell r="F364" t="str">
            <v>Ankit Pandey</v>
          </cell>
          <cell r="G364" t="str">
            <v>Shubham Rastogi</v>
          </cell>
          <cell r="M364" t="str">
            <v>April</v>
          </cell>
          <cell r="N364">
            <v>45748</v>
          </cell>
          <cell r="O364" t="str">
            <v>NA</v>
          </cell>
          <cell r="P364" t="str">
            <v xml:space="preserve">GPC IT </v>
          </cell>
          <cell r="R364" t="str">
            <v>FTE</v>
          </cell>
          <cell r="AA364" t="str">
            <v>NA</v>
          </cell>
          <cell r="AN364" t="str">
            <v>NA</v>
          </cell>
          <cell r="AO364">
            <v>300</v>
          </cell>
          <cell r="AP364" t="str">
            <v>Done</v>
          </cell>
        </row>
        <row r="365">
          <cell r="A365">
            <v>1</v>
          </cell>
          <cell r="B365" t="str">
            <v>Pioneer RPO</v>
          </cell>
          <cell r="C365" t="str">
            <v>Bryce Benjamin</v>
          </cell>
          <cell r="D365" t="str">
            <v xml:space="preserve">Priyanka Mishra </v>
          </cell>
          <cell r="F365" t="str">
            <v>Ankit Pandey</v>
          </cell>
          <cell r="G365" t="str">
            <v>Shubham Rastogi</v>
          </cell>
          <cell r="M365" t="str">
            <v>April</v>
          </cell>
          <cell r="N365">
            <v>45763</v>
          </cell>
          <cell r="O365" t="str">
            <v>NA</v>
          </cell>
          <cell r="P365" t="str">
            <v xml:space="preserve">GPC IT </v>
          </cell>
          <cell r="R365" t="str">
            <v>FTE</v>
          </cell>
          <cell r="AA365" t="str">
            <v>NA</v>
          </cell>
          <cell r="AN365" t="str">
            <v>NA</v>
          </cell>
          <cell r="AO365">
            <v>300</v>
          </cell>
          <cell r="AP365" t="str">
            <v>Done</v>
          </cell>
        </row>
        <row r="366">
          <cell r="A366">
            <v>1</v>
          </cell>
          <cell r="B366" t="str">
            <v>Wellness Warriors - Healthcare</v>
          </cell>
          <cell r="C366" t="str">
            <v xml:space="preserve">Elliott EL-Amin </v>
          </cell>
          <cell r="D366" t="str">
            <v>Anuj Kumar</v>
          </cell>
          <cell r="F366" t="str">
            <v>Abhishek Singh</v>
          </cell>
          <cell r="M366" t="str">
            <v>April</v>
          </cell>
          <cell r="N366">
            <v>45768</v>
          </cell>
          <cell r="O366" t="str">
            <v>NA</v>
          </cell>
          <cell r="P366" t="str">
            <v>CBREX</v>
          </cell>
          <cell r="R366" t="str">
            <v>FTE</v>
          </cell>
          <cell r="AA366" t="str">
            <v>NA</v>
          </cell>
          <cell r="AN366" t="str">
            <v>NA</v>
          </cell>
          <cell r="AO366">
            <v>3500</v>
          </cell>
          <cell r="AP366" t="str">
            <v>Done</v>
          </cell>
        </row>
        <row r="367">
          <cell r="A367">
            <v>1</v>
          </cell>
          <cell r="B367" t="str">
            <v>Pioneer - Lucky</v>
          </cell>
          <cell r="C367" t="str">
            <v>Sriram Srinivasan</v>
          </cell>
          <cell r="D367" t="str">
            <v>Ansh Singh Rathore</v>
          </cell>
          <cell r="F367" t="str">
            <v>Lucky Jain</v>
          </cell>
          <cell r="G367" t="str">
            <v>Lucky Jain</v>
          </cell>
          <cell r="M367" t="str">
            <v>April</v>
          </cell>
          <cell r="N367">
            <v>45775</v>
          </cell>
          <cell r="O367">
            <v>45834</v>
          </cell>
          <cell r="P367" t="str">
            <v>LTIMindtree</v>
          </cell>
          <cell r="R367" t="str">
            <v>FTE</v>
          </cell>
          <cell r="AA367" t="str">
            <v>NA</v>
          </cell>
          <cell r="AN367" t="str">
            <v>NA</v>
          </cell>
          <cell r="AO367">
            <v>0</v>
          </cell>
          <cell r="AP367" t="str">
            <v>Done</v>
          </cell>
        </row>
        <row r="368">
          <cell r="A368">
            <v>1</v>
          </cell>
          <cell r="B368" t="str">
            <v>Titans</v>
          </cell>
          <cell r="C368" t="str">
            <v>Breanna Gonzalez</v>
          </cell>
          <cell r="D368" t="str">
            <v>Samad Quraishi</v>
          </cell>
          <cell r="F368" t="str">
            <v>Nitin Saxena</v>
          </cell>
          <cell r="G368" t="str">
            <v>Nitin Saxena</v>
          </cell>
          <cell r="M368" t="str">
            <v>April</v>
          </cell>
          <cell r="N368">
            <v>45748</v>
          </cell>
          <cell r="O368">
            <v>45829</v>
          </cell>
          <cell r="P368" t="str">
            <v>WNS</v>
          </cell>
          <cell r="R368" t="str">
            <v>FTE</v>
          </cell>
          <cell r="AA368" t="str">
            <v>NA</v>
          </cell>
          <cell r="AN368" t="str">
            <v>NA</v>
          </cell>
        </row>
        <row r="369">
          <cell r="A369">
            <v>1</v>
          </cell>
          <cell r="B369" t="str">
            <v>Titans</v>
          </cell>
          <cell r="C369" t="str">
            <v>Yuleisa Cordova</v>
          </cell>
          <cell r="D369" t="str">
            <v>Hamza</v>
          </cell>
          <cell r="F369" t="str">
            <v>Nitin Saxena</v>
          </cell>
          <cell r="G369" t="str">
            <v>Nitin Saxena</v>
          </cell>
          <cell r="M369" t="str">
            <v>April</v>
          </cell>
          <cell r="N369">
            <v>45748</v>
          </cell>
          <cell r="O369" t="str">
            <v>NA</v>
          </cell>
          <cell r="P369" t="str">
            <v>WNS</v>
          </cell>
          <cell r="R369" t="str">
            <v>FTE</v>
          </cell>
          <cell r="AA369" t="str">
            <v>NA</v>
          </cell>
          <cell r="AN369" t="str">
            <v>NA</v>
          </cell>
          <cell r="AO369">
            <v>5200</v>
          </cell>
          <cell r="AP369" t="str">
            <v>Done</v>
          </cell>
        </row>
        <row r="370">
          <cell r="A370">
            <v>1</v>
          </cell>
          <cell r="B370" t="str">
            <v>Vantedge</v>
          </cell>
          <cell r="C370" t="str">
            <v>Shekhar Patwardhan</v>
          </cell>
          <cell r="D370" t="str">
            <v> Mayank Saxena</v>
          </cell>
          <cell r="F370" t="str">
            <v>Mayank Saxena</v>
          </cell>
          <cell r="G370" t="str">
            <v>Mayank Saxena</v>
          </cell>
          <cell r="M370" t="str">
            <v>May</v>
          </cell>
          <cell r="N370">
            <v>45782</v>
          </cell>
          <cell r="O370" t="str">
            <v>NA</v>
          </cell>
          <cell r="P370" t="str">
            <v>Sutherland</v>
          </cell>
          <cell r="R370" t="str">
            <v>FTE</v>
          </cell>
          <cell r="AA370" t="str">
            <v>NA</v>
          </cell>
          <cell r="AN370" t="str">
            <v>NA</v>
          </cell>
          <cell r="AO370">
            <v>62500</v>
          </cell>
          <cell r="AP370" t="str">
            <v>Done</v>
          </cell>
        </row>
        <row r="371">
          <cell r="A371">
            <v>1</v>
          </cell>
          <cell r="B371" t="str">
            <v>Vantedge</v>
          </cell>
          <cell r="C371" t="str">
            <v>Donna Hulina</v>
          </cell>
          <cell r="D371" t="str">
            <v>Govind Srivastava</v>
          </cell>
          <cell r="F371" t="str">
            <v>Mayank Saxena</v>
          </cell>
          <cell r="G371" t="str">
            <v>Mayank Saxena</v>
          </cell>
          <cell r="M371" t="str">
            <v>May</v>
          </cell>
          <cell r="N371">
            <v>45789</v>
          </cell>
          <cell r="O371" t="str">
            <v>NA</v>
          </cell>
          <cell r="P371" t="str">
            <v>Myridius</v>
          </cell>
          <cell r="R371" t="str">
            <v>FTE</v>
          </cell>
          <cell r="AA371" t="str">
            <v>NA</v>
          </cell>
          <cell r="AN371" t="str">
            <v>NA</v>
          </cell>
          <cell r="AO371">
            <v>21600</v>
          </cell>
          <cell r="AP371" t="str">
            <v>Done</v>
          </cell>
        </row>
        <row r="372">
          <cell r="A372">
            <v>1</v>
          </cell>
          <cell r="B372" t="str">
            <v>Vantedge</v>
          </cell>
          <cell r="C372" t="str">
            <v>Shawn Elkon</v>
          </cell>
          <cell r="D372" t="str">
            <v>Priyansh Khare</v>
          </cell>
          <cell r="F372" t="str">
            <v>Umar Mujahid</v>
          </cell>
          <cell r="G372" t="str">
            <v>Anshul Kumar</v>
          </cell>
          <cell r="M372" t="str">
            <v>May</v>
          </cell>
          <cell r="N372">
            <v>45782</v>
          </cell>
          <cell r="O372" t="str">
            <v>NA</v>
          </cell>
          <cell r="P372" t="str">
            <v>Tech Mahindra</v>
          </cell>
          <cell r="R372" t="str">
            <v>FTE</v>
          </cell>
          <cell r="AA372" t="str">
            <v>NA</v>
          </cell>
          <cell r="AN372" t="str">
            <v>NA</v>
          </cell>
          <cell r="AO372">
            <v>18326</v>
          </cell>
          <cell r="AP372" t="str">
            <v>Done</v>
          </cell>
        </row>
        <row r="373">
          <cell r="A373">
            <v>1</v>
          </cell>
          <cell r="B373" t="str">
            <v>Mavericks</v>
          </cell>
          <cell r="C373" t="str">
            <v xml:space="preserve">Scott Houghton </v>
          </cell>
          <cell r="D373" t="str">
            <v>Yogesh Bisht</v>
          </cell>
          <cell r="F373" t="str">
            <v>Rohit Gupta</v>
          </cell>
          <cell r="G373" t="str">
            <v>Yogesh Bisht</v>
          </cell>
          <cell r="M373" t="str">
            <v>May</v>
          </cell>
          <cell r="N373">
            <v>45789</v>
          </cell>
          <cell r="O373" t="str">
            <v>NA</v>
          </cell>
          <cell r="P373" t="str">
            <v>Mphasis</v>
          </cell>
          <cell r="R373" t="str">
            <v>FTE</v>
          </cell>
          <cell r="AA373" t="str">
            <v>NA</v>
          </cell>
          <cell r="AN373" t="str">
            <v>NA</v>
          </cell>
          <cell r="AO373">
            <v>3000</v>
          </cell>
          <cell r="AP373" t="str">
            <v>Done</v>
          </cell>
        </row>
        <row r="374">
          <cell r="A374">
            <v>1</v>
          </cell>
          <cell r="B374" t="str">
            <v>Vantedge</v>
          </cell>
          <cell r="C374" t="str">
            <v>Sergie Smirnov</v>
          </cell>
          <cell r="D374" t="str">
            <v>Pulkit Prakash</v>
          </cell>
          <cell r="F374" t="str">
            <v>Raunak Tripathi</v>
          </cell>
          <cell r="G374" t="str">
            <v>Raunak Tripathi</v>
          </cell>
          <cell r="M374" t="str">
            <v>May</v>
          </cell>
          <cell r="N374">
            <v>45804</v>
          </cell>
          <cell r="O374" t="str">
            <v>NA</v>
          </cell>
          <cell r="P374" t="str">
            <v>Kale Logistics</v>
          </cell>
          <cell r="R374" t="str">
            <v>FTE</v>
          </cell>
          <cell r="AA374" t="str">
            <v>NA</v>
          </cell>
          <cell r="AN374" t="str">
            <v>NA</v>
          </cell>
          <cell r="AO374">
            <v>12543.96</v>
          </cell>
          <cell r="AP374" t="str">
            <v>Done</v>
          </cell>
        </row>
        <row r="375">
          <cell r="A375">
            <v>1</v>
          </cell>
          <cell r="B375" t="str">
            <v>Mavericks</v>
          </cell>
          <cell r="C375" t="str">
            <v>Kannan Mohan</v>
          </cell>
          <cell r="D375" t="str">
            <v>Passthrough</v>
          </cell>
          <cell r="F375" t="str">
            <v>Rohit Gupta</v>
          </cell>
          <cell r="M375" t="str">
            <v>May</v>
          </cell>
          <cell r="N375">
            <v>45796</v>
          </cell>
          <cell r="O375" t="str">
            <v>NA</v>
          </cell>
          <cell r="P375" t="str">
            <v>CoForge</v>
          </cell>
          <cell r="R375" t="str">
            <v>FTE</v>
          </cell>
          <cell r="AA375" t="str">
            <v>NA</v>
          </cell>
          <cell r="AN375" t="str">
            <v>NA</v>
          </cell>
          <cell r="AO375">
            <v>3000</v>
          </cell>
          <cell r="AP375" t="str">
            <v>Done</v>
          </cell>
        </row>
        <row r="376">
          <cell r="A376">
            <v>1</v>
          </cell>
          <cell r="B376" t="str">
            <v>Mavericks</v>
          </cell>
          <cell r="C376" t="str">
            <v>Ramesh Adapa</v>
          </cell>
          <cell r="D376" t="str">
            <v>Anuj Tewari</v>
          </cell>
          <cell r="F376" t="str">
            <v>Rohit Gupta</v>
          </cell>
          <cell r="M376" t="str">
            <v>May</v>
          </cell>
          <cell r="N376">
            <v>45804</v>
          </cell>
          <cell r="O376" t="str">
            <v>NA</v>
          </cell>
          <cell r="P376" t="str">
            <v>CoForge</v>
          </cell>
          <cell r="R376" t="str">
            <v>FTE</v>
          </cell>
          <cell r="AA376" t="str">
            <v>NA</v>
          </cell>
          <cell r="AN376" t="str">
            <v>NA</v>
          </cell>
          <cell r="AO376">
            <v>3000</v>
          </cell>
          <cell r="AP376" t="str">
            <v>Done</v>
          </cell>
        </row>
        <row r="377">
          <cell r="A377">
            <v>1</v>
          </cell>
          <cell r="B377" t="str">
            <v>Titans</v>
          </cell>
          <cell r="C377" t="str">
            <v>India Pietenpol</v>
          </cell>
          <cell r="D377" t="str">
            <v>Hamza</v>
          </cell>
          <cell r="F377" t="str">
            <v>Nitin Saxena</v>
          </cell>
          <cell r="G377" t="str">
            <v>Nitin Saxena</v>
          </cell>
          <cell r="M377" t="str">
            <v>May</v>
          </cell>
          <cell r="N377">
            <v>45797</v>
          </cell>
          <cell r="O377" t="str">
            <v>NA</v>
          </cell>
          <cell r="P377" t="str">
            <v>WNS</v>
          </cell>
          <cell r="R377" t="str">
            <v>FTE</v>
          </cell>
          <cell r="AA377" t="str">
            <v>NA</v>
          </cell>
          <cell r="AN377" t="str">
            <v>NA</v>
          </cell>
          <cell r="AO377">
            <v>4992</v>
          </cell>
          <cell r="AP377" t="str">
            <v>Done</v>
          </cell>
        </row>
        <row r="378">
          <cell r="A378">
            <v>1</v>
          </cell>
          <cell r="B378" t="str">
            <v>Titans</v>
          </cell>
          <cell r="C378" t="str">
            <v>Gaffney Neptune</v>
          </cell>
          <cell r="D378" t="str">
            <v>Hamza</v>
          </cell>
          <cell r="F378" t="str">
            <v>Nitin Saxena</v>
          </cell>
          <cell r="G378" t="str">
            <v>Nitin Saxena</v>
          </cell>
          <cell r="M378" t="str">
            <v>May</v>
          </cell>
          <cell r="N378">
            <v>45797</v>
          </cell>
          <cell r="O378" t="str">
            <v>NA</v>
          </cell>
          <cell r="P378" t="str">
            <v>WNS</v>
          </cell>
          <cell r="R378" t="str">
            <v>FTE</v>
          </cell>
          <cell r="AA378" t="str">
            <v>NA</v>
          </cell>
          <cell r="AN378" t="str">
            <v>NA</v>
          </cell>
          <cell r="AO378">
            <v>4992</v>
          </cell>
          <cell r="AP378" t="str">
            <v>Done</v>
          </cell>
        </row>
        <row r="379">
          <cell r="A379">
            <v>1</v>
          </cell>
          <cell r="B379" t="str">
            <v>Titans</v>
          </cell>
          <cell r="C379" t="str">
            <v xml:space="preserve">Kaitlyn Caron </v>
          </cell>
          <cell r="D379" t="str">
            <v>Hamza</v>
          </cell>
          <cell r="F379" t="str">
            <v>Nitin Saxena</v>
          </cell>
          <cell r="G379" t="str">
            <v>Nitin Saxena</v>
          </cell>
          <cell r="M379" t="str">
            <v>May</v>
          </cell>
          <cell r="N379">
            <v>45797</v>
          </cell>
          <cell r="O379" t="str">
            <v>NA</v>
          </cell>
          <cell r="P379" t="str">
            <v>WNS</v>
          </cell>
          <cell r="R379" t="str">
            <v>FTE</v>
          </cell>
          <cell r="AA379" t="str">
            <v>NA</v>
          </cell>
          <cell r="AN379" t="str">
            <v>NA</v>
          </cell>
          <cell r="AO379">
            <v>4992</v>
          </cell>
          <cell r="AP379" t="str">
            <v>Done</v>
          </cell>
        </row>
        <row r="380">
          <cell r="A380">
            <v>1</v>
          </cell>
          <cell r="B380" t="str">
            <v>Wellness Warriors-IT</v>
          </cell>
          <cell r="C380" t="str">
            <v>Trenton Cain</v>
          </cell>
          <cell r="D380" t="str">
            <v xml:space="preserve">Hemant Kumar </v>
          </cell>
          <cell r="F380" t="str">
            <v>Akash Saxena</v>
          </cell>
          <cell r="M380" t="str">
            <v>May</v>
          </cell>
          <cell r="N380">
            <v>45796</v>
          </cell>
          <cell r="O380">
            <v>45831</v>
          </cell>
          <cell r="P380" t="str">
            <v xml:space="preserve">CitiusTech </v>
          </cell>
          <cell r="R380" t="str">
            <v>FTE</v>
          </cell>
          <cell r="AA380" t="str">
            <v>NA</v>
          </cell>
          <cell r="AN380" t="str">
            <v>NA</v>
          </cell>
          <cell r="AO380">
            <v>0</v>
          </cell>
          <cell r="AP380" t="str">
            <v>Done</v>
          </cell>
        </row>
        <row r="381">
          <cell r="A381">
            <v>1</v>
          </cell>
          <cell r="B381" t="str">
            <v>Pioneer RPO</v>
          </cell>
          <cell r="C381" t="str">
            <v>Sean Corcoran</v>
          </cell>
          <cell r="D381" t="str">
            <v>Shubham Rastogi</v>
          </cell>
          <cell r="F381" t="str">
            <v>Ankit Pandey</v>
          </cell>
          <cell r="G381" t="str">
            <v>Shubham Rastogi</v>
          </cell>
          <cell r="M381" t="str">
            <v>May</v>
          </cell>
          <cell r="N381">
            <v>45782</v>
          </cell>
          <cell r="O381" t="str">
            <v>NA</v>
          </cell>
          <cell r="P381" t="str">
            <v xml:space="preserve">GPC IT </v>
          </cell>
          <cell r="R381" t="str">
            <v>FTE</v>
          </cell>
          <cell r="AA381" t="str">
            <v>NA</v>
          </cell>
          <cell r="AN381" t="str">
            <v>NA</v>
          </cell>
          <cell r="AO381">
            <v>300</v>
          </cell>
          <cell r="AP381" t="str">
            <v>Done</v>
          </cell>
        </row>
        <row r="382">
          <cell r="A382">
            <v>1</v>
          </cell>
          <cell r="B382" t="str">
            <v>Pioneer RPO</v>
          </cell>
          <cell r="C382" t="str">
            <v>Brian Greene</v>
          </cell>
          <cell r="D382" t="str">
            <v>Shubham Rastogi</v>
          </cell>
          <cell r="F382" t="str">
            <v>Ankit Pandey</v>
          </cell>
          <cell r="G382" t="str">
            <v>Shubham Rastogi</v>
          </cell>
          <cell r="M382" t="str">
            <v>May</v>
          </cell>
          <cell r="N382">
            <v>45782</v>
          </cell>
          <cell r="O382" t="str">
            <v>NA</v>
          </cell>
          <cell r="P382" t="str">
            <v xml:space="preserve">GPC IT </v>
          </cell>
          <cell r="R382" t="str">
            <v>FTE</v>
          </cell>
          <cell r="AA382" t="str">
            <v>NA</v>
          </cell>
          <cell r="AN382" t="str">
            <v>NA</v>
          </cell>
          <cell r="AO382">
            <v>3000</v>
          </cell>
          <cell r="AP382" t="str">
            <v>Done</v>
          </cell>
        </row>
        <row r="383">
          <cell r="A383">
            <v>1</v>
          </cell>
          <cell r="B383" t="str">
            <v>Pioneer RPO</v>
          </cell>
          <cell r="C383" t="str">
            <v>Shirley Olotu</v>
          </cell>
          <cell r="D383" t="str">
            <v>Sagar Chandani</v>
          </cell>
          <cell r="F383" t="str">
            <v>Ankit Pandey</v>
          </cell>
          <cell r="G383" t="str">
            <v>Shubham Rastogi</v>
          </cell>
          <cell r="M383" t="str">
            <v>May</v>
          </cell>
          <cell r="N383">
            <v>45789</v>
          </cell>
          <cell r="O383" t="str">
            <v>NA</v>
          </cell>
          <cell r="P383" t="str">
            <v xml:space="preserve">GPC IT </v>
          </cell>
          <cell r="R383" t="str">
            <v>FTE</v>
          </cell>
          <cell r="AA383" t="str">
            <v>NA</v>
          </cell>
          <cell r="AN383" t="str">
            <v>NA</v>
          </cell>
          <cell r="AO383">
            <v>3000</v>
          </cell>
          <cell r="AP383" t="str">
            <v>Done</v>
          </cell>
        </row>
        <row r="384">
          <cell r="A384">
            <v>1</v>
          </cell>
          <cell r="B384" t="str">
            <v>Titans/Pioneer RPO</v>
          </cell>
          <cell r="C384" t="str">
            <v>Ilavarasi Muthuraman</v>
          </cell>
          <cell r="D384" t="str">
            <v>Saksham Srivastav</v>
          </cell>
          <cell r="F384" t="str">
            <v>Aditya Yadav</v>
          </cell>
          <cell r="G384" t="str">
            <v>Ankit Pandey(RPO)</v>
          </cell>
          <cell r="M384" t="str">
            <v>June</v>
          </cell>
          <cell r="N384">
            <v>45817</v>
          </cell>
          <cell r="O384" t="str">
            <v>NA</v>
          </cell>
          <cell r="P384" t="str">
            <v>Cyient</v>
          </cell>
          <cell r="R384" t="str">
            <v>FTE</v>
          </cell>
          <cell r="AA384" t="str">
            <v>NA</v>
          </cell>
          <cell r="AN384" t="str">
            <v>NA</v>
          </cell>
          <cell r="AO384">
            <v>4500</v>
          </cell>
          <cell r="AP384" t="str">
            <v>Done</v>
          </cell>
        </row>
        <row r="385">
          <cell r="A385">
            <v>1</v>
          </cell>
          <cell r="B385" t="str">
            <v>Titans</v>
          </cell>
          <cell r="C385" t="str">
            <v>LaTrina White</v>
          </cell>
          <cell r="D385" t="str">
            <v>Shubham Yadav</v>
          </cell>
          <cell r="F385" t="str">
            <v>Aditya Yadav</v>
          </cell>
          <cell r="G385" t="str">
            <v>Aditya Yadav</v>
          </cell>
          <cell r="M385" t="str">
            <v>June</v>
          </cell>
          <cell r="N385">
            <v>45817</v>
          </cell>
          <cell r="O385">
            <v>45870</v>
          </cell>
          <cell r="P385" t="str">
            <v>Cyient/Parker Aerospace</v>
          </cell>
          <cell r="R385" t="str">
            <v>FTE</v>
          </cell>
          <cell r="AA385" t="str">
            <v>NA</v>
          </cell>
          <cell r="AN385" t="str">
            <v>NA</v>
          </cell>
          <cell r="AP385" t="str">
            <v>Done</v>
          </cell>
        </row>
        <row r="386">
          <cell r="A386">
            <v>1</v>
          </cell>
          <cell r="B386" t="str">
            <v>CSK/Vantedge</v>
          </cell>
          <cell r="C386" t="str">
            <v>Scot Shields</v>
          </cell>
          <cell r="D386" t="str">
            <v>M Harinath</v>
          </cell>
          <cell r="F386" t="str">
            <v>Mayank Saxena</v>
          </cell>
          <cell r="G386" t="str">
            <v>Vinoth L</v>
          </cell>
          <cell r="M386" t="str">
            <v>June</v>
          </cell>
          <cell r="N386">
            <v>45817</v>
          </cell>
          <cell r="O386" t="str">
            <v>NA</v>
          </cell>
          <cell r="P386" t="str">
            <v>Tredence</v>
          </cell>
          <cell r="R386" t="str">
            <v>FTE</v>
          </cell>
          <cell r="AA386" t="str">
            <v>NA</v>
          </cell>
          <cell r="AN386" t="str">
            <v>NA</v>
          </cell>
          <cell r="AO386">
            <v>16800</v>
          </cell>
          <cell r="AP386" t="str">
            <v>Done</v>
          </cell>
        </row>
        <row r="387">
          <cell r="A387">
            <v>1</v>
          </cell>
          <cell r="B387" t="str">
            <v>Vantedge</v>
          </cell>
          <cell r="C387" t="str">
            <v>Taylor Carlson</v>
          </cell>
          <cell r="D387" t="str">
            <v>Umar M</v>
          </cell>
          <cell r="F387" t="str">
            <v>Umar Mujahid</v>
          </cell>
          <cell r="G387" t="str">
            <v>Umar Mujahid</v>
          </cell>
          <cell r="M387" t="str">
            <v>June</v>
          </cell>
          <cell r="N387">
            <v>45811</v>
          </cell>
          <cell r="O387" t="str">
            <v>NA</v>
          </cell>
          <cell r="P387" t="str">
            <v>PocketFM</v>
          </cell>
          <cell r="R387" t="str">
            <v>FTE</v>
          </cell>
          <cell r="AA387" t="str">
            <v>NA</v>
          </cell>
          <cell r="AN387" t="str">
            <v>NA</v>
          </cell>
          <cell r="AO387">
            <v>37600</v>
          </cell>
          <cell r="AP387" t="str">
            <v>Done</v>
          </cell>
        </row>
        <row r="388">
          <cell r="A388">
            <v>1</v>
          </cell>
          <cell r="B388" t="str">
            <v>Vantedge</v>
          </cell>
          <cell r="C388" t="str">
            <v>Sandeep Sanon</v>
          </cell>
          <cell r="D388" t="str">
            <v>Pulkit Prakash</v>
          </cell>
          <cell r="F388" t="str">
            <v>Raunak Tripathi</v>
          </cell>
          <cell r="G388" t="str">
            <v>Raunak Tripathi</v>
          </cell>
          <cell r="M388" t="str">
            <v>June</v>
          </cell>
          <cell r="N388">
            <v>45810</v>
          </cell>
          <cell r="O388" t="str">
            <v>NA</v>
          </cell>
          <cell r="P388" t="str">
            <v>LTIM</v>
          </cell>
          <cell r="R388" t="str">
            <v>FTE</v>
          </cell>
          <cell r="AA388" t="str">
            <v>NA</v>
          </cell>
          <cell r="AN388" t="str">
            <v>NA</v>
          </cell>
          <cell r="AO388">
            <v>28350</v>
          </cell>
          <cell r="AP388" t="str">
            <v>Done</v>
          </cell>
        </row>
        <row r="389">
          <cell r="A389">
            <v>1</v>
          </cell>
          <cell r="B389" t="str">
            <v>Trust</v>
          </cell>
          <cell r="C389" t="str">
            <v>Madan Parajuli</v>
          </cell>
          <cell r="D389" t="str">
            <v>Harsh Shukla</v>
          </cell>
          <cell r="F389" t="str">
            <v>Bhanu Pratap Singh</v>
          </cell>
          <cell r="G389" t="str">
            <v>Harsh Agrawal</v>
          </cell>
          <cell r="M389" t="str">
            <v>June</v>
          </cell>
          <cell r="N389">
            <v>45827</v>
          </cell>
          <cell r="O389" t="str">
            <v>NA</v>
          </cell>
          <cell r="P389" t="str">
            <v>Infosys</v>
          </cell>
          <cell r="R389" t="str">
            <v>FTE</v>
          </cell>
          <cell r="AA389" t="str">
            <v>NA</v>
          </cell>
          <cell r="AN389" t="str">
            <v>NA</v>
          </cell>
          <cell r="AO389">
            <v>3500</v>
          </cell>
          <cell r="AP389" t="str">
            <v>Done</v>
          </cell>
        </row>
        <row r="390">
          <cell r="A390">
            <v>1</v>
          </cell>
          <cell r="B390" t="str">
            <v>Trust</v>
          </cell>
          <cell r="C390" t="str">
            <v>Jagdeep Singh Choudhary</v>
          </cell>
          <cell r="D390" t="str">
            <v>Aarzoo Khan</v>
          </cell>
          <cell r="F390" t="str">
            <v>Bhanu Pratap Singh</v>
          </cell>
          <cell r="G390" t="str">
            <v>Harsh Agrawal</v>
          </cell>
          <cell r="M390" t="str">
            <v>June</v>
          </cell>
          <cell r="N390">
            <v>45831</v>
          </cell>
          <cell r="O390" t="str">
            <v>NA</v>
          </cell>
          <cell r="P390" t="str">
            <v>Infosys</v>
          </cell>
          <cell r="R390" t="str">
            <v>FTE</v>
          </cell>
          <cell r="AA390" t="str">
            <v>NA</v>
          </cell>
          <cell r="AN390" t="str">
            <v>NA</v>
          </cell>
          <cell r="AO390">
            <v>3500</v>
          </cell>
          <cell r="AP390" t="str">
            <v>Done</v>
          </cell>
        </row>
        <row r="391">
          <cell r="A391">
            <v>1</v>
          </cell>
          <cell r="B391" t="str">
            <v>Trust</v>
          </cell>
          <cell r="C391" t="str">
            <v>Lakshmi Priya Makani</v>
          </cell>
          <cell r="D391" t="str">
            <v>Harsh Shukla</v>
          </cell>
          <cell r="F391" t="str">
            <v>Bhanu Pratap Singh</v>
          </cell>
          <cell r="G391" t="str">
            <v>Harsh Agrawal</v>
          </cell>
          <cell r="M391" t="str">
            <v>June</v>
          </cell>
          <cell r="N391">
            <v>45834</v>
          </cell>
          <cell r="O391" t="str">
            <v>NA</v>
          </cell>
          <cell r="P391" t="str">
            <v>Infosys</v>
          </cell>
          <cell r="R391" t="str">
            <v>FTE</v>
          </cell>
          <cell r="AA391" t="str">
            <v>NA</v>
          </cell>
          <cell r="AN391" t="str">
            <v>NA</v>
          </cell>
          <cell r="AO391">
            <v>3500</v>
          </cell>
          <cell r="AP391" t="str">
            <v>Done</v>
          </cell>
        </row>
        <row r="392">
          <cell r="A392">
            <v>1</v>
          </cell>
          <cell r="B392" t="str">
            <v>Trust</v>
          </cell>
          <cell r="C392" t="str">
            <v>Namuna Adhikari</v>
          </cell>
          <cell r="D392" t="str">
            <v>Aman Singh Chauhan</v>
          </cell>
          <cell r="F392" t="str">
            <v>Bhanu Pratap Singh</v>
          </cell>
          <cell r="G392" t="str">
            <v>Shashank Yadav</v>
          </cell>
          <cell r="M392" t="str">
            <v>June</v>
          </cell>
          <cell r="N392">
            <v>45838</v>
          </cell>
          <cell r="O392" t="str">
            <v>NA</v>
          </cell>
          <cell r="P392" t="str">
            <v>Infosys</v>
          </cell>
          <cell r="R392" t="str">
            <v>FTE</v>
          </cell>
          <cell r="AA392" t="str">
            <v>NA</v>
          </cell>
          <cell r="AN392" t="str">
            <v>NA</v>
          </cell>
          <cell r="AO392">
            <v>3500</v>
          </cell>
          <cell r="AP392" t="str">
            <v>Done</v>
          </cell>
        </row>
        <row r="393">
          <cell r="A393">
            <v>1</v>
          </cell>
          <cell r="B393" t="str">
            <v>CSK</v>
          </cell>
          <cell r="C393" t="str">
            <v>Phanichander Katakam</v>
          </cell>
          <cell r="D393" t="str">
            <v>M Harinath</v>
          </cell>
          <cell r="F393" t="str">
            <v>Vinoth L</v>
          </cell>
          <cell r="M393" t="str">
            <v>June</v>
          </cell>
          <cell r="N393">
            <v>45824</v>
          </cell>
          <cell r="O393" t="str">
            <v>NA</v>
          </cell>
          <cell r="P393" t="str">
            <v>Apexon</v>
          </cell>
          <cell r="R393" t="str">
            <v>FTE</v>
          </cell>
          <cell r="AA393" t="str">
            <v>NA</v>
          </cell>
          <cell r="AN393" t="str">
            <v>NA</v>
          </cell>
          <cell r="AO393">
            <v>9579.5</v>
          </cell>
          <cell r="AP393" t="str">
            <v>Done</v>
          </cell>
        </row>
        <row r="394">
          <cell r="A394">
            <v>1</v>
          </cell>
          <cell r="B394" t="str">
            <v>Wellness Warriors-IT</v>
          </cell>
          <cell r="C394" t="str">
            <v>Abdul Aziz Khan</v>
          </cell>
          <cell r="D394" t="str">
            <v>Ravi Yadav</v>
          </cell>
          <cell r="F394" t="str">
            <v>Akash Saxena</v>
          </cell>
          <cell r="M394" t="str">
            <v>June</v>
          </cell>
          <cell r="N394">
            <v>45838</v>
          </cell>
          <cell r="O394">
            <v>45856</v>
          </cell>
          <cell r="P394" t="str">
            <v xml:space="preserve">CitiusTech </v>
          </cell>
          <cell r="R394" t="str">
            <v>FTE</v>
          </cell>
          <cell r="AA394" t="str">
            <v>NA</v>
          </cell>
          <cell r="AN394" t="str">
            <v>NA</v>
          </cell>
          <cell r="AP394" t="str">
            <v>Done</v>
          </cell>
        </row>
        <row r="395">
          <cell r="A395">
            <v>1</v>
          </cell>
          <cell r="B395" t="str">
            <v>Wellness Warriors-IT</v>
          </cell>
          <cell r="C395" t="str">
            <v>Viswanadh Allam</v>
          </cell>
          <cell r="D395" t="str">
            <v>Ravi Yadav</v>
          </cell>
          <cell r="F395" t="str">
            <v>Akash Saxena</v>
          </cell>
          <cell r="M395" t="str">
            <v>June</v>
          </cell>
          <cell r="N395">
            <v>45838</v>
          </cell>
          <cell r="O395" t="str">
            <v>NA</v>
          </cell>
          <cell r="P395" t="str">
            <v>Wipro</v>
          </cell>
          <cell r="R395" t="str">
            <v>FTE</v>
          </cell>
          <cell r="AA395" t="str">
            <v>NA</v>
          </cell>
          <cell r="AN395" t="str">
            <v>NA</v>
          </cell>
          <cell r="AO395">
            <v>1500</v>
          </cell>
          <cell r="AP395" t="str">
            <v>Done</v>
          </cell>
        </row>
        <row r="396">
          <cell r="A396">
            <v>1</v>
          </cell>
          <cell r="B396" t="str">
            <v>Pioneer RPO</v>
          </cell>
          <cell r="C396" t="str">
            <v>Puneet Aggarwal</v>
          </cell>
          <cell r="D396" t="str">
            <v>Shubham Rastogi</v>
          </cell>
          <cell r="F396" t="str">
            <v>Ankit Pandey</v>
          </cell>
          <cell r="G396" t="str">
            <v>Shubham Rastogi</v>
          </cell>
          <cell r="M396" t="str">
            <v>June</v>
          </cell>
          <cell r="N396">
            <v>45809</v>
          </cell>
          <cell r="O396" t="str">
            <v>NA</v>
          </cell>
          <cell r="P396" t="str">
            <v xml:space="preserve">GPC IT </v>
          </cell>
          <cell r="R396" t="str">
            <v>FTE</v>
          </cell>
          <cell r="AA396" t="str">
            <v>NA</v>
          </cell>
          <cell r="AN396" t="str">
            <v>NA</v>
          </cell>
          <cell r="AO396">
            <v>300</v>
          </cell>
          <cell r="AP396" t="str">
            <v>Done</v>
          </cell>
        </row>
        <row r="397">
          <cell r="A397">
            <v>1</v>
          </cell>
          <cell r="B397" t="str">
            <v>Pioneer RPO</v>
          </cell>
          <cell r="C397" t="str">
            <v>Porayath Sankar</v>
          </cell>
          <cell r="D397" t="str">
            <v>Shubham Rastogi</v>
          </cell>
          <cell r="F397" t="str">
            <v>Ankit Pandey</v>
          </cell>
          <cell r="G397" t="str">
            <v>Shubham Rastogi</v>
          </cell>
          <cell r="M397" t="str">
            <v>June</v>
          </cell>
          <cell r="N397">
            <v>45824</v>
          </cell>
          <cell r="O397" t="str">
            <v>NA</v>
          </cell>
          <cell r="P397" t="str">
            <v xml:space="preserve">GPC IT </v>
          </cell>
          <cell r="R397" t="str">
            <v>FTE</v>
          </cell>
          <cell r="AA397" t="str">
            <v>NA</v>
          </cell>
          <cell r="AN397" t="str">
            <v>NA</v>
          </cell>
          <cell r="AO397">
            <v>300</v>
          </cell>
          <cell r="AP397" t="str">
            <v>Done</v>
          </cell>
        </row>
        <row r="398">
          <cell r="A398">
            <v>1</v>
          </cell>
          <cell r="B398" t="str">
            <v>Pioneer RPO</v>
          </cell>
          <cell r="C398" t="str">
            <v>Ansar Shaik</v>
          </cell>
          <cell r="D398" t="str">
            <v>Shubham Rastogi</v>
          </cell>
          <cell r="F398" t="str">
            <v>Ankit Pandey</v>
          </cell>
          <cell r="G398" t="str">
            <v>Shubham Rastogi</v>
          </cell>
          <cell r="M398" t="str">
            <v>June</v>
          </cell>
          <cell r="N398">
            <v>45838</v>
          </cell>
          <cell r="O398" t="str">
            <v>NA</v>
          </cell>
          <cell r="P398" t="str">
            <v xml:space="preserve">GPC IT </v>
          </cell>
          <cell r="R398" t="str">
            <v>FTE</v>
          </cell>
          <cell r="AA398" t="str">
            <v>NA</v>
          </cell>
          <cell r="AN398" t="str">
            <v>NA</v>
          </cell>
          <cell r="AO398">
            <v>3000</v>
          </cell>
          <cell r="AP398" t="str">
            <v>Done</v>
          </cell>
        </row>
        <row r="399">
          <cell r="A399">
            <v>1</v>
          </cell>
          <cell r="B399" t="str">
            <v>Pioneer RPO</v>
          </cell>
          <cell r="C399" t="str">
            <v>Paul Hamby</v>
          </cell>
          <cell r="D399" t="str">
            <v xml:space="preserve">Priyanka Mishra </v>
          </cell>
          <cell r="F399" t="str">
            <v>Ankit Pandey</v>
          </cell>
          <cell r="G399" t="str">
            <v>Shubham Rastogi</v>
          </cell>
          <cell r="M399" t="str">
            <v>June</v>
          </cell>
          <cell r="N399">
            <v>45838</v>
          </cell>
          <cell r="O399" t="str">
            <v>NA</v>
          </cell>
          <cell r="P399" t="str">
            <v xml:space="preserve">GPC IT </v>
          </cell>
          <cell r="R399" t="str">
            <v>FTE</v>
          </cell>
          <cell r="AA399" t="str">
            <v>NA</v>
          </cell>
          <cell r="AN399" t="str">
            <v>NA</v>
          </cell>
          <cell r="AO399">
            <v>300</v>
          </cell>
          <cell r="AP399" t="str">
            <v>Done</v>
          </cell>
        </row>
        <row r="400">
          <cell r="A400">
            <v>1</v>
          </cell>
          <cell r="B400" t="str">
            <v>Pioneer RPO</v>
          </cell>
          <cell r="C400" t="str">
            <v>Lindsay Devereaux</v>
          </cell>
          <cell r="D400" t="str">
            <v>Sagar Chandani</v>
          </cell>
          <cell r="F400" t="str">
            <v>Ankit Pandey</v>
          </cell>
          <cell r="G400" t="str">
            <v>Shubham Rastogi</v>
          </cell>
          <cell r="M400" t="str">
            <v>June</v>
          </cell>
          <cell r="N400">
            <v>45831</v>
          </cell>
          <cell r="O400" t="str">
            <v>NA</v>
          </cell>
          <cell r="P400" t="str">
            <v xml:space="preserve">GPC IT </v>
          </cell>
          <cell r="R400" t="str">
            <v>FTE</v>
          </cell>
          <cell r="AA400" t="str">
            <v>NA</v>
          </cell>
          <cell r="AN400" t="str">
            <v>NA</v>
          </cell>
          <cell r="AO400">
            <v>300</v>
          </cell>
          <cell r="AP400" t="str">
            <v>Done</v>
          </cell>
        </row>
        <row r="401">
          <cell r="A401">
            <v>1</v>
          </cell>
          <cell r="B401" t="str">
            <v>Titans</v>
          </cell>
          <cell r="C401" t="str">
            <v xml:space="preserve">Bassam Elazzeh </v>
          </cell>
          <cell r="D401" t="str">
            <v>Aditya Yadav</v>
          </cell>
          <cell r="F401" t="str">
            <v>Aditya Yadav</v>
          </cell>
          <cell r="G401" t="str">
            <v>Aditya Yadav</v>
          </cell>
          <cell r="M401" t="str">
            <v>July</v>
          </cell>
          <cell r="N401">
            <v>45839</v>
          </cell>
          <cell r="O401" t="str">
            <v>NA</v>
          </cell>
          <cell r="P401" t="str">
            <v>LTTS/Nokia</v>
          </cell>
          <cell r="R401" t="str">
            <v>FTE</v>
          </cell>
          <cell r="AA401" t="str">
            <v>NA</v>
          </cell>
          <cell r="AN401" t="str">
            <v>NA</v>
          </cell>
          <cell r="AO401">
            <v>6597</v>
          </cell>
          <cell r="AP401" t="str">
            <v>Done</v>
          </cell>
        </row>
        <row r="402">
          <cell r="A402">
            <v>1</v>
          </cell>
          <cell r="B402" t="str">
            <v>Vantedge</v>
          </cell>
          <cell r="C402" t="str">
            <v>Inderpuneet Sohanpal</v>
          </cell>
          <cell r="D402" t="str">
            <v>Govind Srivastava</v>
          </cell>
          <cell r="F402" t="str">
            <v>Raunak Tripathi</v>
          </cell>
          <cell r="G402" t="str">
            <v>Mayank Saxena</v>
          </cell>
          <cell r="M402" t="str">
            <v>July</v>
          </cell>
          <cell r="N402">
            <v>45845</v>
          </cell>
          <cell r="O402" t="str">
            <v>NA</v>
          </cell>
          <cell r="P402" t="str">
            <v>Visionet</v>
          </cell>
          <cell r="R402" t="str">
            <v>FTE</v>
          </cell>
          <cell r="AA402" t="str">
            <v>NA</v>
          </cell>
          <cell r="AN402" t="str">
            <v>NA</v>
          </cell>
          <cell r="AO402">
            <v>40500</v>
          </cell>
          <cell r="AP402" t="str">
            <v>Done</v>
          </cell>
        </row>
        <row r="403">
          <cell r="A403">
            <v>1</v>
          </cell>
          <cell r="B403" t="str">
            <v>Vantedge</v>
          </cell>
          <cell r="C403" t="str">
            <v>Ramkishen Kalyana</v>
          </cell>
          <cell r="D403" t="str">
            <v>Umang Srivastava</v>
          </cell>
          <cell r="F403" t="str">
            <v>Mayank Saxena</v>
          </cell>
          <cell r="G403" t="str">
            <v>Mayank Saxena</v>
          </cell>
          <cell r="M403" t="str">
            <v>July</v>
          </cell>
          <cell r="N403">
            <v>45840</v>
          </cell>
          <cell r="O403" t="str">
            <v>NA</v>
          </cell>
          <cell r="P403" t="str">
            <v>Sutherland</v>
          </cell>
          <cell r="R403" t="str">
            <v>FTE</v>
          </cell>
          <cell r="AA403" t="str">
            <v>NA</v>
          </cell>
          <cell r="AN403" t="str">
            <v>NA</v>
          </cell>
          <cell r="AO403">
            <v>57500</v>
          </cell>
          <cell r="AP403" t="str">
            <v>Done</v>
          </cell>
        </row>
        <row r="404">
          <cell r="A404">
            <v>1</v>
          </cell>
          <cell r="B404" t="str">
            <v>Vantedge</v>
          </cell>
          <cell r="C404" t="str">
            <v>Satheesh Naik</v>
          </cell>
          <cell r="D404" t="str">
            <v>Govind Srivastava</v>
          </cell>
          <cell r="F404" t="str">
            <v>Mayank Saxena</v>
          </cell>
          <cell r="G404" t="str">
            <v>Mayank Saxena</v>
          </cell>
          <cell r="M404" t="str">
            <v>July</v>
          </cell>
          <cell r="N404">
            <v>45848</v>
          </cell>
          <cell r="O404" t="str">
            <v>NA</v>
          </cell>
          <cell r="P404" t="str">
            <v>Sutherland</v>
          </cell>
          <cell r="R404" t="str">
            <v>FTE</v>
          </cell>
          <cell r="AA404" t="str">
            <v>NA</v>
          </cell>
          <cell r="AN404" t="str">
            <v>NA</v>
          </cell>
          <cell r="AO404">
            <v>60000</v>
          </cell>
          <cell r="AP404" t="str">
            <v>Done</v>
          </cell>
        </row>
        <row r="405">
          <cell r="A405">
            <v>1</v>
          </cell>
          <cell r="B405" t="str">
            <v>Vantedge</v>
          </cell>
          <cell r="C405" t="str">
            <v>Robert Gonzalez</v>
          </cell>
          <cell r="D405" t="str">
            <v>Pulkit Prakash</v>
          </cell>
          <cell r="F405" t="str">
            <v>Raunak Tripathi</v>
          </cell>
          <cell r="G405" t="str">
            <v>Raunak Tripathi</v>
          </cell>
          <cell r="M405" t="str">
            <v>July</v>
          </cell>
          <cell r="N405">
            <v>45848</v>
          </cell>
          <cell r="O405" t="str">
            <v>NA</v>
          </cell>
          <cell r="P405" t="str">
            <v>Kale Logistics</v>
          </cell>
          <cell r="R405" t="str">
            <v>FTE</v>
          </cell>
          <cell r="AA405" t="str">
            <v>NA</v>
          </cell>
          <cell r="AN405" t="str">
            <v>NA</v>
          </cell>
          <cell r="AO405">
            <v>15600</v>
          </cell>
          <cell r="AP405" t="str">
            <v>Done</v>
          </cell>
        </row>
        <row r="406">
          <cell r="A406">
            <v>1</v>
          </cell>
          <cell r="B406" t="str">
            <v>RPO+Vantedge</v>
          </cell>
          <cell r="C406" t="str">
            <v>Nestor Miranda</v>
          </cell>
          <cell r="D406" t="str">
            <v>Sagar Chandani</v>
          </cell>
          <cell r="F406" t="str">
            <v>Rashmi Bhatnagar</v>
          </cell>
          <cell r="G406" t="str">
            <v>Ankit Pandey</v>
          </cell>
          <cell r="M406" t="str">
            <v>July</v>
          </cell>
          <cell r="N406">
            <v>45846</v>
          </cell>
          <cell r="O406" t="str">
            <v>NA</v>
          </cell>
          <cell r="P406" t="str">
            <v>Sutherland</v>
          </cell>
          <cell r="R406" t="str">
            <v>FTE</v>
          </cell>
          <cell r="AA406" t="str">
            <v>NA</v>
          </cell>
          <cell r="AN406" t="str">
            <v>NA</v>
          </cell>
          <cell r="AO406">
            <v>60000</v>
          </cell>
          <cell r="AP406" t="str">
            <v>Done</v>
          </cell>
        </row>
        <row r="407">
          <cell r="A407">
            <v>1</v>
          </cell>
          <cell r="B407" t="str">
            <v>Pioneer - Lucky</v>
          </cell>
          <cell r="C407" t="str">
            <v>Sandeep Samrat Bendala</v>
          </cell>
          <cell r="D407" t="str">
            <v>Pragati Mishra</v>
          </cell>
          <cell r="F407" t="str">
            <v>Lucky Jain</v>
          </cell>
          <cell r="G407" t="str">
            <v>Lucky Jain</v>
          </cell>
          <cell r="M407" t="str">
            <v>July</v>
          </cell>
          <cell r="N407">
            <v>45863</v>
          </cell>
          <cell r="O407" t="str">
            <v>NA</v>
          </cell>
          <cell r="P407" t="str">
            <v>Mphasis</v>
          </cell>
          <cell r="R407" t="str">
            <v>FTE</v>
          </cell>
          <cell r="AA407" t="str">
            <v>NA</v>
          </cell>
          <cell r="AN407" t="str">
            <v>NA</v>
          </cell>
          <cell r="AO407">
            <v>4000</v>
          </cell>
          <cell r="AP407" t="str">
            <v>Done</v>
          </cell>
        </row>
        <row r="408">
          <cell r="A408">
            <v>1</v>
          </cell>
          <cell r="B408" t="str">
            <v>Mavericks</v>
          </cell>
          <cell r="C408" t="str">
            <v>Sukhdev Gaikwad</v>
          </cell>
          <cell r="D408" t="str">
            <v>Ekta Singh</v>
          </cell>
          <cell r="F408" t="str">
            <v>Rohit Gupta</v>
          </cell>
          <cell r="G408" t="str">
            <v>Rohit Gupta</v>
          </cell>
          <cell r="M408" t="str">
            <v>July</v>
          </cell>
          <cell r="N408">
            <v>45866</v>
          </cell>
          <cell r="O408" t="str">
            <v>NA</v>
          </cell>
          <cell r="P408" t="str">
            <v>Coforge</v>
          </cell>
          <cell r="R408" t="str">
            <v>FTE</v>
          </cell>
          <cell r="AA408" t="str">
            <v>NA</v>
          </cell>
          <cell r="AN408" t="str">
            <v>NA</v>
          </cell>
          <cell r="AO408">
            <v>4000</v>
          </cell>
          <cell r="AP408" t="str">
            <v>Done</v>
          </cell>
        </row>
        <row r="409">
          <cell r="A409">
            <v>1</v>
          </cell>
          <cell r="B409" t="str">
            <v>Trust</v>
          </cell>
          <cell r="C409" t="str">
            <v>Vusani Charles Mapuke</v>
          </cell>
          <cell r="D409" t="str">
            <v>Neelendra Dwivedi</v>
          </cell>
          <cell r="F409" t="str">
            <v>Bhanu Pratap Singh</v>
          </cell>
          <cell r="G409" t="str">
            <v>Harsh Agrawal</v>
          </cell>
          <cell r="M409" t="str">
            <v>July</v>
          </cell>
          <cell r="N409">
            <v>45848</v>
          </cell>
          <cell r="O409" t="str">
            <v>NA</v>
          </cell>
          <cell r="P409" t="str">
            <v>Infosys</v>
          </cell>
          <cell r="R409" t="str">
            <v>FTE</v>
          </cell>
          <cell r="AA409" t="str">
            <v>NA</v>
          </cell>
          <cell r="AN409" t="str">
            <v>NA</v>
          </cell>
          <cell r="AO409">
            <v>3500</v>
          </cell>
          <cell r="AP409" t="str">
            <v>Done</v>
          </cell>
        </row>
        <row r="410">
          <cell r="A410">
            <v>1</v>
          </cell>
          <cell r="B410" t="str">
            <v>Trust</v>
          </cell>
          <cell r="C410" t="str">
            <v>Jeevankumar Gudipati</v>
          </cell>
          <cell r="D410" t="str">
            <v>Harsh Shukla</v>
          </cell>
          <cell r="F410" t="str">
            <v>Bhanu Pratap Singh</v>
          </cell>
          <cell r="G410" t="str">
            <v>Harsh Agrawal</v>
          </cell>
          <cell r="M410" t="str">
            <v>July</v>
          </cell>
          <cell r="N410">
            <v>45855</v>
          </cell>
          <cell r="O410">
            <v>45912</v>
          </cell>
          <cell r="P410" t="str">
            <v>Infosys</v>
          </cell>
          <cell r="R410" t="str">
            <v>FTE</v>
          </cell>
          <cell r="AA410" t="str">
            <v>NA</v>
          </cell>
          <cell r="AN410" t="str">
            <v>NA</v>
          </cell>
          <cell r="AP410" t="str">
            <v>Quit</v>
          </cell>
        </row>
        <row r="411">
          <cell r="A411">
            <v>1</v>
          </cell>
          <cell r="B411" t="str">
            <v>Trust</v>
          </cell>
          <cell r="C411" t="str">
            <v>Rajeev Gandhi Kavuri</v>
          </cell>
          <cell r="D411" t="str">
            <v>Harsh Shukla</v>
          </cell>
          <cell r="F411" t="str">
            <v>Bhanu Pratap Singh</v>
          </cell>
          <cell r="G411" t="str">
            <v>Harsh Agrawal</v>
          </cell>
          <cell r="M411" t="str">
            <v>July</v>
          </cell>
          <cell r="N411">
            <v>45859</v>
          </cell>
          <cell r="O411" t="str">
            <v>NA</v>
          </cell>
          <cell r="P411" t="str">
            <v>Infosys</v>
          </cell>
          <cell r="R411" t="str">
            <v>FTE</v>
          </cell>
          <cell r="AA411" t="str">
            <v>NA</v>
          </cell>
          <cell r="AN411" t="str">
            <v>NA</v>
          </cell>
          <cell r="AO411">
            <v>3500</v>
          </cell>
          <cell r="AP411" t="str">
            <v>Done</v>
          </cell>
        </row>
        <row r="412">
          <cell r="A412">
            <v>1</v>
          </cell>
          <cell r="B412" t="str">
            <v>Trust</v>
          </cell>
          <cell r="C412" t="str">
            <v>Rakesh Manthri</v>
          </cell>
          <cell r="D412" t="str">
            <v>Neelendra Dwivedi</v>
          </cell>
          <cell r="F412" t="str">
            <v>Bhanu Pratap Singh</v>
          </cell>
          <cell r="G412" t="str">
            <v>Harsh Agrawal</v>
          </cell>
          <cell r="M412" t="str">
            <v>July</v>
          </cell>
          <cell r="N412">
            <v>45869</v>
          </cell>
          <cell r="O412" t="str">
            <v>NA</v>
          </cell>
          <cell r="P412" t="str">
            <v>Infosys</v>
          </cell>
          <cell r="R412" t="str">
            <v>FTE</v>
          </cell>
          <cell r="AA412" t="str">
            <v>NA</v>
          </cell>
          <cell r="AN412" t="str">
            <v>NA</v>
          </cell>
          <cell r="AO412">
            <v>3500</v>
          </cell>
          <cell r="AP412" t="str">
            <v>Done</v>
          </cell>
        </row>
        <row r="413">
          <cell r="A413">
            <v>1</v>
          </cell>
          <cell r="B413" t="str">
            <v>Vantedge</v>
          </cell>
          <cell r="C413" t="str">
            <v>Sandeep Padhye</v>
          </cell>
          <cell r="D413" t="str">
            <v>Syed Ahrar Abbas Zaidi</v>
          </cell>
          <cell r="F413" t="str">
            <v> Anshul Kumar</v>
          </cell>
          <cell r="G413" t="str">
            <v>Umar Mujahid</v>
          </cell>
          <cell r="M413" t="str">
            <v>July</v>
          </cell>
          <cell r="N413">
            <v>45859</v>
          </cell>
          <cell r="O413" t="str">
            <v>NA</v>
          </cell>
          <cell r="P413" t="str">
            <v>InfoBeans</v>
          </cell>
          <cell r="R413" t="str">
            <v>FTE</v>
          </cell>
          <cell r="AA413" t="str">
            <v>NA</v>
          </cell>
          <cell r="AN413" t="str">
            <v>NA</v>
          </cell>
          <cell r="AO413">
            <v>31500</v>
          </cell>
          <cell r="AP413" t="str">
            <v>Done</v>
          </cell>
        </row>
        <row r="414">
          <cell r="A414">
            <v>1</v>
          </cell>
          <cell r="B414" t="str">
            <v>Vantedge</v>
          </cell>
          <cell r="C414" t="str">
            <v>Travis Leemreis</v>
          </cell>
          <cell r="D414" t="str">
            <v>Pulkit Prakash</v>
          </cell>
          <cell r="F414" t="str">
            <v>Raunak Tripathi</v>
          </cell>
          <cell r="G414" t="str">
            <v>Raunak Tripathi</v>
          </cell>
          <cell r="M414" t="str">
            <v>July</v>
          </cell>
          <cell r="N414">
            <v>45855</v>
          </cell>
          <cell r="O414" t="str">
            <v>NA</v>
          </cell>
          <cell r="P414" t="str">
            <v>Kale Logistics</v>
          </cell>
          <cell r="R414" t="str">
            <v>FTE</v>
          </cell>
          <cell r="AA414" t="str">
            <v>NA</v>
          </cell>
          <cell r="AN414" t="str">
            <v>NA</v>
          </cell>
          <cell r="AO414">
            <v>14400</v>
          </cell>
          <cell r="AP414" t="str">
            <v>Done</v>
          </cell>
        </row>
        <row r="415">
          <cell r="A415">
            <v>1</v>
          </cell>
          <cell r="B415" t="str">
            <v>Vantedge</v>
          </cell>
          <cell r="C415" t="str">
            <v>Leroy Cervantes</v>
          </cell>
          <cell r="D415" t="str">
            <v>Pulkit Prakash</v>
          </cell>
          <cell r="F415" t="str">
            <v>Raunak Tripathi</v>
          </cell>
          <cell r="G415" t="str">
            <v>Raunak Tripathi</v>
          </cell>
          <cell r="M415" t="str">
            <v>July</v>
          </cell>
          <cell r="N415">
            <v>45859</v>
          </cell>
          <cell r="O415" t="str">
            <v>NA</v>
          </cell>
          <cell r="P415" t="str">
            <v>Kale Logistics</v>
          </cell>
          <cell r="R415" t="str">
            <v>FTE</v>
          </cell>
          <cell r="AA415" t="str">
            <v>NA</v>
          </cell>
          <cell r="AN415" t="str">
            <v>NA</v>
          </cell>
          <cell r="AO415">
            <v>0</v>
          </cell>
          <cell r="AP415" t="str">
            <v>Done</v>
          </cell>
        </row>
        <row r="416">
          <cell r="A416">
            <v>1</v>
          </cell>
          <cell r="B416" t="str">
            <v>Vantedge</v>
          </cell>
          <cell r="C416" t="str">
            <v>Manish Hemrajani</v>
          </cell>
          <cell r="D416" t="str">
            <v>Rashmi Bhatnagar</v>
          </cell>
          <cell r="F416" t="str">
            <v>Rashmi Bhatnagar</v>
          </cell>
          <cell r="G416" t="str">
            <v>Rashmi Bhatnagar</v>
          </cell>
          <cell r="M416" t="str">
            <v>July</v>
          </cell>
          <cell r="N416">
            <v>45866</v>
          </cell>
          <cell r="O416" t="str">
            <v>NA</v>
          </cell>
          <cell r="P416" t="str">
            <v>Coforge</v>
          </cell>
          <cell r="R416" t="str">
            <v>FTE</v>
          </cell>
          <cell r="AA416" t="str">
            <v>NA</v>
          </cell>
          <cell r="AN416" t="str">
            <v>NA</v>
          </cell>
          <cell r="AO416">
            <v>45000</v>
          </cell>
          <cell r="AP416" t="str">
            <v>Done</v>
          </cell>
        </row>
        <row r="417">
          <cell r="A417">
            <v>1</v>
          </cell>
          <cell r="B417" t="str">
            <v>Pioneer RPO</v>
          </cell>
          <cell r="C417" t="str">
            <v>Aswani Nayak</v>
          </cell>
          <cell r="D417" t="str">
            <v>Sagar Chandani</v>
          </cell>
          <cell r="F417" t="str">
            <v>Ankit Pandey</v>
          </cell>
          <cell r="G417" t="str">
            <v>Shubham Rastogi</v>
          </cell>
          <cell r="M417" t="str">
            <v>July</v>
          </cell>
          <cell r="N417">
            <v>45859</v>
          </cell>
          <cell r="O417" t="str">
            <v>NA</v>
          </cell>
          <cell r="P417" t="str">
            <v xml:space="preserve">GPC IT </v>
          </cell>
          <cell r="R417" t="str">
            <v>FTE</v>
          </cell>
          <cell r="AA417" t="str">
            <v>NA</v>
          </cell>
          <cell r="AN417" t="str">
            <v>NA</v>
          </cell>
          <cell r="AO417">
            <v>300</v>
          </cell>
          <cell r="AP417" t="str">
            <v>Done</v>
          </cell>
        </row>
        <row r="418">
          <cell r="A418">
            <v>1</v>
          </cell>
          <cell r="B418" t="str">
            <v>Pioneer RPO</v>
          </cell>
          <cell r="C418" t="str">
            <v>Vijaya Koleti</v>
          </cell>
          <cell r="D418" t="str">
            <v xml:space="preserve">Priyanka Mishra </v>
          </cell>
          <cell r="F418" t="str">
            <v>Ankit Pandey</v>
          </cell>
          <cell r="G418" t="str">
            <v>Shubham Rastogi</v>
          </cell>
          <cell r="M418" t="str">
            <v>July</v>
          </cell>
          <cell r="N418">
            <v>45866</v>
          </cell>
          <cell r="O418" t="str">
            <v>NA</v>
          </cell>
          <cell r="P418" t="str">
            <v xml:space="preserve">GPC IT </v>
          </cell>
          <cell r="R418" t="str">
            <v>FTE</v>
          </cell>
          <cell r="AA418" t="str">
            <v>NA</v>
          </cell>
          <cell r="AN418" t="str">
            <v>NA</v>
          </cell>
          <cell r="AO418">
            <v>3000</v>
          </cell>
          <cell r="AP418" t="str">
            <v>Done</v>
          </cell>
        </row>
        <row r="419">
          <cell r="A419">
            <v>1</v>
          </cell>
          <cell r="B419" t="str">
            <v>Pioneer RPO</v>
          </cell>
          <cell r="C419" t="str">
            <v>Pavani Ravindra</v>
          </cell>
          <cell r="D419" t="str">
            <v xml:space="preserve">Priyanka Mishra </v>
          </cell>
          <cell r="F419" t="str">
            <v>Ankit Pandey</v>
          </cell>
          <cell r="G419" t="str">
            <v>Shubham Rastogi</v>
          </cell>
          <cell r="M419" t="str">
            <v>July</v>
          </cell>
          <cell r="N419">
            <v>45839</v>
          </cell>
          <cell r="O419" t="str">
            <v>NA</v>
          </cell>
          <cell r="P419" t="str">
            <v xml:space="preserve">GPC IT </v>
          </cell>
          <cell r="R419" t="str">
            <v>FTE</v>
          </cell>
          <cell r="AA419" t="str">
            <v>NA</v>
          </cell>
          <cell r="AN419" t="str">
            <v>NA</v>
          </cell>
          <cell r="AO419">
            <v>300</v>
          </cell>
          <cell r="AP419" t="str">
            <v>Done</v>
          </cell>
        </row>
        <row r="420">
          <cell r="A420">
            <v>1</v>
          </cell>
          <cell r="B420" t="str">
            <v>Trust</v>
          </cell>
          <cell r="C420" t="str">
            <v>Lakshmi Praveena</v>
          </cell>
          <cell r="D420" t="str">
            <v>Vivek Mani Upadhyay</v>
          </cell>
          <cell r="F420" t="str">
            <v>Bhanu Pratap Singh</v>
          </cell>
          <cell r="G420" t="str">
            <v>Shashank Yadav</v>
          </cell>
          <cell r="M420" t="str">
            <v>July</v>
          </cell>
          <cell r="N420">
            <v>45855</v>
          </cell>
          <cell r="O420" t="str">
            <v>NA</v>
          </cell>
          <cell r="P420" t="str">
            <v>Infosys</v>
          </cell>
          <cell r="R420" t="str">
            <v>FTE</v>
          </cell>
          <cell r="AA420" t="str">
            <v>NA</v>
          </cell>
          <cell r="AN420" t="str">
            <v>NA</v>
          </cell>
          <cell r="AO420">
            <v>3500</v>
          </cell>
          <cell r="AP420" t="str">
            <v>Done</v>
          </cell>
        </row>
        <row r="421">
          <cell r="A421">
            <v>1</v>
          </cell>
          <cell r="B421" t="str">
            <v>Wellness Warriors - Healthcare</v>
          </cell>
          <cell r="C421" t="str">
            <v>Rebecca Pacheco</v>
          </cell>
          <cell r="D421" t="str">
            <v>Panna Roy</v>
          </cell>
          <cell r="F421" t="str">
            <v>Shailesh Sharma</v>
          </cell>
          <cell r="G421" t="str">
            <v>Shailesh Sharma</v>
          </cell>
          <cell r="M421" t="str">
            <v>August</v>
          </cell>
          <cell r="N421">
            <v>45873</v>
          </cell>
          <cell r="O421" t="str">
            <v>NA</v>
          </cell>
          <cell r="P421" t="str">
            <v>Recruitfi</v>
          </cell>
          <cell r="R421" t="str">
            <v>FTE</v>
          </cell>
          <cell r="AA421" t="str">
            <v>NA</v>
          </cell>
          <cell r="AN421" t="str">
            <v>NA</v>
          </cell>
          <cell r="AO421">
            <v>23360</v>
          </cell>
          <cell r="AP421" t="str">
            <v>Done</v>
          </cell>
        </row>
        <row r="422">
          <cell r="A422">
            <v>1</v>
          </cell>
          <cell r="B422" t="str">
            <v>Wellness Warriors - Healthcare</v>
          </cell>
          <cell r="C422" t="str">
            <v>Nargues Mohseni</v>
          </cell>
          <cell r="D422" t="str">
            <v>Tushar Mishra</v>
          </cell>
          <cell r="F422" t="str">
            <v>Abhishek Singh</v>
          </cell>
          <cell r="M422" t="str">
            <v>August</v>
          </cell>
          <cell r="N422">
            <v>45887</v>
          </cell>
          <cell r="O422" t="str">
            <v>NA</v>
          </cell>
          <cell r="P422" t="str">
            <v>HWL</v>
          </cell>
          <cell r="R422" t="str">
            <v>FTE</v>
          </cell>
          <cell r="AA422" t="str">
            <v>NA</v>
          </cell>
          <cell r="AN422" t="str">
            <v>NA</v>
          </cell>
          <cell r="AO422">
            <v>16628.04</v>
          </cell>
          <cell r="AP422" t="str">
            <v>Done</v>
          </cell>
        </row>
        <row r="423">
          <cell r="A423">
            <v>1</v>
          </cell>
          <cell r="B423" t="str">
            <v>Titans/Mavericks</v>
          </cell>
          <cell r="C423" t="str">
            <v>Carla Hicks</v>
          </cell>
          <cell r="D423" t="str">
            <v>Aman Bajpai</v>
          </cell>
          <cell r="F423" t="str">
            <v>Rohit Gupta</v>
          </cell>
          <cell r="G423" t="str">
            <v>Nitin Saxena</v>
          </cell>
          <cell r="M423" t="str">
            <v>August</v>
          </cell>
          <cell r="N423">
            <v>45880</v>
          </cell>
          <cell r="O423" t="str">
            <v>NA</v>
          </cell>
          <cell r="P423" t="str">
            <v>Xceedence</v>
          </cell>
          <cell r="R423" t="str">
            <v>FTE</v>
          </cell>
          <cell r="AA423" t="str">
            <v>NA</v>
          </cell>
          <cell r="AN423" t="str">
            <v>NA</v>
          </cell>
          <cell r="AO423">
            <v>4000</v>
          </cell>
          <cell r="AP423" t="str">
            <v>Done</v>
          </cell>
        </row>
        <row r="424">
          <cell r="A424">
            <v>1</v>
          </cell>
          <cell r="B424" t="str">
            <v>Vantedge</v>
          </cell>
          <cell r="C424" t="str">
            <v>Devin Currens</v>
          </cell>
          <cell r="D424" t="str">
            <v>Syed Ahrar Abbas Zaidi</v>
          </cell>
          <cell r="F424" t="str">
            <v>Anshul Kumar</v>
          </cell>
          <cell r="G424" t="str">
            <v>Umar Mujahid</v>
          </cell>
          <cell r="M424" t="str">
            <v>August</v>
          </cell>
          <cell r="N424">
            <v>45887</v>
          </cell>
          <cell r="O424" t="str">
            <v>NA</v>
          </cell>
          <cell r="P424" t="str">
            <v>InfoBeans</v>
          </cell>
          <cell r="R424" t="str">
            <v>FTE</v>
          </cell>
          <cell r="AA424" t="str">
            <v>NA</v>
          </cell>
          <cell r="AN424" t="str">
            <v>NA</v>
          </cell>
          <cell r="AO424">
            <v>27000</v>
          </cell>
          <cell r="AP424" t="str">
            <v>Done</v>
          </cell>
        </row>
        <row r="425">
          <cell r="A425">
            <v>1</v>
          </cell>
          <cell r="B425" t="str">
            <v>Vantedge</v>
          </cell>
          <cell r="C425" t="str">
            <v>Natasha Allen</v>
          </cell>
          <cell r="D425" t="str">
            <v>Syed Ahrar Abbas Zaidi</v>
          </cell>
          <cell r="F425" t="str">
            <v>Mayank Saxena</v>
          </cell>
          <cell r="G425" t="str">
            <v>Umar Mujahid</v>
          </cell>
          <cell r="M425" t="str">
            <v>August</v>
          </cell>
          <cell r="N425">
            <v>45887</v>
          </cell>
          <cell r="O425" t="str">
            <v>NA</v>
          </cell>
          <cell r="P425" t="str">
            <v>Fanatics</v>
          </cell>
          <cell r="R425" t="str">
            <v>FTE</v>
          </cell>
          <cell r="AA425" t="str">
            <v>NA</v>
          </cell>
          <cell r="AN425" t="str">
            <v>NA</v>
          </cell>
          <cell r="AO425">
            <v>27000</v>
          </cell>
          <cell r="AP425" t="str">
            <v>Done</v>
          </cell>
        </row>
        <row r="426">
          <cell r="A426">
            <v>1</v>
          </cell>
          <cell r="B426" t="str">
            <v>Vantedge</v>
          </cell>
          <cell r="C426" t="str">
            <v>Brian Taylor</v>
          </cell>
          <cell r="D426" t="str">
            <v>Shreya Singh</v>
          </cell>
          <cell r="F426" t="str">
            <v>Umar Mujahid</v>
          </cell>
          <cell r="G426" t="str">
            <v>Anshul Kumar</v>
          </cell>
          <cell r="M426" t="str">
            <v>August</v>
          </cell>
          <cell r="N426">
            <v>45870</v>
          </cell>
          <cell r="O426" t="str">
            <v>NA</v>
          </cell>
          <cell r="P426" t="str">
            <v>FPT Software</v>
          </cell>
          <cell r="R426" t="str">
            <v>FTE</v>
          </cell>
          <cell r="AA426" t="str">
            <v>NA</v>
          </cell>
          <cell r="AN426" t="str">
            <v>NA</v>
          </cell>
          <cell r="AO426">
            <v>22750</v>
          </cell>
          <cell r="AP426" t="str">
            <v>Done</v>
          </cell>
        </row>
        <row r="427">
          <cell r="A427">
            <v>1</v>
          </cell>
          <cell r="B427" t="str">
            <v>Mavericks</v>
          </cell>
          <cell r="C427" t="str">
            <v>Shadea Lane</v>
          </cell>
          <cell r="D427" t="str">
            <v>Ekta Singh</v>
          </cell>
          <cell r="F427" t="str">
            <v>Rohit Gupta</v>
          </cell>
          <cell r="G427" t="str">
            <v>Rohit Gupta</v>
          </cell>
          <cell r="M427" t="str">
            <v>August</v>
          </cell>
          <cell r="N427">
            <v>45880</v>
          </cell>
          <cell r="O427" t="str">
            <v>NA</v>
          </cell>
          <cell r="P427" t="str">
            <v xml:space="preserve">Xceedance </v>
          </cell>
          <cell r="R427" t="str">
            <v>FTE</v>
          </cell>
          <cell r="AA427" t="str">
            <v>NA</v>
          </cell>
          <cell r="AN427" t="str">
            <v>NA</v>
          </cell>
          <cell r="AO427">
            <v>4000</v>
          </cell>
          <cell r="AP427" t="str">
            <v>Done</v>
          </cell>
        </row>
        <row r="428">
          <cell r="A428">
            <v>1</v>
          </cell>
          <cell r="B428" t="str">
            <v>Mavericks</v>
          </cell>
          <cell r="C428" t="str">
            <v xml:space="preserve">Dana Mason </v>
          </cell>
          <cell r="D428" t="str">
            <v>Ekta Singh</v>
          </cell>
          <cell r="F428" t="str">
            <v>Rohit Gupta</v>
          </cell>
          <cell r="G428" t="str">
            <v>Rohit Gupta</v>
          </cell>
          <cell r="M428" t="str">
            <v>August</v>
          </cell>
          <cell r="N428">
            <v>45880</v>
          </cell>
          <cell r="O428">
            <v>45891</v>
          </cell>
          <cell r="P428" t="str">
            <v xml:space="preserve">Xceedance </v>
          </cell>
          <cell r="R428" t="str">
            <v>FTE</v>
          </cell>
          <cell r="AA428" t="str">
            <v>NA</v>
          </cell>
          <cell r="AN428" t="str">
            <v>NA</v>
          </cell>
          <cell r="AP428" t="str">
            <v>Done</v>
          </cell>
        </row>
        <row r="429">
          <cell r="A429">
            <v>1</v>
          </cell>
          <cell r="B429" t="str">
            <v>Mavericks</v>
          </cell>
          <cell r="C429" t="str">
            <v xml:space="preserve">Ronney Goods </v>
          </cell>
          <cell r="D429" t="str">
            <v>Tauheed Ali</v>
          </cell>
          <cell r="F429" t="str">
            <v>Rohit Gupta</v>
          </cell>
          <cell r="G429" t="str">
            <v>Rohit Gupta</v>
          </cell>
          <cell r="M429" t="str">
            <v>August</v>
          </cell>
          <cell r="N429">
            <v>45880</v>
          </cell>
          <cell r="O429" t="str">
            <v>NA</v>
          </cell>
          <cell r="P429" t="str">
            <v xml:space="preserve">Xceedance </v>
          </cell>
          <cell r="R429" t="str">
            <v>FTE</v>
          </cell>
          <cell r="AA429" t="str">
            <v>NA</v>
          </cell>
          <cell r="AN429" t="str">
            <v>NA</v>
          </cell>
          <cell r="AO429">
            <v>4000</v>
          </cell>
          <cell r="AP429" t="str">
            <v>Done</v>
          </cell>
        </row>
        <row r="430">
          <cell r="A430">
            <v>1</v>
          </cell>
          <cell r="B430" t="str">
            <v>Mavericks</v>
          </cell>
          <cell r="C430" t="str">
            <v>Dorothy D. Carter</v>
          </cell>
          <cell r="D430" t="str">
            <v>Mohammad Tariq</v>
          </cell>
          <cell r="F430" t="str">
            <v>Rohit Gupta</v>
          </cell>
          <cell r="G430" t="str">
            <v>Kashif Nabi</v>
          </cell>
          <cell r="M430" t="str">
            <v>August</v>
          </cell>
          <cell r="N430">
            <v>45880</v>
          </cell>
          <cell r="O430" t="str">
            <v>NA</v>
          </cell>
          <cell r="P430" t="str">
            <v xml:space="preserve">Xceedance </v>
          </cell>
          <cell r="R430" t="str">
            <v>FTE</v>
          </cell>
          <cell r="AA430" t="str">
            <v>NA</v>
          </cell>
          <cell r="AN430" t="str">
            <v>NA</v>
          </cell>
          <cell r="AO430">
            <v>4000</v>
          </cell>
          <cell r="AP430" t="str">
            <v>Done</v>
          </cell>
        </row>
        <row r="431">
          <cell r="A431">
            <v>1</v>
          </cell>
          <cell r="B431" t="str">
            <v>Titans</v>
          </cell>
          <cell r="C431" t="str">
            <v>Aaron Mattew Stanley</v>
          </cell>
          <cell r="D431" t="str">
            <v>Priya Yadav</v>
          </cell>
          <cell r="F431" t="str">
            <v>Abhishek Yadav</v>
          </cell>
          <cell r="G431" t="str">
            <v>Abhishek Yadav</v>
          </cell>
          <cell r="M431" t="str">
            <v>August</v>
          </cell>
          <cell r="N431">
            <v>45891</v>
          </cell>
          <cell r="O431" t="str">
            <v>NA</v>
          </cell>
          <cell r="P431" t="str">
            <v>Genpact | Macquarie</v>
          </cell>
          <cell r="R431" t="str">
            <v>FTE</v>
          </cell>
          <cell r="AA431" t="str">
            <v>NA</v>
          </cell>
          <cell r="AN431" t="str">
            <v>NA</v>
          </cell>
          <cell r="AO431">
            <v>6000</v>
          </cell>
          <cell r="AP431" t="str">
            <v>Done</v>
          </cell>
        </row>
        <row r="432">
          <cell r="A432">
            <v>1</v>
          </cell>
          <cell r="B432" t="str">
            <v>Titans</v>
          </cell>
          <cell r="C432" t="str">
            <v>Oladapo Odutayo</v>
          </cell>
          <cell r="D432" t="str">
            <v>Noor Beg</v>
          </cell>
          <cell r="M432" t="str">
            <v>August</v>
          </cell>
          <cell r="N432">
            <v>45894</v>
          </cell>
          <cell r="O432" t="str">
            <v>NA</v>
          </cell>
          <cell r="P432" t="str">
            <v>Genpact</v>
          </cell>
          <cell r="R432" t="str">
            <v>FTE</v>
          </cell>
          <cell r="AA432" t="str">
            <v>NA</v>
          </cell>
          <cell r="AN432" t="str">
            <v>NA</v>
          </cell>
          <cell r="AO432">
            <v>6240</v>
          </cell>
          <cell r="AP432" t="str">
            <v>Done</v>
          </cell>
        </row>
        <row r="433">
          <cell r="A433">
            <v>1</v>
          </cell>
          <cell r="B433" t="str">
            <v>Titans</v>
          </cell>
          <cell r="C433" t="str">
            <v>Mohammed Abdul Mubdi</v>
          </cell>
          <cell r="D433" t="str">
            <v>Noor Beg</v>
          </cell>
          <cell r="M433" t="str">
            <v>August</v>
          </cell>
          <cell r="N433">
            <v>45894</v>
          </cell>
          <cell r="O433" t="str">
            <v>NA</v>
          </cell>
          <cell r="P433" t="str">
            <v>Genpact</v>
          </cell>
          <cell r="R433" t="str">
            <v>FTE</v>
          </cell>
          <cell r="AA433" t="str">
            <v>NA</v>
          </cell>
          <cell r="AN433" t="str">
            <v>NA</v>
          </cell>
          <cell r="AO433">
            <v>6720</v>
          </cell>
          <cell r="AP433" t="str">
            <v>Done</v>
          </cell>
        </row>
        <row r="434">
          <cell r="A434">
            <v>1</v>
          </cell>
          <cell r="B434" t="str">
            <v>Vantedge</v>
          </cell>
          <cell r="C434" t="str">
            <v>Taylor Brandon Grace</v>
          </cell>
          <cell r="D434" t="str">
            <v>Syed Ahrar Abbas Zaidi</v>
          </cell>
          <cell r="F434" t="str">
            <v>Anshul Kumar</v>
          </cell>
          <cell r="G434" t="str">
            <v>Umar Mujahid</v>
          </cell>
          <cell r="M434" t="str">
            <v>August</v>
          </cell>
          <cell r="N434">
            <v>45894</v>
          </cell>
          <cell r="O434" t="str">
            <v>NA</v>
          </cell>
          <cell r="P434" t="str">
            <v>InfoBeans</v>
          </cell>
          <cell r="R434" t="str">
            <v>FTE</v>
          </cell>
          <cell r="AA434" t="str">
            <v>NA</v>
          </cell>
          <cell r="AN434" t="str">
            <v>NA</v>
          </cell>
          <cell r="AO434">
            <v>27000</v>
          </cell>
          <cell r="AP434" t="str">
            <v>Done</v>
          </cell>
        </row>
        <row r="435">
          <cell r="A435">
            <v>1</v>
          </cell>
          <cell r="B435" t="str">
            <v>Pioneer RPO</v>
          </cell>
          <cell r="C435" t="str">
            <v>Madhav Rao Mokka</v>
          </cell>
          <cell r="D435" t="str">
            <v>Shubham Rastogi</v>
          </cell>
          <cell r="F435" t="str">
            <v>Ankit Pandey</v>
          </cell>
          <cell r="G435" t="str">
            <v>Shubham Rastogi</v>
          </cell>
          <cell r="M435" t="str">
            <v>August</v>
          </cell>
          <cell r="N435">
            <v>45873</v>
          </cell>
          <cell r="O435" t="str">
            <v>NA</v>
          </cell>
          <cell r="P435" t="str">
            <v xml:space="preserve">GPC IT </v>
          </cell>
          <cell r="R435" t="str">
            <v>FTE</v>
          </cell>
          <cell r="AA435" t="str">
            <v>NA</v>
          </cell>
          <cell r="AN435" t="str">
            <v>NA</v>
          </cell>
          <cell r="AO435">
            <v>3000</v>
          </cell>
          <cell r="AP435" t="str">
            <v>Done</v>
          </cell>
        </row>
        <row r="436">
          <cell r="A436">
            <v>1</v>
          </cell>
          <cell r="B436" t="str">
            <v>Pioneer RPO</v>
          </cell>
          <cell r="C436" t="str">
            <v>Munnikrishna Lingappa</v>
          </cell>
          <cell r="D436" t="str">
            <v>Shubham Rastogi</v>
          </cell>
          <cell r="F436" t="str">
            <v>Ankit Pandey</v>
          </cell>
          <cell r="G436" t="str">
            <v>Shubham Rastogi</v>
          </cell>
          <cell r="M436" t="str">
            <v>August</v>
          </cell>
          <cell r="N436">
            <v>45873</v>
          </cell>
          <cell r="O436" t="str">
            <v>NA</v>
          </cell>
          <cell r="P436" t="str">
            <v xml:space="preserve">GPC IT </v>
          </cell>
          <cell r="R436" t="str">
            <v>FTE</v>
          </cell>
          <cell r="AA436" t="str">
            <v>NA</v>
          </cell>
          <cell r="AN436" t="str">
            <v>NA</v>
          </cell>
          <cell r="AO436">
            <v>300</v>
          </cell>
          <cell r="AP436" t="str">
            <v>Done</v>
          </cell>
        </row>
        <row r="437">
          <cell r="A437">
            <v>1</v>
          </cell>
          <cell r="B437" t="str">
            <v>Pioneer RPO</v>
          </cell>
          <cell r="C437" t="str">
            <v>Dino Duvnjak</v>
          </cell>
          <cell r="D437" t="str">
            <v>Sagar Chandani</v>
          </cell>
          <cell r="F437" t="str">
            <v>Ankit Pandey</v>
          </cell>
          <cell r="G437" t="str">
            <v>Shubham Rastogi</v>
          </cell>
          <cell r="M437" t="str">
            <v>August</v>
          </cell>
          <cell r="N437">
            <v>45870</v>
          </cell>
          <cell r="O437" t="str">
            <v>NA</v>
          </cell>
          <cell r="P437" t="str">
            <v xml:space="preserve">GPC IT </v>
          </cell>
          <cell r="R437" t="str">
            <v>FTE</v>
          </cell>
          <cell r="AA437" t="str">
            <v>NA</v>
          </cell>
          <cell r="AN437" t="str">
            <v>NA</v>
          </cell>
          <cell r="AO437">
            <v>300</v>
          </cell>
          <cell r="AP437" t="str">
            <v>Done</v>
          </cell>
        </row>
        <row r="438">
          <cell r="A438">
            <v>1</v>
          </cell>
          <cell r="B438" t="str">
            <v>Pioneer RPO</v>
          </cell>
          <cell r="C438" t="str">
            <v>Roger Bain</v>
          </cell>
          <cell r="D438" t="str">
            <v>Sudhir Kumar</v>
          </cell>
          <cell r="F438" t="str">
            <v>Ankit Pandey</v>
          </cell>
          <cell r="G438" t="str">
            <v>Ankit Pandey</v>
          </cell>
          <cell r="M438" t="str">
            <v>August</v>
          </cell>
          <cell r="N438">
            <v>45873</v>
          </cell>
          <cell r="O438" t="str">
            <v>NA</v>
          </cell>
          <cell r="P438" t="str">
            <v xml:space="preserve">GPC IT </v>
          </cell>
          <cell r="R438" t="str">
            <v>FTE</v>
          </cell>
          <cell r="AA438" t="str">
            <v>NA</v>
          </cell>
          <cell r="AN438" t="str">
            <v>NA</v>
          </cell>
          <cell r="AO438">
            <v>3000</v>
          </cell>
          <cell r="AP438" t="str">
            <v>Done</v>
          </cell>
        </row>
        <row r="439">
          <cell r="A439">
            <v>1</v>
          </cell>
          <cell r="B439" t="str">
            <v>Pioneer RPO</v>
          </cell>
          <cell r="C439" t="str">
            <v>Tony Gonzalez</v>
          </cell>
          <cell r="D439" t="str">
            <v>Sudhir Kumar</v>
          </cell>
          <cell r="F439" t="str">
            <v>Ankit Pandey</v>
          </cell>
          <cell r="G439" t="str">
            <v>Ankit Pandey</v>
          </cell>
          <cell r="M439" t="str">
            <v>August</v>
          </cell>
          <cell r="N439">
            <v>45873</v>
          </cell>
          <cell r="O439" t="str">
            <v>NA</v>
          </cell>
          <cell r="P439" t="str">
            <v xml:space="preserve">GPC IT </v>
          </cell>
          <cell r="R439" t="str">
            <v>FTE</v>
          </cell>
          <cell r="AA439" t="str">
            <v>NA</v>
          </cell>
          <cell r="AN439" t="str">
            <v>NA</v>
          </cell>
          <cell r="AO439">
            <v>3000</v>
          </cell>
          <cell r="AP439" t="str">
            <v>Done</v>
          </cell>
        </row>
        <row r="440">
          <cell r="A440">
            <v>1</v>
          </cell>
          <cell r="B440" t="str">
            <v>Pioneer RPO</v>
          </cell>
          <cell r="C440" t="str">
            <v>Alex Davies</v>
          </cell>
          <cell r="D440" t="str">
            <v>Shubham Rastogi</v>
          </cell>
          <cell r="F440" t="str">
            <v>Ankit Pandey</v>
          </cell>
          <cell r="G440" t="str">
            <v>Shubham Rastogi</v>
          </cell>
          <cell r="M440" t="str">
            <v>August</v>
          </cell>
          <cell r="N440">
            <v>45894</v>
          </cell>
          <cell r="O440" t="str">
            <v>NA</v>
          </cell>
          <cell r="P440" t="str">
            <v xml:space="preserve">GPC IT </v>
          </cell>
          <cell r="R440" t="str">
            <v>FTE</v>
          </cell>
          <cell r="AA440" t="str">
            <v>NA</v>
          </cell>
          <cell r="AN440" t="str">
            <v>NA</v>
          </cell>
          <cell r="AO440">
            <v>3000</v>
          </cell>
          <cell r="AP440" t="str">
            <v>Done</v>
          </cell>
        </row>
        <row r="441">
          <cell r="A441">
            <v>1</v>
          </cell>
          <cell r="B441" t="str">
            <v>Pioneer RPO</v>
          </cell>
          <cell r="C441" t="str">
            <v>Richard Flores</v>
          </cell>
          <cell r="D441" t="str">
            <v>Shubham Rastogi</v>
          </cell>
          <cell r="F441" t="str">
            <v>Ankit Pandey</v>
          </cell>
          <cell r="G441" t="str">
            <v>Shubham Rastogi</v>
          </cell>
          <cell r="M441" t="str">
            <v>August</v>
          </cell>
          <cell r="N441">
            <v>45880</v>
          </cell>
          <cell r="O441" t="str">
            <v>NA</v>
          </cell>
          <cell r="P441" t="str">
            <v xml:space="preserve">GPC IT </v>
          </cell>
          <cell r="R441" t="str">
            <v>FTE</v>
          </cell>
          <cell r="AA441" t="str">
            <v>NA</v>
          </cell>
          <cell r="AN441" t="str">
            <v>NA</v>
          </cell>
          <cell r="AO441">
            <v>300</v>
          </cell>
          <cell r="AP441" t="str">
            <v>Done</v>
          </cell>
        </row>
        <row r="442">
          <cell r="A442">
            <v>1</v>
          </cell>
          <cell r="B442" t="str">
            <v>Pioneer RPO</v>
          </cell>
          <cell r="C442" t="str">
            <v>Uri Tammuz</v>
          </cell>
          <cell r="D442" t="str">
            <v>Sagar Chandani</v>
          </cell>
          <cell r="F442" t="str">
            <v>Ankit Pandey</v>
          </cell>
          <cell r="G442" t="str">
            <v>Shubham Rastogi</v>
          </cell>
          <cell r="M442" t="str">
            <v>August</v>
          </cell>
          <cell r="N442">
            <v>45887</v>
          </cell>
          <cell r="O442" t="str">
            <v>NA</v>
          </cell>
          <cell r="P442" t="str">
            <v xml:space="preserve">GPC IT </v>
          </cell>
          <cell r="R442" t="str">
            <v>FTE</v>
          </cell>
          <cell r="AA442" t="str">
            <v>NA</v>
          </cell>
          <cell r="AN442" t="str">
            <v>NA</v>
          </cell>
          <cell r="AO442">
            <v>300</v>
          </cell>
          <cell r="AP442" t="str">
            <v>Done</v>
          </cell>
        </row>
        <row r="443">
          <cell r="A443">
            <v>1</v>
          </cell>
          <cell r="B443" t="str">
            <v>Pioneer RPO</v>
          </cell>
          <cell r="C443" t="str">
            <v>Corrine Huang</v>
          </cell>
          <cell r="D443" t="str">
            <v xml:space="preserve">Priyanka Mishra </v>
          </cell>
          <cell r="F443" t="str">
            <v>Ankit Pandey</v>
          </cell>
          <cell r="G443" t="str">
            <v>Shubham Rastogi</v>
          </cell>
          <cell r="M443" t="str">
            <v>August</v>
          </cell>
          <cell r="N443">
            <v>45880</v>
          </cell>
          <cell r="O443" t="str">
            <v>NA</v>
          </cell>
          <cell r="P443" t="str">
            <v xml:space="preserve">GPC IT </v>
          </cell>
          <cell r="R443" t="str">
            <v>FTE</v>
          </cell>
          <cell r="AA443" t="str">
            <v>NA</v>
          </cell>
          <cell r="AN443" t="str">
            <v>NA</v>
          </cell>
          <cell r="AO443">
            <v>300</v>
          </cell>
          <cell r="AP443" t="str">
            <v>Done</v>
          </cell>
        </row>
        <row r="444">
          <cell r="A444">
            <v>1</v>
          </cell>
          <cell r="B444" t="str">
            <v>Trust</v>
          </cell>
          <cell r="C444" t="str">
            <v>Sreekanth Raghunathan</v>
          </cell>
          <cell r="D444" t="str">
            <v>Sana Zohra</v>
          </cell>
          <cell r="F444" t="str">
            <v>Harsh Agrawal</v>
          </cell>
          <cell r="G444" t="str">
            <v>Harsh Agrawal</v>
          </cell>
          <cell r="M444" t="str">
            <v>August</v>
          </cell>
          <cell r="N444">
            <v>45889</v>
          </cell>
          <cell r="O444" t="str">
            <v>NA</v>
          </cell>
          <cell r="P444" t="str">
            <v>Birlasoft</v>
          </cell>
          <cell r="R444" t="str">
            <v>FTE</v>
          </cell>
          <cell r="AA444" t="str">
            <v>NA</v>
          </cell>
          <cell r="AN444" t="str">
            <v>NA</v>
          </cell>
          <cell r="AO444">
            <v>22000</v>
          </cell>
          <cell r="AP444" t="str">
            <v>Done</v>
          </cell>
        </row>
        <row r="445">
          <cell r="A445">
            <v>1</v>
          </cell>
          <cell r="B445" t="str">
            <v>Trust</v>
          </cell>
          <cell r="C445" t="str">
            <v>Chad Mullin</v>
          </cell>
          <cell r="D445" t="str">
            <v>Abhishek Verma</v>
          </cell>
          <cell r="F445" t="str">
            <v>Bhanu Pratap Singh</v>
          </cell>
          <cell r="G445" t="str">
            <v>Shashank Yadav</v>
          </cell>
          <cell r="M445" t="str">
            <v>August</v>
          </cell>
          <cell r="N445">
            <v>45887</v>
          </cell>
          <cell r="O445" t="str">
            <v>NA</v>
          </cell>
          <cell r="P445" t="str">
            <v>Reflik</v>
          </cell>
          <cell r="R445" t="str">
            <v>FTE</v>
          </cell>
          <cell r="AA445" t="str">
            <v>NA</v>
          </cell>
          <cell r="AN445" t="str">
            <v>NA</v>
          </cell>
          <cell r="AO445">
            <v>5000</v>
          </cell>
          <cell r="AP445" t="str">
            <v>Done</v>
          </cell>
        </row>
        <row r="446">
          <cell r="A446">
            <v>1</v>
          </cell>
          <cell r="B446" t="str">
            <v>Titans</v>
          </cell>
          <cell r="C446" t="str">
            <v>Jason Troester</v>
          </cell>
          <cell r="D446" t="str">
            <v>Samad Quraishi</v>
          </cell>
          <cell r="F446" t="str">
            <v>Nitin Saxena</v>
          </cell>
          <cell r="G446" t="str">
            <v>Nitin Saxena</v>
          </cell>
          <cell r="M446" t="str">
            <v>September</v>
          </cell>
          <cell r="N446">
            <v>45908</v>
          </cell>
          <cell r="O446" t="str">
            <v>NA</v>
          </cell>
          <cell r="P446" t="str">
            <v>CBREX</v>
          </cell>
          <cell r="R446" t="str">
            <v>FTE</v>
          </cell>
          <cell r="AA446" t="str">
            <v>NA</v>
          </cell>
          <cell r="AN446" t="str">
            <v>NA</v>
          </cell>
          <cell r="AO446">
            <v>7280</v>
          </cell>
          <cell r="AP446" t="str">
            <v>Done</v>
          </cell>
        </row>
        <row r="447">
          <cell r="A447">
            <v>1</v>
          </cell>
          <cell r="B447" t="str">
            <v>Vantedge</v>
          </cell>
          <cell r="C447" t="str">
            <v>Amrita Singh</v>
          </cell>
          <cell r="D447" t="str">
            <v>Priyansh Khare</v>
          </cell>
          <cell r="F447" t="str">
            <v>Anshul Kumar</v>
          </cell>
          <cell r="G447" t="str">
            <v>Anshul Kumar</v>
          </cell>
          <cell r="M447" t="str">
            <v>September</v>
          </cell>
          <cell r="N447">
            <v>45915</v>
          </cell>
          <cell r="O447" t="str">
            <v>NA</v>
          </cell>
          <cell r="P447" t="str">
            <v>InfoBeans</v>
          </cell>
          <cell r="R447" t="str">
            <v>FTE</v>
          </cell>
          <cell r="AA447" t="str">
            <v>NA</v>
          </cell>
          <cell r="AN447" t="str">
            <v>NA</v>
          </cell>
          <cell r="AO447">
            <v>18000</v>
          </cell>
          <cell r="AP447" t="str">
            <v>Done</v>
          </cell>
        </row>
        <row r="448">
          <cell r="A448">
            <v>1</v>
          </cell>
          <cell r="B448" t="str">
            <v>CSK+Vantedge</v>
          </cell>
          <cell r="C448" t="str">
            <v>Kishore Babu Tenneti</v>
          </cell>
          <cell r="D448" t="str">
            <v>M Harinath</v>
          </cell>
          <cell r="F448" t="str">
            <v>Mayank Saxena</v>
          </cell>
          <cell r="G448" t="str">
            <v>Vinoth L</v>
          </cell>
          <cell r="M448" t="str">
            <v>September</v>
          </cell>
          <cell r="N448">
            <v>45903</v>
          </cell>
          <cell r="O448" t="str">
            <v>NA</v>
          </cell>
          <cell r="P448" t="str">
            <v>Tredence</v>
          </cell>
          <cell r="R448" t="str">
            <v>FTE</v>
          </cell>
          <cell r="AA448" t="str">
            <v>NA</v>
          </cell>
          <cell r="AN448" t="str">
            <v>NA</v>
          </cell>
          <cell r="AO448">
            <v>12400</v>
          </cell>
          <cell r="AP448" t="str">
            <v>Done</v>
          </cell>
        </row>
        <row r="449">
          <cell r="A449">
            <v>1</v>
          </cell>
          <cell r="B449" t="str">
            <v>Vantedge</v>
          </cell>
          <cell r="C449" t="str">
            <v>Chandra Bhagi</v>
          </cell>
          <cell r="D449" t="str">
            <v>Ankit Maurya</v>
          </cell>
          <cell r="F449" t="str">
            <v>Raunak Tripathi</v>
          </cell>
          <cell r="G449" t="str">
            <v>Raunak Tripathi</v>
          </cell>
          <cell r="M449" t="str">
            <v>September</v>
          </cell>
          <cell r="N449">
            <v>45908</v>
          </cell>
          <cell r="O449" t="str">
            <v>NA</v>
          </cell>
          <cell r="P449" t="str">
            <v>Birlasoft</v>
          </cell>
          <cell r="R449" t="str">
            <v>FTE</v>
          </cell>
          <cell r="AA449" t="str">
            <v>NA</v>
          </cell>
          <cell r="AN449" t="str">
            <v>NA</v>
          </cell>
          <cell r="AO449">
            <v>28800</v>
          </cell>
          <cell r="AP449" t="str">
            <v>Done</v>
          </cell>
        </row>
        <row r="450">
          <cell r="A450">
            <v>1</v>
          </cell>
          <cell r="B450" t="str">
            <v>Vantedge</v>
          </cell>
          <cell r="C450" t="str">
            <v>Minoji Thomas</v>
          </cell>
          <cell r="D450" t="str">
            <v>Devansh Mishra</v>
          </cell>
          <cell r="F450" t="str">
            <v>Raunak Tripathi</v>
          </cell>
          <cell r="G450" t="str">
            <v>Raunak Tripathi</v>
          </cell>
          <cell r="M450" t="str">
            <v>September</v>
          </cell>
          <cell r="N450">
            <v>45910</v>
          </cell>
          <cell r="O450" t="str">
            <v>NA</v>
          </cell>
          <cell r="P450" t="str">
            <v>Infogain</v>
          </cell>
          <cell r="R450" t="str">
            <v>FTE</v>
          </cell>
          <cell r="AA450" t="str">
            <v>NA</v>
          </cell>
          <cell r="AN450" t="str">
            <v>NA</v>
          </cell>
          <cell r="AO450">
            <v>37500</v>
          </cell>
          <cell r="AP450" t="str">
            <v>Done</v>
          </cell>
        </row>
        <row r="451">
          <cell r="A451">
            <v>1</v>
          </cell>
          <cell r="B451" t="str">
            <v>Trust</v>
          </cell>
          <cell r="C451" t="str">
            <v>Sreeramulu Alapati</v>
          </cell>
          <cell r="D451" t="str">
            <v>Virendra Vikram Singh</v>
          </cell>
          <cell r="F451" t="str">
            <v>Bhanu Pratap Singh</v>
          </cell>
          <cell r="G451" t="str">
            <v>Harsh Agrawal</v>
          </cell>
          <cell r="M451" t="str">
            <v>September</v>
          </cell>
          <cell r="N451">
            <v>45904</v>
          </cell>
          <cell r="O451" t="str">
            <v>NA</v>
          </cell>
          <cell r="P451" t="str">
            <v>Infosys</v>
          </cell>
          <cell r="R451" t="str">
            <v>FTE</v>
          </cell>
          <cell r="AA451" t="str">
            <v>NA</v>
          </cell>
          <cell r="AN451" t="str">
            <v>NA</v>
          </cell>
          <cell r="AO451">
            <v>3500</v>
          </cell>
          <cell r="AP451" t="str">
            <v>Done</v>
          </cell>
        </row>
        <row r="452">
          <cell r="A452">
            <v>1</v>
          </cell>
          <cell r="B452" t="str">
            <v>Trust</v>
          </cell>
          <cell r="C452" t="str">
            <v>Byron Dunning</v>
          </cell>
          <cell r="D452" t="str">
            <v>Abhishek Verma</v>
          </cell>
          <cell r="F452" t="str">
            <v>Bhanu Pratap Singh</v>
          </cell>
          <cell r="G452" t="str">
            <v>Shashank Yadav</v>
          </cell>
          <cell r="M452" t="str">
            <v>September</v>
          </cell>
          <cell r="N452">
            <v>45902</v>
          </cell>
          <cell r="O452" t="str">
            <v>NA</v>
          </cell>
          <cell r="P452" t="str">
            <v>Reflik</v>
          </cell>
          <cell r="R452" t="str">
            <v>FTE</v>
          </cell>
          <cell r="AA452" t="str">
            <v>NA</v>
          </cell>
          <cell r="AN452" t="str">
            <v>NA</v>
          </cell>
          <cell r="AO452">
            <v>18750</v>
          </cell>
          <cell r="AP452" t="str">
            <v>Done</v>
          </cell>
        </row>
        <row r="453">
          <cell r="A453">
            <v>1</v>
          </cell>
          <cell r="B453" t="str">
            <v>Trust</v>
          </cell>
          <cell r="C453" t="str">
            <v xml:space="preserve">Nalini Prava Kumar </v>
          </cell>
          <cell r="D453" t="str">
            <v>Vivek Mani Upadhyay</v>
          </cell>
          <cell r="F453" t="str">
            <v>Bhanu Pratap Singh</v>
          </cell>
          <cell r="G453" t="str">
            <v>Shashank Yadav</v>
          </cell>
          <cell r="M453" t="str">
            <v>September</v>
          </cell>
          <cell r="N453">
            <v>45904</v>
          </cell>
          <cell r="O453" t="str">
            <v>NA</v>
          </cell>
          <cell r="P453" t="str">
            <v>Infosys</v>
          </cell>
          <cell r="R453" t="str">
            <v>FTE</v>
          </cell>
          <cell r="AA453" t="str">
            <v>NA</v>
          </cell>
          <cell r="AN453" t="str">
            <v>NA</v>
          </cell>
          <cell r="AO453">
            <v>3500</v>
          </cell>
          <cell r="AP453" t="str">
            <v>Done</v>
          </cell>
        </row>
        <row r="454">
          <cell r="A454">
            <v>1</v>
          </cell>
          <cell r="B454" t="str">
            <v>Trust</v>
          </cell>
          <cell r="C454" t="str">
            <v>Sharon Harbor</v>
          </cell>
          <cell r="D454" t="str">
            <v>Shubham Patel</v>
          </cell>
          <cell r="F454" t="str">
            <v>Bhanu Pratap Singh</v>
          </cell>
          <cell r="G454" t="str">
            <v>Shashank Yadav</v>
          </cell>
          <cell r="M454" t="str">
            <v>September</v>
          </cell>
          <cell r="N454">
            <v>45904</v>
          </cell>
          <cell r="O454" t="str">
            <v>NA</v>
          </cell>
          <cell r="P454" t="str">
            <v>Infosys</v>
          </cell>
          <cell r="R454" t="str">
            <v>FTE</v>
          </cell>
          <cell r="AA454" t="str">
            <v>NA</v>
          </cell>
          <cell r="AN454" t="str">
            <v>NA</v>
          </cell>
          <cell r="AO454">
            <v>3500</v>
          </cell>
          <cell r="AP454" t="str">
            <v>Done</v>
          </cell>
        </row>
        <row r="455">
          <cell r="A455">
            <v>1</v>
          </cell>
          <cell r="B455" t="str">
            <v>Trust</v>
          </cell>
          <cell r="C455" t="str">
            <v xml:space="preserve">Syed Saad Qasim </v>
          </cell>
          <cell r="D455" t="str">
            <v>Vivek Kumar</v>
          </cell>
          <cell r="F455" t="str">
            <v>Bhanu Pratap Singh</v>
          </cell>
          <cell r="G455" t="str">
            <v>Vivek Mishra</v>
          </cell>
          <cell r="M455" t="str">
            <v>September</v>
          </cell>
          <cell r="N455">
            <v>45908</v>
          </cell>
          <cell r="O455" t="str">
            <v>NA</v>
          </cell>
          <cell r="P455" t="str">
            <v>Infosys</v>
          </cell>
          <cell r="R455" t="str">
            <v>FTE</v>
          </cell>
          <cell r="AA455" t="str">
            <v>NA</v>
          </cell>
          <cell r="AN455" t="str">
            <v>NA</v>
          </cell>
          <cell r="AO455">
            <v>3500</v>
          </cell>
          <cell r="AP455" t="str">
            <v>Done</v>
          </cell>
        </row>
        <row r="456">
          <cell r="A456">
            <v>1</v>
          </cell>
          <cell r="B456" t="str">
            <v>Wellness Warriors - Healthcare</v>
          </cell>
          <cell r="C456" t="str">
            <v>Patricia Sanchez</v>
          </cell>
          <cell r="D456" t="str">
            <v>Ananya Agarwal</v>
          </cell>
          <cell r="F456" t="str">
            <v>Ranveer Kumar</v>
          </cell>
          <cell r="G456" t="str">
            <v>Ranveer Kumar</v>
          </cell>
          <cell r="M456" t="str">
            <v>September</v>
          </cell>
          <cell r="N456">
            <v>45908</v>
          </cell>
          <cell r="O456">
            <v>45939</v>
          </cell>
          <cell r="P456" t="str">
            <v>CBREX</v>
          </cell>
          <cell r="R456" t="str">
            <v>FTE</v>
          </cell>
          <cell r="AA456" t="str">
            <v>NA</v>
          </cell>
          <cell r="AN456" t="str">
            <v>NA</v>
          </cell>
          <cell r="AP456" t="str">
            <v>Done</v>
          </cell>
        </row>
        <row r="457">
          <cell r="A457">
            <v>1</v>
          </cell>
          <cell r="B457" t="str">
            <v>Wellness Warriors - Healthcare</v>
          </cell>
          <cell r="C457" t="str">
            <v>Enrique Luna</v>
          </cell>
          <cell r="D457" t="str">
            <v xml:space="preserve">Ayush Chauhan </v>
          </cell>
          <cell r="F457" t="str">
            <v>Ranveer Kumar</v>
          </cell>
          <cell r="G457" t="str">
            <v>Ranveer Kumar</v>
          </cell>
          <cell r="M457" t="str">
            <v>September</v>
          </cell>
          <cell r="N457">
            <v>45922</v>
          </cell>
          <cell r="O457">
            <v>45933</v>
          </cell>
          <cell r="P457" t="str">
            <v>Recruitifi</v>
          </cell>
          <cell r="R457" t="str">
            <v>FTE</v>
          </cell>
          <cell r="AA457" t="str">
            <v>NA</v>
          </cell>
          <cell r="AN457" t="str">
            <v>NA</v>
          </cell>
          <cell r="AP457" t="str">
            <v>Done</v>
          </cell>
        </row>
        <row r="458">
          <cell r="A458">
            <v>1</v>
          </cell>
          <cell r="B458" t="str">
            <v>Mavericks</v>
          </cell>
          <cell r="C458" t="str">
            <v>Mansi Rajkumar Jangam</v>
          </cell>
          <cell r="D458" t="str">
            <v>Arpit Gupta</v>
          </cell>
          <cell r="F458" t="str">
            <v>Kashif Nabi</v>
          </cell>
          <cell r="G458" t="str">
            <v>Mohammad Tariq</v>
          </cell>
          <cell r="M458" t="str">
            <v>September</v>
          </cell>
          <cell r="N458">
            <v>45922</v>
          </cell>
          <cell r="O458" t="str">
            <v>NA</v>
          </cell>
          <cell r="P458" t="str">
            <v>Capgemini</v>
          </cell>
          <cell r="R458" t="str">
            <v>FTE</v>
          </cell>
          <cell r="AA458" t="str">
            <v>NA</v>
          </cell>
          <cell r="AN458" t="str">
            <v>NA</v>
          </cell>
          <cell r="AO458" t="str">
            <v xml:space="preserve">$                          5,000.00 </v>
          </cell>
          <cell r="AP458" t="str">
            <v>Done</v>
          </cell>
        </row>
        <row r="459">
          <cell r="A459">
            <v>1</v>
          </cell>
          <cell r="B459" t="str">
            <v>Mavericks</v>
          </cell>
          <cell r="C459" t="str">
            <v>Gerry Vasquez</v>
          </cell>
          <cell r="D459" t="str">
            <v>Mohammad Tariq</v>
          </cell>
          <cell r="F459" t="str">
            <v>Kashif Nabi</v>
          </cell>
          <cell r="G459" t="str">
            <v>Mohammad Tariq</v>
          </cell>
          <cell r="M459" t="str">
            <v>September</v>
          </cell>
          <cell r="N459">
            <v>45922</v>
          </cell>
          <cell r="O459" t="str">
            <v>NA</v>
          </cell>
          <cell r="P459" t="str">
            <v>Anderson Kill P.C.</v>
          </cell>
          <cell r="R459" t="str">
            <v>FTE</v>
          </cell>
          <cell r="AA459" t="str">
            <v>NA</v>
          </cell>
          <cell r="AN459" t="str">
            <v>NA</v>
          </cell>
          <cell r="AO459" t="str">
            <v xml:space="preserve">$                        22,000.00 </v>
          </cell>
          <cell r="AP459" t="str">
            <v>Done</v>
          </cell>
        </row>
        <row r="460">
          <cell r="A460">
            <v>1</v>
          </cell>
          <cell r="B460" t="str">
            <v>Trust</v>
          </cell>
          <cell r="C460" t="str">
            <v>Jason Agbodjah</v>
          </cell>
          <cell r="D460" t="str">
            <v>Sachendra Singh Pal</v>
          </cell>
          <cell r="F460" t="str">
            <v>Bhanu Pratap Singh</v>
          </cell>
          <cell r="G460" t="str">
            <v>Shashank Yadav</v>
          </cell>
          <cell r="M460" t="str">
            <v>September</v>
          </cell>
          <cell r="N460">
            <v>45926</v>
          </cell>
          <cell r="O460" t="str">
            <v>NA</v>
          </cell>
          <cell r="P460" t="str">
            <v>Infosys</v>
          </cell>
          <cell r="R460" t="str">
            <v>FTE</v>
          </cell>
          <cell r="AA460" t="str">
            <v>NA</v>
          </cell>
          <cell r="AN460" t="str">
            <v>NA</v>
          </cell>
          <cell r="AO460">
            <v>3500</v>
          </cell>
          <cell r="AP460" t="str">
            <v>Done</v>
          </cell>
        </row>
        <row r="461">
          <cell r="A461">
            <v>1</v>
          </cell>
          <cell r="B461" t="str">
            <v>Trust</v>
          </cell>
          <cell r="C461" t="str">
            <v>Cristobal Parada</v>
          </cell>
          <cell r="D461" t="str">
            <v>Astha Sharma</v>
          </cell>
          <cell r="F461" t="str">
            <v>Bhanu Pratap Singh</v>
          </cell>
          <cell r="G461" t="str">
            <v>Shashank Yadav</v>
          </cell>
          <cell r="M461" t="str">
            <v>September</v>
          </cell>
          <cell r="N461">
            <v>45929</v>
          </cell>
          <cell r="O461" t="str">
            <v>NA</v>
          </cell>
          <cell r="P461" t="str">
            <v>Infosys</v>
          </cell>
          <cell r="R461" t="str">
            <v>FTE</v>
          </cell>
          <cell r="AA461" t="str">
            <v>NA</v>
          </cell>
          <cell r="AN461" t="str">
            <v>NA</v>
          </cell>
          <cell r="AO461">
            <v>3500</v>
          </cell>
          <cell r="AP461" t="str">
            <v>Done</v>
          </cell>
        </row>
        <row r="462">
          <cell r="A462">
            <v>1</v>
          </cell>
          <cell r="B462" t="str">
            <v>Trust</v>
          </cell>
          <cell r="C462" t="str">
            <v>Seshadri Chalikonda</v>
          </cell>
          <cell r="D462" t="str">
            <v>Pushpendra Kumar</v>
          </cell>
          <cell r="F462" t="str">
            <v>Bhanu Pratap Singh</v>
          </cell>
          <cell r="G462" t="str">
            <v>Harsh Agrawal</v>
          </cell>
          <cell r="M462" t="str">
            <v>September</v>
          </cell>
          <cell r="N462">
            <v>45929</v>
          </cell>
          <cell r="O462" t="str">
            <v>NA</v>
          </cell>
          <cell r="P462" t="str">
            <v>Infosys</v>
          </cell>
          <cell r="R462" t="str">
            <v>FTE</v>
          </cell>
          <cell r="AA462" t="str">
            <v>NA</v>
          </cell>
          <cell r="AN462" t="str">
            <v>NA</v>
          </cell>
          <cell r="AO462">
            <v>3500</v>
          </cell>
          <cell r="AP462" t="str">
            <v>Done</v>
          </cell>
        </row>
        <row r="463">
          <cell r="A463">
            <v>1</v>
          </cell>
          <cell r="B463" t="str">
            <v>Titans</v>
          </cell>
          <cell r="C463" t="str">
            <v>Catherine Lawrence</v>
          </cell>
          <cell r="D463" t="str">
            <v>Shubham Tripathi</v>
          </cell>
          <cell r="F463" t="str">
            <v>Abhishek Yadav</v>
          </cell>
          <cell r="G463" t="str">
            <v>Abhishek Yadav</v>
          </cell>
          <cell r="M463" t="str">
            <v>September</v>
          </cell>
          <cell r="N463">
            <v>45917</v>
          </cell>
          <cell r="O463" t="str">
            <v>NA</v>
          </cell>
          <cell r="P463" t="str">
            <v>Genpact</v>
          </cell>
          <cell r="R463" t="str">
            <v>FTE</v>
          </cell>
          <cell r="AA463" t="str">
            <v>NA</v>
          </cell>
          <cell r="AN463" t="str">
            <v>NA</v>
          </cell>
          <cell r="AO463">
            <v>6000</v>
          </cell>
          <cell r="AP463" t="str">
            <v>Done</v>
          </cell>
        </row>
        <row r="464">
          <cell r="A464">
            <v>1</v>
          </cell>
          <cell r="B464" t="str">
            <v>Titans</v>
          </cell>
          <cell r="C464" t="str">
            <v>Gonzalo Garza</v>
          </cell>
          <cell r="D464" t="str">
            <v>Mohd Imran</v>
          </cell>
          <cell r="F464" t="str">
            <v>Aditya Yadav</v>
          </cell>
          <cell r="G464" t="str">
            <v>Aditya Yadav</v>
          </cell>
          <cell r="M464" t="str">
            <v>September</v>
          </cell>
          <cell r="N464">
            <v>45918</v>
          </cell>
          <cell r="O464" t="str">
            <v>NA</v>
          </cell>
          <cell r="P464" t="str">
            <v>LTTS</v>
          </cell>
          <cell r="R464" t="str">
            <v>FTE</v>
          </cell>
          <cell r="AA464" t="str">
            <v>NA</v>
          </cell>
          <cell r="AN464" t="str">
            <v>NA</v>
          </cell>
          <cell r="AO464">
            <v>8429</v>
          </cell>
          <cell r="AP464" t="str">
            <v>Done</v>
          </cell>
        </row>
        <row r="465">
          <cell r="A465">
            <v>1</v>
          </cell>
          <cell r="B465" t="str">
            <v>Titans/Vantedge</v>
          </cell>
          <cell r="C465" t="str">
            <v>Jennifer My Yen To</v>
          </cell>
          <cell r="D465" t="str">
            <v>Hamza</v>
          </cell>
          <cell r="F465" t="str">
            <v>Umar Mujahid Hussain</v>
          </cell>
          <cell r="G465" t="str">
            <v>Nitin Saxena</v>
          </cell>
          <cell r="M465" t="str">
            <v>September</v>
          </cell>
          <cell r="N465">
            <v>45922</v>
          </cell>
          <cell r="O465" t="str">
            <v>NA</v>
          </cell>
          <cell r="P465" t="str">
            <v>Tech Mahindra</v>
          </cell>
          <cell r="R465" t="str">
            <v>FTE</v>
          </cell>
          <cell r="AA465" t="str">
            <v>NA</v>
          </cell>
          <cell r="AN465" t="str">
            <v>NA</v>
          </cell>
          <cell r="AO465">
            <v>4848.0600000000004</v>
          </cell>
          <cell r="AP465" t="str">
            <v>Done</v>
          </cell>
        </row>
        <row r="466">
          <cell r="A466">
            <v>1</v>
          </cell>
          <cell r="B466" t="str">
            <v>Titans</v>
          </cell>
          <cell r="C466" t="str">
            <v>Shashawnee Freeman</v>
          </cell>
          <cell r="D466" t="str">
            <v>Santosh Singh</v>
          </cell>
          <cell r="F466" t="str">
            <v>Aditya Yadav</v>
          </cell>
          <cell r="G466" t="str">
            <v>Aditya Yadav</v>
          </cell>
          <cell r="M466" t="str">
            <v>September</v>
          </cell>
          <cell r="N466">
            <v>45929</v>
          </cell>
          <cell r="O466" t="str">
            <v>NA</v>
          </cell>
          <cell r="P466" t="str">
            <v>LTTS</v>
          </cell>
          <cell r="R466" t="str">
            <v>FTE</v>
          </cell>
          <cell r="AA466" t="str">
            <v>NA</v>
          </cell>
          <cell r="AN466" t="str">
            <v>NA</v>
          </cell>
          <cell r="AO466">
            <v>6816</v>
          </cell>
          <cell r="AP466" t="str">
            <v>Done</v>
          </cell>
        </row>
        <row r="467">
          <cell r="A467">
            <v>1</v>
          </cell>
          <cell r="B467" t="str">
            <v>Titans</v>
          </cell>
          <cell r="C467" t="str">
            <v>Nima ShabaniJafroudi</v>
          </cell>
          <cell r="D467" t="str">
            <v>Aditya Yadav</v>
          </cell>
          <cell r="F467" t="str">
            <v>Aditya Yadav</v>
          </cell>
          <cell r="G467" t="str">
            <v>Aditya Yadav</v>
          </cell>
          <cell r="M467" t="str">
            <v>September</v>
          </cell>
          <cell r="N467">
            <v>45930</v>
          </cell>
          <cell r="O467" t="str">
            <v>NA</v>
          </cell>
          <cell r="P467" t="str">
            <v>Cyient</v>
          </cell>
          <cell r="R467" t="str">
            <v>FTE</v>
          </cell>
          <cell r="AA467" t="str">
            <v>NA</v>
          </cell>
          <cell r="AN467" t="str">
            <v>NA</v>
          </cell>
          <cell r="AO467">
            <v>4500</v>
          </cell>
          <cell r="AP467" t="str">
            <v>Done</v>
          </cell>
        </row>
        <row r="468">
          <cell r="A468">
            <v>1</v>
          </cell>
          <cell r="B468" t="str">
            <v>Vantedge</v>
          </cell>
          <cell r="C468" t="str">
            <v>Sachin Ahuja</v>
          </cell>
          <cell r="D468" t="str">
            <v>Anshul Kumar</v>
          </cell>
          <cell r="F468" t="str">
            <v>Anshul Kumar</v>
          </cell>
          <cell r="G468" t="str">
            <v>Anshul Kumar</v>
          </cell>
          <cell r="M468" t="str">
            <v>September</v>
          </cell>
          <cell r="N468">
            <v>45922</v>
          </cell>
          <cell r="O468" t="str">
            <v>NA</v>
          </cell>
          <cell r="P468" t="str">
            <v>LTTS</v>
          </cell>
          <cell r="R468" t="str">
            <v>FTE</v>
          </cell>
          <cell r="AA468" t="str">
            <v>NA</v>
          </cell>
          <cell r="AN468" t="str">
            <v>NA</v>
          </cell>
          <cell r="AO468">
            <v>26500</v>
          </cell>
          <cell r="AP468" t="str">
            <v>Done</v>
          </cell>
        </row>
        <row r="469">
          <cell r="A469">
            <v>1</v>
          </cell>
          <cell r="B469" t="str">
            <v>Vantedge</v>
          </cell>
          <cell r="C469" t="str">
            <v>Ehab Abbas</v>
          </cell>
          <cell r="D469" t="str">
            <v>Syed Ahrar Abbas Zaidi</v>
          </cell>
          <cell r="F469" t="str">
            <v>Anshul Kumar</v>
          </cell>
          <cell r="G469" t="str">
            <v>Umar Mujahid</v>
          </cell>
          <cell r="M469" t="str">
            <v>September</v>
          </cell>
          <cell r="N469">
            <v>45929</v>
          </cell>
          <cell r="O469" t="str">
            <v>NA</v>
          </cell>
          <cell r="P469" t="str">
            <v>InfoBeans</v>
          </cell>
          <cell r="R469" t="str">
            <v>FTE</v>
          </cell>
          <cell r="AA469" t="str">
            <v>NA</v>
          </cell>
          <cell r="AN469" t="str">
            <v>NA</v>
          </cell>
          <cell r="AO469">
            <v>32400</v>
          </cell>
          <cell r="AP469" t="str">
            <v>Done</v>
          </cell>
        </row>
        <row r="470">
          <cell r="A470">
            <v>1</v>
          </cell>
          <cell r="B470" t="str">
            <v>Vantedge</v>
          </cell>
          <cell r="C470" t="str">
            <v>Pallav Sharma</v>
          </cell>
          <cell r="D470" t="str">
            <v>Shreya Singh</v>
          </cell>
          <cell r="F470" t="str">
            <v>Umar Mujahid</v>
          </cell>
          <cell r="G470" t="str">
            <v>Anshul Kumar</v>
          </cell>
          <cell r="M470" t="str">
            <v>September</v>
          </cell>
          <cell r="N470">
            <v>45930</v>
          </cell>
          <cell r="O470" t="str">
            <v>NA</v>
          </cell>
          <cell r="P470" t="str">
            <v>BirlaSoft</v>
          </cell>
          <cell r="R470" t="str">
            <v>FTE</v>
          </cell>
          <cell r="AA470" t="str">
            <v>NA</v>
          </cell>
          <cell r="AN470" t="str">
            <v>NA</v>
          </cell>
          <cell r="AO470">
            <v>36000</v>
          </cell>
          <cell r="AP470" t="str">
            <v>Done</v>
          </cell>
        </row>
        <row r="471">
          <cell r="A471">
            <v>1</v>
          </cell>
          <cell r="B471" t="str">
            <v>Pioneer RPO</v>
          </cell>
          <cell r="C471" t="str">
            <v>Parker Moore</v>
          </cell>
          <cell r="D471" t="str">
            <v>Shubham Rastogi</v>
          </cell>
          <cell r="F471" t="str">
            <v>Ankit Pandey</v>
          </cell>
          <cell r="G471" t="str">
            <v>Shubham Rastogi</v>
          </cell>
          <cell r="M471" t="str">
            <v>September</v>
          </cell>
          <cell r="N471">
            <v>45902</v>
          </cell>
          <cell r="O471" t="str">
            <v>NA</v>
          </cell>
          <cell r="P471" t="str">
            <v xml:space="preserve">GPC IT </v>
          </cell>
          <cell r="R471" t="str">
            <v>FTE</v>
          </cell>
          <cell r="AA471" t="str">
            <v>NA</v>
          </cell>
          <cell r="AN471" t="str">
            <v>NA</v>
          </cell>
          <cell r="AO471">
            <v>300</v>
          </cell>
          <cell r="AP471" t="str">
            <v>Done</v>
          </cell>
        </row>
        <row r="472">
          <cell r="A472">
            <v>1</v>
          </cell>
          <cell r="B472" t="str">
            <v>Pioneer RPO</v>
          </cell>
          <cell r="C472" t="str">
            <v>Rajan Venkataguru</v>
          </cell>
          <cell r="D472" t="str">
            <v>Shubham Rastogi</v>
          </cell>
          <cell r="F472" t="str">
            <v>Ankit Pandey</v>
          </cell>
          <cell r="G472" t="str">
            <v>Shubham Rastogi</v>
          </cell>
          <cell r="M472" t="str">
            <v>September</v>
          </cell>
          <cell r="N472">
            <v>45915</v>
          </cell>
          <cell r="O472" t="str">
            <v>NA</v>
          </cell>
          <cell r="P472" t="str">
            <v xml:space="preserve">GPC IT </v>
          </cell>
          <cell r="R472" t="str">
            <v>FTE</v>
          </cell>
          <cell r="AA472" t="str">
            <v>NA</v>
          </cell>
          <cell r="AN472" t="str">
            <v>NA</v>
          </cell>
          <cell r="AO472">
            <v>300</v>
          </cell>
          <cell r="AP472" t="str">
            <v>Done</v>
          </cell>
        </row>
        <row r="473">
          <cell r="A473">
            <v>1</v>
          </cell>
          <cell r="B473" t="str">
            <v>Pioneer RPO</v>
          </cell>
          <cell r="C473" t="str">
            <v>Matthew Dale</v>
          </cell>
          <cell r="D473" t="str">
            <v>Sagar Chandani</v>
          </cell>
          <cell r="F473" t="str">
            <v>Ankit Pandey</v>
          </cell>
          <cell r="G473" t="str">
            <v>Shubham Rastogi</v>
          </cell>
          <cell r="M473" t="str">
            <v>September</v>
          </cell>
          <cell r="N473">
            <v>45915</v>
          </cell>
          <cell r="O473" t="str">
            <v>NA</v>
          </cell>
          <cell r="P473" t="str">
            <v xml:space="preserve">GPC IT </v>
          </cell>
          <cell r="R473" t="str">
            <v>FTE</v>
          </cell>
          <cell r="AA473" t="str">
            <v>NA</v>
          </cell>
          <cell r="AN473" t="str">
            <v>NA</v>
          </cell>
          <cell r="AO473">
            <v>3000</v>
          </cell>
          <cell r="AP473" t="str">
            <v>Done</v>
          </cell>
        </row>
        <row r="474">
          <cell r="A474">
            <v>1</v>
          </cell>
          <cell r="B474" t="str">
            <v>Pioneer RPO</v>
          </cell>
          <cell r="C474" t="str">
            <v>Johnny Li</v>
          </cell>
          <cell r="D474" t="str">
            <v>Sagar Chandani</v>
          </cell>
          <cell r="F474" t="str">
            <v>Ankit Pandey</v>
          </cell>
          <cell r="G474" t="str">
            <v>Shubham Rastogi</v>
          </cell>
          <cell r="M474" t="str">
            <v>September</v>
          </cell>
          <cell r="N474">
            <v>45929</v>
          </cell>
          <cell r="O474" t="str">
            <v>NA</v>
          </cell>
          <cell r="P474" t="str">
            <v xml:space="preserve">GPC IT </v>
          </cell>
          <cell r="R474" t="str">
            <v>FTE</v>
          </cell>
          <cell r="AA474" t="str">
            <v>NA</v>
          </cell>
          <cell r="AN474" t="str">
            <v>NA</v>
          </cell>
          <cell r="AO474">
            <v>3000</v>
          </cell>
          <cell r="AP474" t="str">
            <v>Done</v>
          </cell>
        </row>
        <row r="475">
          <cell r="A475">
            <v>1</v>
          </cell>
          <cell r="B475" t="str">
            <v>Titans</v>
          </cell>
          <cell r="C475" t="str">
            <v xml:space="preserve">Michelle Johnson </v>
          </cell>
          <cell r="D475" t="str">
            <v>Aastha Tiwari</v>
          </cell>
          <cell r="F475" t="str">
            <v>Aditya Yadav</v>
          </cell>
          <cell r="G475" t="str">
            <v>Aditya Yadav</v>
          </cell>
          <cell r="M475" t="str">
            <v>October</v>
          </cell>
          <cell r="N475">
            <v>45936</v>
          </cell>
          <cell r="O475" t="str">
            <v>NA</v>
          </cell>
          <cell r="P475" t="str">
            <v>LTTS</v>
          </cell>
          <cell r="R475" t="str">
            <v>FTE</v>
          </cell>
          <cell r="AA475" t="str">
            <v>NA</v>
          </cell>
          <cell r="AN475" t="str">
            <v>NA</v>
          </cell>
          <cell r="AO475">
            <v>6597</v>
          </cell>
          <cell r="AP475" t="str">
            <v>Done</v>
          </cell>
        </row>
        <row r="476">
          <cell r="A476">
            <v>1</v>
          </cell>
          <cell r="B476" t="str">
            <v>Trust</v>
          </cell>
          <cell r="C476" t="str">
            <v>Aaron Anzaldua</v>
          </cell>
          <cell r="D476" t="str">
            <v>Shivanshu Rastogi</v>
          </cell>
          <cell r="F476" t="str">
            <v>Bhanu Pratap Singh</v>
          </cell>
          <cell r="G476" t="str">
            <v>Shashank yadav</v>
          </cell>
          <cell r="M476" t="str">
            <v>October</v>
          </cell>
          <cell r="N476">
            <v>45943</v>
          </cell>
          <cell r="O476" t="str">
            <v>NA</v>
          </cell>
          <cell r="P476" t="str">
            <v>Reflik</v>
          </cell>
          <cell r="R476" t="str">
            <v>FTE</v>
          </cell>
          <cell r="AA476" t="str">
            <v>NA</v>
          </cell>
          <cell r="AN476" t="str">
            <v>NA</v>
          </cell>
          <cell r="AO476">
            <v>5000</v>
          </cell>
          <cell r="AP476" t="str">
            <v>Done</v>
          </cell>
        </row>
        <row r="477">
          <cell r="A477">
            <v>1</v>
          </cell>
          <cell r="B477" t="str">
            <v>Wellness Warriors - Healthcare</v>
          </cell>
          <cell r="C477" t="str">
            <v>Audrey Lewis</v>
          </cell>
          <cell r="D477" t="str">
            <v>Tushar Mishra</v>
          </cell>
          <cell r="F477" t="str">
            <v>Abhishek Singh</v>
          </cell>
          <cell r="M477" t="str">
            <v>October</v>
          </cell>
          <cell r="N477">
            <v>45936</v>
          </cell>
          <cell r="O477" t="str">
            <v>NA</v>
          </cell>
          <cell r="P477" t="str">
            <v>Recruitifi</v>
          </cell>
          <cell r="R477" t="str">
            <v>FTE</v>
          </cell>
          <cell r="AA477" t="str">
            <v>NA</v>
          </cell>
          <cell r="AN477" t="str">
            <v>NA</v>
          </cell>
          <cell r="AO477">
            <v>15789.69</v>
          </cell>
          <cell r="AP477" t="str">
            <v>Done</v>
          </cell>
        </row>
        <row r="478">
          <cell r="A478">
            <v>1</v>
          </cell>
          <cell r="B478" t="str">
            <v>CSK</v>
          </cell>
          <cell r="C478" t="str">
            <v xml:space="preserve">Taylor Fink </v>
          </cell>
          <cell r="D478" t="str">
            <v>Ajithkumar G</v>
          </cell>
          <cell r="F478" t="str">
            <v>Vinoth L</v>
          </cell>
          <cell r="G478" t="str">
            <v>Akbar I</v>
          </cell>
          <cell r="M478" t="str">
            <v>October</v>
          </cell>
          <cell r="N478">
            <v>45931</v>
          </cell>
          <cell r="O478" t="str">
            <v>NA</v>
          </cell>
          <cell r="P478" t="str">
            <v>Relevante</v>
          </cell>
          <cell r="R478" t="str">
            <v>FTE</v>
          </cell>
          <cell r="AA478" t="str">
            <v>NA</v>
          </cell>
          <cell r="AN478" t="str">
            <v>NA</v>
          </cell>
          <cell r="AO478">
            <v>4200</v>
          </cell>
          <cell r="AP478" t="str">
            <v>Done</v>
          </cell>
        </row>
        <row r="479">
          <cell r="A479">
            <v>1</v>
          </cell>
          <cell r="B479" t="str">
            <v>Mavericks</v>
          </cell>
          <cell r="C479" t="str">
            <v>Tongyu Terry Fei</v>
          </cell>
          <cell r="D479" t="str">
            <v>Ubaid Rahman</v>
          </cell>
          <cell r="F479" t="str">
            <v>Kashif Nabi</v>
          </cell>
          <cell r="G479" t="str">
            <v>Kashif Nabi</v>
          </cell>
          <cell r="M479" t="str">
            <v>October</v>
          </cell>
          <cell r="N479">
            <v>45945</v>
          </cell>
          <cell r="O479" t="str">
            <v>NA</v>
          </cell>
          <cell r="P479" t="str">
            <v>Genpact</v>
          </cell>
          <cell r="R479" t="str">
            <v>FTE</v>
          </cell>
          <cell r="AA479" t="str">
            <v>NA</v>
          </cell>
          <cell r="AN479" t="str">
            <v>NA</v>
          </cell>
          <cell r="AO479">
            <v>6000</v>
          </cell>
          <cell r="AP479" t="str">
            <v>Done</v>
          </cell>
        </row>
        <row r="480">
          <cell r="A480">
            <v>1</v>
          </cell>
          <cell r="B480" t="str">
            <v>Mavericks</v>
          </cell>
          <cell r="C480" t="str">
            <v>Ashish Kumar Shahane</v>
          </cell>
          <cell r="D480" t="str">
            <v>Ekta Singh</v>
          </cell>
          <cell r="F480" t="str">
            <v>Rohit Gupta</v>
          </cell>
          <cell r="G480" t="str">
            <v>Vivek Yadav</v>
          </cell>
          <cell r="M480" t="str">
            <v>October</v>
          </cell>
          <cell r="N480">
            <v>45936</v>
          </cell>
          <cell r="O480" t="str">
            <v>NA</v>
          </cell>
          <cell r="P480" t="str">
            <v>CoForge</v>
          </cell>
          <cell r="R480" t="str">
            <v>FTE</v>
          </cell>
          <cell r="AA480" t="str">
            <v>NA</v>
          </cell>
          <cell r="AN480" t="str">
            <v>NA</v>
          </cell>
          <cell r="AO480">
            <v>3000</v>
          </cell>
          <cell r="AP480" t="str">
            <v>Done</v>
          </cell>
        </row>
        <row r="481">
          <cell r="A481">
            <v>1</v>
          </cell>
          <cell r="B481" t="str">
            <v>Vantedge</v>
          </cell>
          <cell r="C481" t="str">
            <v>Anoop Nagaraj Sumithra</v>
          </cell>
          <cell r="D481" t="str">
            <v>Syed Ahrar Abbas Zaidi</v>
          </cell>
          <cell r="F481" t="str">
            <v>Mayank Saxena</v>
          </cell>
          <cell r="G481" t="str">
            <v>Umar Mujahid</v>
          </cell>
          <cell r="M481" t="str">
            <v>October</v>
          </cell>
          <cell r="N481">
            <v>45943</v>
          </cell>
          <cell r="O481" t="str">
            <v>NA</v>
          </cell>
          <cell r="P481" t="str">
            <v>Fanatics</v>
          </cell>
          <cell r="R481" t="str">
            <v>FTE</v>
          </cell>
          <cell r="AA481" t="str">
            <v>NA</v>
          </cell>
          <cell r="AN481" t="str">
            <v>NA</v>
          </cell>
          <cell r="AO481">
            <v>35250</v>
          </cell>
          <cell r="AP481" t="str">
            <v>Done</v>
          </cell>
        </row>
        <row r="483">
          <cell r="A483">
            <v>1</v>
          </cell>
          <cell r="B483" t="str">
            <v>CSK</v>
          </cell>
          <cell r="C483" t="str">
            <v>Giga Songulashvil</v>
          </cell>
          <cell r="D483" t="str">
            <v>M Harinath</v>
          </cell>
          <cell r="F483" t="str">
            <v>Vinoth L</v>
          </cell>
          <cell r="M483" t="str">
            <v>October</v>
          </cell>
          <cell r="N483">
            <v>45957</v>
          </cell>
          <cell r="O483" t="str">
            <v>NA</v>
          </cell>
          <cell r="P483" t="str">
            <v>Apexon</v>
          </cell>
          <cell r="R483" t="str">
            <v>FTE</v>
          </cell>
          <cell r="AA483" t="str">
            <v>NA</v>
          </cell>
          <cell r="AN483" t="str">
            <v>NA</v>
          </cell>
          <cell r="AO483">
            <v>2500</v>
          </cell>
          <cell r="AP483" t="str">
            <v>Done</v>
          </cell>
        </row>
        <row r="484">
          <cell r="A484">
            <v>1</v>
          </cell>
          <cell r="B484" t="str">
            <v>Trust</v>
          </cell>
          <cell r="C484" t="str">
            <v>Shahin Maknojia</v>
          </cell>
          <cell r="D484" t="str">
            <v>Harsh Shukla</v>
          </cell>
          <cell r="F484" t="str">
            <v>Bhanu Pratap Singh</v>
          </cell>
          <cell r="G484" t="str">
            <v>Harsh Agrawal</v>
          </cell>
          <cell r="M484" t="str">
            <v>October</v>
          </cell>
          <cell r="N484">
            <v>45950</v>
          </cell>
          <cell r="O484" t="str">
            <v>NA</v>
          </cell>
          <cell r="P484" t="str">
            <v>Infosys</v>
          </cell>
          <cell r="R484" t="str">
            <v>FTE</v>
          </cell>
          <cell r="AA484" t="str">
            <v>NA</v>
          </cell>
          <cell r="AN484" t="str">
            <v>NA</v>
          </cell>
          <cell r="AO484">
            <v>3500</v>
          </cell>
          <cell r="AP484" t="str">
            <v>Done</v>
          </cell>
        </row>
        <row r="485">
          <cell r="A485">
            <v>1</v>
          </cell>
          <cell r="B485" t="str">
            <v>Trust</v>
          </cell>
          <cell r="C485" t="str">
            <v>Matthew Carl Anderson</v>
          </cell>
          <cell r="D485" t="str">
            <v>Aarzoo Khan</v>
          </cell>
          <cell r="F485" t="str">
            <v>Bhanu Pratap Singh</v>
          </cell>
          <cell r="G485" t="str">
            <v>Harsh Agrawal</v>
          </cell>
          <cell r="M485" t="str">
            <v>October</v>
          </cell>
          <cell r="N485">
            <v>45960</v>
          </cell>
          <cell r="O485" t="str">
            <v>NA</v>
          </cell>
          <cell r="P485" t="str">
            <v>Infosys</v>
          </cell>
          <cell r="R485" t="str">
            <v>FTE</v>
          </cell>
          <cell r="AA485" t="str">
            <v>NA</v>
          </cell>
          <cell r="AN485" t="str">
            <v>NA</v>
          </cell>
          <cell r="AO485">
            <v>3500</v>
          </cell>
          <cell r="AP485" t="str">
            <v>Done</v>
          </cell>
        </row>
        <row r="486">
          <cell r="A486">
            <v>1</v>
          </cell>
          <cell r="B486" t="str">
            <v>Trust</v>
          </cell>
          <cell r="C486" t="str">
            <v>Morgan Larkin</v>
          </cell>
          <cell r="D486" t="str">
            <v>Vivek Mani Upadhyay</v>
          </cell>
          <cell r="F486" t="str">
            <v>Bhanu Pratap Singh</v>
          </cell>
          <cell r="G486" t="str">
            <v>Shashank Yadav</v>
          </cell>
          <cell r="M486" t="str">
            <v>October</v>
          </cell>
          <cell r="N486">
            <v>45960</v>
          </cell>
          <cell r="O486" t="str">
            <v>NA</v>
          </cell>
          <cell r="P486" t="str">
            <v>Infosys</v>
          </cell>
          <cell r="R486" t="str">
            <v>FTE</v>
          </cell>
          <cell r="AA486" t="str">
            <v>NA</v>
          </cell>
          <cell r="AN486" t="str">
            <v>NA</v>
          </cell>
          <cell r="AO486">
            <v>3500</v>
          </cell>
          <cell r="AP486" t="str">
            <v>Done</v>
          </cell>
        </row>
        <row r="487">
          <cell r="A487">
            <v>1</v>
          </cell>
          <cell r="B487" t="str">
            <v>Vantedge</v>
          </cell>
          <cell r="C487" t="str">
            <v>Abhishek Pandey</v>
          </cell>
          <cell r="D487" t="str">
            <v>Mayank Saxena</v>
          </cell>
          <cell r="F487" t="str">
            <v>Mayank Saxena</v>
          </cell>
          <cell r="G487" t="str">
            <v>Mayank Saxena</v>
          </cell>
          <cell r="M487" t="str">
            <v>October</v>
          </cell>
          <cell r="N487">
            <v>45945</v>
          </cell>
          <cell r="O487">
            <v>45960</v>
          </cell>
          <cell r="P487" t="str">
            <v>Coforge</v>
          </cell>
          <cell r="R487" t="str">
            <v>FTE</v>
          </cell>
          <cell r="AA487" t="str">
            <v>NA</v>
          </cell>
          <cell r="AN487" t="str">
            <v>NA</v>
          </cell>
          <cell r="AO487">
            <v>0</v>
          </cell>
          <cell r="AP487" t="str">
            <v>Done</v>
          </cell>
        </row>
        <row r="488">
          <cell r="A488">
            <v>1</v>
          </cell>
          <cell r="B488" t="str">
            <v>Vantedge</v>
          </cell>
          <cell r="C488" t="str">
            <v>John Thornhill Williams</v>
          </cell>
          <cell r="D488" t="str">
            <v>Ranjeet Kumar</v>
          </cell>
          <cell r="F488" t="str">
            <v>Raunak Tripathi</v>
          </cell>
          <cell r="G488" t="str">
            <v>Raunak Tripathi</v>
          </cell>
          <cell r="M488" t="str">
            <v>October</v>
          </cell>
          <cell r="N488">
            <v>45960</v>
          </cell>
          <cell r="O488" t="str">
            <v>NA</v>
          </cell>
          <cell r="P488" t="str">
            <v>LTIMindtree</v>
          </cell>
          <cell r="R488" t="str">
            <v>FTE</v>
          </cell>
          <cell r="AA488" t="str">
            <v>NA</v>
          </cell>
          <cell r="AN488" t="str">
            <v>NA</v>
          </cell>
          <cell r="AO488">
            <v>28350</v>
          </cell>
          <cell r="AP488" t="str">
            <v>Done</v>
          </cell>
        </row>
        <row r="489">
          <cell r="A489">
            <v>1</v>
          </cell>
          <cell r="B489" t="str">
            <v>Vantedge</v>
          </cell>
          <cell r="C489" t="str">
            <v>Mickael Mounien</v>
          </cell>
          <cell r="D489" t="str">
            <v>Prachi Pandey</v>
          </cell>
          <cell r="F489" t="str">
            <v>Raunak Tripathi</v>
          </cell>
          <cell r="G489" t="str">
            <v>Raunak Tripathi</v>
          </cell>
          <cell r="M489" t="str">
            <v>October</v>
          </cell>
          <cell r="N489">
            <v>45936</v>
          </cell>
          <cell r="O489" t="str">
            <v>NA</v>
          </cell>
          <cell r="P489" t="str">
            <v>PocketFM</v>
          </cell>
          <cell r="R489" t="str">
            <v>FTE</v>
          </cell>
          <cell r="AA489" t="str">
            <v>NA</v>
          </cell>
          <cell r="AN489" t="str">
            <v>NA</v>
          </cell>
          <cell r="AO489">
            <v>3450</v>
          </cell>
          <cell r="AP489" t="str">
            <v>Done</v>
          </cell>
        </row>
        <row r="490">
          <cell r="A490">
            <v>1</v>
          </cell>
          <cell r="B490" t="str">
            <v>Pioneer RPO</v>
          </cell>
          <cell r="C490" t="str">
            <v>Anand Chellakumar Singaram</v>
          </cell>
          <cell r="D490" t="str">
            <v>Sagar Chandani</v>
          </cell>
          <cell r="F490" t="str">
            <v>Ankit Pandey</v>
          </cell>
          <cell r="G490" t="str">
            <v>Shubham Rastogi</v>
          </cell>
          <cell r="M490" t="str">
            <v>October</v>
          </cell>
          <cell r="N490">
            <v>45959</v>
          </cell>
          <cell r="O490" t="str">
            <v>NA</v>
          </cell>
          <cell r="P490" t="str">
            <v xml:space="preserve">GPC IT </v>
          </cell>
          <cell r="R490" t="str">
            <v>FTE</v>
          </cell>
          <cell r="AA490" t="str">
            <v>NA</v>
          </cell>
          <cell r="AN490" t="str">
            <v>NA</v>
          </cell>
          <cell r="AO490">
            <v>300</v>
          </cell>
          <cell r="AP490" t="str">
            <v>Done</v>
          </cell>
        </row>
      </sheetData>
      <sheetData sheetId="8"/>
      <sheetData sheetId="9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10"/>
      <sheetData sheetId="11"/>
      <sheetData sheetId="12">
        <row r="3">
          <cell r="A3" t="str">
            <v>Umar Mujahid Husain</v>
          </cell>
          <cell r="C3">
            <v>18</v>
          </cell>
          <cell r="D3">
            <v>9</v>
          </cell>
          <cell r="F3">
            <v>450000</v>
          </cell>
        </row>
        <row r="4">
          <cell r="A4" t="str">
            <v>Raunak Tripathi</v>
          </cell>
          <cell r="C4">
            <v>23</v>
          </cell>
          <cell r="D4">
            <v>11</v>
          </cell>
          <cell r="F4">
            <v>605000</v>
          </cell>
        </row>
        <row r="5">
          <cell r="A5" t="str">
            <v>Mayank Saxena</v>
          </cell>
          <cell r="C5">
            <v>18</v>
          </cell>
          <cell r="D5">
            <v>10.5</v>
          </cell>
          <cell r="F5">
            <v>425000</v>
          </cell>
        </row>
        <row r="6">
          <cell r="A6" t="str">
            <v>Anshul Kumar</v>
          </cell>
          <cell r="C6">
            <v>12</v>
          </cell>
          <cell r="D6">
            <v>11</v>
          </cell>
          <cell r="F6">
            <v>300000</v>
          </cell>
        </row>
        <row r="7">
          <cell r="A7" t="str">
            <v>Sourcing Team - Rohini</v>
          </cell>
          <cell r="C7">
            <v>25</v>
          </cell>
          <cell r="D7">
            <v>16</v>
          </cell>
          <cell r="F7" t="str">
            <v>-</v>
          </cell>
        </row>
        <row r="8">
          <cell r="A8" t="str">
            <v>Lucky Jain</v>
          </cell>
          <cell r="C8">
            <v>46</v>
          </cell>
          <cell r="D8">
            <v>11.5</v>
          </cell>
          <cell r="F8">
            <v>300000</v>
          </cell>
        </row>
        <row r="9">
          <cell r="A9" t="str">
            <v>Vinoth L</v>
          </cell>
          <cell r="C9">
            <v>46</v>
          </cell>
          <cell r="D9">
            <v>21.5</v>
          </cell>
          <cell r="F9">
            <v>175000</v>
          </cell>
        </row>
        <row r="10">
          <cell r="A10" t="str">
            <v>Akbar Ibrahim</v>
          </cell>
          <cell r="C10">
            <v>46</v>
          </cell>
          <cell r="D10">
            <v>5</v>
          </cell>
          <cell r="F10">
            <v>175000</v>
          </cell>
        </row>
      </sheetData>
      <sheetData sheetId="13">
        <row r="3">
          <cell r="I3" t="str">
            <v>Umar Mujahid Husain</v>
          </cell>
          <cell r="J3" t="str">
            <v>Alok Mishra</v>
          </cell>
        </row>
        <row r="4">
          <cell r="I4" t="str">
            <v>Raunak Tripathi</v>
          </cell>
          <cell r="J4" t="str">
            <v>Alok Mishra</v>
          </cell>
        </row>
        <row r="5">
          <cell r="I5" t="str">
            <v>Mayank Saxena</v>
          </cell>
          <cell r="J5" t="str">
            <v>Alok Mishra</v>
          </cell>
        </row>
        <row r="6">
          <cell r="I6" t="str">
            <v>Anshul Kumar</v>
          </cell>
          <cell r="J6" t="str">
            <v>Alok Mishra</v>
          </cell>
        </row>
        <row r="7">
          <cell r="I7" t="str">
            <v>Rohini Parihar</v>
          </cell>
          <cell r="J7" t="str">
            <v>Alok Mishra</v>
          </cell>
        </row>
        <row r="8">
          <cell r="I8" t="str">
            <v>Lucky Jain</v>
          </cell>
          <cell r="J8" t="str">
            <v>Alok Mishra</v>
          </cell>
        </row>
        <row r="9">
          <cell r="I9" t="str">
            <v>Akbar Ibrahim</v>
          </cell>
          <cell r="J9" t="str">
            <v>Alok Mishra</v>
          </cell>
        </row>
        <row r="10">
          <cell r="I10" t="str">
            <v>Vinoth L</v>
          </cell>
          <cell r="J10" t="str">
            <v>Alok Mishra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1CE8-46E3-496B-BD8E-D486A50C5BA4}">
  <dimension ref="A1:R80"/>
  <sheetViews>
    <sheetView tabSelected="1" zoomScale="74" workbookViewId="0">
      <selection sqref="A1:XFD1048576"/>
    </sheetView>
  </sheetViews>
  <sheetFormatPr defaultColWidth="19.44140625" defaultRowHeight="14.4" x14ac:dyDescent="0.3"/>
  <cols>
    <col min="1" max="1" width="14.5546875" style="4" bestFit="1" customWidth="1"/>
    <col min="2" max="2" width="28.44140625" style="3" bestFit="1" customWidth="1"/>
    <col min="3" max="3" width="11.109375" style="3" bestFit="1" customWidth="1"/>
    <col min="4" max="4" width="13.88671875" style="3" bestFit="1" customWidth="1"/>
    <col min="5" max="5" width="13.44140625" style="3" bestFit="1" customWidth="1"/>
    <col min="6" max="6" width="13.21875" style="3" customWidth="1"/>
    <col min="7" max="7" width="9.5546875" style="3" bestFit="1" customWidth="1"/>
    <col min="8" max="8" width="14.88671875" style="3" bestFit="1" customWidth="1"/>
    <col min="9" max="9" width="21.33203125" style="3" bestFit="1" customWidth="1"/>
    <col min="10" max="10" width="18.88671875" style="3" bestFit="1" customWidth="1"/>
    <col min="11" max="11" width="13.21875" style="3" bestFit="1" customWidth="1"/>
    <col min="12" max="12" width="11.33203125" style="3" bestFit="1" customWidth="1"/>
    <col min="13" max="13" width="11.33203125" style="3" customWidth="1"/>
    <col min="14" max="14" width="11.109375" style="3" bestFit="1" customWidth="1"/>
    <col min="15" max="15" width="16.109375" style="3" bestFit="1" customWidth="1"/>
    <col min="16" max="16" width="13.33203125" style="3" customWidth="1"/>
    <col min="17" max="17" width="15.44140625" style="3" bestFit="1" customWidth="1"/>
    <col min="18" max="18" width="16.88671875" style="3" bestFit="1" customWidth="1"/>
    <col min="19" max="16384" width="19.44140625" style="3"/>
  </cols>
  <sheetData>
    <row r="1" spans="1:18" ht="25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 ht="15" thickBot="1" x14ac:dyDescent="0.35"/>
    <row r="3" spans="1:18" ht="43.2" x14ac:dyDescent="0.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7" t="s">
        <v>15</v>
      </c>
    </row>
    <row r="4" spans="1:18" ht="29.4" thickBot="1" x14ac:dyDescent="0.35">
      <c r="A4" s="8" t="s">
        <v>16</v>
      </c>
      <c r="B4" s="9" t="s">
        <v>17</v>
      </c>
      <c r="C4" s="10" t="str">
        <f>_xlfn.XLOOKUP($B4,'[1]Data Validation (2)'!$I$3:$I$10,'[1]Data Validation (2)'!$J$3:$J$10)</f>
        <v>Alok Mishra</v>
      </c>
      <c r="D4" s="10">
        <f>_xlfn.XLOOKUP($B4,'[1]Ach % - L2'!$A$3:$A$10,'[1]Ach % - L2'!$C$3:$C$10)</f>
        <v>46</v>
      </c>
      <c r="E4" s="11">
        <f>_xlfn.XLOOKUP($B4,'[1]Ach % - L2'!$A$3:$A$10,'[1]Ach % - L2'!$D$3:$D$10)</f>
        <v>11.5</v>
      </c>
      <c r="F4" s="12">
        <f>E4/D4</f>
        <v>0.25</v>
      </c>
      <c r="G4" s="10">
        <f>_xlfn.XLOOKUP($B4,'[1]Ach % - L2'!$A$3:$A$10,'[1]Ach % - L2'!$F$3:$F$10)</f>
        <v>300000</v>
      </c>
      <c r="H4" s="13">
        <f>SUM(Q6:Q26)</f>
        <v>53877.7</v>
      </c>
      <c r="I4" s="12">
        <f>H4/G4</f>
        <v>0.17959233333333333</v>
      </c>
      <c r="J4" s="13">
        <f ca="1">SUMIFS($Q5:$Q26,$R5:$R26,"yes")</f>
        <v>53877.7</v>
      </c>
      <c r="K4" s="14" cm="1">
        <f t="array" ref="K4">_xlfn.IFS($I4&lt;=34%,0%,$I4&lt;=65%,1.25%,$I4&lt;=90%,1.75%,$I4&lt;=110%,2.5%,$I4&gt;110%,5%)</f>
        <v>0</v>
      </c>
      <c r="L4" s="13">
        <f ca="1">J4*K4</f>
        <v>0</v>
      </c>
      <c r="M4" s="13">
        <f ca="1">L4*80</f>
        <v>0</v>
      </c>
      <c r="N4" s="13">
        <f ca="1">(J4*K4)*80</f>
        <v>0</v>
      </c>
      <c r="O4" s="15"/>
    </row>
    <row r="5" spans="1:18" s="4" customFormat="1" ht="28.8" x14ac:dyDescent="0.3">
      <c r="A5" s="16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23</v>
      </c>
      <c r="G5" s="17" t="s">
        <v>24</v>
      </c>
      <c r="H5" s="17" t="s">
        <v>25</v>
      </c>
      <c r="I5" s="17" t="s">
        <v>26</v>
      </c>
      <c r="J5" s="18" t="s">
        <v>27</v>
      </c>
      <c r="K5" s="18" t="s">
        <v>28</v>
      </c>
      <c r="L5" s="17" t="s">
        <v>29</v>
      </c>
      <c r="M5" s="17" t="s">
        <v>30</v>
      </c>
      <c r="N5" s="17" t="s">
        <v>31</v>
      </c>
      <c r="O5" s="17" t="s">
        <v>32</v>
      </c>
      <c r="P5" s="17" t="s">
        <v>33</v>
      </c>
      <c r="Q5" s="18" t="s">
        <v>34</v>
      </c>
      <c r="R5" s="19" t="s">
        <v>35</v>
      </c>
    </row>
    <row r="6" spans="1:18" x14ac:dyDescent="0.3">
      <c r="A6" s="20" t="str">
        <f>B4</f>
        <v>Lucky Jain</v>
      </c>
      <c r="B6" s="21" t="str" cm="1">
        <f t="array" ref="B6:M20">IFERROR(_xlfn.CHOOSECOLS(_xlfn._xlws.FILTER('[1]L4 dummy data'!A:AQ,(('[1]L4 dummy data'!F:F=$B4) + ('[1]L4 dummy data'!G:G=$B4)) &gt; 0),3,14,16,41,42,15,18,4,6,7,40,27),"")</f>
        <v xml:space="preserve">Srinath Rayadurg Kristappa </v>
      </c>
      <c r="C6" s="22">
        <v>45790</v>
      </c>
      <c r="D6" s="21" t="str">
        <v>Mphasis</v>
      </c>
      <c r="E6" s="23">
        <v>7760</v>
      </c>
      <c r="F6" s="24" t="str">
        <v>Active</v>
      </c>
      <c r="G6" s="22" t="str">
        <v>NA</v>
      </c>
      <c r="H6" s="21" t="str">
        <v>Contract</v>
      </c>
      <c r="I6" s="21" t="str">
        <v>Ansh Singh Rathore</v>
      </c>
      <c r="J6" s="21" t="str">
        <v>Vinay Kumar Pandey</v>
      </c>
      <c r="K6" s="21" t="str">
        <v>Lucky Jain</v>
      </c>
      <c r="L6" s="21">
        <v>776</v>
      </c>
      <c r="M6" s="21">
        <v>10</v>
      </c>
      <c r="N6" s="21">
        <f t="shared" ref="N6:N18" ca="1" si="0">IF(G6&lt;&gt;"NA", G6 - C6, TODAY() - C6)</f>
        <v>262</v>
      </c>
      <c r="O6" s="21" t="s">
        <v>36</v>
      </c>
      <c r="P6" s="21" cm="1">
        <f t="array" ref="P6">_xlfn.IFS($O6="Individual",1,$O6="Split",0.5,TRUE,0)</f>
        <v>1</v>
      </c>
      <c r="Q6" s="21">
        <f t="shared" ref="Q6:Q18" si="1">E6*P6</f>
        <v>7760</v>
      </c>
      <c r="R6" s="25" t="str">
        <f t="shared" ref="R6:R18" ca="1" si="2">IF(OR(AND(H6="Contract",F6="Active"),AND(H6="Contract",F6="Done"),AND(H6="FTE",N6&gt;90,F6="Done")),"Yes","NO")</f>
        <v>Yes</v>
      </c>
    </row>
    <row r="7" spans="1:18" x14ac:dyDescent="0.3">
      <c r="A7" s="20"/>
      <c r="B7" s="21" t="str">
        <v>Percival Powers</v>
      </c>
      <c r="C7" s="22">
        <v>45806</v>
      </c>
      <c r="D7" s="21" t="str">
        <v>Visionet</v>
      </c>
      <c r="E7" s="23">
        <v>10320</v>
      </c>
      <c r="F7" s="24" t="str">
        <v>Active</v>
      </c>
      <c r="G7" s="22" t="str">
        <v>NA</v>
      </c>
      <c r="H7" s="21" t="str">
        <v>Contract</v>
      </c>
      <c r="I7" s="21" t="str">
        <v>Arpit Juneja</v>
      </c>
      <c r="J7" s="21" t="str">
        <v>Lucky Jain</v>
      </c>
      <c r="K7" s="21" t="str">
        <v>Lucky Jain</v>
      </c>
      <c r="L7" s="21">
        <v>688</v>
      </c>
      <c r="M7" s="21">
        <v>15</v>
      </c>
      <c r="N7" s="21">
        <f t="shared" ca="1" si="0"/>
        <v>246</v>
      </c>
      <c r="O7" s="21" t="s">
        <v>36</v>
      </c>
      <c r="P7" s="21" cm="1">
        <f t="array" ref="P7">_xlfn.IFS($O7="Individual",1,$O7="Split",0.5,TRUE,0)</f>
        <v>1</v>
      </c>
      <c r="Q7" s="21">
        <f t="shared" si="1"/>
        <v>10320</v>
      </c>
      <c r="R7" s="25" t="str">
        <f t="shared" ca="1" si="2"/>
        <v>Yes</v>
      </c>
    </row>
    <row r="8" spans="1:18" x14ac:dyDescent="0.3">
      <c r="A8" s="20"/>
      <c r="B8" s="21" t="str">
        <v>Pankaj Gupta</v>
      </c>
      <c r="C8" s="22">
        <v>45826</v>
      </c>
      <c r="D8" s="21" t="str">
        <v>Visionet</v>
      </c>
      <c r="E8" s="23">
        <v>0</v>
      </c>
      <c r="F8" s="24" t="str">
        <v>No Bill No Pay</v>
      </c>
      <c r="G8" s="22">
        <v>45856</v>
      </c>
      <c r="H8" s="21" t="str">
        <v>Contract</v>
      </c>
      <c r="I8" s="21" t="str">
        <v>Ansh Singh Rathore</v>
      </c>
      <c r="J8" s="21" t="str">
        <v>Lucky Jain</v>
      </c>
      <c r="K8" s="21" t="str">
        <v>Lucky Jain</v>
      </c>
      <c r="L8" s="21">
        <v>0</v>
      </c>
      <c r="M8" s="21">
        <v>7.25</v>
      </c>
      <c r="N8" s="21">
        <f t="shared" ca="1" si="0"/>
        <v>30</v>
      </c>
      <c r="O8" s="21" t="s">
        <v>36</v>
      </c>
      <c r="P8" s="21">
        <v>0</v>
      </c>
      <c r="Q8" s="21">
        <f t="shared" si="1"/>
        <v>0</v>
      </c>
      <c r="R8" s="25" t="str">
        <f t="shared" ca="1" si="2"/>
        <v>NO</v>
      </c>
    </row>
    <row r="9" spans="1:18" x14ac:dyDescent="0.3">
      <c r="A9" s="20"/>
      <c r="B9" s="21" t="str">
        <v>Balwan Singh</v>
      </c>
      <c r="C9" s="22">
        <v>45831</v>
      </c>
      <c r="D9" s="21" t="str">
        <v>Visionet</v>
      </c>
      <c r="E9" s="23">
        <v>8040</v>
      </c>
      <c r="F9" s="24" t="str">
        <v>Done</v>
      </c>
      <c r="G9" s="22">
        <v>45937</v>
      </c>
      <c r="H9" s="21" t="str">
        <v>Contract</v>
      </c>
      <c r="I9" s="21" t="str">
        <v>Rishabh Singh</v>
      </c>
      <c r="J9" s="21" t="str">
        <v>Lucky Jain</v>
      </c>
      <c r="K9" s="21" t="str">
        <v>Lucky Jain</v>
      </c>
      <c r="L9" s="21">
        <v>536</v>
      </c>
      <c r="M9" s="21">
        <v>15</v>
      </c>
      <c r="N9" s="21">
        <f t="shared" ca="1" si="0"/>
        <v>106</v>
      </c>
      <c r="O9" s="21" t="s">
        <v>36</v>
      </c>
      <c r="P9" s="21" cm="1">
        <f t="array" ref="P9">_xlfn.IFS($O9="Individual",1,$O9="Split",0.5,TRUE,0)</f>
        <v>1</v>
      </c>
      <c r="Q9" s="21">
        <f t="shared" si="1"/>
        <v>8040</v>
      </c>
      <c r="R9" s="25" t="str">
        <f t="shared" ca="1" si="2"/>
        <v>Yes</v>
      </c>
    </row>
    <row r="10" spans="1:18" x14ac:dyDescent="0.3">
      <c r="A10" s="20"/>
      <c r="B10" s="21" t="str">
        <v>Rajanikanth Bhamidipati</v>
      </c>
      <c r="C10" s="22">
        <v>45852</v>
      </c>
      <c r="D10" s="21" t="str">
        <v>Visionet</v>
      </c>
      <c r="E10" s="23">
        <v>6360</v>
      </c>
      <c r="F10" s="24" t="str">
        <v>Active</v>
      </c>
      <c r="G10" s="22" t="str">
        <v>NA</v>
      </c>
      <c r="H10" s="21" t="str">
        <v>Contract</v>
      </c>
      <c r="I10" s="21" t="str">
        <v>Ansh Singh Rathore</v>
      </c>
      <c r="J10" s="21" t="str">
        <v>Lucky Jain</v>
      </c>
      <c r="K10" s="21" t="str">
        <v>Lucky Jain</v>
      </c>
      <c r="L10" s="21">
        <v>424</v>
      </c>
      <c r="M10" s="21">
        <v>15</v>
      </c>
      <c r="N10" s="21">
        <f t="shared" ca="1" si="0"/>
        <v>200</v>
      </c>
      <c r="O10" s="21" t="s">
        <v>36</v>
      </c>
      <c r="P10" s="21" cm="1">
        <f t="array" ref="P10">_xlfn.IFS($O10="Individual",1,$O10="Split",0.5,TRUE,0)</f>
        <v>1</v>
      </c>
      <c r="Q10" s="21">
        <f t="shared" si="1"/>
        <v>6360</v>
      </c>
      <c r="R10" s="25" t="str">
        <f t="shared" ca="1" si="2"/>
        <v>Yes</v>
      </c>
    </row>
    <row r="11" spans="1:18" x14ac:dyDescent="0.3">
      <c r="A11" s="20"/>
      <c r="B11" s="21" t="str">
        <v>Terrance W. Robinson</v>
      </c>
      <c r="C11" s="22">
        <v>45852</v>
      </c>
      <c r="D11" s="21" t="str">
        <v>Visionet</v>
      </c>
      <c r="E11" s="23">
        <v>6720</v>
      </c>
      <c r="F11" s="24" t="str">
        <v>Active</v>
      </c>
      <c r="G11" s="22" t="str">
        <v>NA</v>
      </c>
      <c r="H11" s="21" t="str">
        <v>Contract</v>
      </c>
      <c r="I11" s="21" t="str">
        <v>Abhishek Rajpoot</v>
      </c>
      <c r="J11" s="21" t="str">
        <v>Lucky Jain</v>
      </c>
      <c r="K11" s="21" t="str">
        <v>Lucky Jain</v>
      </c>
      <c r="L11" s="21">
        <v>448</v>
      </c>
      <c r="M11" s="21">
        <v>15</v>
      </c>
      <c r="N11" s="21">
        <f t="shared" ca="1" si="0"/>
        <v>200</v>
      </c>
      <c r="O11" s="21" t="s">
        <v>36</v>
      </c>
      <c r="P11" s="21" cm="1">
        <f t="array" ref="P11">_xlfn.IFS($O11="Individual",1,$O11="Split",0.5,TRUE,0)</f>
        <v>1</v>
      </c>
      <c r="Q11" s="21">
        <f t="shared" si="1"/>
        <v>6720</v>
      </c>
      <c r="R11" s="25" t="str">
        <f t="shared" ca="1" si="2"/>
        <v>Yes</v>
      </c>
    </row>
    <row r="12" spans="1:18" x14ac:dyDescent="0.3">
      <c r="A12" s="20"/>
      <c r="B12" s="21" t="str">
        <v>Sravanthi Mareddy</v>
      </c>
      <c r="C12" s="22">
        <v>45880</v>
      </c>
      <c r="D12" s="21" t="str">
        <v>Mphasis</v>
      </c>
      <c r="E12" s="23">
        <v>2880</v>
      </c>
      <c r="F12" s="24" t="str">
        <v>Active</v>
      </c>
      <c r="G12" s="22" t="str">
        <v>NA</v>
      </c>
      <c r="H12" s="21" t="str">
        <v>Contract</v>
      </c>
      <c r="I12" s="21" t="str">
        <v>Arpit Juneja</v>
      </c>
      <c r="J12" s="21" t="str">
        <v>Vinay Kumar Pandey</v>
      </c>
      <c r="K12" s="21" t="str">
        <v>Lucky Jain</v>
      </c>
      <c r="L12" s="21">
        <v>288</v>
      </c>
      <c r="M12" s="21">
        <v>10</v>
      </c>
      <c r="N12" s="21">
        <f t="shared" ca="1" si="0"/>
        <v>172</v>
      </c>
      <c r="O12" s="21" t="s">
        <v>36</v>
      </c>
      <c r="P12" s="21" cm="1">
        <f t="array" ref="P12">_xlfn.IFS($O12="Individual",1,$O12="Split",0.5,TRUE,0)</f>
        <v>1</v>
      </c>
      <c r="Q12" s="21">
        <f t="shared" si="1"/>
        <v>2880</v>
      </c>
      <c r="R12" s="25" t="str">
        <f t="shared" ca="1" si="2"/>
        <v>Yes</v>
      </c>
    </row>
    <row r="13" spans="1:18" x14ac:dyDescent="0.3">
      <c r="A13" s="20"/>
      <c r="B13" s="21" t="str">
        <v>Andrea T. Kraus</v>
      </c>
      <c r="C13" s="22">
        <v>45889</v>
      </c>
      <c r="D13" s="21" t="str">
        <v>Visionet</v>
      </c>
      <c r="E13" s="23">
        <v>2951</v>
      </c>
      <c r="F13" s="24" t="str">
        <v>Active</v>
      </c>
      <c r="G13" s="22" t="str">
        <v>NA</v>
      </c>
      <c r="H13" s="21" t="str">
        <v>Contract</v>
      </c>
      <c r="I13" s="21" t="str">
        <v>Abhishek Rajpoot</v>
      </c>
      <c r="J13" s="21" t="str">
        <v>Lucky Jain</v>
      </c>
      <c r="K13" s="21" t="str">
        <v>Lucky Jain</v>
      </c>
      <c r="L13" s="21">
        <v>227</v>
      </c>
      <c r="M13" s="21">
        <v>13</v>
      </c>
      <c r="N13" s="21">
        <f t="shared" ca="1" si="0"/>
        <v>163</v>
      </c>
      <c r="O13" s="21" t="s">
        <v>36</v>
      </c>
      <c r="P13" s="21" cm="1">
        <f t="array" ref="P13">_xlfn.IFS($O13="Individual",1,$O13="Split",0.5,TRUE,0)</f>
        <v>1</v>
      </c>
      <c r="Q13" s="21">
        <f t="shared" si="1"/>
        <v>2951</v>
      </c>
      <c r="R13" s="25" t="str">
        <f t="shared" ca="1" si="2"/>
        <v>Yes</v>
      </c>
    </row>
    <row r="14" spans="1:18" x14ac:dyDescent="0.3">
      <c r="A14" s="20"/>
      <c r="B14" s="21" t="str">
        <v>Anuroop Nair</v>
      </c>
      <c r="C14" s="22">
        <v>45912</v>
      </c>
      <c r="D14" s="21" t="str">
        <v>Mphasis</v>
      </c>
      <c r="E14" s="23">
        <v>1040</v>
      </c>
      <c r="F14" s="24" t="str">
        <v>Active</v>
      </c>
      <c r="G14" s="22" t="str">
        <v>NA</v>
      </c>
      <c r="H14" s="21" t="str">
        <v>Contract</v>
      </c>
      <c r="I14" s="21" t="str">
        <v>Arpit Juneja</v>
      </c>
      <c r="J14" s="21" t="str">
        <v>Vinay Kumar Pandey</v>
      </c>
      <c r="K14" s="21" t="str">
        <v>Lucky Jain</v>
      </c>
      <c r="L14" s="21">
        <v>104</v>
      </c>
      <c r="M14" s="21">
        <v>10</v>
      </c>
      <c r="N14" s="21">
        <f t="shared" ca="1" si="0"/>
        <v>140</v>
      </c>
      <c r="O14" s="21" t="s">
        <v>36</v>
      </c>
      <c r="P14" s="21" cm="1">
        <f t="array" ref="P14">_xlfn.IFS($O14="Individual",1,$O14="Split",0.5,TRUE,0)</f>
        <v>1</v>
      </c>
      <c r="Q14" s="21">
        <f t="shared" si="1"/>
        <v>1040</v>
      </c>
      <c r="R14" s="25" t="str">
        <f t="shared" ca="1" si="2"/>
        <v>Yes</v>
      </c>
    </row>
    <row r="15" spans="1:18" x14ac:dyDescent="0.3">
      <c r="A15" s="20"/>
      <c r="B15" s="21" t="str">
        <v>Curtis Ding</v>
      </c>
      <c r="C15" s="22">
        <v>45917</v>
      </c>
      <c r="D15" s="21" t="str">
        <v>Mphasis</v>
      </c>
      <c r="E15" s="23">
        <v>580</v>
      </c>
      <c r="F15" s="24" t="str">
        <v>Active</v>
      </c>
      <c r="G15" s="22" t="str">
        <v>NA</v>
      </c>
      <c r="H15" s="21" t="str">
        <v>Contract</v>
      </c>
      <c r="I15" s="21" t="str">
        <v>Abhishek Rajpoot</v>
      </c>
      <c r="J15" s="21" t="str">
        <v>Vinay Kumar Pandey</v>
      </c>
      <c r="K15" s="21" t="str">
        <v>Lucky Jain</v>
      </c>
      <c r="L15" s="21">
        <v>80</v>
      </c>
      <c r="M15" s="21">
        <v>7.25</v>
      </c>
      <c r="N15" s="21">
        <f t="shared" ca="1" si="0"/>
        <v>135</v>
      </c>
      <c r="O15" s="21" t="s">
        <v>36</v>
      </c>
      <c r="P15" s="21" cm="1">
        <f t="array" ref="P15">_xlfn.IFS($O15="Individual",1,$O15="Split",0.5,TRUE,0)</f>
        <v>1</v>
      </c>
      <c r="Q15" s="21">
        <f t="shared" si="1"/>
        <v>580</v>
      </c>
      <c r="R15" s="25" t="str">
        <f t="shared" ca="1" si="2"/>
        <v>Yes</v>
      </c>
    </row>
    <row r="16" spans="1:18" x14ac:dyDescent="0.3">
      <c r="A16" s="20"/>
      <c r="B16" s="21" t="str">
        <v xml:space="preserve">Asif Yasin </v>
      </c>
      <c r="C16" s="22">
        <v>45931</v>
      </c>
      <c r="D16" s="21" t="str">
        <v>Mphasis</v>
      </c>
      <c r="E16" s="23">
        <v>726.69999999999993</v>
      </c>
      <c r="F16" s="24" t="str">
        <v>Active</v>
      </c>
      <c r="G16" s="22" t="str">
        <v>NA</v>
      </c>
      <c r="H16" s="21" t="str">
        <v>Contract</v>
      </c>
      <c r="I16" s="21" t="str">
        <v>Prachi Verma</v>
      </c>
      <c r="J16" s="21" t="str">
        <v>Vinay Kumar Pandey</v>
      </c>
      <c r="K16" s="21" t="str">
        <v>Lucky Jain</v>
      </c>
      <c r="L16" s="21">
        <v>86</v>
      </c>
      <c r="M16" s="21">
        <v>8.4499999999999993</v>
      </c>
      <c r="N16" s="21">
        <f t="shared" ca="1" si="0"/>
        <v>121</v>
      </c>
      <c r="O16" s="21" t="s">
        <v>36</v>
      </c>
      <c r="P16" s="21" cm="1">
        <f t="array" ref="P16">_xlfn.IFS($O16="Individual",1,$O16="Split",0.5,TRUE,0)</f>
        <v>1</v>
      </c>
      <c r="Q16" s="21">
        <f t="shared" si="1"/>
        <v>726.69999999999993</v>
      </c>
      <c r="R16" s="25" t="str">
        <f t="shared" ca="1" si="2"/>
        <v>Yes</v>
      </c>
    </row>
    <row r="17" spans="1:18" x14ac:dyDescent="0.3">
      <c r="A17" s="20"/>
      <c r="B17" s="21" t="str">
        <v>Rajeev Madan</v>
      </c>
      <c r="C17" s="22">
        <v>45670</v>
      </c>
      <c r="D17" s="21" t="str">
        <v>Myridius</v>
      </c>
      <c r="E17" s="23">
        <v>5000</v>
      </c>
      <c r="F17" s="24" t="str">
        <v>Done</v>
      </c>
      <c r="G17" s="22" t="str">
        <v>NA</v>
      </c>
      <c r="H17" s="21" t="str">
        <v>FTE</v>
      </c>
      <c r="I17" s="21" t="str">
        <v>Abhishek Rajpoot</v>
      </c>
      <c r="J17" s="21" t="str">
        <v>Rashmi Bhatnagar</v>
      </c>
      <c r="K17" s="21" t="str">
        <v>Lucky Jain</v>
      </c>
      <c r="L17" s="21" t="str">
        <v>NA</v>
      </c>
      <c r="M17" s="21" t="str">
        <v>NA</v>
      </c>
      <c r="N17" s="21">
        <f t="shared" ca="1" si="0"/>
        <v>382</v>
      </c>
      <c r="O17" s="21" t="s">
        <v>37</v>
      </c>
      <c r="P17" s="21" cm="1">
        <f t="array" ref="P17">_xlfn.IFS($O17="Individual",1,$O17="Split",0.5,TRUE,0)</f>
        <v>0.5</v>
      </c>
      <c r="Q17" s="21">
        <f t="shared" si="1"/>
        <v>2500</v>
      </c>
      <c r="R17" s="25" t="str">
        <f t="shared" ca="1" si="2"/>
        <v>Yes</v>
      </c>
    </row>
    <row r="18" spans="1:18" x14ac:dyDescent="0.3">
      <c r="A18" s="20"/>
      <c r="B18" s="21" t="str">
        <v>Sandeep Samrat Bendala.</v>
      </c>
      <c r="C18" s="22">
        <v>45845</v>
      </c>
      <c r="D18" s="21" t="str">
        <v>Mphasis</v>
      </c>
      <c r="E18" s="23">
        <v>4000</v>
      </c>
      <c r="F18" s="24" t="str">
        <v>Done</v>
      </c>
      <c r="G18" s="22" t="str">
        <v>NA</v>
      </c>
      <c r="H18" s="21" t="str">
        <v>FTE</v>
      </c>
      <c r="I18" s="21" t="str">
        <v>Pragati Mishra</v>
      </c>
      <c r="J18" s="21" t="str">
        <v>Lucky Jain</v>
      </c>
      <c r="K18" s="21" t="str">
        <v>Lucky Jain</v>
      </c>
      <c r="L18" s="21" t="str">
        <v>NA</v>
      </c>
      <c r="M18" s="21" t="str">
        <v>NA</v>
      </c>
      <c r="N18" s="21">
        <f t="shared" ca="1" si="0"/>
        <v>207</v>
      </c>
      <c r="O18" s="21" t="s">
        <v>36</v>
      </c>
      <c r="P18" s="21" cm="1">
        <f t="array" ref="P18">_xlfn.IFS($O18="Individual",1,$O18="Split",0.5,TRUE,0)</f>
        <v>1</v>
      </c>
      <c r="Q18" s="21">
        <f t="shared" si="1"/>
        <v>4000</v>
      </c>
      <c r="R18" s="25" t="str">
        <f t="shared" ca="1" si="2"/>
        <v>Yes</v>
      </c>
    </row>
    <row r="19" spans="1:18" x14ac:dyDescent="0.3">
      <c r="A19" s="20"/>
      <c r="B19" s="21" t="str">
        <v>Sriram Srinivasan</v>
      </c>
      <c r="C19" s="22">
        <v>45775</v>
      </c>
      <c r="D19" s="21" t="str">
        <v>LTIMindtree</v>
      </c>
      <c r="E19" s="23">
        <v>0</v>
      </c>
      <c r="F19" s="24" t="str">
        <v>Done</v>
      </c>
      <c r="G19" s="22">
        <v>45834</v>
      </c>
      <c r="H19" s="21" t="str">
        <v>FTE</v>
      </c>
      <c r="I19" s="21" t="str">
        <v>Ansh Singh Rathore</v>
      </c>
      <c r="J19" s="21" t="str">
        <v>Lucky Jain</v>
      </c>
      <c r="K19" s="21" t="str">
        <v>Lucky Jain</v>
      </c>
      <c r="L19" s="21" t="str">
        <v>NA</v>
      </c>
      <c r="M19" s="21" t="str">
        <v>NA</v>
      </c>
      <c r="N19" s="21"/>
      <c r="O19" s="21"/>
      <c r="P19" s="21"/>
      <c r="Q19" s="21"/>
      <c r="R19" s="25"/>
    </row>
    <row r="20" spans="1:18" x14ac:dyDescent="0.3">
      <c r="A20" s="20"/>
      <c r="B20" s="21" t="str">
        <v>Sandeep Samrat Bendala</v>
      </c>
      <c r="C20" s="22">
        <v>45863</v>
      </c>
      <c r="D20" s="21" t="str">
        <v>Mphasis</v>
      </c>
      <c r="E20" s="23">
        <v>4000</v>
      </c>
      <c r="F20" s="24" t="str">
        <v>Done</v>
      </c>
      <c r="G20" s="22" t="str">
        <v>NA</v>
      </c>
      <c r="H20" s="21" t="str">
        <v>FTE</v>
      </c>
      <c r="I20" s="21" t="str">
        <v>Pragati Mishra</v>
      </c>
      <c r="J20" s="21" t="str">
        <v>Lucky Jain</v>
      </c>
      <c r="K20" s="21" t="str">
        <v>Lucky Jain</v>
      </c>
      <c r="L20" s="21" t="str">
        <v>NA</v>
      </c>
      <c r="M20" s="21" t="str">
        <v>NA</v>
      </c>
      <c r="N20" s="21"/>
      <c r="O20" s="21"/>
      <c r="P20" s="21"/>
      <c r="Q20" s="21"/>
      <c r="R20" s="25"/>
    </row>
    <row r="21" spans="1:18" x14ac:dyDescent="0.3">
      <c r="A21" s="20"/>
      <c r="B21" s="21"/>
      <c r="C21" s="22"/>
      <c r="D21" s="21"/>
      <c r="E21" s="23"/>
      <c r="F21" s="24"/>
      <c r="G21" s="22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5"/>
    </row>
    <row r="22" spans="1:18" x14ac:dyDescent="0.3">
      <c r="A22" s="20"/>
      <c r="B22" s="21"/>
      <c r="C22" s="22"/>
      <c r="D22" s="21"/>
      <c r="E22" s="23"/>
      <c r="F22" s="24"/>
      <c r="G22" s="22"/>
      <c r="H22" s="26"/>
      <c r="I22" s="27"/>
      <c r="J22" s="27"/>
      <c r="K22" s="27"/>
      <c r="L22" s="27"/>
      <c r="M22" s="27"/>
      <c r="N22" s="28"/>
      <c r="O22" s="21"/>
      <c r="P22" s="21"/>
      <c r="Q22" s="21"/>
      <c r="R22" s="25"/>
    </row>
    <row r="23" spans="1:18" x14ac:dyDescent="0.3">
      <c r="A23" s="20"/>
      <c r="B23" s="21"/>
      <c r="C23" s="22"/>
      <c r="D23" s="21"/>
      <c r="E23" s="23"/>
      <c r="F23" s="24"/>
      <c r="G23" s="22"/>
      <c r="H23" s="29"/>
      <c r="I23" s="30"/>
      <c r="J23" s="31"/>
      <c r="K23" s="31"/>
      <c r="L23" s="31"/>
      <c r="M23" s="31"/>
      <c r="N23" s="30"/>
      <c r="O23" s="21"/>
      <c r="P23" s="21"/>
      <c r="Q23" s="21"/>
      <c r="R23" s="25"/>
    </row>
    <row r="24" spans="1:18" x14ac:dyDescent="0.3">
      <c r="A24" s="20"/>
      <c r="B24" s="21"/>
      <c r="C24" s="22"/>
      <c r="D24" s="21"/>
      <c r="E24" s="23"/>
      <c r="F24" s="24"/>
      <c r="G24" s="22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5"/>
    </row>
    <row r="25" spans="1:18" x14ac:dyDescent="0.3">
      <c r="A25" s="20"/>
      <c r="B25" s="21"/>
      <c r="C25" s="22"/>
      <c r="D25" s="21"/>
      <c r="E25" s="23"/>
      <c r="F25" s="24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5"/>
    </row>
    <row r="26" spans="1:18" ht="15" thickBot="1" x14ac:dyDescent="0.35">
      <c r="A26" s="32"/>
      <c r="B26" s="33"/>
      <c r="C26" s="34"/>
      <c r="D26" s="33"/>
      <c r="E26" s="35"/>
      <c r="F26" s="36"/>
      <c r="G26" s="3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7"/>
    </row>
    <row r="27" spans="1:18" x14ac:dyDescent="0.3">
      <c r="C27" s="38"/>
      <c r="E27" s="39"/>
      <c r="F27" s="40"/>
      <c r="G27" s="38"/>
    </row>
    <row r="28" spans="1:18" x14ac:dyDescent="0.3">
      <c r="C28" s="38"/>
      <c r="E28" s="39"/>
      <c r="F28" s="40"/>
      <c r="G28" s="38"/>
    </row>
    <row r="29" spans="1:18" x14ac:dyDescent="0.3">
      <c r="E29" s="41"/>
      <c r="F29" s="3" t="str" cm="1">
        <f t="array" ref="F29">IFERROR(_xlfn.CHOOSECOLS(_xlfn._xlws.FILTER('[1]Vantedge - dummy Placement'!E:S, '[1]Vantedge - dummy Placement'!B:B=$B5), 1, 6, 7, 8, 10), "")</f>
        <v/>
      </c>
    </row>
    <row r="30" spans="1:18" ht="15" thickBot="1" x14ac:dyDescent="0.35">
      <c r="E30" s="41"/>
    </row>
    <row r="31" spans="1:18" ht="43.2" x14ac:dyDescent="0.3">
      <c r="A31" s="5" t="s">
        <v>1</v>
      </c>
      <c r="B31" s="6" t="s">
        <v>2</v>
      </c>
      <c r="C31" s="6" t="s">
        <v>3</v>
      </c>
      <c r="D31" s="6" t="s">
        <v>4</v>
      </c>
      <c r="E31" s="6" t="s">
        <v>5</v>
      </c>
      <c r="F31" s="6" t="s">
        <v>6</v>
      </c>
      <c r="G31" s="6" t="s">
        <v>7</v>
      </c>
      <c r="H31" s="6" t="s">
        <v>8</v>
      </c>
      <c r="I31" s="6" t="s">
        <v>9</v>
      </c>
      <c r="J31" s="6" t="s">
        <v>10</v>
      </c>
      <c r="K31" s="6" t="s">
        <v>11</v>
      </c>
      <c r="L31" s="6" t="s">
        <v>12</v>
      </c>
      <c r="M31" s="6" t="s">
        <v>13</v>
      </c>
      <c r="N31" s="6" t="s">
        <v>14</v>
      </c>
      <c r="O31" s="7" t="s">
        <v>15</v>
      </c>
    </row>
    <row r="32" spans="1:18" ht="15" thickBot="1" x14ac:dyDescent="0.35">
      <c r="A32" s="8" t="s">
        <v>38</v>
      </c>
      <c r="B32" s="9" t="s">
        <v>39</v>
      </c>
      <c r="C32" s="10" t="str">
        <f>_xlfn.XLOOKUP($B32,'[1]Data Validation (2)'!$I$3:$I$10,'[1]Data Validation (2)'!$J$3:$J$10)</f>
        <v>Alok Mishra</v>
      </c>
      <c r="D32" s="10">
        <f>_xlfn.XLOOKUP($B32,'[1]Ach % - L2'!$A$3:$A$10,'[1]Ach % - L2'!$C$3:$C$10)</f>
        <v>46</v>
      </c>
      <c r="E32" s="11">
        <f>_xlfn.XLOOKUP($B32,'[1]Ach % - L2'!$A$3:$A$10,'[1]Ach % - L2'!$D$3:$D$10)</f>
        <v>5</v>
      </c>
      <c r="F32" s="12">
        <f>E32/D32</f>
        <v>0.10869565217391304</v>
      </c>
      <c r="G32" s="10">
        <f>_xlfn.XLOOKUP($B32,'[1]Ach % - L2'!$A$3:$A$10,'[1]Ach % - L2'!$F$3:$F$10)</f>
        <v>175000</v>
      </c>
      <c r="H32" s="13">
        <f>SUM(Q34:Q54)</f>
        <v>11251.05</v>
      </c>
      <c r="I32" s="12">
        <f>H32/G32</f>
        <v>6.4291714285714285E-2</v>
      </c>
      <c r="J32" s="13">
        <f ca="1">SUMIFS($Q33:$Q54,$R33:$R54,"yes")</f>
        <v>9649.7999999999993</v>
      </c>
      <c r="K32" s="14" cm="1">
        <f t="array" ref="K32">_xlfn.IFS($I32&lt;=34%,0%,$I32&lt;=65%,1.25%,$I32&lt;=90%,1.75%,$I32&lt;=110%,2.5%,$I32&gt;110%,5%)</f>
        <v>0</v>
      </c>
      <c r="L32" s="13">
        <f ca="1">J32*K32</f>
        <v>0</v>
      </c>
      <c r="M32" s="13">
        <f ca="1">L32*80</f>
        <v>0</v>
      </c>
      <c r="N32" s="13">
        <f ca="1">(J32*K32)*80</f>
        <v>0</v>
      </c>
      <c r="O32" s="15"/>
    </row>
    <row r="33" spans="1:18" ht="28.8" customHeight="1" x14ac:dyDescent="0.3">
      <c r="A33" s="16" t="s">
        <v>18</v>
      </c>
      <c r="B33" s="17" t="s">
        <v>19</v>
      </c>
      <c r="C33" s="17" t="s">
        <v>20</v>
      </c>
      <c r="D33" s="17" t="s">
        <v>21</v>
      </c>
      <c r="E33" s="17" t="s">
        <v>22</v>
      </c>
      <c r="F33" s="17" t="s">
        <v>23</v>
      </c>
      <c r="G33" s="17" t="s">
        <v>24</v>
      </c>
      <c r="H33" s="17" t="s">
        <v>25</v>
      </c>
      <c r="I33" s="17" t="s">
        <v>26</v>
      </c>
      <c r="J33" s="17" t="s">
        <v>27</v>
      </c>
      <c r="K33" s="17" t="s">
        <v>28</v>
      </c>
      <c r="L33" s="17" t="s">
        <v>29</v>
      </c>
      <c r="M33" s="17" t="s">
        <v>30</v>
      </c>
      <c r="N33" s="17" t="s">
        <v>31</v>
      </c>
      <c r="O33" s="17" t="s">
        <v>32</v>
      </c>
      <c r="P33" s="17" t="s">
        <v>33</v>
      </c>
      <c r="Q33" s="17" t="s">
        <v>34</v>
      </c>
      <c r="R33" s="19" t="s">
        <v>35</v>
      </c>
    </row>
    <row r="34" spans="1:18" x14ac:dyDescent="0.3">
      <c r="A34" s="20" t="str">
        <f>B32</f>
        <v>Akbar Ibrahim</v>
      </c>
      <c r="B34" s="21" t="str" cm="1">
        <f t="array" ref="B34:M44">IFERROR(_xlfn.CHOOSECOLS(_xlfn._xlws.FILTER('[1]L4 dummy data'!A:AQ,(('[1]L4 dummy data'!F:F=$B32) + ('[1]L4 dummy data'!G:G=$B32)) &gt; 0),3,14,16,41,42,15,18,4,6,7,40,27),"")</f>
        <v>Rosa Itzel Ortiz Quezada</v>
      </c>
      <c r="C34" s="22">
        <v>45747</v>
      </c>
      <c r="D34" s="21" t="str">
        <v>Cigniti</v>
      </c>
      <c r="E34" s="23">
        <v>8307.6</v>
      </c>
      <c r="F34" s="24" t="str">
        <v>Active</v>
      </c>
      <c r="G34" s="22" t="str">
        <v>NA</v>
      </c>
      <c r="H34" s="21" t="str">
        <v>Contract</v>
      </c>
      <c r="I34" s="21" t="str">
        <v>Himanshu Gupta Mavericks</v>
      </c>
      <c r="J34" s="21" t="str">
        <v>Akbar Ibrahim</v>
      </c>
      <c r="K34" s="21" t="str">
        <v>Rohit Gupta</v>
      </c>
      <c r="L34" s="21">
        <v>1032</v>
      </c>
      <c r="M34" s="21">
        <v>8.0500000000000007</v>
      </c>
      <c r="N34" s="21">
        <f t="shared" ref="N34:N43" ca="1" si="3">IF(G34&lt;&gt;"NA", G34 - C34, TODAY() - C34)</f>
        <v>305</v>
      </c>
      <c r="O34" s="21" t="str">
        <f t="shared" ref="O34:O43" si="4">IF(J34=K34,"Individual","Split")</f>
        <v>Split</v>
      </c>
      <c r="P34" s="21" cm="1">
        <f t="array" ref="P34">_xlfn.IFS($O34="Individual",1,$O34="Split",0.5,TRUE,0)</f>
        <v>0.5</v>
      </c>
      <c r="Q34" s="21">
        <f t="shared" ref="Q34:Q43" si="5">E34*P34</f>
        <v>4153.8</v>
      </c>
      <c r="R34" s="25" t="str">
        <f t="shared" ref="R34:R43" ca="1" si="6">IF(OR(AND(H34="Contract",F34="Active"),AND(H34="Contract",F34="Done"),AND(H34="FTE",N34&gt;90,F34="Done")),"Yes","NO")</f>
        <v>Yes</v>
      </c>
    </row>
    <row r="35" spans="1:18" x14ac:dyDescent="0.3">
      <c r="A35" s="20"/>
      <c r="B35" s="21" t="str">
        <v>Biswajit Ghosh</v>
      </c>
      <c r="C35" s="22">
        <v>45778</v>
      </c>
      <c r="D35" s="21" t="str">
        <v>Apexon</v>
      </c>
      <c r="E35" s="23">
        <v>0</v>
      </c>
      <c r="F35" s="24" t="str">
        <v>No Bill No Pay</v>
      </c>
      <c r="G35" s="22">
        <v>45783</v>
      </c>
      <c r="H35" s="21" t="str">
        <v>Contract</v>
      </c>
      <c r="I35" s="21" t="str">
        <v>Kishore Gopi</v>
      </c>
      <c r="J35" s="21" t="str">
        <v>Vinoth.L</v>
      </c>
      <c r="K35" s="21" t="str">
        <v>Akbar Ibrahim</v>
      </c>
      <c r="L35" s="21">
        <v>0</v>
      </c>
      <c r="M35" s="21">
        <v>8</v>
      </c>
      <c r="N35" s="21">
        <f t="shared" ca="1" si="3"/>
        <v>5</v>
      </c>
      <c r="O35" s="21" t="str">
        <f t="shared" si="4"/>
        <v>Split</v>
      </c>
      <c r="P35" s="21" cm="1">
        <f t="array" ref="P35">_xlfn.IFS($O35="Individual",1,$O35="Split",0.5,TRUE,0)</f>
        <v>0.5</v>
      </c>
      <c r="Q35" s="21">
        <f t="shared" si="5"/>
        <v>0</v>
      </c>
      <c r="R35" s="25" t="str">
        <f t="shared" ca="1" si="6"/>
        <v>NO</v>
      </c>
    </row>
    <row r="36" spans="1:18" x14ac:dyDescent="0.3">
      <c r="A36" s="20"/>
      <c r="B36" s="21" t="str">
        <v>David William Fourney</v>
      </c>
      <c r="C36" s="22">
        <v>45782</v>
      </c>
      <c r="D36" s="21" t="str">
        <v>Cigniti Coforge</v>
      </c>
      <c r="E36" s="23">
        <v>4560</v>
      </c>
      <c r="F36" s="24" t="str">
        <v>Active</v>
      </c>
      <c r="G36" s="22" t="str">
        <v>NA</v>
      </c>
      <c r="H36" s="21" t="str">
        <v>Contract</v>
      </c>
      <c r="I36" s="21" t="str">
        <v>Ajith Gunasekar</v>
      </c>
      <c r="J36" s="21" t="str">
        <v>Akbar Ibrahim</v>
      </c>
      <c r="K36" s="21" t="str">
        <v>Akbar Ibrahim</v>
      </c>
      <c r="L36" s="21">
        <v>912</v>
      </c>
      <c r="M36" s="21">
        <v>5</v>
      </c>
      <c r="N36" s="21">
        <f t="shared" ca="1" si="3"/>
        <v>270</v>
      </c>
      <c r="O36" s="21" t="str">
        <f t="shared" si="4"/>
        <v>Individual</v>
      </c>
      <c r="P36" s="21">
        <v>0</v>
      </c>
      <c r="Q36" s="21">
        <f t="shared" si="5"/>
        <v>0</v>
      </c>
      <c r="R36" s="25" t="str">
        <f t="shared" ca="1" si="6"/>
        <v>Yes</v>
      </c>
    </row>
    <row r="37" spans="1:18" x14ac:dyDescent="0.3">
      <c r="A37" s="20"/>
      <c r="B37" s="21" t="str">
        <v>John Henry Warford</v>
      </c>
      <c r="C37" s="22">
        <v>45789</v>
      </c>
      <c r="D37" s="21" t="str">
        <v>Cigniti Coforge</v>
      </c>
      <c r="E37" s="23">
        <v>3202.5</v>
      </c>
      <c r="F37" s="24" t="str">
        <v>Quit</v>
      </c>
      <c r="G37" s="22">
        <v>45844</v>
      </c>
      <c r="H37" s="21" t="str">
        <v>Contract</v>
      </c>
      <c r="I37" s="21" t="str">
        <v>Rahul Srivastava</v>
      </c>
      <c r="J37" s="21" t="str">
        <v>Akbar Ibrahim</v>
      </c>
      <c r="K37" s="21" t="str">
        <v>Vivek Mishra</v>
      </c>
      <c r="L37" s="21">
        <v>457.5</v>
      </c>
      <c r="M37" s="21">
        <v>7</v>
      </c>
      <c r="N37" s="21">
        <f t="shared" ca="1" si="3"/>
        <v>55</v>
      </c>
      <c r="O37" s="21" t="str">
        <f t="shared" si="4"/>
        <v>Split</v>
      </c>
      <c r="P37" s="21" cm="1">
        <f t="array" ref="P37">_xlfn.IFS($O37="Individual",1,$O37="Split",0.5,TRUE,0)</f>
        <v>0.5</v>
      </c>
      <c r="Q37" s="21">
        <f t="shared" si="5"/>
        <v>1601.25</v>
      </c>
      <c r="R37" s="25" t="str">
        <f t="shared" ca="1" si="6"/>
        <v>NO</v>
      </c>
    </row>
    <row r="38" spans="1:18" x14ac:dyDescent="0.3">
      <c r="A38" s="20"/>
      <c r="B38" s="21" t="str">
        <v>Shravanthi Polu</v>
      </c>
      <c r="C38" s="22">
        <v>45817</v>
      </c>
      <c r="D38" s="21" t="str">
        <v>Citius Tech</v>
      </c>
      <c r="E38" s="23">
        <v>5056</v>
      </c>
      <c r="F38" s="24" t="str">
        <v>Active</v>
      </c>
      <c r="G38" s="22" t="str">
        <v>NA</v>
      </c>
      <c r="H38" s="21" t="str">
        <v>Contract</v>
      </c>
      <c r="I38" s="21" t="str">
        <v>Rubini Mohan</v>
      </c>
      <c r="J38" s="21" t="str">
        <v>Vinoth.L</v>
      </c>
      <c r="K38" s="21" t="str">
        <v>Akbar Ibrahim</v>
      </c>
      <c r="L38" s="21">
        <v>632</v>
      </c>
      <c r="M38" s="21">
        <v>8</v>
      </c>
      <c r="N38" s="21">
        <f t="shared" ca="1" si="3"/>
        <v>235</v>
      </c>
      <c r="O38" s="21" t="str">
        <f t="shared" si="4"/>
        <v>Split</v>
      </c>
      <c r="P38" s="21" cm="1">
        <f t="array" ref="P38">_xlfn.IFS($O38="Individual",1,$O38="Split",0.5,TRUE,0)</f>
        <v>0.5</v>
      </c>
      <c r="Q38" s="21">
        <f t="shared" si="5"/>
        <v>2528</v>
      </c>
      <c r="R38" s="25" t="str">
        <f t="shared" ca="1" si="6"/>
        <v>Yes</v>
      </c>
    </row>
    <row r="39" spans="1:18" x14ac:dyDescent="0.3">
      <c r="A39" s="20"/>
      <c r="B39" s="21" t="str">
        <v>Emmanuel Guilherme Junior      </v>
      </c>
      <c r="C39" s="22">
        <v>45839</v>
      </c>
      <c r="D39" s="21" t="str">
        <v>Cigniti Coforge</v>
      </c>
      <c r="E39" s="23">
        <v>2124</v>
      </c>
      <c r="F39" s="24" t="str">
        <v>Active</v>
      </c>
      <c r="G39" s="22">
        <v>45899</v>
      </c>
      <c r="H39" s="21" t="str">
        <v>Contract</v>
      </c>
      <c r="I39" s="21" t="str">
        <v>Ajith Gunasekar</v>
      </c>
      <c r="J39" s="21" t="str">
        <v>Akbar Ibrahim</v>
      </c>
      <c r="K39" s="21" t="str">
        <v>Akbar Ibrahim</v>
      </c>
      <c r="L39" s="21">
        <v>354</v>
      </c>
      <c r="M39" s="21">
        <v>6</v>
      </c>
      <c r="N39" s="21">
        <f t="shared" ca="1" si="3"/>
        <v>60</v>
      </c>
      <c r="O39" s="21" t="str">
        <f t="shared" si="4"/>
        <v>Individual</v>
      </c>
      <c r="P39" s="21" cm="1">
        <f t="array" ref="P39">_xlfn.IFS($O39="Individual",1,$O39="Split",0.5,TRUE,0)</f>
        <v>1</v>
      </c>
      <c r="Q39" s="21">
        <f t="shared" si="5"/>
        <v>2124</v>
      </c>
      <c r="R39" s="25" t="str">
        <f t="shared" ca="1" si="6"/>
        <v>Yes</v>
      </c>
    </row>
    <row r="40" spans="1:18" x14ac:dyDescent="0.3">
      <c r="A40" s="20"/>
      <c r="B40" s="21" t="str">
        <v>Kiran Kumar Yenni_</v>
      </c>
      <c r="C40" s="22">
        <v>45846</v>
      </c>
      <c r="D40" s="21" t="str">
        <v>Apexon</v>
      </c>
      <c r="E40" s="23">
        <v>280</v>
      </c>
      <c r="F40" s="24" t="str">
        <v>Active</v>
      </c>
      <c r="G40" s="22" t="str">
        <v>NA</v>
      </c>
      <c r="H40" s="21" t="str">
        <v>Contract</v>
      </c>
      <c r="I40" s="21" t="str">
        <v>Pass thru</v>
      </c>
      <c r="J40" s="21" t="str">
        <v>Akbar Ibrahim</v>
      </c>
      <c r="K40" s="21" t="str">
        <v>Akbar Ibrahim</v>
      </c>
      <c r="L40" s="21">
        <v>280</v>
      </c>
      <c r="M40" s="21">
        <v>1</v>
      </c>
      <c r="N40" s="21">
        <f t="shared" ca="1" si="3"/>
        <v>206</v>
      </c>
      <c r="O40" s="21" t="str">
        <f t="shared" si="4"/>
        <v>Individual</v>
      </c>
      <c r="P40" s="21" cm="1">
        <f t="array" ref="P40">_xlfn.IFS($O40="Individual",1,$O40="Split",0.5,TRUE,0)</f>
        <v>1</v>
      </c>
      <c r="Q40" s="21">
        <f t="shared" si="5"/>
        <v>280</v>
      </c>
      <c r="R40" s="25" t="str">
        <f t="shared" ca="1" si="6"/>
        <v>Yes</v>
      </c>
    </row>
    <row r="41" spans="1:18" x14ac:dyDescent="0.3">
      <c r="A41" s="20"/>
      <c r="B41" s="21" t="str">
        <v>Pukar Khadka</v>
      </c>
      <c r="C41" s="22">
        <v>45875</v>
      </c>
      <c r="D41" s="21" t="str">
        <v>Apexon</v>
      </c>
      <c r="E41" s="23">
        <v>312</v>
      </c>
      <c r="F41" s="24" t="str">
        <v>Active</v>
      </c>
      <c r="G41" s="22" t="str">
        <v>NA</v>
      </c>
      <c r="H41" s="21" t="str">
        <v>Contract</v>
      </c>
      <c r="I41" s="21" t="str">
        <v>Pass thru</v>
      </c>
      <c r="J41" s="21" t="str">
        <v>Akbar Ibrahim</v>
      </c>
      <c r="K41" s="21" t="str">
        <v>Akbar Ibrahim</v>
      </c>
      <c r="L41" s="21">
        <v>312</v>
      </c>
      <c r="M41" s="21">
        <v>1</v>
      </c>
      <c r="N41" s="21">
        <f t="shared" ca="1" si="3"/>
        <v>177</v>
      </c>
      <c r="O41" s="21" t="str">
        <f t="shared" si="4"/>
        <v>Individual</v>
      </c>
      <c r="P41" s="21" cm="1">
        <f t="array" ref="P41">_xlfn.IFS($O41="Individual",1,$O41="Split",0.5,TRUE,0)</f>
        <v>1</v>
      </c>
      <c r="Q41" s="21">
        <f t="shared" si="5"/>
        <v>312</v>
      </c>
      <c r="R41" s="25" t="str">
        <f t="shared" ca="1" si="6"/>
        <v>Yes</v>
      </c>
    </row>
    <row r="42" spans="1:18" x14ac:dyDescent="0.3">
      <c r="A42" s="20"/>
      <c r="B42" s="21" t="str">
        <v>Ruparani Nandan</v>
      </c>
      <c r="C42" s="22">
        <v>45922</v>
      </c>
      <c r="D42" s="21" t="str">
        <v>Altimetrik</v>
      </c>
      <c r="E42" s="23">
        <v>504</v>
      </c>
      <c r="F42" s="24" t="str">
        <v>Active</v>
      </c>
      <c r="G42" s="22" t="str">
        <v>NA</v>
      </c>
      <c r="H42" s="21" t="str">
        <v>Contract</v>
      </c>
      <c r="I42" s="21" t="str">
        <v>Jagan Prabhu Vedhagiri</v>
      </c>
      <c r="J42" s="21" t="str">
        <v>Vinoth.L</v>
      </c>
      <c r="K42" s="21" t="str">
        <v>Akbar Ibrahim</v>
      </c>
      <c r="L42" s="21">
        <v>56</v>
      </c>
      <c r="M42" s="21">
        <v>9</v>
      </c>
      <c r="N42" s="21">
        <f t="shared" ca="1" si="3"/>
        <v>130</v>
      </c>
      <c r="O42" s="21" t="str">
        <f t="shared" si="4"/>
        <v>Split</v>
      </c>
      <c r="P42" s="21" cm="1">
        <f t="array" ref="P42">_xlfn.IFS($O42="Individual",1,$O42="Split",0.5,TRUE,0)</f>
        <v>0.5</v>
      </c>
      <c r="Q42" s="21">
        <f t="shared" si="5"/>
        <v>252</v>
      </c>
      <c r="R42" s="25" t="str">
        <f t="shared" ca="1" si="6"/>
        <v>Yes</v>
      </c>
    </row>
    <row r="43" spans="1:18" x14ac:dyDescent="0.3">
      <c r="A43" s="20"/>
      <c r="B43" s="21" t="str">
        <v>Surendar Kumar Amduri</v>
      </c>
      <c r="C43" s="22">
        <v>45950</v>
      </c>
      <c r="D43" s="21" t="str">
        <v>Citius Tech</v>
      </c>
      <c r="E43" s="23">
        <v>0</v>
      </c>
      <c r="F43" s="24" t="str">
        <v>Active</v>
      </c>
      <c r="G43" s="22" t="str">
        <v>NA</v>
      </c>
      <c r="H43" s="21" t="str">
        <v>Contract</v>
      </c>
      <c r="I43" s="21" t="str">
        <v>Dasive Prakash S</v>
      </c>
      <c r="J43" s="21" t="str">
        <v>Vinoth L</v>
      </c>
      <c r="K43" s="21" t="str">
        <v>Akbar Ibrahim</v>
      </c>
      <c r="L43" s="21">
        <v>0</v>
      </c>
      <c r="M43" s="21">
        <v>5</v>
      </c>
      <c r="N43" s="21">
        <f t="shared" ca="1" si="3"/>
        <v>102</v>
      </c>
      <c r="O43" s="21" t="str">
        <f t="shared" si="4"/>
        <v>Split</v>
      </c>
      <c r="P43" s="21" cm="1">
        <f t="array" ref="P43">_xlfn.IFS($O43="Individual",1,$O43="Split",0.5,TRUE,0)</f>
        <v>0.5</v>
      </c>
      <c r="Q43" s="21">
        <f t="shared" si="5"/>
        <v>0</v>
      </c>
      <c r="R43" s="25" t="str">
        <f t="shared" ca="1" si="6"/>
        <v>Yes</v>
      </c>
    </row>
    <row r="44" spans="1:18" x14ac:dyDescent="0.3">
      <c r="A44" s="20"/>
      <c r="B44" s="21" t="str">
        <v>Adhithya Reddy Rachuri</v>
      </c>
      <c r="C44" s="22">
        <v>45789</v>
      </c>
      <c r="D44" s="21" t="str">
        <v>Cigniti Technologies</v>
      </c>
      <c r="E44" s="23">
        <v>3190</v>
      </c>
      <c r="F44" s="24" t="str">
        <v>Done</v>
      </c>
      <c r="G44" s="22">
        <v>45876</v>
      </c>
      <c r="H44" s="21" t="str">
        <v>Contract</v>
      </c>
      <c r="I44" s="21" t="str">
        <v>Vivek Mishra- Team trust</v>
      </c>
      <c r="J44" s="21" t="str">
        <v>Akbar Ibrahim</v>
      </c>
      <c r="K44" s="21" t="str">
        <v>Akbar Ibrahim</v>
      </c>
      <c r="L44" s="21">
        <v>440</v>
      </c>
      <c r="M44" s="21">
        <v>7.25</v>
      </c>
      <c r="N44" s="21"/>
      <c r="O44" s="21"/>
      <c r="P44" s="21"/>
      <c r="Q44" s="21"/>
      <c r="R44" s="25"/>
    </row>
    <row r="45" spans="1:18" x14ac:dyDescent="0.3">
      <c r="A45" s="20"/>
      <c r="B45" s="21"/>
      <c r="C45" s="22"/>
      <c r="D45" s="21"/>
      <c r="E45" s="23"/>
      <c r="F45" s="24"/>
      <c r="G45" s="2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5"/>
    </row>
    <row r="46" spans="1:18" x14ac:dyDescent="0.3">
      <c r="A46" s="20"/>
      <c r="B46" s="21"/>
      <c r="C46" s="22"/>
      <c r="D46" s="21"/>
      <c r="E46" s="23"/>
      <c r="F46" s="24"/>
      <c r="G46" s="2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5"/>
    </row>
    <row r="47" spans="1:18" x14ac:dyDescent="0.3">
      <c r="A47" s="20"/>
      <c r="B47" s="21"/>
      <c r="C47" s="22"/>
      <c r="D47" s="21"/>
      <c r="E47" s="23"/>
      <c r="F47" s="24"/>
      <c r="G47" s="22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5"/>
    </row>
    <row r="48" spans="1:18" x14ac:dyDescent="0.3">
      <c r="A48" s="20"/>
      <c r="B48" s="21"/>
      <c r="C48" s="22"/>
      <c r="D48" s="21"/>
      <c r="E48" s="23"/>
      <c r="F48" s="24"/>
      <c r="G48" s="22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5"/>
    </row>
    <row r="49" spans="1:18" x14ac:dyDescent="0.3">
      <c r="A49" s="20"/>
      <c r="B49" s="21"/>
      <c r="C49" s="22"/>
      <c r="D49" s="21"/>
      <c r="E49" s="23"/>
      <c r="F49" s="24"/>
      <c r="G49" s="2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5"/>
    </row>
    <row r="50" spans="1:18" x14ac:dyDescent="0.3">
      <c r="A50" s="20"/>
      <c r="B50" s="21"/>
      <c r="C50" s="22"/>
      <c r="D50" s="21"/>
      <c r="E50" s="23"/>
      <c r="F50" s="24"/>
      <c r="G50" s="22"/>
      <c r="H50" s="26"/>
      <c r="I50" s="27"/>
      <c r="J50" s="27"/>
      <c r="K50" s="27"/>
      <c r="L50" s="27"/>
      <c r="M50" s="27"/>
      <c r="N50" s="28"/>
      <c r="O50" s="21"/>
      <c r="P50" s="21"/>
      <c r="Q50" s="21"/>
      <c r="R50" s="25"/>
    </row>
    <row r="51" spans="1:18" x14ac:dyDescent="0.3">
      <c r="A51" s="20"/>
      <c r="B51" s="21"/>
      <c r="C51" s="22"/>
      <c r="D51" s="21"/>
      <c r="E51" s="23"/>
      <c r="F51" s="24"/>
      <c r="G51" s="22"/>
      <c r="H51" s="29"/>
      <c r="I51" s="30"/>
      <c r="J51" s="31"/>
      <c r="K51" s="31"/>
      <c r="L51" s="31"/>
      <c r="M51" s="31"/>
      <c r="N51" s="30"/>
      <c r="O51" s="21"/>
      <c r="P51" s="21"/>
      <c r="Q51" s="21"/>
      <c r="R51" s="25"/>
    </row>
    <row r="52" spans="1:18" x14ac:dyDescent="0.3">
      <c r="A52" s="20"/>
      <c r="B52" s="21"/>
      <c r="C52" s="22"/>
      <c r="D52" s="21"/>
      <c r="E52" s="23"/>
      <c r="F52" s="24"/>
      <c r="G52" s="22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5"/>
    </row>
    <row r="53" spans="1:18" x14ac:dyDescent="0.3">
      <c r="A53" s="20"/>
      <c r="B53" s="21"/>
      <c r="C53" s="22"/>
      <c r="D53" s="21"/>
      <c r="E53" s="23"/>
      <c r="F53" s="24"/>
      <c r="G53" s="22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5"/>
    </row>
    <row r="54" spans="1:18" ht="28.8" customHeight="1" thickBot="1" x14ac:dyDescent="0.35">
      <c r="A54" s="32"/>
      <c r="B54" s="33"/>
      <c r="C54" s="34"/>
      <c r="D54" s="33"/>
      <c r="E54" s="35"/>
      <c r="F54" s="36"/>
      <c r="G54" s="34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7"/>
    </row>
    <row r="56" spans="1:18" ht="15" thickBot="1" x14ac:dyDescent="0.35"/>
    <row r="57" spans="1:18" ht="43.2" x14ac:dyDescent="0.3">
      <c r="A57" s="5" t="s">
        <v>1</v>
      </c>
      <c r="B57" s="6" t="s">
        <v>2</v>
      </c>
      <c r="C57" s="6" t="s">
        <v>3</v>
      </c>
      <c r="D57" s="6" t="s">
        <v>4</v>
      </c>
      <c r="E57" s="6" t="s">
        <v>5</v>
      </c>
      <c r="F57" s="6" t="s">
        <v>6</v>
      </c>
      <c r="G57" s="6" t="s">
        <v>7</v>
      </c>
      <c r="H57" s="6" t="s">
        <v>8</v>
      </c>
      <c r="I57" s="6" t="s">
        <v>9</v>
      </c>
      <c r="J57" s="6" t="s">
        <v>10</v>
      </c>
      <c r="K57" s="6" t="s">
        <v>11</v>
      </c>
      <c r="L57" s="6" t="s">
        <v>12</v>
      </c>
      <c r="M57" s="6" t="s">
        <v>13</v>
      </c>
      <c r="N57" s="6" t="s">
        <v>14</v>
      </c>
      <c r="O57" s="7" t="s">
        <v>15</v>
      </c>
    </row>
    <row r="58" spans="1:18" ht="15" thickBot="1" x14ac:dyDescent="0.35">
      <c r="A58" s="8" t="s">
        <v>38</v>
      </c>
      <c r="B58" s="9" t="s">
        <v>40</v>
      </c>
      <c r="C58" s="10" t="str">
        <f>_xlfn.XLOOKUP($B58,'[1]Data Validation (2)'!$I$3:$I$10,'[1]Data Validation (2)'!$J$3:$J$10)</f>
        <v>Alok Mishra</v>
      </c>
      <c r="D58" s="10">
        <f>_xlfn.XLOOKUP($B58,'[1]Ach % - L2'!$A$3:$A$10,'[1]Ach % - L2'!$C$3:$C$10)</f>
        <v>46</v>
      </c>
      <c r="E58" s="11">
        <f>_xlfn.XLOOKUP($B58,'[1]Ach % - L2'!$A$3:$A$10,'[1]Ach % - L2'!$D$3:$D$10)</f>
        <v>21.5</v>
      </c>
      <c r="F58" s="12">
        <f>E58/D58</f>
        <v>0.46739130434782611</v>
      </c>
      <c r="G58" s="10">
        <f>_xlfn.XLOOKUP($B58,'[1]Ach % - L2'!$A$3:$A$10,'[1]Ach % - L2'!$F$3:$F$10)</f>
        <v>175000</v>
      </c>
      <c r="H58" s="13">
        <f>SUM(Q60:Q80)</f>
        <v>38557.5</v>
      </c>
      <c r="I58" s="12">
        <f>H58/G58</f>
        <v>0.22032857142857143</v>
      </c>
      <c r="J58" s="13">
        <f ca="1">SUMIFS($Q59:$Q80,$R59:$R80,"yes")</f>
        <v>21400</v>
      </c>
      <c r="K58" s="14" cm="1">
        <f t="array" ref="K58">_xlfn.IFS($I58&lt;=34%,0%,$I58&lt;=65%,1.25%,$I58&lt;=90%,1.75%,$I58&lt;=110%,2.5%,$I58&gt;110%,5%)</f>
        <v>0</v>
      </c>
      <c r="L58" s="13">
        <f ca="1">J58*K58</f>
        <v>0</v>
      </c>
      <c r="M58" s="13">
        <f ca="1">L58*80</f>
        <v>0</v>
      </c>
      <c r="N58" s="13">
        <f ca="1">(J58*K58)*80</f>
        <v>0</v>
      </c>
      <c r="O58" s="15"/>
    </row>
    <row r="59" spans="1:18" ht="28.8" x14ac:dyDescent="0.3">
      <c r="A59" s="16" t="s">
        <v>18</v>
      </c>
      <c r="B59" s="17" t="s">
        <v>19</v>
      </c>
      <c r="C59" s="17" t="s">
        <v>20</v>
      </c>
      <c r="D59" s="17" t="s">
        <v>21</v>
      </c>
      <c r="E59" s="17" t="s">
        <v>22</v>
      </c>
      <c r="F59" s="17" t="s">
        <v>23</v>
      </c>
      <c r="G59" s="17" t="s">
        <v>24</v>
      </c>
      <c r="H59" s="17" t="s">
        <v>25</v>
      </c>
      <c r="I59" s="17" t="s">
        <v>26</v>
      </c>
      <c r="J59" s="17" t="s">
        <v>27</v>
      </c>
      <c r="K59" s="17" t="s">
        <v>28</v>
      </c>
      <c r="L59" s="17" t="s">
        <v>29</v>
      </c>
      <c r="M59" s="17" t="s">
        <v>30</v>
      </c>
      <c r="N59" s="17" t="s">
        <v>31</v>
      </c>
      <c r="O59" s="17" t="s">
        <v>32</v>
      </c>
      <c r="P59" s="17" t="s">
        <v>33</v>
      </c>
      <c r="Q59" s="17" t="s">
        <v>34</v>
      </c>
      <c r="R59" s="19" t="s">
        <v>35</v>
      </c>
    </row>
    <row r="60" spans="1:18" x14ac:dyDescent="0.3">
      <c r="A60" s="20" t="str">
        <f>B58</f>
        <v>Vinoth L</v>
      </c>
      <c r="B60" s="21" t="str" cm="1">
        <f t="array" ref="B60:M80">IFERROR(_xlfn.CHOOSECOLS(_xlfn._xlws.FILTER('[1]L4 dummy data'!A:AQ,(('[1]L4 dummy data'!F:F=$B58) + ('[1]L4 dummy data'!G:G=$B58)) &gt; 0),3,14,16,41,42,15,18,4,6,7,40,27),"")</f>
        <v>Abilash Subramaniam</v>
      </c>
      <c r="C60" s="22">
        <v>45937</v>
      </c>
      <c r="D60" s="21" t="str">
        <v>Tredence</v>
      </c>
      <c r="E60" s="23">
        <v>0</v>
      </c>
      <c r="F60" s="24" t="str">
        <v>Active</v>
      </c>
      <c r="G60" s="22" t="str">
        <v>NA</v>
      </c>
      <c r="H60" s="21" t="str">
        <v>Contract</v>
      </c>
      <c r="I60" s="21" t="str">
        <v>M Harinath</v>
      </c>
      <c r="J60" s="21" t="str">
        <v>Mayank Saxena</v>
      </c>
      <c r="K60" s="21" t="str">
        <v>Vinoth L</v>
      </c>
      <c r="L60" s="21">
        <v>0</v>
      </c>
      <c r="M60" s="21">
        <v>9</v>
      </c>
      <c r="N60" s="21">
        <f t="shared" ref="N60:N71" ca="1" si="7">IF(G60&lt;&gt;"NA", G60 - C60, TODAY() - C60)</f>
        <v>115</v>
      </c>
      <c r="O60" s="21" t="str">
        <f t="shared" ref="O60:O71" si="8">IF(J60=K60,"Individual","Split")</f>
        <v>Split</v>
      </c>
      <c r="P60" s="21" cm="1">
        <f t="array" ref="P60">_xlfn.IFS($O60="Individual",1,$O60="Split",0.5,TRUE,0)</f>
        <v>0.5</v>
      </c>
      <c r="Q60" s="21">
        <f t="shared" ref="Q60:Q71" si="9">E60*P60</f>
        <v>0</v>
      </c>
      <c r="R60" s="25" t="str">
        <f t="shared" ref="R60:R63" ca="1" si="10">IF(OR(AND(H60="Contract",F60="Active"),AND(H60="Contract",F60="Done"),AND(H60="FTE",N60&gt;90,F60="Done")),"Yes","NO")</f>
        <v>Yes</v>
      </c>
    </row>
    <row r="61" spans="1:18" x14ac:dyDescent="0.3">
      <c r="A61" s="20"/>
      <c r="B61" s="21" t="str">
        <v>Surendar Kumar Amduri</v>
      </c>
      <c r="C61" s="22">
        <v>45950</v>
      </c>
      <c r="D61" s="21" t="str">
        <v>Citius Tech</v>
      </c>
      <c r="E61" s="23">
        <v>0</v>
      </c>
      <c r="F61" s="24" t="str">
        <v>Active</v>
      </c>
      <c r="G61" s="22" t="str">
        <v>NA</v>
      </c>
      <c r="H61" s="21" t="str">
        <v>Contract</v>
      </c>
      <c r="I61" s="21" t="str">
        <v>Dasive Prakash S</v>
      </c>
      <c r="J61" s="21" t="str">
        <v>Vinoth L</v>
      </c>
      <c r="K61" s="21" t="str">
        <v>Akbar Ibrahim</v>
      </c>
      <c r="L61" s="21">
        <v>0</v>
      </c>
      <c r="M61" s="21">
        <v>5</v>
      </c>
      <c r="N61" s="21">
        <f t="shared" ca="1" si="7"/>
        <v>102</v>
      </c>
      <c r="O61" s="21" t="str">
        <f t="shared" si="8"/>
        <v>Split</v>
      </c>
      <c r="P61" s="21" cm="1">
        <f t="array" ref="P61">_xlfn.IFS($O61="Individual",1,$O61="Split",0.5,TRUE,0)</f>
        <v>0.5</v>
      </c>
      <c r="Q61" s="21">
        <f t="shared" si="9"/>
        <v>0</v>
      </c>
      <c r="R61" s="25" t="str">
        <f t="shared" ca="1" si="10"/>
        <v>Yes</v>
      </c>
    </row>
    <row r="62" spans="1:18" x14ac:dyDescent="0.3">
      <c r="A62" s="20"/>
      <c r="B62" s="21" t="str">
        <v>Ashish Garg </v>
      </c>
      <c r="C62" s="22">
        <v>45684</v>
      </c>
      <c r="D62" s="21" t="str">
        <v>Tredence</v>
      </c>
      <c r="E62" s="23">
        <v>14000</v>
      </c>
      <c r="F62" s="24" t="str">
        <v>Done</v>
      </c>
      <c r="G62" s="22" t="str">
        <v>NA</v>
      </c>
      <c r="H62" s="21" t="str">
        <v>FTE</v>
      </c>
      <c r="I62" s="21" t="str">
        <v>M Harinath</v>
      </c>
      <c r="J62" s="21" t="str">
        <v>Mayank Saxena</v>
      </c>
      <c r="K62" s="21" t="str">
        <v>Vinoth L</v>
      </c>
      <c r="L62" s="21" t="str">
        <v>NA</v>
      </c>
      <c r="M62" s="21" t="str">
        <v>NA</v>
      </c>
      <c r="N62" s="21">
        <f t="shared" ca="1" si="7"/>
        <v>368</v>
      </c>
      <c r="O62" s="21" t="str">
        <f t="shared" si="8"/>
        <v>Split</v>
      </c>
      <c r="P62" s="21">
        <v>0</v>
      </c>
      <c r="Q62" s="21">
        <f t="shared" si="9"/>
        <v>0</v>
      </c>
      <c r="R62" s="25" t="str">
        <f t="shared" ca="1" si="10"/>
        <v>Yes</v>
      </c>
    </row>
    <row r="63" spans="1:18" x14ac:dyDescent="0.3">
      <c r="A63" s="20"/>
      <c r="B63" s="21" t="str">
        <v>Kaleemullah Brohi</v>
      </c>
      <c r="C63" s="22">
        <v>45691</v>
      </c>
      <c r="D63" s="21" t="str">
        <v>Tredence</v>
      </c>
      <c r="E63" s="23">
        <v>12400</v>
      </c>
      <c r="F63" s="24" t="str">
        <v>Done</v>
      </c>
      <c r="G63" s="22" t="str">
        <v>NA</v>
      </c>
      <c r="H63" s="21" t="str">
        <v>FTE</v>
      </c>
      <c r="I63" s="21" t="str">
        <v>Dinesh Veluchamy</v>
      </c>
      <c r="J63" s="21" t="str">
        <v>Mayank Saxena</v>
      </c>
      <c r="K63" s="21" t="str">
        <v>Vinoth L</v>
      </c>
      <c r="L63" s="21" t="str">
        <v>NA</v>
      </c>
      <c r="M63" s="21" t="str">
        <v>NA</v>
      </c>
      <c r="N63" s="21">
        <f t="shared" ca="1" si="7"/>
        <v>361</v>
      </c>
      <c r="O63" s="21" t="str">
        <f t="shared" si="8"/>
        <v>Split</v>
      </c>
      <c r="P63" s="21" cm="1">
        <f t="array" ref="P63">_xlfn.IFS($O63="Individual",1,$O63="Split",0.5,TRUE,0)</f>
        <v>0.5</v>
      </c>
      <c r="Q63" s="21">
        <f t="shared" si="9"/>
        <v>6200</v>
      </c>
      <c r="R63" s="25" t="str">
        <f t="shared" ca="1" si="10"/>
        <v>Yes</v>
      </c>
    </row>
    <row r="64" spans="1:18" x14ac:dyDescent="0.3">
      <c r="A64" s="20"/>
      <c r="B64" s="21" t="str">
        <v xml:space="preserve">David Richter </v>
      </c>
      <c r="C64" s="22">
        <v>45698</v>
      </c>
      <c r="D64" s="21" t="str">
        <v>Relevante</v>
      </c>
      <c r="E64" s="23">
        <v>4200</v>
      </c>
      <c r="F64" s="24" t="str">
        <v>Pending</v>
      </c>
      <c r="G64" s="22" t="str">
        <v>NA</v>
      </c>
      <c r="H64" s="21" t="str">
        <v>FTE</v>
      </c>
      <c r="I64" s="21" t="str">
        <v>Archana K</v>
      </c>
      <c r="J64" s="21" t="str">
        <v>Vinoth L</v>
      </c>
      <c r="K64" s="21" t="str">
        <v>Akbar I</v>
      </c>
      <c r="L64" s="21" t="str">
        <v>NA</v>
      </c>
      <c r="M64" s="21" t="str">
        <v>NA</v>
      </c>
      <c r="N64" s="21">
        <f t="shared" ca="1" si="7"/>
        <v>354</v>
      </c>
      <c r="O64" s="21" t="str">
        <f t="shared" si="8"/>
        <v>Split</v>
      </c>
      <c r="P64" s="21" cm="1">
        <f t="array" ref="P64">_xlfn.IFS($O64="Individual",1,$O64="Split",0.5,TRUE,0)</f>
        <v>0.5</v>
      </c>
      <c r="Q64" s="21">
        <f t="shared" si="9"/>
        <v>2100</v>
      </c>
      <c r="R64" s="25" t="str">
        <f ca="1">IF(OR(AND(H64="Contract",F64="Active"),AND(H64="Contract",F64="Done"),AND(H64="FTE",N64&gt;90,F64="Done")),"Yes","NO")</f>
        <v>NO</v>
      </c>
    </row>
    <row r="65" spans="1:18" x14ac:dyDescent="0.3">
      <c r="A65" s="20"/>
      <c r="B65" s="21" t="str">
        <v>Yogendra Gijare</v>
      </c>
      <c r="C65" s="22">
        <v>45726</v>
      </c>
      <c r="D65" s="21" t="str">
        <v>Tredence</v>
      </c>
      <c r="E65" s="23">
        <v>13600</v>
      </c>
      <c r="F65" s="24" t="str">
        <v>Done</v>
      </c>
      <c r="G65" s="22" t="str">
        <v>NA</v>
      </c>
      <c r="H65" s="21" t="str">
        <v>FTE</v>
      </c>
      <c r="I65" s="3" t="str">
        <v>M Harinath</v>
      </c>
      <c r="J65" s="21" t="str">
        <v>Mayank Saxena</v>
      </c>
      <c r="K65" s="21" t="str">
        <v>Vinoth L</v>
      </c>
      <c r="L65" s="21" t="str">
        <v>NA</v>
      </c>
      <c r="M65" s="21" t="str">
        <v>NA</v>
      </c>
      <c r="N65" s="21">
        <f t="shared" ca="1" si="7"/>
        <v>326</v>
      </c>
      <c r="O65" s="21" t="str">
        <f t="shared" si="8"/>
        <v>Split</v>
      </c>
      <c r="P65" s="21" cm="1">
        <f t="array" ref="P65">_xlfn.IFS($O65="Individual",1,$O65="Split",0.5,TRUE,0)</f>
        <v>0.5</v>
      </c>
      <c r="Q65" s="21">
        <f t="shared" si="9"/>
        <v>6800</v>
      </c>
      <c r="R65" s="25" t="str">
        <f t="shared" ref="R65:R71" ca="1" si="11">IF(OR(AND(H65="Contract",F65="Active"),AND(H65="Contract",F65="Done"),AND(H65="FTE",N65&gt;90,F65="Done")),"Yes","NO")</f>
        <v>Yes</v>
      </c>
    </row>
    <row r="66" spans="1:18" x14ac:dyDescent="0.3">
      <c r="A66" s="20"/>
      <c r="B66" s="21" t="str">
        <v>Jodi Homaune</v>
      </c>
      <c r="C66" s="22">
        <v>45726</v>
      </c>
      <c r="D66" s="21" t="str">
        <v>Relevante</v>
      </c>
      <c r="E66" s="23">
        <v>4515</v>
      </c>
      <c r="F66" s="24" t="str">
        <v>Pending</v>
      </c>
      <c r="G66" s="22" t="str">
        <v>NA</v>
      </c>
      <c r="H66" s="21" t="str">
        <v>FTE</v>
      </c>
      <c r="I66" s="21" t="str">
        <v>Ajith Gunasekar</v>
      </c>
      <c r="J66" s="21" t="str">
        <v>Vinoth L</v>
      </c>
      <c r="K66" s="21" t="str">
        <v>Akbar I</v>
      </c>
      <c r="L66" s="21" t="str">
        <v>NA</v>
      </c>
      <c r="M66" s="21" t="str">
        <v>NA</v>
      </c>
      <c r="N66" s="21">
        <f t="shared" ca="1" si="7"/>
        <v>326</v>
      </c>
      <c r="O66" s="21" t="str">
        <f t="shared" si="8"/>
        <v>Split</v>
      </c>
      <c r="P66" s="21" cm="1">
        <f t="array" ref="P66">_xlfn.IFS($O66="Individual",1,$O66="Split",0.5,TRUE,0)</f>
        <v>0.5</v>
      </c>
      <c r="Q66" s="21">
        <f t="shared" si="9"/>
        <v>2257.5</v>
      </c>
      <c r="R66" s="25" t="str">
        <f t="shared" ca="1" si="11"/>
        <v>NO</v>
      </c>
    </row>
    <row r="67" spans="1:18" x14ac:dyDescent="0.3">
      <c r="A67" s="20"/>
      <c r="B67" s="21" t="str">
        <v>Scot Shields</v>
      </c>
      <c r="C67" s="22">
        <v>45817</v>
      </c>
      <c r="D67" s="21" t="str">
        <v>Tredence</v>
      </c>
      <c r="E67" s="23">
        <v>16800</v>
      </c>
      <c r="F67" s="24" t="str">
        <v>Done</v>
      </c>
      <c r="G67" s="22" t="str">
        <v>NA</v>
      </c>
      <c r="H67" s="21" t="str">
        <v>FTE</v>
      </c>
      <c r="I67" s="21" t="str">
        <v>M Harinath</v>
      </c>
      <c r="J67" s="21" t="str">
        <v>Mayank Saxena</v>
      </c>
      <c r="K67" s="21" t="str">
        <v>Vinoth L</v>
      </c>
      <c r="L67" s="21" t="str">
        <v>NA</v>
      </c>
      <c r="M67" s="21" t="str">
        <v>NA</v>
      </c>
      <c r="N67" s="21">
        <f t="shared" ca="1" si="7"/>
        <v>235</v>
      </c>
      <c r="O67" s="21" t="str">
        <f t="shared" si="8"/>
        <v>Split</v>
      </c>
      <c r="P67" s="21" cm="1">
        <f t="array" ref="P67">_xlfn.IFS($O67="Individual",1,$O67="Split",0.5,TRUE,0)</f>
        <v>0.5</v>
      </c>
      <c r="Q67" s="21">
        <f t="shared" si="9"/>
        <v>8400</v>
      </c>
      <c r="R67" s="25" t="str">
        <f t="shared" ca="1" si="11"/>
        <v>Yes</v>
      </c>
    </row>
    <row r="68" spans="1:18" x14ac:dyDescent="0.3">
      <c r="A68" s="20"/>
      <c r="B68" s="21" t="str">
        <v>Phanichander Katakam</v>
      </c>
      <c r="C68" s="22">
        <v>45824</v>
      </c>
      <c r="D68" s="21" t="str">
        <v>Apexon</v>
      </c>
      <c r="E68" s="23">
        <v>2000</v>
      </c>
      <c r="F68" s="24" t="str">
        <v>Pending</v>
      </c>
      <c r="G68" s="22" t="str">
        <v>NA</v>
      </c>
      <c r="H68" s="21" t="str">
        <v>FTE</v>
      </c>
      <c r="I68" s="21" t="str">
        <v>M Harinath</v>
      </c>
      <c r="J68" s="21" t="str">
        <v>Vinoth L</v>
      </c>
      <c r="K68" s="21" t="str">
        <v>Vinoth L</v>
      </c>
      <c r="L68" s="21" t="str">
        <v>NA</v>
      </c>
      <c r="M68" s="21" t="str">
        <v>NA</v>
      </c>
      <c r="N68" s="21">
        <f t="shared" ca="1" si="7"/>
        <v>228</v>
      </c>
      <c r="O68" s="21" t="str">
        <f t="shared" si="8"/>
        <v>Individual</v>
      </c>
      <c r="P68" s="21" cm="1">
        <f t="array" ref="P68">_xlfn.IFS($O68="Individual",1,$O68="Split",0.5,TRUE,0)</f>
        <v>1</v>
      </c>
      <c r="Q68" s="21">
        <f t="shared" si="9"/>
        <v>2000</v>
      </c>
      <c r="R68" s="25" t="str">
        <f t="shared" ca="1" si="11"/>
        <v>NO</v>
      </c>
    </row>
    <row r="69" spans="1:18" x14ac:dyDescent="0.3">
      <c r="A69" s="20"/>
      <c r="B69" s="21" t="str">
        <v>Kishore Babu Tenneti</v>
      </c>
      <c r="C69" s="22">
        <v>45903</v>
      </c>
      <c r="D69" s="21" t="str">
        <v>Tredence</v>
      </c>
      <c r="E69" s="23">
        <v>12400</v>
      </c>
      <c r="F69" s="24" t="str">
        <v>Pending</v>
      </c>
      <c r="G69" s="22" t="str">
        <v>NA</v>
      </c>
      <c r="H69" s="21" t="str">
        <v>FTE</v>
      </c>
      <c r="I69" s="21" t="str">
        <v>M Harinath</v>
      </c>
      <c r="J69" s="21" t="str">
        <v>Mayank Saxena</v>
      </c>
      <c r="K69" s="21" t="str">
        <v>Vinoth L</v>
      </c>
      <c r="L69" s="21" t="str">
        <v>NA</v>
      </c>
      <c r="M69" s="21" t="str">
        <v>NA</v>
      </c>
      <c r="N69" s="21">
        <f t="shared" ca="1" si="7"/>
        <v>149</v>
      </c>
      <c r="O69" s="21" t="str">
        <f t="shared" si="8"/>
        <v>Split</v>
      </c>
      <c r="P69" s="21" cm="1">
        <f t="array" ref="P69">_xlfn.IFS($O69="Individual",1,$O69="Split",0.5,TRUE,0)</f>
        <v>0.5</v>
      </c>
      <c r="Q69" s="21">
        <f t="shared" si="9"/>
        <v>6200</v>
      </c>
      <c r="R69" s="25" t="str">
        <f t="shared" ca="1" si="11"/>
        <v>NO</v>
      </c>
    </row>
    <row r="70" spans="1:18" x14ac:dyDescent="0.3">
      <c r="A70" s="20"/>
      <c r="B70" s="21" t="str">
        <v xml:space="preserve">Taylor Fink </v>
      </c>
      <c r="C70" s="22">
        <v>45931</v>
      </c>
      <c r="D70" s="21" t="str">
        <v>Relevante</v>
      </c>
      <c r="E70" s="23">
        <v>4200</v>
      </c>
      <c r="F70" s="24" t="str">
        <v>Pending</v>
      </c>
      <c r="G70" s="22" t="str">
        <v>NA</v>
      </c>
      <c r="H70" s="21" t="str">
        <v>FTE</v>
      </c>
      <c r="I70" s="21" t="str">
        <v>Ajith Gunasekar</v>
      </c>
      <c r="J70" s="21" t="str">
        <v>Vinoth L</v>
      </c>
      <c r="K70" s="21" t="str">
        <v>Akbar I</v>
      </c>
      <c r="L70" s="21" t="str">
        <v>NA</v>
      </c>
      <c r="M70" s="21" t="str">
        <v>NA</v>
      </c>
      <c r="N70" s="21">
        <f t="shared" ca="1" si="7"/>
        <v>121</v>
      </c>
      <c r="O70" s="21" t="str">
        <f t="shared" si="8"/>
        <v>Split</v>
      </c>
      <c r="P70" s="21" cm="1">
        <f t="array" ref="P70">_xlfn.IFS($O70="Individual",1,$O70="Split",0.5,TRUE,0)</f>
        <v>0.5</v>
      </c>
      <c r="Q70" s="21">
        <f t="shared" si="9"/>
        <v>2100</v>
      </c>
      <c r="R70" s="25" t="str">
        <f t="shared" ca="1" si="11"/>
        <v>NO</v>
      </c>
    </row>
    <row r="71" spans="1:18" x14ac:dyDescent="0.3">
      <c r="A71" s="20"/>
      <c r="B71" s="21" t="str">
        <v>Giga Songulashvil</v>
      </c>
      <c r="C71" s="22">
        <v>45957</v>
      </c>
      <c r="D71" s="21" t="str">
        <v>Apexon</v>
      </c>
      <c r="E71" s="23">
        <v>2500</v>
      </c>
      <c r="F71" s="24" t="str">
        <v>Pending</v>
      </c>
      <c r="G71" s="22" t="str">
        <v>NA</v>
      </c>
      <c r="H71" s="21" t="str">
        <v>FTE</v>
      </c>
      <c r="I71" s="21" t="str">
        <v>M Harinath</v>
      </c>
      <c r="J71" s="21" t="str">
        <v>Vinoth L</v>
      </c>
      <c r="K71" s="21" t="str">
        <v>Vinoth L</v>
      </c>
      <c r="L71" s="21" t="str">
        <v>NA</v>
      </c>
      <c r="M71" s="21" t="str">
        <v>NA</v>
      </c>
      <c r="N71" s="21">
        <f t="shared" ca="1" si="7"/>
        <v>95</v>
      </c>
      <c r="O71" s="21" t="str">
        <f t="shared" si="8"/>
        <v>Individual</v>
      </c>
      <c r="P71" s="21" cm="1">
        <f t="array" ref="P71">_xlfn.IFS($O71="Individual",1,$O71="Split",0.5,TRUE,0)</f>
        <v>1</v>
      </c>
      <c r="Q71" s="21">
        <f t="shared" si="9"/>
        <v>2500</v>
      </c>
      <c r="R71" s="25" t="str">
        <f t="shared" ca="1" si="11"/>
        <v>NO</v>
      </c>
    </row>
    <row r="72" spans="1:18" x14ac:dyDescent="0.3">
      <c r="A72" s="20"/>
      <c r="B72" s="21" t="str">
        <v>Ashish Garg </v>
      </c>
      <c r="C72" s="22">
        <v>45684</v>
      </c>
      <c r="D72" s="21" t="str">
        <v>Tredence</v>
      </c>
      <c r="E72" s="23">
        <v>14000</v>
      </c>
      <c r="F72" s="24" t="str">
        <v>Done</v>
      </c>
      <c r="G72" s="22" t="str">
        <v>NA</v>
      </c>
      <c r="H72" s="21" t="str">
        <v>FTE</v>
      </c>
      <c r="I72" s="21" t="str">
        <v>M Harinath</v>
      </c>
      <c r="J72" s="21" t="str">
        <v>Mayank Saxena</v>
      </c>
      <c r="K72" s="21" t="str">
        <v>Vinoth L</v>
      </c>
      <c r="L72" s="21" t="str">
        <v>NA</v>
      </c>
      <c r="M72" s="21" t="str">
        <v>NA</v>
      </c>
      <c r="N72" s="21"/>
      <c r="O72" s="21"/>
      <c r="P72" s="21"/>
      <c r="Q72" s="21"/>
      <c r="R72" s="25"/>
    </row>
    <row r="73" spans="1:18" x14ac:dyDescent="0.3">
      <c r="A73" s="20"/>
      <c r="B73" s="21" t="str">
        <v xml:space="preserve">David Richter </v>
      </c>
      <c r="C73" s="22">
        <v>45698</v>
      </c>
      <c r="D73" s="21" t="str">
        <v>Relevante</v>
      </c>
      <c r="E73" s="23">
        <v>4200</v>
      </c>
      <c r="F73" s="24" t="str">
        <v>Done</v>
      </c>
      <c r="G73" s="22" t="str">
        <v>NA</v>
      </c>
      <c r="H73" s="21" t="str">
        <v>FTE</v>
      </c>
      <c r="I73" s="21" t="str">
        <v>Archana K</v>
      </c>
      <c r="J73" s="21" t="str">
        <v>Vinoth L</v>
      </c>
      <c r="K73" s="21" t="str">
        <v>Akbar I</v>
      </c>
      <c r="L73" s="21" t="str">
        <v>NA</v>
      </c>
      <c r="M73" s="21" t="str">
        <v>NA</v>
      </c>
      <c r="N73" s="21"/>
      <c r="O73" s="21"/>
      <c r="P73" s="21"/>
      <c r="Q73" s="21"/>
      <c r="R73" s="25"/>
    </row>
    <row r="74" spans="1:18" x14ac:dyDescent="0.3">
      <c r="A74" s="20"/>
      <c r="B74" s="21" t="str">
        <v>Yogendra Gijare</v>
      </c>
      <c r="C74" s="22">
        <v>45726</v>
      </c>
      <c r="D74" s="21" t="str">
        <v>Tredence</v>
      </c>
      <c r="E74" s="23">
        <v>13600</v>
      </c>
      <c r="F74" s="24" t="str">
        <v>Done</v>
      </c>
      <c r="G74" s="22" t="str">
        <v>NA</v>
      </c>
      <c r="H74" s="21" t="str">
        <v>FTE</v>
      </c>
      <c r="I74" s="21" t="str">
        <v>M Harinath</v>
      </c>
      <c r="J74" s="21" t="str">
        <v>Mayank Saxena</v>
      </c>
      <c r="K74" s="21" t="str">
        <v>Vinoth L</v>
      </c>
      <c r="L74" s="21" t="str">
        <v>NA</v>
      </c>
      <c r="M74" s="21" t="str">
        <v>NA</v>
      </c>
      <c r="N74" s="21"/>
      <c r="O74" s="21"/>
      <c r="P74" s="21"/>
      <c r="Q74" s="21"/>
      <c r="R74" s="25"/>
    </row>
    <row r="75" spans="1:18" x14ac:dyDescent="0.3">
      <c r="A75" s="20"/>
      <c r="B75" s="21" t="str">
        <v>Jodi Homaune</v>
      </c>
      <c r="C75" s="22">
        <v>45726</v>
      </c>
      <c r="D75" s="21" t="str">
        <v>Relevante</v>
      </c>
      <c r="E75" s="23">
        <v>4515</v>
      </c>
      <c r="F75" s="24" t="str">
        <v>Done</v>
      </c>
      <c r="G75" s="22" t="str">
        <v>NA</v>
      </c>
      <c r="H75" s="21" t="str">
        <v>FTE</v>
      </c>
      <c r="I75" s="3" t="str">
        <v>Ajithkumar G</v>
      </c>
      <c r="J75" s="21" t="str">
        <v>Vinoth L</v>
      </c>
      <c r="K75" s="21" t="str">
        <v>Akbar I</v>
      </c>
      <c r="L75" s="21" t="str">
        <v>NA</v>
      </c>
      <c r="M75" s="21" t="str">
        <v>NA</v>
      </c>
      <c r="N75" s="21"/>
      <c r="O75" s="21"/>
      <c r="P75" s="21"/>
      <c r="Q75" s="21"/>
      <c r="R75" s="25"/>
    </row>
    <row r="76" spans="1:18" x14ac:dyDescent="0.3">
      <c r="A76" s="20"/>
      <c r="B76" s="21" t="str">
        <v>Scot Shields</v>
      </c>
      <c r="C76" s="22">
        <v>45817</v>
      </c>
      <c r="D76" s="21" t="str">
        <v>Tredence</v>
      </c>
      <c r="E76" s="23">
        <v>16800</v>
      </c>
      <c r="F76" s="24" t="str">
        <v>Done</v>
      </c>
      <c r="G76" s="22" t="str">
        <v>NA</v>
      </c>
      <c r="H76" s="26" t="str">
        <v>FTE</v>
      </c>
      <c r="I76" s="21" t="str">
        <v>M Harinath</v>
      </c>
      <c r="J76" s="27" t="str">
        <v>Mayank Saxena</v>
      </c>
      <c r="K76" s="27" t="str">
        <v>Vinoth L</v>
      </c>
      <c r="L76" s="27" t="str">
        <v>NA</v>
      </c>
      <c r="M76" s="27" t="str">
        <v>NA</v>
      </c>
      <c r="N76" s="28"/>
      <c r="O76" s="21"/>
      <c r="P76" s="21"/>
      <c r="Q76" s="21"/>
      <c r="R76" s="25"/>
    </row>
    <row r="77" spans="1:18" x14ac:dyDescent="0.3">
      <c r="A77" s="20"/>
      <c r="B77" s="21" t="str">
        <v>Phanichander Katakam</v>
      </c>
      <c r="C77" s="22">
        <v>45824</v>
      </c>
      <c r="D77" s="21" t="str">
        <v>Apexon</v>
      </c>
      <c r="E77" s="23">
        <v>9579.5</v>
      </c>
      <c r="F77" s="24" t="str">
        <v>Done</v>
      </c>
      <c r="G77" s="22" t="str">
        <v>NA</v>
      </c>
      <c r="H77" s="29" t="str">
        <v>FTE</v>
      </c>
      <c r="I77" s="30" t="str">
        <v>M Harinath</v>
      </c>
      <c r="J77" s="31" t="str">
        <v>Vinoth L</v>
      </c>
      <c r="K77" s="31">
        <v>0</v>
      </c>
      <c r="L77" s="31" t="str">
        <v>NA</v>
      </c>
      <c r="M77" s="31" t="str">
        <v>NA</v>
      </c>
      <c r="N77" s="30"/>
      <c r="O77" s="21"/>
      <c r="P77" s="21"/>
      <c r="Q77" s="21"/>
      <c r="R77" s="25"/>
    </row>
    <row r="78" spans="1:18" x14ac:dyDescent="0.3">
      <c r="A78" s="20"/>
      <c r="B78" s="21" t="str">
        <v>Kishore Babu Tenneti</v>
      </c>
      <c r="C78" s="22">
        <v>45903</v>
      </c>
      <c r="D78" s="21" t="str">
        <v>Tredence</v>
      </c>
      <c r="E78" s="23">
        <v>12400</v>
      </c>
      <c r="F78" s="24" t="str">
        <v>Done</v>
      </c>
      <c r="G78" s="22" t="str">
        <v>NA</v>
      </c>
      <c r="H78" s="21" t="str">
        <v>FTE</v>
      </c>
      <c r="I78" s="21" t="str">
        <v>M Harinath</v>
      </c>
      <c r="J78" s="21" t="str">
        <v>Mayank Saxena</v>
      </c>
      <c r="K78" s="21" t="str">
        <v>Vinoth L</v>
      </c>
      <c r="L78" s="21" t="str">
        <v>NA</v>
      </c>
      <c r="M78" s="21" t="str">
        <v>NA</v>
      </c>
      <c r="N78" s="21"/>
      <c r="O78" s="21"/>
      <c r="P78" s="21"/>
      <c r="Q78" s="21"/>
      <c r="R78" s="25"/>
    </row>
    <row r="79" spans="1:18" x14ac:dyDescent="0.3">
      <c r="A79" s="20"/>
      <c r="B79" s="21" t="str">
        <v xml:space="preserve">Taylor Fink </v>
      </c>
      <c r="C79" s="22">
        <v>45931</v>
      </c>
      <c r="D79" s="21" t="str">
        <v>Relevante</v>
      </c>
      <c r="E79" s="23">
        <v>4200</v>
      </c>
      <c r="F79" s="24" t="str">
        <v>Done</v>
      </c>
      <c r="G79" s="22" t="str">
        <v>NA</v>
      </c>
      <c r="H79" s="21" t="str">
        <v>FTE</v>
      </c>
      <c r="I79" s="21" t="str">
        <v>Ajithkumar G</v>
      </c>
      <c r="J79" s="21" t="str">
        <v>Vinoth L</v>
      </c>
      <c r="K79" s="21" t="str">
        <v>Akbar I</v>
      </c>
      <c r="L79" s="21" t="str">
        <v>NA</v>
      </c>
      <c r="M79" s="21" t="str">
        <v>NA</v>
      </c>
      <c r="N79" s="21"/>
      <c r="O79" s="21"/>
      <c r="P79" s="21"/>
      <c r="Q79" s="21"/>
      <c r="R79" s="25"/>
    </row>
    <row r="80" spans="1:18" ht="15" thickBot="1" x14ac:dyDescent="0.35">
      <c r="A80" s="32"/>
      <c r="B80" s="33" t="str">
        <v>Giga Songulashvil</v>
      </c>
      <c r="C80" s="34">
        <v>45957</v>
      </c>
      <c r="D80" s="33" t="str">
        <v>Apexon</v>
      </c>
      <c r="E80" s="35">
        <v>2500</v>
      </c>
      <c r="F80" s="36" t="str">
        <v>Done</v>
      </c>
      <c r="G80" s="34" t="str">
        <v>NA</v>
      </c>
      <c r="H80" s="33" t="str">
        <v>FTE</v>
      </c>
      <c r="I80" s="33" t="str">
        <v>M Harinath</v>
      </c>
      <c r="J80" s="33" t="str">
        <v>Vinoth L</v>
      </c>
      <c r="K80" s="33">
        <v>0</v>
      </c>
      <c r="L80" s="33" t="str">
        <v>NA</v>
      </c>
      <c r="M80" s="33" t="str">
        <v>NA</v>
      </c>
      <c r="N80" s="33"/>
      <c r="O80" s="33"/>
      <c r="P80" s="33"/>
      <c r="Q80" s="33"/>
      <c r="R80" s="37"/>
    </row>
  </sheetData>
  <mergeCells count="4">
    <mergeCell ref="A1:N1"/>
    <mergeCell ref="A6:A26"/>
    <mergeCell ref="A34:A54"/>
    <mergeCell ref="A60:A80"/>
  </mergeCells>
  <conditionalFormatting sqref="F6:F28">
    <cfRule type="containsText" dxfId="30" priority="33" operator="containsText" text="No Bill No Pay">
      <formula>NOT(ISERROR(SEARCH("No Bill No Pay",F6)))</formula>
    </cfRule>
    <cfRule type="cellIs" priority="34" operator="equal">
      <formula>"No Bill No Pay"</formula>
    </cfRule>
    <cfRule type="containsText" dxfId="29" priority="35" operator="containsText" text="Pending">
      <formula>NOT(ISERROR(SEARCH("Pending",F6)))</formula>
    </cfRule>
    <cfRule type="containsText" dxfId="28" priority="36" operator="containsText" text="Done">
      <formula>NOT(ISERROR(SEARCH("Done",F6)))</formula>
    </cfRule>
  </conditionalFormatting>
  <conditionalFormatting sqref="F34:F54">
    <cfRule type="containsText" dxfId="27" priority="24" operator="containsText" text="No Bill No Pay">
      <formula>NOT(ISERROR(SEARCH("No Bill No Pay",F34)))</formula>
    </cfRule>
    <cfRule type="cellIs" priority="25" operator="equal">
      <formula>"No Bill No Pay"</formula>
    </cfRule>
    <cfRule type="containsText" dxfId="26" priority="26" operator="containsText" text="Pending">
      <formula>NOT(ISERROR(SEARCH("Pending",F34)))</formula>
    </cfRule>
    <cfRule type="containsText" dxfId="25" priority="27" operator="containsText" text="Done">
      <formula>NOT(ISERROR(SEARCH("Done",F34)))</formula>
    </cfRule>
  </conditionalFormatting>
  <conditionalFormatting sqref="F60:F80">
    <cfRule type="containsText" dxfId="24" priority="15" operator="containsText" text="No Bill No Pay">
      <formula>NOT(ISERROR(SEARCH("No Bill No Pay",F60)))</formula>
    </cfRule>
    <cfRule type="cellIs" priority="16" operator="equal">
      <formula>"No Bill No Pay"</formula>
    </cfRule>
    <cfRule type="containsText" dxfId="23" priority="17" operator="containsText" text="Pending">
      <formula>NOT(ISERROR(SEARCH("Pending",F60)))</formula>
    </cfRule>
    <cfRule type="containsText" dxfId="22" priority="18" operator="containsText" text="Done">
      <formula>NOT(ISERROR(SEARCH("Done",F60)))</formula>
    </cfRule>
  </conditionalFormatting>
  <conditionalFormatting sqref="F5:G5 F33:G33">
    <cfRule type="containsText" dxfId="21" priority="37" operator="containsText" text="No Bill No Pay">
      <formula>NOT(ISERROR(SEARCH("No Bill No Pay",F5)))</formula>
    </cfRule>
    <cfRule type="cellIs" priority="38" operator="equal">
      <formula>"No Bill No Pay"</formula>
    </cfRule>
    <cfRule type="containsText" dxfId="20" priority="39" operator="containsText" text="Pending">
      <formula>NOT(ISERROR(SEARCH("Pending",F5)))</formula>
    </cfRule>
  </conditionalFormatting>
  <conditionalFormatting sqref="F59:G59">
    <cfRule type="containsText" dxfId="19" priority="19" operator="containsText" text="No Bill No Pay">
      <formula>NOT(ISERROR(SEARCH("No Bill No Pay",F59)))</formula>
    </cfRule>
    <cfRule type="cellIs" priority="20" operator="equal">
      <formula>"No Bill No Pay"</formula>
    </cfRule>
    <cfRule type="containsText" dxfId="18" priority="21" operator="containsText" text="Pending">
      <formula>NOT(ISERROR(SEARCH("Pending",F59)))</formula>
    </cfRule>
  </conditionalFormatting>
  <conditionalFormatting sqref="L5:R5">
    <cfRule type="containsText" dxfId="17" priority="28" operator="containsText" text="No Bill No Pay">
      <formula>NOT(ISERROR(SEARCH("No Bill No Pay",L5)))</formula>
    </cfRule>
    <cfRule type="cellIs" priority="29" operator="equal">
      <formula>"No Bill No Pay"</formula>
    </cfRule>
    <cfRule type="containsText" dxfId="16" priority="30" operator="containsText" text="Pending">
      <formula>NOT(ISERROR(SEARCH("Pending",L5)))</formula>
    </cfRule>
  </conditionalFormatting>
  <conditionalFormatting sqref="L33:R33">
    <cfRule type="containsText" dxfId="15" priority="4" operator="containsText" text="No Bill No Pay">
      <formula>NOT(ISERROR(SEARCH("No Bill No Pay",L33)))</formula>
    </cfRule>
    <cfRule type="cellIs" priority="5" operator="equal">
      <formula>"No Bill No Pay"</formula>
    </cfRule>
    <cfRule type="containsText" dxfId="14" priority="6" operator="containsText" text="Pending">
      <formula>NOT(ISERROR(SEARCH("Pending",L33)))</formula>
    </cfRule>
  </conditionalFormatting>
  <conditionalFormatting sqref="L59:R59">
    <cfRule type="containsText" dxfId="13" priority="1" operator="containsText" text="No Bill No Pay">
      <formula>NOT(ISERROR(SEARCH("No Bill No Pay",L59)))</formula>
    </cfRule>
    <cfRule type="cellIs" priority="2" operator="equal">
      <formula>"No Bill No Pay"</formula>
    </cfRule>
    <cfRule type="containsText" dxfId="12" priority="3" operator="containsText" text="Pending">
      <formula>NOT(ISERROR(SEARCH("Pending",L59)))</formula>
    </cfRule>
  </conditionalFormatting>
  <conditionalFormatting sqref="P6:P20 N19:N26 I27:I28">
    <cfRule type="containsText" dxfId="11" priority="31" operator="containsText" text="No">
      <formula>NOT(ISERROR(SEARCH("No",I6)))</formula>
    </cfRule>
    <cfRule type="containsText" dxfId="10" priority="32" operator="containsText" text="Yes">
      <formula>NOT(ISERROR(SEARCH("Yes",I6)))</formula>
    </cfRule>
  </conditionalFormatting>
  <conditionalFormatting sqref="P34:P48 N47:N54">
    <cfRule type="containsText" dxfId="9" priority="22" operator="containsText" text="No">
      <formula>NOT(ISERROR(SEARCH("No",N34)))</formula>
    </cfRule>
    <cfRule type="containsText" dxfId="8" priority="23" operator="containsText" text="Yes">
      <formula>NOT(ISERROR(SEARCH("Yes",N34)))</formula>
    </cfRule>
  </conditionalFormatting>
  <conditionalFormatting sqref="P60:P74 N73:N80">
    <cfRule type="containsText" dxfId="7" priority="13" operator="containsText" text="No">
      <formula>NOT(ISERROR(SEARCH("No",N60)))</formula>
    </cfRule>
    <cfRule type="containsText" dxfId="6" priority="14" operator="containsText" text="Yes">
      <formula>NOT(ISERROR(SEARCH("Yes",N60)))</formula>
    </cfRule>
  </conditionalFormatting>
  <conditionalFormatting sqref="R6:R18">
    <cfRule type="containsText" dxfId="5" priority="7" operator="containsText" text="No">
      <formula>NOT(ISERROR(SEARCH("No",R6)))</formula>
    </cfRule>
    <cfRule type="containsText" dxfId="4" priority="8" operator="containsText" text="Yes">
      <formula>NOT(ISERROR(SEARCH("Yes",R6)))</formula>
    </cfRule>
  </conditionalFormatting>
  <conditionalFormatting sqref="R34:R46">
    <cfRule type="containsText" dxfId="3" priority="9" operator="containsText" text="No">
      <formula>NOT(ISERROR(SEARCH("No",R34)))</formula>
    </cfRule>
    <cfRule type="containsText" dxfId="2" priority="10" operator="containsText" text="Yes">
      <formula>NOT(ISERROR(SEARCH("Yes",R34)))</formula>
    </cfRule>
  </conditionalFormatting>
  <conditionalFormatting sqref="R60:R72">
    <cfRule type="containsText" dxfId="1" priority="11" operator="containsText" text="No">
      <formula>NOT(ISERROR(SEARCH("No",R60)))</formula>
    </cfRule>
    <cfRule type="containsText" dxfId="0" priority="12" operator="containsText" text="Yes">
      <formula>NOT(ISERROR(SEARCH("Yes",R60)))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2026-01-30T06:07:20Z</dcterms:created>
  <dcterms:modified xsi:type="dcterms:W3CDTF">2026-01-30T06:08:26Z</dcterms:modified>
</cp:coreProperties>
</file>