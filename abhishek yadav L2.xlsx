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C343D08A-4F7D-428B-A91A-747C73C3BAEC}" xr6:coauthVersionLast="47" xr6:coauthVersionMax="47" xr10:uidLastSave="{00000000-0000-0000-0000-000000000000}"/>
  <bookViews>
    <workbookView xWindow="-108" yWindow="-108" windowWidth="23256" windowHeight="13176" xr2:uid="{478975CB-1709-4546-B525-31996B6F7E86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A4" i="1"/>
  <c r="H2" i="1"/>
  <c r="I2" i="1" s="1"/>
  <c r="K2" i="1" s="1" a="1"/>
  <c r="K2" i="1" s="1"/>
  <c r="G2" i="1"/>
  <c r="E2" i="1"/>
  <c r="F2" i="1" s="1"/>
  <c r="D2" i="1"/>
  <c r="B2" i="1"/>
  <c r="L2" i="1" l="1" a="1"/>
  <c r="L2" i="1" s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<sst xmlns="http://schemas.openxmlformats.org/spreadsheetml/2006/main" count="32" uniqueCount="31">
  <si>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</si>
  <si>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</si>
  <si>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</si>
  <si>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</si>
  <si>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</si>
  <si>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</si>
  <si>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</si>
  <si>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</si>
  <si>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</si>
  <si>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</si>
  <si>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</si>
  <si>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</si>
  <si>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</si>
  <si>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Titans</t>
  </si>
  <si>
    <t>Abhishek Yadav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</si>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</sst>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_Updated%20as%20on%20Feb%2007%20(2).xlsx" TargetMode="External"/><Relationship Id="rId1" Type="http://schemas.openxmlformats.org/officeDocument/2006/relationships/externalLinkPath" Target="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C2" t="str">
            <v>Placement Target</v>
          </cell>
          <cell r="D2" t="str">
            <v xml:space="preserve">achieved </v>
          </cell>
          <cell r="E2" t="str">
            <v>%</v>
          </cell>
          <cell r="F2" t="str">
            <v>Remarks on timeline for counts</v>
          </cell>
          <cell r="G2" t="str">
            <v>Revenue Target</v>
          </cell>
          <cell r="H2" t="str">
            <v>achieved Revenue Projected till Dec (with placement till Nov)</v>
          </cell>
          <cell r="I2" t="str">
            <v>%</v>
          </cell>
        </row>
        <row r="3">
          <cell r="A3" t="str">
            <v>Rohit Gupta</v>
          </cell>
          <cell r="B3" t="str">
            <v>Mavricks</v>
          </cell>
          <cell r="C3">
            <v>60</v>
          </cell>
          <cell r="D3">
            <v>37</v>
          </cell>
          <cell r="E3">
            <v>0.6166666666666667</v>
          </cell>
          <cell r="F3" t="str">
            <v>placements Till Dec 2025</v>
          </cell>
          <cell r="G3">
            <v>300000</v>
          </cell>
          <cell r="H3">
            <v>272963</v>
          </cell>
          <cell r="I3">
            <v>0.90987666666666667</v>
          </cell>
        </row>
        <row r="4">
          <cell r="A4" t="str">
            <v>Rohit Gupta</v>
          </cell>
          <cell r="B4" t="str">
            <v>Mavricks</v>
          </cell>
          <cell r="C4">
            <v>32</v>
          </cell>
          <cell r="D4">
            <v>19.5</v>
          </cell>
          <cell r="E4">
            <v>0.609375</v>
          </cell>
          <cell r="F4" t="str">
            <v>placements Till Dec 2025</v>
          </cell>
          <cell r="G4">
            <v>160000</v>
          </cell>
          <cell r="H4">
            <v>149069</v>
          </cell>
          <cell r="I4">
            <v>0.93168125000000002</v>
          </cell>
        </row>
        <row r="5">
          <cell r="A5" t="str">
            <v>Vivek Yadav</v>
          </cell>
          <cell r="B5" t="str">
            <v>Mavricks</v>
          </cell>
          <cell r="C5">
            <v>28</v>
          </cell>
          <cell r="D5">
            <v>17.5</v>
          </cell>
          <cell r="E5">
            <v>0.625</v>
          </cell>
          <cell r="F5" t="str">
            <v>placements Till Dec 2025</v>
          </cell>
          <cell r="G5">
            <v>140000</v>
          </cell>
          <cell r="H5">
            <v>111374</v>
          </cell>
          <cell r="I5">
            <v>0.79552857142857147</v>
          </cell>
        </row>
        <row r="6">
          <cell r="A6" t="str">
            <v>Kashif Nabi</v>
          </cell>
          <cell r="B6" t="str">
            <v>Mavricks</v>
          </cell>
          <cell r="C6">
            <v>50</v>
          </cell>
          <cell r="D6">
            <v>56.5</v>
          </cell>
          <cell r="E6">
            <v>1.1299999999999999</v>
          </cell>
          <cell r="F6" t="str">
            <v>placements Till Dec 2025</v>
          </cell>
          <cell r="G6">
            <v>300000</v>
          </cell>
          <cell r="H6">
            <v>302645</v>
          </cell>
          <cell r="I6">
            <v>1.0088166666666667</v>
          </cell>
        </row>
        <row r="7">
          <cell r="A7" t="str">
            <v>Kashif - Team</v>
          </cell>
          <cell r="B7" t="str">
            <v>Mavricks</v>
          </cell>
          <cell r="C7">
            <v>22</v>
          </cell>
          <cell r="D7">
            <v>34</v>
          </cell>
          <cell r="E7">
            <v>1.5454545454545454</v>
          </cell>
          <cell r="F7" t="str">
            <v>placements Till Dec 2025</v>
          </cell>
          <cell r="G7">
            <v>130000</v>
          </cell>
          <cell r="H7">
            <v>177106</v>
          </cell>
          <cell r="I7">
            <v>1.3623538461538462</v>
          </cell>
        </row>
        <row r="8">
          <cell r="A8" t="str">
            <v>Mohammad Tariq</v>
          </cell>
          <cell r="B8" t="str">
            <v>Mavricks</v>
          </cell>
          <cell r="C8">
            <v>18</v>
          </cell>
          <cell r="D8">
            <v>13</v>
          </cell>
          <cell r="E8">
            <v>0.72222222222222221</v>
          </cell>
          <cell r="F8" t="str">
            <v>placements Till Dec 2025</v>
          </cell>
          <cell r="G8">
            <v>120000</v>
          </cell>
          <cell r="H8">
            <v>75047</v>
          </cell>
          <cell r="I8">
            <v>0.62539166666666668</v>
          </cell>
        </row>
        <row r="9">
          <cell r="A9" t="str">
            <v>Khatib Rahman</v>
          </cell>
          <cell r="B9" t="str">
            <v>Mavricks</v>
          </cell>
          <cell r="C9">
            <v>10</v>
          </cell>
          <cell r="D9">
            <v>9.5</v>
          </cell>
          <cell r="E9">
            <v>0.95</v>
          </cell>
          <cell r="F9" t="str">
            <v>placements Till Dec 2025</v>
          </cell>
          <cell r="G9">
            <v>50000</v>
          </cell>
          <cell r="H9">
            <v>26862</v>
          </cell>
          <cell r="I9">
            <v>0.53724000000000005</v>
          </cell>
        </row>
        <row r="10">
          <cell r="A10" t="str">
            <v>Nitin Saxena</v>
          </cell>
          <cell r="B10" t="str">
            <v>Titans</v>
          </cell>
          <cell r="C10">
            <v>54</v>
          </cell>
          <cell r="D10">
            <v>40.5</v>
          </cell>
          <cell r="E10">
            <v>0.75</v>
          </cell>
          <cell r="F10" t="str">
            <v>placements Till Dec 2025</v>
          </cell>
          <cell r="G10">
            <v>325000</v>
          </cell>
          <cell r="H10">
            <v>180376</v>
          </cell>
          <cell r="I10">
            <v>0.55500307692307693</v>
          </cell>
        </row>
        <row r="11">
          <cell r="A11" t="str">
            <v>Aditya Yadav</v>
          </cell>
          <cell r="B11" t="str">
            <v>Titans</v>
          </cell>
          <cell r="C11">
            <v>37</v>
          </cell>
          <cell r="D11">
            <v>16.5</v>
          </cell>
          <cell r="E11">
            <v>0.44594594594594594</v>
          </cell>
          <cell r="F11" t="str">
            <v>placements Till Dec 2025</v>
          </cell>
          <cell r="G11">
            <v>200000</v>
          </cell>
          <cell r="H11">
            <v>80748</v>
          </cell>
          <cell r="I11">
            <v>0.40373999999999999</v>
          </cell>
        </row>
        <row r="12">
          <cell r="A12" t="str">
            <v>Abhishek Yadav</v>
          </cell>
          <cell r="B12" t="str">
            <v>Titans</v>
          </cell>
          <cell r="C12">
            <v>32</v>
          </cell>
          <cell r="D12">
            <v>33</v>
          </cell>
          <cell r="E12">
            <v>1.03125</v>
          </cell>
          <cell r="F12" t="str">
            <v>placements Till Dec 2025</v>
          </cell>
          <cell r="G12">
            <v>250000</v>
          </cell>
          <cell r="H12">
            <v>310974</v>
          </cell>
          <cell r="I12">
            <v>1.2438959999999999</v>
          </cell>
        </row>
        <row r="13">
          <cell r="A13" t="str">
            <v>Harsh Agarwal</v>
          </cell>
          <cell r="B13" t="str">
            <v>Trust</v>
          </cell>
          <cell r="C13">
            <v>67</v>
          </cell>
          <cell r="D13">
            <v>38.5</v>
          </cell>
          <cell r="E13">
            <v>0.57462686567164178</v>
          </cell>
          <cell r="F13" t="str">
            <v>placements Till Dec 2025</v>
          </cell>
          <cell r="G13">
            <v>350000</v>
          </cell>
          <cell r="H13">
            <v>160943</v>
          </cell>
          <cell r="I13">
            <v>0.45983714285714283</v>
          </cell>
        </row>
        <row r="14">
          <cell r="A14" t="str">
            <v>Shashank Yadav</v>
          </cell>
          <cell r="B14" t="str">
            <v>Trust</v>
          </cell>
          <cell r="C14">
            <v>69</v>
          </cell>
          <cell r="D14">
            <v>30.5</v>
          </cell>
          <cell r="E14">
            <v>0.4420289855072464</v>
          </cell>
          <cell r="F14" t="str">
            <v>placements Till Dec 2025</v>
          </cell>
          <cell r="G14">
            <v>250000</v>
          </cell>
          <cell r="H14">
            <v>97398.63</v>
          </cell>
          <cell r="I14">
            <v>0.38959452</v>
          </cell>
        </row>
        <row r="15">
          <cell r="A15" t="str">
            <v>Akash Saxena</v>
          </cell>
          <cell r="B15" t="str">
            <v>WWT</v>
          </cell>
          <cell r="C15">
            <v>27</v>
          </cell>
          <cell r="D15">
            <v>12.8</v>
          </cell>
          <cell r="E15">
            <v>0.47407407407407409</v>
          </cell>
          <cell r="F15" t="str">
            <v>placements Till Dec 2025</v>
          </cell>
          <cell r="G15">
            <v>150000</v>
          </cell>
          <cell r="H15">
            <v>120636</v>
          </cell>
          <cell r="I15">
            <v>0.80423999999999995</v>
          </cell>
        </row>
        <row r="16">
          <cell r="A16" t="str">
            <v>Abdul Rahman</v>
          </cell>
          <cell r="B16" t="str">
            <v>WWT</v>
          </cell>
          <cell r="C16">
            <v>28</v>
          </cell>
          <cell r="D16">
            <v>8.5</v>
          </cell>
          <cell r="E16">
            <v>0.30357142857142855</v>
          </cell>
          <cell r="G16">
            <v>150000</v>
          </cell>
          <cell r="H16">
            <v>84643.96</v>
          </cell>
          <cell r="I16">
            <v>0.56429306666666668</v>
          </cell>
        </row>
        <row r="17">
          <cell r="A17" t="str">
            <v>Ranveer Kumar</v>
          </cell>
          <cell r="B17" t="str">
            <v>WWH</v>
          </cell>
          <cell r="C17">
            <v>26</v>
          </cell>
          <cell r="D17">
            <v>11</v>
          </cell>
          <cell r="E17">
            <v>0.42307692307692307</v>
          </cell>
          <cell r="F17" t="str">
            <v>placements Till Dec 2025</v>
          </cell>
          <cell r="G17">
            <v>150000</v>
          </cell>
          <cell r="H17">
            <v>58374</v>
          </cell>
          <cell r="I17">
            <v>0.38916000000000001</v>
          </cell>
        </row>
        <row r="18">
          <cell r="A18" t="str">
            <v>Abhishek Singh</v>
          </cell>
          <cell r="B18" t="str">
            <v>WWH</v>
          </cell>
          <cell r="C18">
            <v>26</v>
          </cell>
          <cell r="D18">
            <v>24</v>
          </cell>
          <cell r="E18">
            <v>0.92307692307692313</v>
          </cell>
          <cell r="F18" t="str">
            <v>placements Till Dec 2025</v>
          </cell>
          <cell r="G18">
            <v>150000</v>
          </cell>
          <cell r="H18">
            <v>219184</v>
          </cell>
          <cell r="I18">
            <v>1.4612266666666667</v>
          </cell>
        </row>
        <row r="19">
          <cell r="A19" t="str">
            <v>Shailesh Sharma</v>
          </cell>
          <cell r="B19" t="str">
            <v>WWH</v>
          </cell>
          <cell r="C19">
            <v>47</v>
          </cell>
          <cell r="D19">
            <v>31</v>
          </cell>
          <cell r="E19">
            <v>0.65957446808510634</v>
          </cell>
          <cell r="F19" t="str">
            <v>placements Till Dec 2025</v>
          </cell>
          <cell r="G19">
            <v>300000</v>
          </cell>
          <cell r="H19">
            <v>300467</v>
          </cell>
          <cell r="I19">
            <v>1.0015566666666667</v>
          </cell>
        </row>
        <row r="20">
          <cell r="A20" t="str">
            <v>Umar Mujahid Husain</v>
          </cell>
          <cell r="B20" t="str">
            <v>Vantedge</v>
          </cell>
          <cell r="C20">
            <v>18</v>
          </cell>
          <cell r="D20">
            <v>9</v>
          </cell>
          <cell r="E20">
            <v>0.5</v>
          </cell>
          <cell r="G20">
            <v>450000</v>
          </cell>
          <cell r="H20">
            <v>258076</v>
          </cell>
          <cell r="I20">
            <v>0.57350222222222225</v>
          </cell>
        </row>
        <row r="21">
          <cell r="A21" t="str">
            <v>Raunak Tripathi</v>
          </cell>
          <cell r="B21" t="str">
            <v>Vantedge</v>
          </cell>
          <cell r="C21">
            <v>23</v>
          </cell>
          <cell r="D21">
            <v>11</v>
          </cell>
          <cell r="E21">
            <v>0.47826086956521741</v>
          </cell>
          <cell r="G21">
            <v>605000</v>
          </cell>
          <cell r="H21">
            <v>309039</v>
          </cell>
          <cell r="I21">
            <v>0.51080826446280991</v>
          </cell>
        </row>
        <row r="22">
          <cell r="A22" t="str">
            <v>Mayank Saxena</v>
          </cell>
          <cell r="B22" t="str">
            <v>Vantedge</v>
          </cell>
          <cell r="C22">
            <v>18</v>
          </cell>
          <cell r="D22">
            <v>10.5</v>
          </cell>
          <cell r="E22">
            <v>0.58333333333333337</v>
          </cell>
          <cell r="G22">
            <v>425000</v>
          </cell>
          <cell r="H22">
            <v>377633</v>
          </cell>
          <cell r="I22">
            <v>0.88854823529411764</v>
          </cell>
        </row>
        <row r="23">
          <cell r="A23" t="str">
            <v>Anshul Kumar</v>
          </cell>
          <cell r="B23" t="str">
            <v>Vantedge</v>
          </cell>
          <cell r="C23">
            <v>12</v>
          </cell>
          <cell r="D23">
            <v>10</v>
          </cell>
          <cell r="E23">
            <v>0.83333333333333337</v>
          </cell>
          <cell r="G23">
            <v>300000</v>
          </cell>
          <cell r="H23">
            <v>302400</v>
          </cell>
          <cell r="I23">
            <v>1.008</v>
          </cell>
        </row>
        <row r="24">
          <cell r="A24" t="str">
            <v>Sourcing Team</v>
          </cell>
          <cell r="B24" t="str">
            <v>Vantedge</v>
          </cell>
          <cell r="C24">
            <v>25</v>
          </cell>
          <cell r="D24">
            <v>18</v>
          </cell>
          <cell r="E24">
            <v>0.72</v>
          </cell>
          <cell r="G24" t="str">
            <v>-</v>
          </cell>
          <cell r="H24" t="str">
            <v>-</v>
          </cell>
          <cell r="I24" t="str">
            <v>-</v>
          </cell>
        </row>
        <row r="25">
          <cell r="A25" t="str">
            <v>Lucky Jain</v>
          </cell>
          <cell r="B25" t="str">
            <v>Pioneer</v>
          </cell>
          <cell r="C25">
            <v>46</v>
          </cell>
          <cell r="D25">
            <v>14.5</v>
          </cell>
          <cell r="E25">
            <v>0.31521739130434784</v>
          </cell>
          <cell r="G25">
            <v>300000</v>
          </cell>
          <cell r="H25">
            <v>117179.64</v>
          </cell>
          <cell r="I25">
            <v>0.39059880000000002</v>
          </cell>
        </row>
        <row r="26">
          <cell r="A26" t="str">
            <v>Vinoth L</v>
          </cell>
          <cell r="B26" t="str">
            <v>CSK</v>
          </cell>
          <cell r="C26">
            <v>46</v>
          </cell>
          <cell r="D26">
            <v>25</v>
          </cell>
          <cell r="E26">
            <v>0.54347826086956519</v>
          </cell>
          <cell r="F26" t="str">
            <v>placements Till Dec 2025</v>
          </cell>
          <cell r="G26">
            <v>175000</v>
          </cell>
          <cell r="H26">
            <v>175821.13</v>
          </cell>
          <cell r="I26">
            <v>1.0046921714285715</v>
          </cell>
        </row>
        <row r="27">
          <cell r="A27" t="str">
            <v>Akbar Ibrahim</v>
          </cell>
          <cell r="B27" t="str">
            <v>CSK</v>
          </cell>
          <cell r="C27">
            <v>46</v>
          </cell>
          <cell r="D27">
            <v>9.5</v>
          </cell>
          <cell r="E27">
            <v>0.20652173913043478</v>
          </cell>
          <cell r="G27">
            <v>175000</v>
          </cell>
          <cell r="H27">
            <v>28962.240000000002</v>
          </cell>
          <cell r="I27">
            <v>0.1654985142857143</v>
          </cell>
        </row>
        <row r="28">
          <cell r="A28" t="str">
            <v>RPO</v>
          </cell>
          <cell r="C28">
            <v>113</v>
          </cell>
          <cell r="D28">
            <v>44.3</v>
          </cell>
          <cell r="E28">
            <v>0.39203539823008848</v>
          </cell>
          <cell r="G28">
            <v>350000</v>
          </cell>
          <cell r="H28">
            <v>263797</v>
          </cell>
          <cell r="I28">
            <v>0.75370571428571431</v>
          </cell>
        </row>
        <row r="29">
          <cell r="A29" t="str">
            <v>Dev Srivastava (Sales)</v>
          </cell>
          <cell r="B29" t="str">
            <v>Vantedge</v>
          </cell>
          <cell r="C29" t="str">
            <v>-</v>
          </cell>
          <cell r="D29" t="str">
            <v>-</v>
          </cell>
          <cell r="E29" t="str">
            <v>-</v>
          </cell>
          <cell r="G29">
            <v>750000</v>
          </cell>
          <cell r="H29">
            <v>572096</v>
          </cell>
          <cell r="I29">
            <v>0.76279466666666662</v>
          </cell>
        </row>
        <row r="30">
          <cell r="A30" t="str">
            <v>Rashmi Bhatnagar (Sales)</v>
          </cell>
          <cell r="B30" t="str">
            <v>Vantedge</v>
          </cell>
          <cell r="C30" t="str">
            <v>-</v>
          </cell>
          <cell r="D30" t="str">
            <v>-</v>
          </cell>
          <cell r="E30" t="str">
            <v>-</v>
          </cell>
          <cell r="G30">
            <v>500000</v>
          </cell>
          <cell r="H30">
            <v>505328</v>
          </cell>
          <cell r="I30">
            <v>1.010656</v>
          </cell>
        </row>
      </sheetData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</row>
        <row r="92">
          <cell r="B92" t="str">
            <v>Vantedge</v>
          </cell>
          <cell r="D92" t="str">
            <v>Rashmi Bhatnagar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</row>
      </sheetData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97B5-F80D-458D-A405-902BE87C28AF}">
  <dimension ref="A1:Q58"/>
  <sheetViews>
    <sheetView tabSelected="1" zoomScale="61" workbookViewId="0">
      <selection activeCell="T9" sqref="A1:XFD1048576"/>
    </sheetView>
  </sheetViews>
  <sheetFormatPr defaultColWidth="19.44140625" defaultRowHeight="14.4" x14ac:dyDescent="0.3"/>
  <cols>
    <col min="1" max="1" width="13.6640625" style="3" bestFit="1" customWidth="1"/>
    <col min="2" max="2" width="29.88671875" style="2" bestFit="1" customWidth="1"/>
    <col min="3" max="3" width="19.44140625" style="2" bestFit="1"/>
    <col min="4" max="4" width="15.5546875" style="2" bestFit="1" customWidth="1"/>
    <col min="5" max="5" width="13.6640625" style="2" bestFit="1" customWidth="1"/>
    <col min="6" max="6" width="10.6640625" style="2" bestFit="1" customWidth="1"/>
    <col min="7" max="7" width="15.21875" style="2" bestFit="1" customWidth="1"/>
    <col min="8" max="8" width="12.33203125" style="2" bestFit="1" customWidth="1"/>
    <col min="9" max="10" width="15.5546875" style="2" bestFit="1" customWidth="1"/>
    <col min="11" max="11" width="14.5546875" style="2" bestFit="1" customWidth="1"/>
    <col min="12" max="12" width="11.6640625" style="2" bestFit="1" customWidth="1"/>
    <col min="13" max="13" width="9.33203125" style="2" bestFit="1" customWidth="1"/>
    <col min="14" max="14" width="10.21875" style="2" bestFit="1" customWidth="1"/>
    <col min="15" max="15" width="10.33203125" style="2" bestFit="1" customWidth="1"/>
    <col min="16" max="16" width="12.44140625" style="2" bestFit="1" customWidth="1"/>
    <col min="17" max="17" width="9.44140625" style="2" bestFit="1" customWidth="1"/>
    <col min="18" max="18" width="10.109375" style="2" bestFit="1" customWidth="1"/>
    <col min="19" max="19" width="15.44140625" style="2" bestFit="1" customWidth="1"/>
    <col min="20" max="20" width="16.88671875" style="2" bestFit="1" customWidth="1"/>
    <col min="21" max="16384" width="19.44140625" style="2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/>
      <c r="P1" s="3"/>
      <c r="Q1" s="3"/>
    </row>
    <row r="2" spans="1:17" x14ac:dyDescent="0.3">
      <c r="A2" s="4" t="s">
        <v>13</v>
      </c>
      <c r="B2" s="2" t="str">
        <f>_xlfn.XLOOKUP($C2,'[1]Basic EMP Data - 2025'!$D$3:$D$216,'[1]Basic EMP Data - 2025'!$C$3:$C$216)</f>
        <v>VB0387</v>
      </c>
      <c r="C2" s="5" t="s">
        <v>14</v>
      </c>
      <c r="D2" s="4">
        <f>VLOOKUP($C2,'[1]L2s Data'!$A$2:$I$30,3,0)</f>
        <v>32</v>
      </c>
      <c r="E2" s="4">
        <f>VLOOKUP($C2,'[1]L2s Data'!$A$2:$I$30,4,0)</f>
        <v>33</v>
      </c>
      <c r="F2" s="6">
        <f>E2/D2</f>
        <v>1.03125</v>
      </c>
      <c r="G2" s="7">
        <f>VLOOKUP($C2,'[1]L2s Data'!$A$2:$I$30,7,0)</f>
        <v>250000</v>
      </c>
      <c r="H2" s="7">
        <f>VLOOKUP($C2,'[1]L2s Data'!$A$2:$I$30,8,0)</f>
        <v>310974</v>
      </c>
      <c r="I2" s="6">
        <f>H2/G2</f>
        <v>1.2438959999999999</v>
      </c>
      <c r="J2" s="8">
        <f>SUM(O4:O342)</f>
        <v>56643.86</v>
      </c>
      <c r="K2" s="9" cm="1">
        <f t="array" ref="K2">_xlfn.IFS($I2&lt;=34%,0,$I2&lt;=65%,1.25%,$I2&lt;=90%,1.75%,$I2&lt;=110%,2.5%,H2&gt;110%,5%)</f>
        <v>0.05</v>
      </c>
      <c r="L2" s="8" cm="1">
        <f t="array" ref="L2">SUMPRODUCT((F4:F200=2024)*P4:P200) + SUMPRODUCT((F4:F200=2025)*P4:P200*2)</f>
        <v>83404.639999999999</v>
      </c>
      <c r="M2" s="4"/>
      <c r="P2" s="3"/>
      <c r="Q2" s="3"/>
    </row>
    <row r="3" spans="1:17" ht="43.2" x14ac:dyDescent="0.3">
      <c r="A3" s="10" t="s">
        <v>2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</row>
    <row r="4" spans="1:17" x14ac:dyDescent="0.3">
      <c r="A4" s="11" t="str">
        <f>C2</f>
        <v>Abhishek Yadav</v>
      </c>
      <c r="B4" s="4" t="str" cm="1">
        <f t="array" ref="B4:P13">_xlfn.LET(
    _xlpm.data, _xlfn._xlws.FILTER('[1]Incentive Data'!A:BV, '[1]Incentive Data'!D:D=$C2),
    _xlpm.keys, _xlfn.CHOOSECOLS(_xlpm.data,19,8,4,5,74,13,16,22,18,21,72,68),
    _xlpm.vals, _xlfn.CHOOSECOLS(_xlpm.data,73,56,57),
    _xlfn.GROUPBY(_xlpm.keys, _xlpm.vals, _xleta.SUM,,0)
)</f>
        <v>Akshatha Mahadevachary</v>
      </c>
      <c r="C4" s="4" t="str">
        <v>Gauresh Gidwani</v>
      </c>
      <c r="D4" s="4" t="str">
        <v>Abhishek Yadav</v>
      </c>
      <c r="E4" s="4" t="str">
        <v>Abhishek Yadav</v>
      </c>
      <c r="F4" s="12">
        <v>2024</v>
      </c>
      <c r="G4" s="13">
        <v>45568</v>
      </c>
      <c r="H4" s="13">
        <v>45685</v>
      </c>
      <c r="I4" s="4" t="str">
        <v>Genpact</v>
      </c>
      <c r="J4" s="14" t="str">
        <v>PLC-3968</v>
      </c>
      <c r="K4" s="7" t="str">
        <v>C2C</v>
      </c>
      <c r="L4" s="12" t="str">
        <v>Done</v>
      </c>
      <c r="M4" s="4" t="str">
        <v>Y</v>
      </c>
      <c r="N4" s="4">
        <v>152</v>
      </c>
      <c r="O4" s="8">
        <v>1942.5600000000002</v>
      </c>
      <c r="P4" s="8">
        <v>0</v>
      </c>
      <c r="Q4" s="8"/>
    </row>
    <row r="5" spans="1:17" x14ac:dyDescent="0.3">
      <c r="A5" s="11"/>
      <c r="B5" s="4" t="str">
        <v>David Francis Schnedar</v>
      </c>
      <c r="C5" s="4" t="str">
        <v>Manish Kumar Dhiman</v>
      </c>
      <c r="D5" s="4" t="str">
        <v>Abhishek Yadav</v>
      </c>
      <c r="E5" s="4" t="str">
        <v>-</v>
      </c>
      <c r="F5" s="12">
        <v>2025</v>
      </c>
      <c r="G5" s="13">
        <v>45691</v>
      </c>
      <c r="H5" s="13">
        <v>45883</v>
      </c>
      <c r="I5" s="4" t="str">
        <v>Genpact</v>
      </c>
      <c r="J5" s="14" t="str">
        <v>PLC-4091</v>
      </c>
      <c r="K5" s="7" t="str">
        <v>W2</v>
      </c>
      <c r="L5" s="12" t="str">
        <v>Done</v>
      </c>
      <c r="M5" s="4" t="str">
        <v>Y</v>
      </c>
      <c r="N5" s="4">
        <v>489</v>
      </c>
      <c r="O5" s="8">
        <v>7603.9500000000025</v>
      </c>
      <c r="P5" s="8">
        <v>12166.320000000003</v>
      </c>
      <c r="Q5" s="8"/>
    </row>
    <row r="6" spans="1:17" x14ac:dyDescent="0.3">
      <c r="A6" s="11"/>
      <c r="B6" s="4" t="str">
        <v>Kalpana Venkatasamy</v>
      </c>
      <c r="C6" s="4" t="str">
        <v>Manish Kumar Dhiman</v>
      </c>
      <c r="D6" s="4" t="str">
        <v>Abhishek Yadav</v>
      </c>
      <c r="E6" s="4" t="str">
        <v>-</v>
      </c>
      <c r="F6" s="12">
        <v>2025</v>
      </c>
      <c r="G6" s="13">
        <v>45672</v>
      </c>
      <c r="H6" s="13" t="str">
        <v>-</v>
      </c>
      <c r="I6" s="4" t="str">
        <v>Genpact</v>
      </c>
      <c r="J6" s="14" t="str">
        <v>PLC-4074</v>
      </c>
      <c r="K6" s="7" t="str">
        <v>C2C</v>
      </c>
      <c r="L6" s="12" t="str">
        <v>Done</v>
      </c>
      <c r="M6" s="4" t="str">
        <v>Y</v>
      </c>
      <c r="N6" s="4">
        <v>592</v>
      </c>
      <c r="O6" s="8">
        <v>6372.9600000000028</v>
      </c>
      <c r="P6" s="8">
        <v>10196.736000000003</v>
      </c>
      <c r="Q6" s="8"/>
    </row>
    <row r="7" spans="1:17" x14ac:dyDescent="0.3">
      <c r="A7" s="11"/>
      <c r="B7" s="4" t="str">
        <v>Karthik Mashetty</v>
      </c>
      <c r="C7" s="4" t="str">
        <v>Shubham Tripathi</v>
      </c>
      <c r="D7" s="4" t="str">
        <v>Abhishek Yadav</v>
      </c>
      <c r="E7" s="4" t="str">
        <v>Abhishek Yadav</v>
      </c>
      <c r="F7" s="12">
        <v>2025</v>
      </c>
      <c r="G7" s="13">
        <v>45721</v>
      </c>
      <c r="H7" s="13">
        <v>45930</v>
      </c>
      <c r="I7" s="4" t="str">
        <v>Genpact</v>
      </c>
      <c r="J7" s="14" t="str">
        <v>PLC-4115</v>
      </c>
      <c r="K7" s="7" t="str">
        <v>C2C</v>
      </c>
      <c r="L7" s="12" t="str">
        <v>Done</v>
      </c>
      <c r="M7" s="4" t="str">
        <v>Y</v>
      </c>
      <c r="N7" s="4">
        <v>320</v>
      </c>
      <c r="O7" s="8">
        <v>3862.4</v>
      </c>
      <c r="P7" s="8">
        <v>6179.84</v>
      </c>
      <c r="Q7" s="8"/>
    </row>
    <row r="8" spans="1:17" x14ac:dyDescent="0.3">
      <c r="A8" s="11"/>
      <c r="B8" s="4" t="str">
        <v>Mohamed Deen Nathar</v>
      </c>
      <c r="C8" s="4" t="str">
        <v>Manish Kumar Dhiman</v>
      </c>
      <c r="D8" s="4" t="str">
        <v>Abhishek Yadav</v>
      </c>
      <c r="E8" s="4" t="str">
        <v>Abhishek Yadav</v>
      </c>
      <c r="F8" s="12">
        <v>2024</v>
      </c>
      <c r="G8" s="13">
        <v>45586</v>
      </c>
      <c r="H8" s="13" t="str">
        <v>-</v>
      </c>
      <c r="I8" s="4" t="str">
        <v>Genpact</v>
      </c>
      <c r="J8" s="14" t="str">
        <v>PLC-3993</v>
      </c>
      <c r="K8" s="7" t="str">
        <v>C2C</v>
      </c>
      <c r="L8" s="12" t="str">
        <v>Done</v>
      </c>
      <c r="M8" s="4" t="str">
        <v>Y</v>
      </c>
      <c r="N8" s="4">
        <v>664</v>
      </c>
      <c r="O8" s="8">
        <v>7071.5999999999995</v>
      </c>
      <c r="P8" s="8">
        <v>0</v>
      </c>
      <c r="Q8" s="8"/>
    </row>
    <row r="9" spans="1:17" x14ac:dyDescent="0.3">
      <c r="A9" s="11"/>
      <c r="B9" s="4" t="str">
        <v>Neha Kumari</v>
      </c>
      <c r="C9" s="4" t="str">
        <v>Manish Kumar Dhiman</v>
      </c>
      <c r="D9" s="4" t="str">
        <v>Abhishek Yadav</v>
      </c>
      <c r="E9" s="4" t="str">
        <v>-</v>
      </c>
      <c r="F9" s="12">
        <v>2024</v>
      </c>
      <c r="G9" s="13">
        <v>45609</v>
      </c>
      <c r="H9" s="13">
        <v>45702</v>
      </c>
      <c r="I9" s="4" t="str">
        <v>Genpact</v>
      </c>
      <c r="J9" s="14" t="str">
        <v>PLC-4004</v>
      </c>
      <c r="K9" s="7" t="str">
        <v>C2C</v>
      </c>
      <c r="L9" s="12" t="str">
        <v>Done</v>
      </c>
      <c r="M9" s="4" t="str">
        <v>Y</v>
      </c>
      <c r="N9" s="4">
        <v>256</v>
      </c>
      <c r="O9" s="8">
        <v>4608</v>
      </c>
      <c r="P9" s="8">
        <v>0</v>
      </c>
      <c r="Q9" s="8"/>
    </row>
    <row r="10" spans="1:17" x14ac:dyDescent="0.3">
      <c r="A10" s="11"/>
      <c r="B10" s="4" t="str">
        <v>Norma Winters</v>
      </c>
      <c r="C10" s="4" t="str">
        <v>Manish Kumar Dhiman</v>
      </c>
      <c r="D10" s="4" t="str">
        <v>Abhishek Yadav</v>
      </c>
      <c r="E10" s="4" t="str">
        <v>Abhishek Yadav</v>
      </c>
      <c r="F10" s="12">
        <v>2024</v>
      </c>
      <c r="G10" s="13">
        <v>45411</v>
      </c>
      <c r="H10" s="13">
        <v>45734</v>
      </c>
      <c r="I10" s="4" t="str">
        <v>Genpact</v>
      </c>
      <c r="J10" s="14" t="str">
        <v>PLC-3724</v>
      </c>
      <c r="K10" s="7" t="str">
        <v>W2</v>
      </c>
      <c r="L10" s="12" t="str">
        <v>Done</v>
      </c>
      <c r="M10" s="4" t="str">
        <v>Y</v>
      </c>
      <c r="N10" s="4">
        <v>420</v>
      </c>
      <c r="O10" s="8">
        <v>5880</v>
      </c>
      <c r="P10" s="8">
        <v>0</v>
      </c>
      <c r="Q10" s="8"/>
    </row>
    <row r="11" spans="1:17" x14ac:dyDescent="0.3">
      <c r="A11" s="11"/>
      <c r="B11" s="4" t="str">
        <v>Shweta Sharma</v>
      </c>
      <c r="C11" s="4" t="str">
        <v>Manish Kumar Dhiman</v>
      </c>
      <c r="D11" s="4" t="str">
        <v>Abhishek Yadav</v>
      </c>
      <c r="E11" s="4" t="str">
        <v>Abhishek Yadav</v>
      </c>
      <c r="F11" s="12">
        <v>2024</v>
      </c>
      <c r="G11" s="13">
        <v>45574</v>
      </c>
      <c r="H11" s="13" t="str">
        <v>-</v>
      </c>
      <c r="I11" s="4" t="str">
        <v>Genpact</v>
      </c>
      <c r="J11" s="14" t="str">
        <v>PLC-3981</v>
      </c>
      <c r="K11" s="7" t="str">
        <v>W2</v>
      </c>
      <c r="L11" s="12" t="str">
        <v>Done</v>
      </c>
      <c r="M11" s="4" t="str">
        <v>Y</v>
      </c>
      <c r="N11" s="4">
        <v>607</v>
      </c>
      <c r="O11" s="8">
        <v>11077.750000000004</v>
      </c>
      <c r="P11" s="8">
        <v>0</v>
      </c>
      <c r="Q11" s="8"/>
    </row>
    <row r="12" spans="1:17" x14ac:dyDescent="0.3">
      <c r="A12" s="11"/>
      <c r="B12" s="4" t="str">
        <v>Vaishnavi Vundrakonda</v>
      </c>
      <c r="C12" s="4" t="str">
        <v>Shubham Tripathi</v>
      </c>
      <c r="D12" s="4" t="str">
        <v>Abhishek Yadav</v>
      </c>
      <c r="E12" s="4" t="str">
        <v>Abhishek Yadav</v>
      </c>
      <c r="F12" s="12">
        <v>2025</v>
      </c>
      <c r="G12" s="13">
        <v>45726</v>
      </c>
      <c r="H12" s="13">
        <v>45849</v>
      </c>
      <c r="I12" s="4" t="str">
        <v>Genpact</v>
      </c>
      <c r="J12" s="14" t="str">
        <v>PLC-4128</v>
      </c>
      <c r="K12" s="7" t="str">
        <v>C2C</v>
      </c>
      <c r="L12" s="12" t="str">
        <v>Done</v>
      </c>
      <c r="M12" s="4" t="str">
        <v>Y</v>
      </c>
      <c r="N12" s="4">
        <v>288</v>
      </c>
      <c r="O12" s="8">
        <v>2658.2399999999989</v>
      </c>
      <c r="P12" s="8">
        <v>4253.1839999999984</v>
      </c>
      <c r="Q12" s="8"/>
    </row>
    <row r="13" spans="1:17" x14ac:dyDescent="0.3">
      <c r="A13" s="11"/>
      <c r="B13" s="4" t="str">
        <v>Venkata Pramod Varma Yarakaraju</v>
      </c>
      <c r="C13" s="4" t="str">
        <v>Manish Kumar Dhiman</v>
      </c>
      <c r="D13" s="4" t="str">
        <v>Abhishek Yadav</v>
      </c>
      <c r="E13" s="4" t="str">
        <v>-</v>
      </c>
      <c r="F13" s="12">
        <v>2025</v>
      </c>
      <c r="G13" s="13">
        <v>45672</v>
      </c>
      <c r="H13" s="13" t="str">
        <v>-</v>
      </c>
      <c r="I13" s="4" t="str">
        <v>Genpact</v>
      </c>
      <c r="J13" s="14" t="str">
        <v>PLC-4081</v>
      </c>
      <c r="K13" s="7" t="str">
        <v>C2C</v>
      </c>
      <c r="L13" s="12" t="str">
        <v>Done</v>
      </c>
      <c r="M13" s="4" t="str">
        <v>Y</v>
      </c>
      <c r="N13" s="4">
        <v>560</v>
      </c>
      <c r="O13" s="8">
        <v>5566.3999999999987</v>
      </c>
      <c r="P13" s="8">
        <v>8906.239999999998</v>
      </c>
      <c r="Q13" s="8"/>
    </row>
    <row r="14" spans="1:17" x14ac:dyDescent="0.3">
      <c r="A14" s="11"/>
      <c r="B14" s="4"/>
      <c r="C14" s="4"/>
      <c r="D14" s="4"/>
      <c r="E14" s="4"/>
      <c r="F14" s="12"/>
      <c r="G14" s="13"/>
      <c r="H14" s="13"/>
      <c r="I14" s="4"/>
      <c r="J14" s="14"/>
      <c r="K14" s="7"/>
      <c r="L14" s="12"/>
      <c r="M14" s="4"/>
      <c r="N14" s="4"/>
      <c r="O14" s="8"/>
      <c r="P14" s="8"/>
      <c r="Q14" s="8"/>
    </row>
    <row r="15" spans="1:17" x14ac:dyDescent="0.3">
      <c r="A15" s="11"/>
      <c r="B15" s="4"/>
      <c r="C15" s="4"/>
      <c r="D15" s="4"/>
      <c r="E15" s="4"/>
      <c r="F15" s="12"/>
      <c r="G15" s="13"/>
      <c r="H15" s="13"/>
      <c r="I15" s="4"/>
      <c r="J15" s="14"/>
      <c r="K15" s="7"/>
      <c r="L15" s="12"/>
      <c r="M15" s="4"/>
      <c r="N15" s="4"/>
      <c r="O15" s="8"/>
      <c r="P15" s="8"/>
      <c r="Q15" s="8"/>
    </row>
    <row r="16" spans="1:17" x14ac:dyDescent="0.3">
      <c r="A16" s="11"/>
      <c r="B16" s="4"/>
      <c r="C16" s="4"/>
      <c r="D16" s="4"/>
      <c r="E16" s="4"/>
      <c r="F16" s="12"/>
      <c r="G16" s="13"/>
      <c r="H16" s="13"/>
      <c r="I16" s="4"/>
      <c r="J16" s="14"/>
      <c r="K16" s="7"/>
      <c r="L16" s="12"/>
      <c r="M16" s="4"/>
      <c r="N16" s="4"/>
      <c r="O16" s="8"/>
      <c r="P16" s="8"/>
      <c r="Q16" s="8"/>
    </row>
    <row r="17" spans="1:17" x14ac:dyDescent="0.3">
      <c r="A17" s="11"/>
      <c r="B17" s="4"/>
      <c r="C17" s="4"/>
      <c r="D17" s="4"/>
      <c r="E17" s="4"/>
      <c r="F17" s="12"/>
      <c r="G17" s="13"/>
      <c r="H17" s="13"/>
      <c r="I17" s="4"/>
      <c r="J17" s="14"/>
      <c r="K17" s="7"/>
      <c r="L17" s="12"/>
      <c r="M17" s="4"/>
      <c r="N17" s="4"/>
      <c r="O17" s="8"/>
      <c r="P17" s="8"/>
      <c r="Q17" s="8"/>
    </row>
    <row r="18" spans="1:17" x14ac:dyDescent="0.3">
      <c r="A18" s="11"/>
      <c r="B18" s="4"/>
      <c r="C18" s="4"/>
      <c r="D18" s="4"/>
      <c r="E18" s="4"/>
      <c r="F18" s="12"/>
      <c r="G18" s="13"/>
      <c r="H18" s="13"/>
      <c r="I18" s="4"/>
      <c r="J18" s="14"/>
      <c r="K18" s="7"/>
      <c r="L18" s="12"/>
      <c r="M18" s="4"/>
      <c r="N18" s="4"/>
      <c r="O18" s="8"/>
      <c r="P18" s="8"/>
      <c r="Q18" s="8"/>
    </row>
    <row r="19" spans="1:17" x14ac:dyDescent="0.3">
      <c r="A19" s="11"/>
      <c r="B19" s="4"/>
      <c r="C19" s="4"/>
      <c r="D19" s="4"/>
      <c r="E19" s="4"/>
      <c r="F19" s="12"/>
      <c r="G19" s="13"/>
      <c r="H19" s="13"/>
      <c r="I19" s="4"/>
      <c r="J19" s="14"/>
      <c r="K19" s="7"/>
      <c r="L19" s="12"/>
      <c r="M19" s="4"/>
      <c r="N19" s="4"/>
      <c r="O19" s="8"/>
      <c r="P19" s="8"/>
      <c r="Q19" s="8"/>
    </row>
    <row r="20" spans="1:17" x14ac:dyDescent="0.3">
      <c r="A20" s="11"/>
      <c r="B20" s="4"/>
      <c r="C20" s="4"/>
      <c r="D20" s="4"/>
      <c r="E20" s="4"/>
      <c r="F20" s="12"/>
      <c r="G20" s="13"/>
      <c r="H20" s="13"/>
      <c r="I20" s="4"/>
      <c r="J20" s="14"/>
      <c r="K20" s="7"/>
      <c r="L20" s="12"/>
      <c r="M20" s="4"/>
      <c r="N20" s="4"/>
      <c r="O20" s="8"/>
      <c r="P20" s="8"/>
      <c r="Q20" s="8"/>
    </row>
    <row r="21" spans="1:17" x14ac:dyDescent="0.3">
      <c r="A21" s="11"/>
      <c r="B21" s="4"/>
      <c r="C21" s="4"/>
      <c r="D21" s="4"/>
      <c r="E21" s="4"/>
      <c r="F21" s="12"/>
      <c r="G21" s="13"/>
      <c r="H21" s="13"/>
      <c r="I21" s="4"/>
      <c r="J21" s="14"/>
      <c r="K21" s="7"/>
      <c r="L21" s="12"/>
      <c r="M21" s="4"/>
      <c r="N21" s="4"/>
      <c r="O21" s="8"/>
      <c r="P21" s="8"/>
      <c r="Q21" s="8"/>
    </row>
    <row r="22" spans="1:17" x14ac:dyDescent="0.3">
      <c r="A22" s="11"/>
      <c r="B22" s="4"/>
      <c r="C22" s="4"/>
      <c r="D22" s="4"/>
      <c r="E22" s="4"/>
      <c r="F22" s="12"/>
      <c r="G22" s="13"/>
      <c r="H22" s="13"/>
      <c r="I22" s="4"/>
      <c r="J22" s="14"/>
      <c r="K22" s="7"/>
      <c r="L22" s="12"/>
      <c r="M22" s="4"/>
      <c r="N22" s="4"/>
      <c r="O22" s="8"/>
      <c r="P22" s="8"/>
      <c r="Q22" s="8"/>
    </row>
    <row r="23" spans="1:17" x14ac:dyDescent="0.3">
      <c r="A23" s="11"/>
      <c r="B23" s="4"/>
      <c r="C23" s="4"/>
      <c r="D23" s="4"/>
      <c r="E23" s="4"/>
      <c r="F23" s="12"/>
      <c r="G23" s="13"/>
      <c r="H23" s="13"/>
      <c r="I23" s="4"/>
      <c r="J23" s="14"/>
      <c r="K23" s="7"/>
      <c r="L23" s="12"/>
      <c r="M23" s="4"/>
      <c r="N23" s="4"/>
      <c r="O23" s="8"/>
      <c r="P23" s="8"/>
      <c r="Q23" s="4"/>
    </row>
    <row r="24" spans="1:17" x14ac:dyDescent="0.3">
      <c r="A24" s="11"/>
      <c r="B24" s="4"/>
      <c r="C24" s="4"/>
      <c r="D24" s="4"/>
      <c r="E24" s="4"/>
      <c r="F24" s="12"/>
      <c r="G24" s="13"/>
      <c r="H24" s="13"/>
      <c r="I24" s="4"/>
      <c r="J24" s="14"/>
      <c r="K24" s="7"/>
      <c r="L24" s="12"/>
      <c r="M24" s="4"/>
      <c r="N24" s="4"/>
      <c r="O24" s="8"/>
      <c r="P24" s="8"/>
      <c r="Q24" s="4"/>
    </row>
    <row r="25" spans="1:17" x14ac:dyDescent="0.3">
      <c r="A25" s="11"/>
      <c r="B25" s="4"/>
      <c r="C25" s="4"/>
      <c r="D25" s="4"/>
      <c r="E25" s="4"/>
      <c r="F25" s="12"/>
      <c r="G25" s="13"/>
      <c r="H25" s="13"/>
      <c r="I25" s="4"/>
      <c r="J25" s="14"/>
      <c r="K25" s="7"/>
      <c r="L25" s="12"/>
      <c r="M25" s="4"/>
      <c r="N25" s="4"/>
      <c r="O25" s="8"/>
      <c r="P25" s="8"/>
      <c r="Q25" s="4"/>
    </row>
    <row r="26" spans="1:17" x14ac:dyDescent="0.3">
      <c r="A26" s="11"/>
      <c r="B26" s="4"/>
      <c r="C26" s="4"/>
      <c r="D26" s="4"/>
      <c r="E26" s="4"/>
      <c r="F26" s="12"/>
      <c r="G26" s="13"/>
      <c r="H26" s="13"/>
      <c r="I26" s="4"/>
      <c r="J26" s="14"/>
      <c r="K26" s="7"/>
      <c r="L26" s="12"/>
      <c r="M26" s="4"/>
      <c r="N26" s="4"/>
      <c r="O26" s="8"/>
      <c r="P26" s="8"/>
      <c r="Q26" s="4"/>
    </row>
    <row r="27" spans="1:17" x14ac:dyDescent="0.3">
      <c r="A27" s="11"/>
      <c r="B27" s="4"/>
      <c r="C27" s="4"/>
      <c r="D27" s="4"/>
      <c r="E27" s="4"/>
      <c r="F27" s="12"/>
      <c r="G27" s="13"/>
      <c r="H27" s="13"/>
      <c r="I27" s="4"/>
      <c r="J27" s="14"/>
      <c r="K27" s="7"/>
      <c r="L27" s="12"/>
      <c r="M27" s="4"/>
      <c r="N27" s="4"/>
      <c r="O27" s="8"/>
      <c r="P27" s="8"/>
      <c r="Q27" s="4"/>
    </row>
    <row r="28" spans="1:17" x14ac:dyDescent="0.3">
      <c r="A28" s="11"/>
      <c r="B28" s="4"/>
      <c r="C28" s="4"/>
      <c r="D28" s="4"/>
      <c r="E28" s="4"/>
      <c r="F28" s="12"/>
      <c r="G28" s="13"/>
      <c r="H28" s="13"/>
      <c r="I28" s="4"/>
      <c r="J28" s="14"/>
      <c r="K28" s="7"/>
      <c r="L28" s="12"/>
      <c r="M28" s="4"/>
      <c r="N28" s="4"/>
      <c r="O28" s="8"/>
      <c r="P28" s="8"/>
      <c r="Q28" s="4"/>
    </row>
    <row r="29" spans="1:17" x14ac:dyDescent="0.3">
      <c r="A29" s="11"/>
      <c r="B29" s="4"/>
      <c r="C29" s="4"/>
      <c r="D29" s="4"/>
      <c r="E29" s="4"/>
      <c r="F29" s="12"/>
      <c r="G29" s="13"/>
      <c r="H29" s="13"/>
      <c r="I29" s="4"/>
      <c r="J29" s="14"/>
      <c r="K29" s="7"/>
      <c r="L29" s="12"/>
      <c r="M29" s="4"/>
      <c r="N29" s="4"/>
      <c r="O29" s="8"/>
      <c r="P29" s="8"/>
      <c r="Q29" s="4"/>
    </row>
    <row r="30" spans="1:17" x14ac:dyDescent="0.3">
      <c r="A30" s="11"/>
      <c r="B30" s="4"/>
      <c r="C30" s="4"/>
      <c r="D30" s="4"/>
      <c r="E30" s="4"/>
      <c r="F30" s="12"/>
      <c r="G30" s="13"/>
      <c r="H30" s="13"/>
      <c r="I30" s="4"/>
      <c r="J30" s="14"/>
      <c r="K30" s="7"/>
      <c r="L30" s="12"/>
      <c r="M30" s="4"/>
      <c r="N30" s="4"/>
      <c r="O30" s="8"/>
      <c r="P30" s="8"/>
      <c r="Q30" s="4"/>
    </row>
    <row r="31" spans="1:17" x14ac:dyDescent="0.3">
      <c r="A31" s="11"/>
      <c r="B31" s="4"/>
      <c r="C31" s="4"/>
      <c r="D31" s="4"/>
      <c r="E31" s="4"/>
      <c r="F31" s="12"/>
      <c r="G31" s="13"/>
      <c r="H31" s="13"/>
      <c r="I31" s="4"/>
      <c r="J31" s="14"/>
      <c r="K31" s="7"/>
      <c r="L31" s="12"/>
      <c r="M31" s="4"/>
      <c r="N31" s="4"/>
      <c r="O31" s="8"/>
      <c r="P31" s="8"/>
      <c r="Q31" s="4"/>
    </row>
    <row r="32" spans="1:17" x14ac:dyDescent="0.3">
      <c r="A32" s="11"/>
      <c r="B32" s="4"/>
      <c r="C32" s="4"/>
      <c r="D32" s="4"/>
      <c r="E32" s="4"/>
      <c r="F32" s="12"/>
      <c r="G32" s="13"/>
      <c r="H32" s="13"/>
      <c r="I32" s="4"/>
      <c r="J32" s="14"/>
      <c r="K32" s="7"/>
      <c r="L32" s="12"/>
      <c r="M32" s="4"/>
      <c r="N32" s="4"/>
      <c r="O32" s="8"/>
      <c r="P32" s="8"/>
      <c r="Q32" s="4"/>
    </row>
    <row r="33" spans="1:17" x14ac:dyDescent="0.3">
      <c r="A33" s="11"/>
      <c r="B33" s="4"/>
      <c r="C33" s="4"/>
      <c r="D33" s="4"/>
      <c r="E33" s="4"/>
      <c r="F33" s="12"/>
      <c r="G33" s="13"/>
      <c r="H33" s="13"/>
      <c r="I33" s="4"/>
      <c r="J33" s="14"/>
      <c r="K33" s="7"/>
      <c r="L33" s="12"/>
      <c r="M33" s="4"/>
      <c r="N33" s="4"/>
      <c r="O33" s="8"/>
      <c r="P33" s="8"/>
      <c r="Q33" s="4"/>
    </row>
    <row r="34" spans="1:17" x14ac:dyDescent="0.3">
      <c r="A34" s="11"/>
      <c r="B34" s="4"/>
      <c r="C34" s="4"/>
      <c r="D34" s="4"/>
      <c r="E34" s="4"/>
      <c r="F34" s="12"/>
      <c r="G34" s="13"/>
      <c r="H34" s="13"/>
      <c r="I34" s="4"/>
      <c r="J34" s="14"/>
      <c r="K34" s="7"/>
      <c r="L34" s="12"/>
      <c r="M34" s="4"/>
      <c r="N34" s="4"/>
      <c r="O34" s="8"/>
      <c r="P34" s="8"/>
      <c r="Q34" s="4"/>
    </row>
    <row r="35" spans="1:17" x14ac:dyDescent="0.3">
      <c r="A35" s="11"/>
      <c r="B35" s="4"/>
      <c r="C35" s="4"/>
      <c r="D35" s="4"/>
      <c r="E35" s="4"/>
      <c r="F35" s="12"/>
      <c r="G35" s="13"/>
      <c r="H35" s="13"/>
      <c r="I35" s="4"/>
      <c r="J35" s="14"/>
      <c r="K35" s="7"/>
      <c r="L35" s="12"/>
      <c r="M35" s="4"/>
      <c r="N35" s="4"/>
      <c r="O35" s="8"/>
      <c r="P35" s="8"/>
      <c r="Q35" s="4"/>
    </row>
    <row r="36" spans="1:17" x14ac:dyDescent="0.3">
      <c r="A36" s="11"/>
      <c r="B36" s="4"/>
      <c r="C36" s="4"/>
      <c r="D36" s="4"/>
      <c r="E36" s="4"/>
      <c r="F36" s="12"/>
      <c r="G36" s="13"/>
      <c r="H36" s="13"/>
      <c r="I36" s="4"/>
      <c r="J36" s="14"/>
      <c r="K36" s="7"/>
      <c r="L36" s="12"/>
      <c r="M36" s="4"/>
      <c r="N36" s="4"/>
      <c r="O36" s="8"/>
      <c r="P36" s="8"/>
      <c r="Q36" s="4"/>
    </row>
    <row r="37" spans="1:17" x14ac:dyDescent="0.3">
      <c r="A37" s="11"/>
      <c r="B37" s="4"/>
      <c r="C37" s="4"/>
      <c r="D37" s="4"/>
      <c r="E37" s="4"/>
      <c r="F37" s="12"/>
      <c r="G37" s="13"/>
      <c r="H37" s="13"/>
      <c r="I37" s="4"/>
      <c r="J37" s="14"/>
      <c r="K37" s="7"/>
      <c r="L37" s="12"/>
      <c r="M37" s="4"/>
      <c r="N37" s="4"/>
      <c r="O37" s="8"/>
      <c r="P37" s="8"/>
      <c r="Q37" s="4"/>
    </row>
    <row r="38" spans="1:17" x14ac:dyDescent="0.3">
      <c r="A38" s="11"/>
      <c r="B38" s="4"/>
      <c r="C38" s="4"/>
      <c r="D38" s="4"/>
      <c r="E38" s="4"/>
      <c r="F38" s="12"/>
      <c r="G38" s="13"/>
      <c r="H38" s="13"/>
      <c r="I38" s="4"/>
      <c r="J38" s="14"/>
      <c r="K38" s="7"/>
      <c r="L38" s="12"/>
      <c r="M38" s="4"/>
      <c r="N38" s="4"/>
      <c r="O38" s="8"/>
      <c r="P38" s="8"/>
      <c r="Q38" s="4"/>
    </row>
    <row r="39" spans="1:17" x14ac:dyDescent="0.3">
      <c r="B39" s="4"/>
      <c r="C39" s="4"/>
      <c r="D39" s="4"/>
      <c r="E39" s="4"/>
      <c r="F39" s="12"/>
      <c r="G39" s="13"/>
      <c r="H39" s="13"/>
      <c r="I39" s="4"/>
      <c r="J39" s="14"/>
      <c r="K39" s="7"/>
      <c r="L39" s="12"/>
      <c r="M39" s="4"/>
      <c r="N39" s="4"/>
      <c r="O39" s="8"/>
      <c r="P39" s="8"/>
    </row>
    <row r="40" spans="1:17" x14ac:dyDescent="0.3">
      <c r="B40" s="4"/>
      <c r="C40" s="4"/>
      <c r="D40" s="4"/>
      <c r="E40" s="4"/>
      <c r="F40" s="12"/>
      <c r="G40" s="13"/>
      <c r="H40" s="13"/>
      <c r="I40" s="4"/>
      <c r="J40" s="14"/>
      <c r="K40" s="7"/>
      <c r="L40" s="12"/>
      <c r="M40" s="4"/>
      <c r="N40" s="4"/>
      <c r="O40" s="8"/>
      <c r="P40" s="8"/>
    </row>
    <row r="41" spans="1:17" x14ac:dyDescent="0.3">
      <c r="B41" s="4"/>
      <c r="C41" s="4"/>
      <c r="D41" s="4"/>
      <c r="E41" s="4"/>
      <c r="F41" s="12"/>
      <c r="G41" s="13"/>
      <c r="H41" s="13"/>
      <c r="I41" s="4"/>
      <c r="J41" s="14"/>
      <c r="K41" s="7"/>
      <c r="L41" s="12"/>
      <c r="M41" s="4"/>
      <c r="N41" s="4"/>
      <c r="O41" s="8"/>
      <c r="P41" s="8"/>
    </row>
    <row r="42" spans="1:17" x14ac:dyDescent="0.3">
      <c r="B42" s="4"/>
      <c r="C42" s="4"/>
      <c r="D42" s="4"/>
      <c r="E42" s="4"/>
      <c r="F42" s="12"/>
      <c r="G42" s="13"/>
      <c r="H42" s="13"/>
      <c r="I42" s="4"/>
      <c r="J42" s="14"/>
      <c r="K42" s="7"/>
      <c r="L42" s="12"/>
      <c r="M42" s="4"/>
      <c r="N42" s="4"/>
      <c r="O42" s="8"/>
      <c r="P42" s="8"/>
    </row>
    <row r="43" spans="1:17" x14ac:dyDescent="0.3">
      <c r="B43" s="4"/>
      <c r="C43" s="4"/>
      <c r="D43" s="4"/>
      <c r="E43" s="4"/>
      <c r="F43" s="12"/>
      <c r="G43" s="13"/>
      <c r="H43" s="13"/>
      <c r="I43" s="4"/>
      <c r="J43" s="14"/>
      <c r="K43" s="7"/>
      <c r="L43" s="12"/>
      <c r="M43" s="4"/>
      <c r="N43" s="4"/>
      <c r="O43" s="8"/>
      <c r="P43" s="8"/>
    </row>
    <row r="44" spans="1:17" x14ac:dyDescent="0.3">
      <c r="B44" s="4"/>
      <c r="C44" s="4"/>
      <c r="D44" s="4"/>
      <c r="E44" s="4"/>
      <c r="F44" s="12"/>
      <c r="G44" s="13"/>
      <c r="H44" s="13"/>
      <c r="I44" s="4"/>
      <c r="J44" s="14"/>
      <c r="K44" s="7"/>
      <c r="L44" s="12"/>
      <c r="M44" s="4"/>
      <c r="N44" s="4"/>
      <c r="O44" s="8"/>
      <c r="P44" s="8"/>
    </row>
    <row r="45" spans="1:17" x14ac:dyDescent="0.3">
      <c r="B45" s="4"/>
      <c r="C45" s="4"/>
      <c r="D45" s="4"/>
      <c r="E45" s="4"/>
      <c r="F45" s="12"/>
      <c r="G45" s="13"/>
      <c r="H45" s="13"/>
      <c r="I45" s="4"/>
      <c r="J45" s="14"/>
      <c r="K45" s="7"/>
      <c r="L45" s="12"/>
      <c r="M45" s="4"/>
      <c r="N45" s="4"/>
      <c r="O45" s="8"/>
      <c r="P45" s="8"/>
    </row>
    <row r="46" spans="1:17" x14ac:dyDescent="0.3">
      <c r="B46" s="4"/>
      <c r="C46" s="4"/>
      <c r="D46" s="4"/>
      <c r="E46" s="4"/>
      <c r="F46" s="12"/>
      <c r="G46" s="13"/>
      <c r="H46" s="13"/>
      <c r="I46" s="4"/>
      <c r="J46" s="14"/>
      <c r="K46" s="7"/>
      <c r="L46" s="12"/>
      <c r="M46" s="4"/>
      <c r="N46" s="4"/>
      <c r="O46" s="8"/>
      <c r="P46" s="8"/>
    </row>
    <row r="47" spans="1:17" x14ac:dyDescent="0.3">
      <c r="B47" s="4"/>
      <c r="C47" s="4"/>
      <c r="D47" s="4"/>
      <c r="E47" s="4"/>
      <c r="F47" s="12"/>
      <c r="G47" s="13"/>
      <c r="H47" s="13"/>
      <c r="I47" s="4"/>
      <c r="J47" s="14"/>
      <c r="K47" s="7"/>
      <c r="L47" s="12"/>
      <c r="M47" s="4"/>
      <c r="N47" s="4"/>
      <c r="O47" s="8"/>
      <c r="P47" s="8"/>
    </row>
    <row r="48" spans="1:17" x14ac:dyDescent="0.3">
      <c r="B48" s="4"/>
      <c r="C48" s="4"/>
      <c r="D48" s="4"/>
      <c r="E48" s="4"/>
      <c r="F48" s="12"/>
      <c r="G48" s="13"/>
      <c r="H48" s="13"/>
      <c r="I48" s="4"/>
      <c r="J48" s="14"/>
      <c r="K48" s="7"/>
      <c r="L48" s="12"/>
      <c r="M48" s="4"/>
      <c r="N48" s="4"/>
      <c r="O48" s="8"/>
      <c r="P48" s="8"/>
    </row>
    <row r="49" spans="2:16" x14ac:dyDescent="0.3">
      <c r="B49" s="4"/>
      <c r="C49" s="4"/>
      <c r="D49" s="4"/>
      <c r="E49" s="4"/>
      <c r="F49" s="12"/>
      <c r="G49" s="13"/>
      <c r="H49" s="13"/>
      <c r="I49" s="4"/>
      <c r="J49" s="14"/>
      <c r="K49" s="7"/>
      <c r="L49" s="12"/>
      <c r="M49" s="4"/>
      <c r="N49" s="4"/>
      <c r="O49" s="8"/>
      <c r="P49" s="8"/>
    </row>
    <row r="50" spans="2:16" x14ac:dyDescent="0.3">
      <c r="B50" s="4"/>
      <c r="C50" s="4"/>
      <c r="D50" s="4"/>
      <c r="E50" s="4"/>
      <c r="F50" s="12"/>
      <c r="G50" s="13"/>
      <c r="H50" s="13"/>
      <c r="I50" s="4"/>
      <c r="J50" s="14"/>
      <c r="K50" s="7"/>
      <c r="L50" s="12"/>
      <c r="M50" s="4"/>
      <c r="N50" s="4"/>
      <c r="O50" s="8"/>
      <c r="P50" s="8"/>
    </row>
    <row r="51" spans="2:16" x14ac:dyDescent="0.3">
      <c r="B51" s="4"/>
      <c r="C51" s="4"/>
      <c r="D51" s="4"/>
      <c r="E51" s="4"/>
      <c r="F51" s="12"/>
      <c r="G51" s="13"/>
      <c r="H51" s="13"/>
      <c r="I51" s="4"/>
      <c r="J51" s="14"/>
      <c r="K51" s="7"/>
      <c r="L51" s="12"/>
      <c r="M51" s="4"/>
      <c r="N51" s="4"/>
      <c r="O51" s="8"/>
      <c r="P51" s="8"/>
    </row>
    <row r="52" spans="2:16" x14ac:dyDescent="0.3">
      <c r="B52" s="4"/>
      <c r="C52" s="4"/>
      <c r="D52" s="4"/>
      <c r="E52" s="4"/>
      <c r="F52" s="12"/>
      <c r="G52" s="13"/>
      <c r="H52" s="13"/>
      <c r="I52" s="4"/>
      <c r="J52" s="14"/>
      <c r="K52" s="7"/>
      <c r="L52" s="12"/>
      <c r="M52" s="4"/>
      <c r="N52" s="4"/>
      <c r="O52" s="8"/>
      <c r="P52" s="8"/>
    </row>
    <row r="53" spans="2:16" x14ac:dyDescent="0.3">
      <c r="B53" s="4"/>
      <c r="C53" s="4"/>
      <c r="D53" s="4"/>
      <c r="E53" s="4"/>
      <c r="F53" s="12"/>
      <c r="G53" s="13"/>
      <c r="H53" s="13"/>
      <c r="I53" s="4"/>
      <c r="J53" s="14"/>
      <c r="K53" s="7"/>
      <c r="L53" s="12"/>
      <c r="M53" s="4"/>
      <c r="N53" s="4"/>
      <c r="O53" s="8"/>
      <c r="P53" s="8"/>
    </row>
    <row r="54" spans="2:16" x14ac:dyDescent="0.3">
      <c r="B54" s="4"/>
      <c r="C54" s="4"/>
      <c r="D54" s="4"/>
      <c r="E54" s="4"/>
      <c r="F54" s="12"/>
      <c r="G54" s="13"/>
      <c r="H54" s="13"/>
      <c r="I54" s="4"/>
      <c r="J54" s="14"/>
      <c r="K54" s="7"/>
      <c r="L54" s="12"/>
      <c r="M54" s="4"/>
      <c r="N54" s="4"/>
      <c r="O54" s="8"/>
      <c r="P54" s="8"/>
    </row>
    <row r="55" spans="2:16" x14ac:dyDescent="0.3">
      <c r="B55" s="4"/>
      <c r="C55" s="4"/>
      <c r="D55" s="4"/>
      <c r="E55" s="4"/>
      <c r="F55" s="12"/>
      <c r="G55" s="13"/>
      <c r="H55" s="13"/>
      <c r="I55" s="4"/>
      <c r="J55" s="14"/>
      <c r="K55" s="7"/>
      <c r="L55" s="12"/>
      <c r="M55" s="4"/>
      <c r="N55" s="4"/>
      <c r="O55" s="8"/>
      <c r="P55" s="8"/>
    </row>
    <row r="56" spans="2:16" x14ac:dyDescent="0.3">
      <c r="B56" s="4"/>
      <c r="C56" s="4"/>
      <c r="D56" s="4"/>
      <c r="E56" s="4"/>
      <c r="F56" s="12"/>
      <c r="G56" s="13"/>
      <c r="H56" s="13"/>
      <c r="I56" s="4"/>
      <c r="J56" s="14"/>
      <c r="K56" s="7"/>
      <c r="L56" s="12"/>
      <c r="M56" s="4"/>
      <c r="N56" s="4"/>
      <c r="O56" s="8"/>
      <c r="P56" s="8"/>
    </row>
    <row r="57" spans="2:16" x14ac:dyDescent="0.3">
      <c r="B57" s="4"/>
      <c r="C57" s="4"/>
      <c r="D57" s="4"/>
      <c r="E57" s="4"/>
      <c r="F57" s="12"/>
      <c r="G57" s="13"/>
      <c r="H57" s="13"/>
      <c r="I57" s="4"/>
      <c r="J57" s="14"/>
      <c r="K57" s="7"/>
      <c r="L57" s="12"/>
      <c r="M57" s="4"/>
      <c r="N57" s="4"/>
      <c r="O57" s="8"/>
      <c r="P57" s="8"/>
    </row>
    <row r="58" spans="2:16" x14ac:dyDescent="0.3">
      <c r="B58" s="4"/>
      <c r="C58" s="4"/>
      <c r="D58" s="4"/>
      <c r="E58" s="4"/>
      <c r="F58" s="12"/>
      <c r="G58" s="13"/>
      <c r="H58" s="13"/>
      <c r="I58" s="4"/>
      <c r="J58" s="14"/>
      <c r="K58" s="7"/>
      <c r="L58" s="12"/>
      <c r="M58" s="4"/>
      <c r="N58" s="4"/>
      <c r="O58" s="8"/>
      <c r="P58" s="8"/>
    </row>
  </sheetData>
  <mergeCells count="1">
    <mergeCell ref="A4:A38"/>
  </mergeCells>
  <conditionalFormatting sqref="B4">
    <cfRule type="duplicateValues" dxfId="9" priority="2"/>
  </conditionalFormatting>
  <conditionalFormatting sqref="B4:B43">
    <cfRule type="duplicateValues" dxfId="8" priority="1"/>
  </conditionalFormatting>
  <conditionalFormatting sqref="B39:E58 B5:B38">
    <cfRule type="duplicateValues" dxfId="7" priority="9"/>
  </conditionalFormatting>
  <conditionalFormatting sqref="K4:K58">
    <cfRule type="containsText" dxfId="6" priority="5" operator="containsText" text="No Bill No Pay">
      <formula>NOT(ISERROR(SEARCH("No Bill No Pay",K4)))</formula>
    </cfRule>
    <cfRule type="cellIs" priority="6" operator="equal">
      <formula>"No Bill No Pay"</formula>
    </cfRule>
    <cfRule type="containsText" dxfId="5" priority="7" operator="containsText" text="Pending">
      <formula>NOT(ISERROR(SEARCH("Pending",K4)))</formula>
    </cfRule>
    <cfRule type="containsText" dxfId="4" priority="8" operator="containsText" text="Done">
      <formula>NOT(ISERROR(SEARCH("Done",K4)))</formula>
    </cfRule>
  </conditionalFormatting>
  <conditionalFormatting sqref="M3:O3">
    <cfRule type="containsText" dxfId="3" priority="10" operator="containsText" text="No Bill No Pay">
      <formula>NOT(ISERROR(SEARCH("No Bill No Pay",M3)))</formula>
    </cfRule>
    <cfRule type="cellIs" priority="11" operator="equal">
      <formula>"No Bill No Pay"</formula>
    </cfRule>
    <cfRule type="containsText" dxfId="2" priority="12" operator="containsText" text="Pending">
      <formula>NOT(ISERROR(SEARCH("Pending",M3)))</formula>
    </cfRule>
  </conditionalFormatting>
  <conditionalFormatting sqref="N4:N58">
    <cfRule type="containsText" dxfId="1" priority="3" operator="containsText" text="No">
      <formula>NOT(ISERROR(SEARCH("No",N4)))</formula>
    </cfRule>
    <cfRule type="containsText" dxfId="0" priority="4" operator="containsText" text="Yes">
      <formula>NOT(ISERROR(SEARCH("Yes",N4)))</formula>
    </cfRule>
  </conditionalFormatting>
  <dataValidations count="2">
    <dataValidation type="list" allowBlank="1" showInputMessage="1" showErrorMessage="1" errorTitle="Recruiter Name not correct" error="Please enter correct recruiter name" sqref="C2" xr:uid="{1D515DDC-4AE0-4E1A-A8D6-68F38FCDE0B2}">
      <formula1>INDIRECT($A$2)</formula1>
    </dataValidation>
    <dataValidation type="list" allowBlank="1" showInputMessage="1" showErrorMessage="1" errorTitle="Wrong Team Name" error="Please enter correct name" sqref="A2" xr:uid="{88464A88-B590-4995-8E0D-A0DB6D20019E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2026-02-14T18:08:04Z</dcterms:created>
  <dcterms:modified xsi:type="dcterms:W3CDTF">2026-02-14T18:08:50Z</dcterms:modified>
</cp:coreProperties>
</file>