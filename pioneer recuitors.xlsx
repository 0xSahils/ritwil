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A181B71C-6B83-4FB3-B4AF-CC941AFE3293}" xr6:coauthVersionLast="47" xr6:coauthVersionMax="47" xr10:uidLastSave="{00000000-0000-0000-0000-000000000000}"/>
  <bookViews>
    <workbookView xWindow="-108" yWindow="-108" windowWidth="23256" windowHeight="13176" xr2:uid="{29F4CDFE-5CDF-41E8-B57C-D99320D11C9D}"/>
  </bookViews>
  <sheets>
    <sheet name="Sheet1" sheetId="1" r:id="rId1"/>
  </sheets>
  <externalReferences>
    <externalReference r:id="rId2"/>
  </externalReferences>
  <definedNames>
    <definedName name="TeamName">'[1]Basic EMP Data - 2025'!$B$4:$B$216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4" i="1" l="1" a="1"/>
  <c r="B584" i="1" s="1"/>
  <c r="A584" i="1"/>
  <c r="K582" i="1"/>
  <c r="J582" i="1" a="1"/>
  <c r="J582" i="1" s="1"/>
  <c r="H582" i="1"/>
  <c r="B582" i="1"/>
  <c r="F582" i="1" s="1"/>
  <c r="B560" i="1" a="1"/>
  <c r="B560" i="1" s="1"/>
  <c r="A560" i="1"/>
  <c r="K558" i="1"/>
  <c r="J558" i="1" a="1"/>
  <c r="J558" i="1" s="1"/>
  <c r="H558" i="1"/>
  <c r="E558" i="1"/>
  <c r="B558" i="1"/>
  <c r="F558" i="1" s="1"/>
  <c r="G558" i="1" s="1"/>
  <c r="I558" i="1" s="1" a="1"/>
  <c r="I558" i="1" s="1"/>
  <c r="B535" i="1" a="1"/>
  <c r="B535" i="1" s="1"/>
  <c r="A535" i="1"/>
  <c r="K533" i="1"/>
  <c r="J533" i="1" a="1"/>
  <c r="J533" i="1" s="1"/>
  <c r="H533" i="1"/>
  <c r="F533" i="1"/>
  <c r="G533" i="1" s="1"/>
  <c r="I533" i="1" s="1" a="1"/>
  <c r="I533" i="1" s="1"/>
  <c r="E533" i="1"/>
  <c r="B533" i="1"/>
  <c r="D533" i="1" s="1"/>
  <c r="B511" i="1" a="1"/>
  <c r="B511" i="1" s="1"/>
  <c r="A511" i="1"/>
  <c r="K509" i="1"/>
  <c r="B509" i="1"/>
  <c r="F509" i="1" s="1"/>
  <c r="B487" i="1" a="1"/>
  <c r="B487" i="1" s="1"/>
  <c r="A487" i="1"/>
  <c r="K485" i="1"/>
  <c r="B485" i="1"/>
  <c r="F485" i="1" s="1"/>
  <c r="B463" i="1" a="1"/>
  <c r="B463" i="1" s="1"/>
  <c r="A463" i="1"/>
  <c r="K461" i="1"/>
  <c r="J461" i="1" a="1"/>
  <c r="J461" i="1" s="1"/>
  <c r="H461" i="1"/>
  <c r="E461" i="1"/>
  <c r="B461" i="1"/>
  <c r="F461" i="1" s="1"/>
  <c r="G461" i="1" s="1"/>
  <c r="I461" i="1" s="1" a="1"/>
  <c r="I461" i="1" s="1"/>
  <c r="B438" i="1" a="1"/>
  <c r="B438" i="1" s="1"/>
  <c r="A438" i="1"/>
  <c r="K436" i="1"/>
  <c r="J436" i="1" a="1"/>
  <c r="J436" i="1" s="1"/>
  <c r="H436" i="1"/>
  <c r="E436" i="1"/>
  <c r="B436" i="1"/>
  <c r="D436" i="1" s="1"/>
  <c r="B413" i="1" a="1"/>
  <c r="B413" i="1" s="1"/>
  <c r="A413" i="1"/>
  <c r="K411" i="1"/>
  <c r="E411" i="1"/>
  <c r="B411" i="1"/>
  <c r="F411" i="1" s="1"/>
  <c r="G411" i="1" s="1"/>
  <c r="I411" i="1" s="1" a="1"/>
  <c r="I411" i="1" s="1"/>
  <c r="B389" i="1" a="1"/>
  <c r="B389" i="1" s="1"/>
  <c r="A389" i="1"/>
  <c r="K387" i="1"/>
  <c r="J387" i="1" a="1"/>
  <c r="J387" i="1" s="1"/>
  <c r="H387" i="1"/>
  <c r="B387" i="1"/>
  <c r="F387" i="1" s="1"/>
  <c r="B364" i="1" a="1"/>
  <c r="B364" i="1" s="1"/>
  <c r="A364" i="1"/>
  <c r="K362" i="1"/>
  <c r="J362" i="1" a="1"/>
  <c r="J362" i="1" s="1"/>
  <c r="H362" i="1"/>
  <c r="B362" i="1"/>
  <c r="F362" i="1" s="1"/>
  <c r="B339" i="1" a="1"/>
  <c r="B339" i="1" s="1"/>
  <c r="A339" i="1"/>
  <c r="K337" i="1"/>
  <c r="J337" i="1" a="1"/>
  <c r="J337" i="1" s="1"/>
  <c r="H337" i="1"/>
  <c r="E337" i="1"/>
  <c r="B337" i="1"/>
  <c r="D337" i="1" s="1"/>
  <c r="B314" i="1" a="1"/>
  <c r="B314" i="1" s="1"/>
  <c r="A314" i="1"/>
  <c r="K312" i="1"/>
  <c r="J312" i="1" a="1"/>
  <c r="J312" i="1" s="1"/>
  <c r="H312" i="1"/>
  <c r="E312" i="1"/>
  <c r="B312" i="1"/>
  <c r="F312" i="1" s="1"/>
  <c r="G312" i="1" s="1"/>
  <c r="I312" i="1" s="1" a="1"/>
  <c r="I312" i="1" s="1"/>
  <c r="B288" i="1" a="1"/>
  <c r="B288" i="1" s="1"/>
  <c r="A288" i="1"/>
  <c r="K286" i="1"/>
  <c r="E286" i="1"/>
  <c r="B286" i="1"/>
  <c r="F286" i="1" s="1"/>
  <c r="G286" i="1" s="1"/>
  <c r="I286" i="1" s="1" a="1"/>
  <c r="I286" i="1" s="1"/>
  <c r="B264" i="1" a="1"/>
  <c r="J262" i="1" s="1" a="1"/>
  <c r="J262" i="1" s="1"/>
  <c r="A264" i="1"/>
  <c r="K262" i="1"/>
  <c r="B262" i="1"/>
  <c r="F262" i="1" s="1"/>
  <c r="B240" i="1" a="1"/>
  <c r="J238" i="1" s="1" a="1"/>
  <c r="J238" i="1" s="1"/>
  <c r="A240" i="1"/>
  <c r="K238" i="1"/>
  <c r="E238" i="1"/>
  <c r="B238" i="1"/>
  <c r="D238" i="1" s="1"/>
  <c r="B216" i="1" a="1"/>
  <c r="B216" i="1" s="1"/>
  <c r="A216" i="1"/>
  <c r="K214" i="1"/>
  <c r="J214" i="1" a="1"/>
  <c r="J214" i="1" s="1"/>
  <c r="H214" i="1"/>
  <c r="E214" i="1"/>
  <c r="B214" i="1"/>
  <c r="F214" i="1" s="1"/>
  <c r="G214" i="1" s="1"/>
  <c r="I214" i="1" s="1" a="1"/>
  <c r="I214" i="1" s="1"/>
  <c r="B192" i="1" a="1"/>
  <c r="B192" i="1" s="1"/>
  <c r="A192" i="1"/>
  <c r="K190" i="1"/>
  <c r="J190" i="1" a="1"/>
  <c r="J190" i="1" s="1"/>
  <c r="H190" i="1"/>
  <c r="E190" i="1"/>
  <c r="B190" i="1"/>
  <c r="F190" i="1" s="1"/>
  <c r="G190" i="1" s="1"/>
  <c r="I190" i="1" s="1" a="1"/>
  <c r="I190" i="1" s="1"/>
  <c r="B167" i="1" a="1"/>
  <c r="B167" i="1" s="1"/>
  <c r="A167" i="1"/>
  <c r="K165" i="1"/>
  <c r="J165" i="1" a="1"/>
  <c r="J165" i="1" s="1"/>
  <c r="H165" i="1"/>
  <c r="B165" i="1"/>
  <c r="F165" i="1" s="1"/>
  <c r="B143" i="1" a="1"/>
  <c r="B143" i="1" s="1"/>
  <c r="A143" i="1"/>
  <c r="K141" i="1"/>
  <c r="J141" i="1" a="1"/>
  <c r="J141" i="1" s="1"/>
  <c r="H141" i="1"/>
  <c r="B141" i="1"/>
  <c r="D141" i="1" s="1"/>
  <c r="B119" i="1" a="1"/>
  <c r="B119" i="1" s="1"/>
  <c r="A119" i="1"/>
  <c r="K117" i="1"/>
  <c r="E117" i="1"/>
  <c r="B117" i="1"/>
  <c r="F117" i="1" s="1"/>
  <c r="G117" i="1" s="1"/>
  <c r="I117" i="1" s="1" a="1"/>
  <c r="I117" i="1" s="1"/>
  <c r="B95" i="1" a="1"/>
  <c r="B95" i="1" s="1"/>
  <c r="A95" i="1"/>
  <c r="K93" i="1"/>
  <c r="E93" i="1"/>
  <c r="B93" i="1"/>
  <c r="F93" i="1" s="1"/>
  <c r="G93" i="1" s="1"/>
  <c r="I93" i="1" s="1" a="1"/>
  <c r="I93" i="1" s="1"/>
  <c r="B71" i="1" a="1"/>
  <c r="B71" i="1" s="1"/>
  <c r="A71" i="1"/>
  <c r="K69" i="1"/>
  <c r="B69" i="1"/>
  <c r="F69" i="1" s="1"/>
  <c r="B48" i="1" a="1"/>
  <c r="J46" i="1" s="1" a="1"/>
  <c r="J46" i="1" s="1"/>
  <c r="A48" i="1"/>
  <c r="K46" i="1"/>
  <c r="E46" i="1"/>
  <c r="B46" i="1"/>
  <c r="D46" i="1" s="1"/>
  <c r="B24" i="1" a="1"/>
  <c r="B24" i="1" s="1"/>
  <c r="A24" i="1"/>
  <c r="K22" i="1"/>
  <c r="E22" i="1"/>
  <c r="B22" i="1"/>
  <c r="F22" i="1" s="1"/>
  <c r="G22" i="1" s="1"/>
  <c r="I22" i="1" s="1" a="1"/>
  <c r="I22" i="1" s="1"/>
  <c r="B4" i="1" a="1"/>
  <c r="B4" i="1" s="1"/>
  <c r="A4" i="1"/>
  <c r="K2" i="1"/>
  <c r="B2" i="1"/>
  <c r="E2" i="1" s="1"/>
  <c r="G582" i="1" l="1"/>
  <c r="I582" i="1" s="1" a="1"/>
  <c r="I582" i="1" s="1"/>
  <c r="G165" i="1"/>
  <c r="I165" i="1" s="1" a="1"/>
  <c r="I165" i="1" s="1"/>
  <c r="G362" i="1"/>
  <c r="I362" i="1" s="1" a="1"/>
  <c r="I362" i="1" s="1"/>
  <c r="J117" i="1" a="1"/>
  <c r="J117" i="1" s="1"/>
  <c r="E141" i="1"/>
  <c r="J69" i="1" a="1"/>
  <c r="J69" i="1" s="1"/>
  <c r="J22" i="1" a="1"/>
  <c r="J22" i="1" s="1"/>
  <c r="J411" i="1" a="1"/>
  <c r="J411" i="1" s="1"/>
  <c r="J509" i="1" a="1"/>
  <c r="J509" i="1" s="1"/>
  <c r="D22" i="1"/>
  <c r="F46" i="1"/>
  <c r="G46" i="1" s="1"/>
  <c r="I46" i="1" s="1" a="1"/>
  <c r="I46" i="1" s="1"/>
  <c r="H69" i="1"/>
  <c r="D117" i="1"/>
  <c r="F141" i="1"/>
  <c r="G141" i="1" s="1"/>
  <c r="I141" i="1" s="1" a="1"/>
  <c r="I141" i="1" s="1"/>
  <c r="D214" i="1"/>
  <c r="F238" i="1"/>
  <c r="G238" i="1" s="1"/>
  <c r="I238" i="1" s="1" a="1"/>
  <c r="I238" i="1" s="1"/>
  <c r="H262" i="1"/>
  <c r="B264" i="1"/>
  <c r="D312" i="1"/>
  <c r="F337" i="1"/>
  <c r="G337" i="1" s="1"/>
  <c r="I337" i="1" s="1" a="1"/>
  <c r="I337" i="1" s="1"/>
  <c r="D411" i="1"/>
  <c r="F436" i="1"/>
  <c r="G436" i="1" s="1"/>
  <c r="I436" i="1" s="1" a="1"/>
  <c r="I436" i="1" s="1"/>
  <c r="D509" i="1"/>
  <c r="J93" i="1" a="1"/>
  <c r="J93" i="1" s="1"/>
  <c r="J286" i="1" a="1"/>
  <c r="J286" i="1" s="1"/>
  <c r="J485" i="1" a="1"/>
  <c r="J485" i="1" s="1"/>
  <c r="E509" i="1"/>
  <c r="G509" i="1" s="1"/>
  <c r="I509" i="1" s="1" a="1"/>
  <c r="I509" i="1" s="1"/>
  <c r="D2" i="1"/>
  <c r="H46" i="1"/>
  <c r="B48" i="1"/>
  <c r="D93" i="1"/>
  <c r="D190" i="1"/>
  <c r="H238" i="1"/>
  <c r="B240" i="1"/>
  <c r="D286" i="1"/>
  <c r="D387" i="1"/>
  <c r="D485" i="1"/>
  <c r="D582" i="1"/>
  <c r="E387" i="1"/>
  <c r="G387" i="1" s="1"/>
  <c r="I387" i="1" s="1" a="1"/>
  <c r="I387" i="1" s="1"/>
  <c r="E582" i="1"/>
  <c r="E485" i="1"/>
  <c r="G485" i="1" s="1"/>
  <c r="I485" i="1" s="1" a="1"/>
  <c r="I485" i="1" s="1"/>
  <c r="F2" i="1"/>
  <c r="G2" i="1" s="1"/>
  <c r="I2" i="1" s="1" a="1"/>
  <c r="I2" i="1" s="1"/>
  <c r="H22" i="1"/>
  <c r="D69" i="1"/>
  <c r="H117" i="1"/>
  <c r="D165" i="1"/>
  <c r="D262" i="1"/>
  <c r="D362" i="1"/>
  <c r="H411" i="1"/>
  <c r="D461" i="1"/>
  <c r="H509" i="1"/>
  <c r="D558" i="1"/>
  <c r="E69" i="1"/>
  <c r="G69" i="1" s="1"/>
  <c r="I69" i="1" s="1" a="1"/>
  <c r="I69" i="1" s="1"/>
  <c r="E262" i="1"/>
  <c r="G262" i="1" s="1"/>
  <c r="I262" i="1" s="1" a="1"/>
  <c r="I262" i="1" s="1"/>
  <c r="J2" i="1" a="1"/>
  <c r="J2" i="1" s="1"/>
  <c r="E165" i="1"/>
  <c r="E362" i="1"/>
  <c r="H2" i="1"/>
  <c r="H93" i="1"/>
  <c r="H286" i="1"/>
  <c r="H48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<sst xmlns="http://schemas.openxmlformats.org/spreadsheetml/2006/main" count="675" uniqueCount="50">
  <si>
    <t>Team</t>
  </si>
  <si>
    <t>VB Code</t>
  </si>
  <si>
    <t>Recruiter Name</t>
  </si>
  <si>
    <t>Team Lead</t>
  </si>
  <si>
    <t>Yearly Placement Target</t>
  </si>
  <si>
    <t>Placement Done</t>
  </si>
  <si>
    <t>Target Achieved %</t>
  </si>
  <si>
    <t>Total Revenue Generated (USD)</t>
  </si>
  <si>
    <t>Slab qualified</t>
  </si>
  <si>
    <t>Total Incentive in INR</t>
  </si>
  <si>
    <t>Total Incentive in INR (Paid)</t>
  </si>
  <si>
    <t>Titans</t>
  </si>
  <si>
    <t>Aviral Shukla</t>
  </si>
  <si>
    <t>Candidate Name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</si>
  <si>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</si>
  <si>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</si>
  <si>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</si>
  <si>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</si>
  <si>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</si>
  <si>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</si>
  <si>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</si>
  <si>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</si>
  <si>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</si>
  <si>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(USD)</t>
  </si>
  <si>
    <t>Incentive amount (INR)</t>
  </si>
  <si>
    <t>Incentive Paid (INR)</t>
  </si>
  <si>
    <t>Samad Quraishi</t>
  </si>
  <si>
    <t>Ratnesh Kashyap</t>
  </si>
  <si>
    <t>Hamza Ali</t>
  </si>
  <si>
    <t>Aman Bajpai</t>
  </si>
  <si>
    <t>Anshita Dwivedi</t>
  </si>
  <si>
    <t>Shruti Kumari</t>
  </si>
  <si>
    <t>Ambresh Tripathi</t>
  </si>
  <si>
    <t>Anurag Mishra</t>
  </si>
  <si>
    <t>Tanu Jaiswal</t>
  </si>
  <si>
    <t>Aditya Yadav</t>
  </si>
  <si>
    <t>Santosh Singh</t>
  </si>
  <si>
    <t>Aastha Tiwari</t>
  </si>
  <si>
    <t>Shubham Yadav</t>
  </si>
  <si>
    <t>Rishabh Singh</t>
  </si>
  <si>
    <t>Shagun Jaiswal</t>
  </si>
  <si>
    <t>Shagun Tewari</t>
  </si>
  <si>
    <t>Manish Kumar Dhiman</t>
  </si>
  <si>
    <t>Heena Akshay Pandey</t>
  </si>
  <si>
    <t>Priya Yadav</t>
  </si>
  <si>
    <t>Shubham Tripathi</t>
  </si>
  <si>
    <t>Shubham Srivastava</t>
  </si>
  <si>
    <t>Satyam Pandey</t>
  </si>
  <si>
    <t>Dheeraj Verma</t>
  </si>
  <si>
    <t>Raj Chaudhary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</si>
</sst>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25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hil\Downloads\Data%20Sheet%20Incentive%20Calculator_Updated%20as%20on%20Feb%2007%20(2).xlsx" TargetMode="External"/><Relationship Id="rId1" Type="http://schemas.openxmlformats.org/officeDocument/2006/relationships/externalLinkPath" Target="file:///C:\Users\sahil\Downloads\Data%20Sheet%20Incentive%20Calculator_Updated%20as%20on%20Feb%20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ntedge - Recruiters &amp; Sourcer"/>
      <sheetName val="Pioneer - Recruiters"/>
      <sheetName val="Calculator-L4 Midlevel"/>
      <sheetName val="Titans - Recruiters"/>
      <sheetName val="Trust - Recruiters"/>
      <sheetName val="Mavericks - Recruiters"/>
      <sheetName val="WWT - Recruiters"/>
      <sheetName val="WWH - Recruiters"/>
      <sheetName val="CSK - Recruiters"/>
      <sheetName val="CSK L2 - Vinoth L"/>
      <sheetName val="CSK L2 - Akbar I"/>
      <sheetName val="Titans L2 - Nitin Saxena"/>
      <sheetName val="Titans L2 - Aditya Yadav"/>
      <sheetName val="Titans L2 - Abhishek Yadav"/>
      <sheetName val="Trust L2 - Harsh Agarwal"/>
      <sheetName val="Trust L2 - Shashank Yadav"/>
      <sheetName val="Trust L2 - Abhinay Singh"/>
      <sheetName val="WWT L2 -Akash Saxena"/>
      <sheetName val="WWT L2 - Abdul Rahman"/>
      <sheetName val="Vantedge - L2s"/>
      <sheetName val="WWH L2 - Abhishek Singh"/>
      <sheetName val="WWH L2 - Ranveer Kumar"/>
      <sheetName val="WWH L2 - Shailesh Sharma"/>
      <sheetName val="Pioneer L2 - Lucky Jain"/>
      <sheetName val="RPO L2 - Ankit Pandey"/>
      <sheetName val="Mavericks L2 - Rohit Gupta"/>
      <sheetName val="Mavericks L2 - Kashif Nabi"/>
      <sheetName val="Mavericks L3 -Vivek Yadav"/>
      <sheetName val="Mavericks L3 - Khatib Rahman"/>
      <sheetName val="Mavericks L3 - Tariq"/>
      <sheetName val="L2s Data"/>
      <sheetName val="Incentive Data"/>
      <sheetName val="Basic EMP Data - 2025"/>
      <sheetName val="Team wise structure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Mentor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Quarter of the joining date</v>
          </cell>
          <cell r="O2" t="str">
            <v>Ageing in Day's</v>
          </cell>
          <cell r="P2" t="str">
            <v>LWD</v>
          </cell>
          <cell r="Q2" t="str">
            <v>ISD</v>
          </cell>
          <cell r="R2" t="str">
            <v>PLC Code</v>
          </cell>
          <cell r="S2" t="str">
            <v>Candidate</v>
          </cell>
          <cell r="T2" t="str">
            <v>Transaction Details</v>
          </cell>
          <cell r="U2" t="str">
            <v>Contract Type</v>
          </cell>
          <cell r="V2" t="str">
            <v>Client Name</v>
          </cell>
          <cell r="W2" t="str">
            <v>Buy Rate</v>
          </cell>
          <cell r="X2" t="str">
            <v>OT Buy Rate</v>
          </cell>
          <cell r="Y2" t="str">
            <v>Currency</v>
          </cell>
          <cell r="Z2" t="str">
            <v>Sell Rate</v>
          </cell>
          <cell r="AA2" t="str">
            <v>OT Sell Rate</v>
          </cell>
          <cell r="AB2" t="str">
            <v>Other Fixed Cost</v>
          </cell>
          <cell r="AC2" t="str">
            <v>Variable Cost</v>
          </cell>
          <cell r="AD2" t="str">
            <v>Month</v>
          </cell>
          <cell r="AE2" t="str">
            <v>Working Days</v>
          </cell>
          <cell r="AF2" t="str">
            <v>Date</v>
          </cell>
          <cell r="AG2" t="str">
            <v>Cost</v>
          </cell>
          <cell r="AH2" t="str">
            <v>Added OT Cost</v>
          </cell>
          <cell r="AI2" t="str">
            <v>Total Cost</v>
          </cell>
          <cell r="AJ2" t="str">
            <v>Receivable rate</v>
          </cell>
          <cell r="AK2" t="str">
            <v>Receivable OT rate Added</v>
          </cell>
          <cell r="AL2" t="str">
            <v>Rev. Margin OT</v>
          </cell>
          <cell r="AM2" t="str">
            <v>Rev. margin</v>
          </cell>
          <cell r="AN2" t="str">
            <v>Rev. margin(actual)- OT</v>
          </cell>
          <cell r="AO2" t="str">
            <v>Rev. margin(actual)</v>
          </cell>
          <cell r="AP2" t="str">
            <v>Rev. margin for commission OT</v>
          </cell>
          <cell r="AQ2" t="str">
            <v>Rev. margin for commission</v>
          </cell>
          <cell r="AR2" t="str">
            <v>Invoice #</v>
          </cell>
          <cell r="AS2" t="str">
            <v>Compiled Hrs.OT Hrs.</v>
          </cell>
          <cell r="AT2" t="str">
            <v>Act. Hours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Pro. Rev</v>
          </cell>
          <cell r="AZ2" t="str">
            <v>Recruiter %</v>
          </cell>
          <cell r="BA2" t="str">
            <v>Commission margin actual</v>
          </cell>
          <cell r="BB2" t="str">
            <v>Recruiter Commission</v>
          </cell>
          <cell r="BC2" t="str">
            <v>Sub_lead_percentage</v>
          </cell>
          <cell r="BD2" t="str">
            <v>Sub_Lead Actual Rev.</v>
          </cell>
          <cell r="BE2" t="str">
            <v>Sub Lead Commission</v>
          </cell>
          <cell r="BF2" t="str">
            <v>Lead act rev.</v>
          </cell>
          <cell r="BG2" t="str">
            <v>Billed Value</v>
          </cell>
          <cell r="BH2" t="str">
            <v>Gross Sales Accrual</v>
          </cell>
          <cell r="BI2" t="str">
            <v>Gross Payable Accrual</v>
          </cell>
          <cell r="BJ2" t="str">
            <v>Loading Cost</v>
          </cell>
          <cell r="BK2" t="str">
            <v>Other Accrued Cost</v>
          </cell>
          <cell r="BL2" t="str">
            <v>Total Loading Cost</v>
          </cell>
          <cell r="BM2" t="str">
            <v>Gross Cost Accrual</v>
          </cell>
          <cell r="BN2" t="str">
            <v>Total Variable Cost</v>
          </cell>
          <cell r="BO2" t="str">
            <v>Net Accrued Revenue</v>
          </cell>
          <cell r="BP2" t="str">
            <v>Received Status</v>
          </cell>
          <cell r="BQ2" t="str">
            <v>Quarter</v>
          </cell>
          <cell r="BR2" t="str">
            <v>Payable Q</v>
          </cell>
          <cell r="BS2" t="str">
            <v>Pro. Recruiter Commission</v>
          </cell>
          <cell r="BT2" t="str">
            <v>Billing status</v>
          </cell>
          <cell r="BU2" t="str">
            <v>Total Billed Hours for Incentive portal</v>
          </cell>
          <cell r="BV2" t="str">
            <v>Year</v>
          </cell>
        </row>
        <row r="3">
          <cell r="A3" t="str">
            <v>Lucknow</v>
          </cell>
          <cell r="B3" t="str">
            <v>Mavericks</v>
          </cell>
          <cell r="C3" t="str">
            <v>Mid Level</v>
          </cell>
          <cell r="D3" t="str">
            <v>Kashif Nabi</v>
          </cell>
          <cell r="E3" t="str">
            <v>Khatib Rahman</v>
          </cell>
          <cell r="F3" t="str">
            <v>-</v>
          </cell>
          <cell r="G3" t="str">
            <v>-</v>
          </cell>
          <cell r="H3" t="str">
            <v>Khatib Rahman</v>
          </cell>
          <cell r="K3" t="str">
            <v>-</v>
          </cell>
          <cell r="L3" t="str">
            <v>New</v>
          </cell>
          <cell r="M3">
            <v>45754</v>
          </cell>
          <cell r="N3">
            <v>2</v>
          </cell>
          <cell r="O3">
            <v>292</v>
          </cell>
          <cell r="P3">
            <v>45884</v>
          </cell>
          <cell r="Q3">
            <v>46119</v>
          </cell>
          <cell r="R3" t="str">
            <v>PLC-4209</v>
          </cell>
          <cell r="S3" t="str">
            <v>Abdullah Sikandar</v>
          </cell>
          <cell r="T3" t="str">
            <v>Individual</v>
          </cell>
          <cell r="U3" t="str">
            <v>W2</v>
          </cell>
          <cell r="V3" t="str">
            <v>ReWorld /Covanta</v>
          </cell>
          <cell r="W3">
            <v>73</v>
          </cell>
          <cell r="X3">
            <v>0</v>
          </cell>
          <cell r="Y3" t="str">
            <v>USD</v>
          </cell>
          <cell r="Z3">
            <v>105</v>
          </cell>
          <cell r="AA3">
            <v>0</v>
          </cell>
          <cell r="AB3">
            <v>0</v>
          </cell>
          <cell r="AC3">
            <v>0</v>
          </cell>
          <cell r="AD3">
            <v>45762</v>
          </cell>
          <cell r="AE3">
            <v>18</v>
          </cell>
          <cell r="AF3">
            <v>46022</v>
          </cell>
          <cell r="AG3">
            <v>83.949999999999989</v>
          </cell>
          <cell r="AH3">
            <v>0</v>
          </cell>
          <cell r="AI3">
            <v>83.949999999999989</v>
          </cell>
          <cell r="AJ3">
            <v>105</v>
          </cell>
          <cell r="AK3">
            <v>0</v>
          </cell>
          <cell r="AL3">
            <v>0</v>
          </cell>
          <cell r="AM3">
            <v>20</v>
          </cell>
          <cell r="AN3">
            <v>0</v>
          </cell>
          <cell r="AO3">
            <v>20</v>
          </cell>
          <cell r="AP3">
            <v>0</v>
          </cell>
          <cell r="AQ3">
            <v>20</v>
          </cell>
          <cell r="AR3" t="str">
            <v>US_24936</v>
          </cell>
          <cell r="AS3">
            <v>0</v>
          </cell>
          <cell r="AT3">
            <v>136</v>
          </cell>
          <cell r="AU3">
            <v>136</v>
          </cell>
          <cell r="AV3">
            <v>0</v>
          </cell>
          <cell r="AW3">
            <v>2720</v>
          </cell>
          <cell r="AX3">
            <v>2720</v>
          </cell>
          <cell r="AY3">
            <v>2720</v>
          </cell>
          <cell r="AZ3">
            <v>83.333333333333343</v>
          </cell>
          <cell r="BA3">
            <v>32</v>
          </cell>
          <cell r="BB3">
            <v>4352</v>
          </cell>
          <cell r="BF3">
            <v>2720</v>
          </cell>
          <cell r="BG3">
            <v>14280</v>
          </cell>
          <cell r="BH3">
            <v>14280</v>
          </cell>
          <cell r="BI3">
            <v>9928</v>
          </cell>
          <cell r="BJ3">
            <v>10.95</v>
          </cell>
          <cell r="BK3">
            <v>0</v>
          </cell>
          <cell r="BL3">
            <v>1489.1999999999998</v>
          </cell>
          <cell r="BM3">
            <v>11417.2</v>
          </cell>
          <cell r="BN3">
            <v>10.95</v>
          </cell>
          <cell r="BO3">
            <v>2862.8</v>
          </cell>
          <cell r="BP3" t="str">
            <v>Y</v>
          </cell>
          <cell r="BQ3">
            <v>2</v>
          </cell>
          <cell r="BR3" t="str">
            <v>Y</v>
          </cell>
          <cell r="BS3">
            <v>4352</v>
          </cell>
          <cell r="BT3" t="str">
            <v>Done</v>
          </cell>
          <cell r="BU3">
            <v>136</v>
          </cell>
          <cell r="BV3">
            <v>2025</v>
          </cell>
        </row>
        <row r="4">
          <cell r="A4" t="str">
            <v>Lucknow</v>
          </cell>
          <cell r="B4" t="str">
            <v>Americas</v>
          </cell>
          <cell r="C4" t="str">
            <v>Mid Level</v>
          </cell>
          <cell r="D4" t="str">
            <v>Rajesh Khanna</v>
          </cell>
          <cell r="E4" t="str">
            <v>Garima Shukla</v>
          </cell>
          <cell r="H4" t="str">
            <v>Sarthak Dixit</v>
          </cell>
          <cell r="K4">
            <v>0</v>
          </cell>
          <cell r="L4" t="str">
            <v>Old</v>
          </cell>
          <cell r="M4">
            <v>45460</v>
          </cell>
          <cell r="N4">
            <v>2</v>
          </cell>
          <cell r="O4">
            <v>586</v>
          </cell>
          <cell r="P4" t="str">
            <v>-</v>
          </cell>
          <cell r="Q4">
            <v>45825</v>
          </cell>
          <cell r="S4" t="str">
            <v>Abhimanyu Hk</v>
          </cell>
          <cell r="T4" t="str">
            <v>Individual</v>
          </cell>
          <cell r="U4" t="str">
            <v>C2C</v>
          </cell>
          <cell r="V4" t="str">
            <v>Fanatics</v>
          </cell>
          <cell r="W4">
            <v>25.15</v>
          </cell>
          <cell r="X4">
            <v>0</v>
          </cell>
          <cell r="Y4" t="str">
            <v>USD</v>
          </cell>
          <cell r="Z4">
            <v>39</v>
          </cell>
          <cell r="AA4">
            <v>0</v>
          </cell>
          <cell r="AB4">
            <v>0</v>
          </cell>
          <cell r="AC4">
            <v>0</v>
          </cell>
          <cell r="AD4">
            <v>45672</v>
          </cell>
          <cell r="AE4">
            <v>23</v>
          </cell>
          <cell r="AF4">
            <v>46022</v>
          </cell>
          <cell r="AG4">
            <v>25.15</v>
          </cell>
          <cell r="AH4">
            <v>0</v>
          </cell>
          <cell r="AI4">
            <v>25.15</v>
          </cell>
          <cell r="AJ4">
            <v>39</v>
          </cell>
          <cell r="AK4">
            <v>0</v>
          </cell>
          <cell r="AL4">
            <v>0</v>
          </cell>
          <cell r="AM4">
            <v>13.850000000000001</v>
          </cell>
          <cell r="AN4">
            <v>0</v>
          </cell>
          <cell r="AO4">
            <v>13.850000000000001</v>
          </cell>
          <cell r="AP4">
            <v>0</v>
          </cell>
          <cell r="AQ4">
            <v>13.850000000000001</v>
          </cell>
          <cell r="AR4" t="str">
            <v>US_24245</v>
          </cell>
          <cell r="AS4">
            <v>0</v>
          </cell>
          <cell r="AT4">
            <v>198</v>
          </cell>
          <cell r="AU4">
            <v>198</v>
          </cell>
          <cell r="AV4">
            <v>0</v>
          </cell>
          <cell r="AW4">
            <v>2742.3</v>
          </cell>
          <cell r="AX4">
            <v>2742.3</v>
          </cell>
          <cell r="AY4">
            <v>2742.3</v>
          </cell>
          <cell r="AZ4">
            <v>0</v>
          </cell>
          <cell r="BA4">
            <v>0</v>
          </cell>
          <cell r="BB4">
            <v>0</v>
          </cell>
          <cell r="BD4">
            <v>2742.3</v>
          </cell>
          <cell r="BF4">
            <v>2742.3</v>
          </cell>
          <cell r="BG4">
            <v>7722</v>
          </cell>
          <cell r="BH4">
            <v>7722</v>
          </cell>
          <cell r="BI4">
            <v>4979.7</v>
          </cell>
          <cell r="BJ4">
            <v>0</v>
          </cell>
          <cell r="BK4">
            <v>0</v>
          </cell>
          <cell r="BL4">
            <v>0</v>
          </cell>
          <cell r="BM4">
            <v>4979.7</v>
          </cell>
          <cell r="BN4">
            <v>0</v>
          </cell>
          <cell r="BO4">
            <v>2742.3</v>
          </cell>
          <cell r="BP4" t="str">
            <v>Y</v>
          </cell>
          <cell r="BQ4">
            <v>1</v>
          </cell>
          <cell r="BR4" t="str">
            <v>N</v>
          </cell>
          <cell r="BS4">
            <v>0</v>
          </cell>
          <cell r="BT4" t="str">
            <v>Done</v>
          </cell>
          <cell r="BU4">
            <v>198</v>
          </cell>
          <cell r="BV4">
            <v>2024</v>
          </cell>
        </row>
        <row r="5">
          <cell r="A5" t="str">
            <v>Lucknow</v>
          </cell>
          <cell r="B5" t="str">
            <v>Americas</v>
          </cell>
          <cell r="C5" t="str">
            <v>Mid Level</v>
          </cell>
          <cell r="D5" t="str">
            <v>Rajesh Khanna</v>
          </cell>
          <cell r="E5" t="str">
            <v>Garima Shukla</v>
          </cell>
          <cell r="H5" t="str">
            <v>Sarthak Dixit</v>
          </cell>
          <cell r="K5">
            <v>0</v>
          </cell>
          <cell r="L5" t="str">
            <v>Old</v>
          </cell>
          <cell r="M5">
            <v>45460</v>
          </cell>
          <cell r="N5">
            <v>2</v>
          </cell>
          <cell r="O5">
            <v>586</v>
          </cell>
          <cell r="P5" t="str">
            <v>-</v>
          </cell>
          <cell r="Q5">
            <v>45825</v>
          </cell>
          <cell r="S5" t="str">
            <v>Abhimanyu Hk</v>
          </cell>
          <cell r="T5" t="str">
            <v>Individual</v>
          </cell>
          <cell r="U5" t="str">
            <v>C2C</v>
          </cell>
          <cell r="V5" t="str">
            <v>Fanatics</v>
          </cell>
          <cell r="W5">
            <v>25.15</v>
          </cell>
          <cell r="X5">
            <v>0</v>
          </cell>
          <cell r="Y5" t="str">
            <v>USD</v>
          </cell>
          <cell r="Z5">
            <v>39</v>
          </cell>
          <cell r="AA5">
            <v>0</v>
          </cell>
          <cell r="AB5">
            <v>0</v>
          </cell>
          <cell r="AC5">
            <v>0</v>
          </cell>
          <cell r="AD5">
            <v>45703</v>
          </cell>
          <cell r="AE5">
            <v>20</v>
          </cell>
          <cell r="AF5">
            <v>46022</v>
          </cell>
          <cell r="AG5">
            <v>25.15</v>
          </cell>
          <cell r="AH5">
            <v>0</v>
          </cell>
          <cell r="AI5">
            <v>25.15</v>
          </cell>
          <cell r="AJ5">
            <v>39</v>
          </cell>
          <cell r="AK5">
            <v>0</v>
          </cell>
          <cell r="AL5">
            <v>0</v>
          </cell>
          <cell r="AM5">
            <v>13.850000000000001</v>
          </cell>
          <cell r="AN5">
            <v>0</v>
          </cell>
          <cell r="AO5">
            <v>13.850000000000001</v>
          </cell>
          <cell r="AP5">
            <v>0</v>
          </cell>
          <cell r="AQ5">
            <v>13.850000000000001</v>
          </cell>
          <cell r="AR5" t="str">
            <v>US_24451</v>
          </cell>
          <cell r="AS5">
            <v>0</v>
          </cell>
          <cell r="AT5">
            <v>144</v>
          </cell>
          <cell r="AU5">
            <v>144</v>
          </cell>
          <cell r="AV5">
            <v>0</v>
          </cell>
          <cell r="AW5">
            <v>1994.4</v>
          </cell>
          <cell r="AX5">
            <v>1994.4</v>
          </cell>
          <cell r="AY5">
            <v>1994.4</v>
          </cell>
          <cell r="AZ5">
            <v>0</v>
          </cell>
          <cell r="BA5">
            <v>0</v>
          </cell>
          <cell r="BB5">
            <v>0</v>
          </cell>
          <cell r="BD5">
            <v>1994.4</v>
          </cell>
          <cell r="BF5">
            <v>1994.4</v>
          </cell>
          <cell r="BG5">
            <v>5616</v>
          </cell>
          <cell r="BH5">
            <v>5616</v>
          </cell>
          <cell r="BI5">
            <v>3621.6</v>
          </cell>
          <cell r="BJ5">
            <v>0</v>
          </cell>
          <cell r="BK5">
            <v>0</v>
          </cell>
          <cell r="BL5">
            <v>0</v>
          </cell>
          <cell r="BM5">
            <v>3621.6</v>
          </cell>
          <cell r="BN5">
            <v>0</v>
          </cell>
          <cell r="BO5">
            <v>1994.4</v>
          </cell>
          <cell r="BP5" t="str">
            <v>Y</v>
          </cell>
          <cell r="BQ5">
            <v>1</v>
          </cell>
          <cell r="BR5" t="str">
            <v>N</v>
          </cell>
          <cell r="BS5">
            <v>0</v>
          </cell>
          <cell r="BT5" t="str">
            <v>Done</v>
          </cell>
          <cell r="BU5">
            <v>144</v>
          </cell>
          <cell r="BV5">
            <v>2024</v>
          </cell>
        </row>
        <row r="6">
          <cell r="A6" t="str">
            <v>Lucknow</v>
          </cell>
          <cell r="B6" t="str">
            <v>Americas</v>
          </cell>
          <cell r="C6" t="str">
            <v>Mid Level</v>
          </cell>
          <cell r="D6" t="str">
            <v>Rajesh Khanna</v>
          </cell>
          <cell r="E6" t="str">
            <v>Garima Shukla</v>
          </cell>
          <cell r="H6" t="str">
            <v>Sarthak Dixit</v>
          </cell>
          <cell r="K6">
            <v>0</v>
          </cell>
          <cell r="L6" t="str">
            <v>Old</v>
          </cell>
          <cell r="M6">
            <v>45460</v>
          </cell>
          <cell r="N6">
            <v>2</v>
          </cell>
          <cell r="O6">
            <v>586</v>
          </cell>
          <cell r="P6" t="str">
            <v>-</v>
          </cell>
          <cell r="Q6">
            <v>45825</v>
          </cell>
          <cell r="S6" t="str">
            <v>Abhimanyu Hk</v>
          </cell>
          <cell r="T6" t="str">
            <v>Individual</v>
          </cell>
          <cell r="U6" t="str">
            <v>C2C</v>
          </cell>
          <cell r="V6" t="str">
            <v>Fanatics</v>
          </cell>
          <cell r="W6">
            <v>25.15</v>
          </cell>
          <cell r="X6">
            <v>0</v>
          </cell>
          <cell r="Y6" t="str">
            <v>USD</v>
          </cell>
          <cell r="Z6">
            <v>39</v>
          </cell>
          <cell r="AA6">
            <v>0</v>
          </cell>
          <cell r="AB6">
            <v>0</v>
          </cell>
          <cell r="AC6">
            <v>0</v>
          </cell>
          <cell r="AD6">
            <v>45731</v>
          </cell>
          <cell r="AE6">
            <v>21</v>
          </cell>
          <cell r="AF6">
            <v>46022</v>
          </cell>
          <cell r="AG6">
            <v>25.15</v>
          </cell>
          <cell r="AH6">
            <v>0</v>
          </cell>
          <cell r="AI6">
            <v>25.15</v>
          </cell>
          <cell r="AJ6">
            <v>39</v>
          </cell>
          <cell r="AK6">
            <v>0</v>
          </cell>
          <cell r="AL6">
            <v>0</v>
          </cell>
          <cell r="AM6">
            <v>13.850000000000001</v>
          </cell>
          <cell r="AN6">
            <v>0</v>
          </cell>
          <cell r="AO6">
            <v>13.850000000000001</v>
          </cell>
          <cell r="AP6">
            <v>0</v>
          </cell>
          <cell r="AQ6">
            <v>13.850000000000001</v>
          </cell>
          <cell r="AR6" t="str">
            <v>US_24639</v>
          </cell>
          <cell r="AS6">
            <v>0</v>
          </cell>
          <cell r="AT6">
            <v>180</v>
          </cell>
          <cell r="AU6">
            <v>180</v>
          </cell>
          <cell r="AV6">
            <v>0</v>
          </cell>
          <cell r="AW6">
            <v>2493.0000000000005</v>
          </cell>
          <cell r="AX6">
            <v>2493.0000000000005</v>
          </cell>
          <cell r="AY6">
            <v>2493.0000000000005</v>
          </cell>
          <cell r="AZ6">
            <v>0</v>
          </cell>
          <cell r="BA6">
            <v>0</v>
          </cell>
          <cell r="BB6">
            <v>0</v>
          </cell>
          <cell r="BD6">
            <v>2493.0000000000005</v>
          </cell>
          <cell r="BF6">
            <v>2493.0000000000005</v>
          </cell>
          <cell r="BG6">
            <v>7020</v>
          </cell>
          <cell r="BH6">
            <v>7020</v>
          </cell>
          <cell r="BI6">
            <v>4527</v>
          </cell>
          <cell r="BJ6">
            <v>0</v>
          </cell>
          <cell r="BK6">
            <v>0</v>
          </cell>
          <cell r="BL6">
            <v>0</v>
          </cell>
          <cell r="BM6">
            <v>4527</v>
          </cell>
          <cell r="BN6">
            <v>0</v>
          </cell>
          <cell r="BO6">
            <v>2493</v>
          </cell>
          <cell r="BP6" t="str">
            <v>Y</v>
          </cell>
          <cell r="BQ6">
            <v>1</v>
          </cell>
          <cell r="BR6" t="str">
            <v>N</v>
          </cell>
          <cell r="BS6">
            <v>0</v>
          </cell>
          <cell r="BT6" t="str">
            <v>Done</v>
          </cell>
          <cell r="BU6">
            <v>180</v>
          </cell>
          <cell r="BV6">
            <v>2024</v>
          </cell>
        </row>
        <row r="7">
          <cell r="A7" t="str">
            <v>Lucknow</v>
          </cell>
          <cell r="B7" t="str">
            <v>Americas</v>
          </cell>
          <cell r="C7" t="str">
            <v>Mid Level</v>
          </cell>
          <cell r="D7" t="str">
            <v>Rajesh Khanna</v>
          </cell>
          <cell r="E7" t="str">
            <v>Garima Shukla</v>
          </cell>
          <cell r="H7" t="str">
            <v>Sarthak Dixit</v>
          </cell>
          <cell r="K7">
            <v>0</v>
          </cell>
          <cell r="L7" t="str">
            <v>Old</v>
          </cell>
          <cell r="M7">
            <v>45460</v>
          </cell>
          <cell r="N7">
            <v>2</v>
          </cell>
          <cell r="O7">
            <v>586</v>
          </cell>
          <cell r="P7" t="str">
            <v>-</v>
          </cell>
          <cell r="Q7">
            <v>45825</v>
          </cell>
          <cell r="S7" t="str">
            <v>Abhimanyu Hk</v>
          </cell>
          <cell r="T7" t="str">
            <v>Individual</v>
          </cell>
          <cell r="U7" t="str">
            <v>C2C</v>
          </cell>
          <cell r="V7" t="str">
            <v>Fanatics</v>
          </cell>
          <cell r="W7">
            <v>25.15</v>
          </cell>
          <cell r="X7">
            <v>0</v>
          </cell>
          <cell r="Y7" t="str">
            <v>USD</v>
          </cell>
          <cell r="Z7">
            <v>39</v>
          </cell>
          <cell r="AA7">
            <v>0</v>
          </cell>
          <cell r="AB7">
            <v>0</v>
          </cell>
          <cell r="AC7">
            <v>0</v>
          </cell>
          <cell r="AD7">
            <v>45762</v>
          </cell>
          <cell r="AE7">
            <v>22</v>
          </cell>
          <cell r="AF7">
            <v>46022</v>
          </cell>
          <cell r="AG7">
            <v>25.15</v>
          </cell>
          <cell r="AH7">
            <v>0</v>
          </cell>
          <cell r="AI7">
            <v>25.15</v>
          </cell>
          <cell r="AJ7">
            <v>39</v>
          </cell>
          <cell r="AK7">
            <v>0</v>
          </cell>
          <cell r="AL7">
            <v>0</v>
          </cell>
          <cell r="AM7">
            <v>13.850000000000001</v>
          </cell>
          <cell r="AN7">
            <v>0</v>
          </cell>
          <cell r="AO7">
            <v>13.850000000000001</v>
          </cell>
          <cell r="AP7">
            <v>0</v>
          </cell>
          <cell r="AQ7">
            <v>13.850000000000001</v>
          </cell>
          <cell r="AR7" t="str">
            <v>US_24846</v>
          </cell>
          <cell r="AS7">
            <v>0</v>
          </cell>
          <cell r="AT7">
            <v>198</v>
          </cell>
          <cell r="AU7">
            <v>198</v>
          </cell>
          <cell r="AV7">
            <v>0</v>
          </cell>
          <cell r="AW7">
            <v>2742.3</v>
          </cell>
          <cell r="AX7">
            <v>2742.3</v>
          </cell>
          <cell r="AY7">
            <v>2742.3</v>
          </cell>
          <cell r="AZ7">
            <v>0</v>
          </cell>
          <cell r="BA7">
            <v>0</v>
          </cell>
          <cell r="BB7">
            <v>0</v>
          </cell>
          <cell r="BD7">
            <v>2742.3</v>
          </cell>
          <cell r="BF7">
            <v>2742.3</v>
          </cell>
          <cell r="BG7">
            <v>7722</v>
          </cell>
          <cell r="BH7">
            <v>7722</v>
          </cell>
          <cell r="BI7">
            <v>4979.7</v>
          </cell>
          <cell r="BJ7">
            <v>0</v>
          </cell>
          <cell r="BK7">
            <v>0</v>
          </cell>
          <cell r="BL7">
            <v>0</v>
          </cell>
          <cell r="BM7">
            <v>4979.7</v>
          </cell>
          <cell r="BN7">
            <v>0</v>
          </cell>
          <cell r="BO7">
            <v>2742.3</v>
          </cell>
          <cell r="BP7" t="str">
            <v>Y</v>
          </cell>
          <cell r="BQ7">
            <v>2</v>
          </cell>
          <cell r="BR7" t="str">
            <v>N</v>
          </cell>
          <cell r="BS7">
            <v>0</v>
          </cell>
          <cell r="BT7" t="str">
            <v>Done</v>
          </cell>
          <cell r="BU7">
            <v>198</v>
          </cell>
          <cell r="BV7">
            <v>2024</v>
          </cell>
        </row>
        <row r="8">
          <cell r="A8" t="str">
            <v>Lucknow</v>
          </cell>
          <cell r="B8" t="str">
            <v>Mavericks</v>
          </cell>
          <cell r="C8" t="str">
            <v>Mid Level</v>
          </cell>
          <cell r="D8" t="str">
            <v>Rohit Gupta</v>
          </cell>
          <cell r="E8" t="str">
            <v>-</v>
          </cell>
          <cell r="H8" t="str">
            <v>Ekta Singh</v>
          </cell>
          <cell r="J8" t="str">
            <v>ACH</v>
          </cell>
          <cell r="L8" t="str">
            <v>New</v>
          </cell>
          <cell r="M8">
            <v>45733</v>
          </cell>
          <cell r="N8">
            <v>1</v>
          </cell>
          <cell r="O8">
            <v>313</v>
          </cell>
          <cell r="P8" t="str">
            <v>-</v>
          </cell>
          <cell r="Q8">
            <v>46098</v>
          </cell>
          <cell r="R8" t="str">
            <v>PLC-4189</v>
          </cell>
          <cell r="S8" t="str">
            <v>Abhimanyu Singh</v>
          </cell>
          <cell r="T8" t="str">
            <v>Individual</v>
          </cell>
          <cell r="U8" t="str">
            <v>C2C</v>
          </cell>
          <cell r="V8" t="str">
            <v>Coforge</v>
          </cell>
          <cell r="W8">
            <v>65</v>
          </cell>
          <cell r="X8">
            <v>0</v>
          </cell>
          <cell r="Y8" t="str">
            <v>USD</v>
          </cell>
          <cell r="Z8">
            <v>73</v>
          </cell>
          <cell r="AA8">
            <v>0</v>
          </cell>
          <cell r="AB8">
            <v>0</v>
          </cell>
          <cell r="AC8">
            <v>0</v>
          </cell>
          <cell r="AD8">
            <v>45731</v>
          </cell>
          <cell r="AE8">
            <v>11</v>
          </cell>
          <cell r="AF8">
            <v>46022</v>
          </cell>
          <cell r="AG8">
            <v>65</v>
          </cell>
          <cell r="AH8">
            <v>0</v>
          </cell>
          <cell r="AI8">
            <v>65</v>
          </cell>
          <cell r="AJ8">
            <v>73</v>
          </cell>
          <cell r="AK8">
            <v>0</v>
          </cell>
          <cell r="AL8">
            <v>0</v>
          </cell>
          <cell r="AM8">
            <v>8</v>
          </cell>
          <cell r="AN8">
            <v>0</v>
          </cell>
          <cell r="AO8">
            <v>8</v>
          </cell>
          <cell r="AP8">
            <v>0</v>
          </cell>
          <cell r="AQ8">
            <v>8</v>
          </cell>
          <cell r="AR8" t="str">
            <v>US_24738</v>
          </cell>
          <cell r="AS8">
            <v>0</v>
          </cell>
          <cell r="AT8">
            <v>88</v>
          </cell>
          <cell r="AU8">
            <v>88</v>
          </cell>
          <cell r="AV8">
            <v>0</v>
          </cell>
          <cell r="AW8">
            <v>704</v>
          </cell>
          <cell r="AX8">
            <v>696.96</v>
          </cell>
          <cell r="AY8">
            <v>704</v>
          </cell>
          <cell r="AZ8">
            <v>100</v>
          </cell>
          <cell r="BA8">
            <v>12.8</v>
          </cell>
          <cell r="BB8">
            <v>1126.4000000000001</v>
          </cell>
          <cell r="BF8">
            <v>696.96</v>
          </cell>
          <cell r="BG8">
            <v>6424</v>
          </cell>
          <cell r="BH8">
            <v>6424</v>
          </cell>
          <cell r="BI8">
            <v>5720</v>
          </cell>
          <cell r="BJ8">
            <v>0</v>
          </cell>
          <cell r="BK8">
            <v>0</v>
          </cell>
          <cell r="BL8">
            <v>0</v>
          </cell>
          <cell r="BM8">
            <v>5720</v>
          </cell>
          <cell r="BN8">
            <v>0</v>
          </cell>
          <cell r="BO8">
            <v>704</v>
          </cell>
          <cell r="BP8" t="str">
            <v>Y</v>
          </cell>
          <cell r="BQ8">
            <v>1</v>
          </cell>
          <cell r="BR8" t="str">
            <v>Y</v>
          </cell>
          <cell r="BS8">
            <v>1126.4000000000001</v>
          </cell>
          <cell r="BT8" t="str">
            <v>Done</v>
          </cell>
          <cell r="BU8">
            <v>88</v>
          </cell>
          <cell r="BV8">
            <v>2025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-</v>
          </cell>
          <cell r="H9" t="str">
            <v>Ekta Singh</v>
          </cell>
          <cell r="J9" t="str">
            <v>ACH</v>
          </cell>
          <cell r="L9" t="str">
            <v>New</v>
          </cell>
          <cell r="M9">
            <v>45733</v>
          </cell>
          <cell r="N9">
            <v>1</v>
          </cell>
          <cell r="O9">
            <v>313</v>
          </cell>
          <cell r="P9" t="str">
            <v>-</v>
          </cell>
          <cell r="Q9">
            <v>46098</v>
          </cell>
          <cell r="R9" t="str">
            <v>PLC-4189</v>
          </cell>
          <cell r="S9" t="str">
            <v>Abhimanyu Singh</v>
          </cell>
          <cell r="T9" t="str">
            <v>Individual</v>
          </cell>
          <cell r="U9" t="str">
            <v>C2C</v>
          </cell>
          <cell r="V9" t="str">
            <v>Coforge</v>
          </cell>
          <cell r="W9">
            <v>65</v>
          </cell>
          <cell r="X9">
            <v>0</v>
          </cell>
          <cell r="Y9" t="str">
            <v>USD</v>
          </cell>
          <cell r="Z9">
            <v>73</v>
          </cell>
          <cell r="AA9">
            <v>0</v>
          </cell>
          <cell r="AB9">
            <v>0</v>
          </cell>
          <cell r="AC9">
            <v>0</v>
          </cell>
          <cell r="AD9">
            <v>45762</v>
          </cell>
          <cell r="AE9">
            <v>22</v>
          </cell>
          <cell r="AF9">
            <v>46022</v>
          </cell>
          <cell r="AG9">
            <v>65</v>
          </cell>
          <cell r="AH9">
            <v>0</v>
          </cell>
          <cell r="AI9">
            <v>65</v>
          </cell>
          <cell r="AJ9">
            <v>73</v>
          </cell>
          <cell r="AK9">
            <v>0</v>
          </cell>
          <cell r="AL9">
            <v>0</v>
          </cell>
          <cell r="AM9">
            <v>8</v>
          </cell>
          <cell r="AN9">
            <v>0</v>
          </cell>
          <cell r="AO9">
            <v>8</v>
          </cell>
          <cell r="AP9">
            <v>0</v>
          </cell>
          <cell r="AQ9">
            <v>8</v>
          </cell>
          <cell r="AR9" t="str">
            <v>US_24916</v>
          </cell>
          <cell r="AS9">
            <v>0</v>
          </cell>
          <cell r="AT9">
            <v>168</v>
          </cell>
          <cell r="AU9">
            <v>168</v>
          </cell>
          <cell r="AV9">
            <v>0</v>
          </cell>
          <cell r="AW9">
            <v>1344</v>
          </cell>
          <cell r="AX9">
            <v>1330.56</v>
          </cell>
          <cell r="AY9">
            <v>1344</v>
          </cell>
          <cell r="AZ9">
            <v>100</v>
          </cell>
          <cell r="BA9">
            <v>12.8</v>
          </cell>
          <cell r="BB9">
            <v>2150.4</v>
          </cell>
          <cell r="BF9">
            <v>1330.56</v>
          </cell>
          <cell r="BG9">
            <v>12264</v>
          </cell>
          <cell r="BH9">
            <v>12264</v>
          </cell>
          <cell r="BI9">
            <v>10920</v>
          </cell>
          <cell r="BJ9">
            <v>0</v>
          </cell>
          <cell r="BK9">
            <v>0</v>
          </cell>
          <cell r="BL9">
            <v>0</v>
          </cell>
          <cell r="BM9">
            <v>10920</v>
          </cell>
          <cell r="BN9">
            <v>0</v>
          </cell>
          <cell r="BO9">
            <v>1344</v>
          </cell>
          <cell r="BP9" t="str">
            <v>Y</v>
          </cell>
          <cell r="BQ9">
            <v>2</v>
          </cell>
          <cell r="BR9" t="str">
            <v>N</v>
          </cell>
          <cell r="BS9">
            <v>2150.4</v>
          </cell>
          <cell r="BT9" t="str">
            <v>Done</v>
          </cell>
          <cell r="BU9">
            <v>168</v>
          </cell>
          <cell r="BV9">
            <v>2025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Nitin Saxena</v>
          </cell>
          <cell r="E10" t="str">
            <v>-</v>
          </cell>
          <cell r="H10" t="str">
            <v>Tushar Bisht</v>
          </cell>
          <cell r="J10" t="str">
            <v>ACH</v>
          </cell>
          <cell r="K10">
            <v>0</v>
          </cell>
          <cell r="L10" t="str">
            <v>Old</v>
          </cell>
          <cell r="M10">
            <v>45390</v>
          </cell>
          <cell r="N10">
            <v>2</v>
          </cell>
          <cell r="O10">
            <v>656</v>
          </cell>
          <cell r="P10" t="str">
            <v>-</v>
          </cell>
          <cell r="Q10">
            <v>45755</v>
          </cell>
          <cell r="R10" t="str">
            <v>PLC-3720</v>
          </cell>
          <cell r="S10" t="str">
            <v>Abhishek Patro Balivada</v>
          </cell>
          <cell r="T10" t="str">
            <v>Individual</v>
          </cell>
          <cell r="U10">
            <v>1099</v>
          </cell>
          <cell r="V10" t="str">
            <v>Genpact</v>
          </cell>
          <cell r="W10">
            <v>21</v>
          </cell>
          <cell r="X10">
            <v>31.5</v>
          </cell>
          <cell r="Y10" t="str">
            <v>USD</v>
          </cell>
          <cell r="Z10">
            <v>28</v>
          </cell>
          <cell r="AA10">
            <v>42</v>
          </cell>
          <cell r="AB10">
            <v>0</v>
          </cell>
          <cell r="AC10">
            <v>0</v>
          </cell>
          <cell r="AD10">
            <v>45672</v>
          </cell>
          <cell r="AE10">
            <v>23</v>
          </cell>
          <cell r="AF10">
            <v>46022</v>
          </cell>
          <cell r="AG10">
            <v>22.470000000000002</v>
          </cell>
          <cell r="AH10">
            <v>33.705000000000005</v>
          </cell>
          <cell r="AI10">
            <v>22.470000000000002</v>
          </cell>
          <cell r="AJ10">
            <v>28</v>
          </cell>
          <cell r="AK10">
            <v>42</v>
          </cell>
          <cell r="AL10">
            <v>8.2949999999999946</v>
          </cell>
          <cell r="AM10">
            <v>5.5299999999999976</v>
          </cell>
          <cell r="AN10">
            <v>8.2949999999999946</v>
          </cell>
          <cell r="AO10">
            <v>5.5299999999999976</v>
          </cell>
          <cell r="AP10">
            <v>8.2949999999999946</v>
          </cell>
          <cell r="AQ10">
            <v>5.5299999999999976</v>
          </cell>
          <cell r="AR10" t="str">
            <v>US_24224</v>
          </cell>
          <cell r="AS10">
            <v>20</v>
          </cell>
          <cell r="AT10">
            <v>160</v>
          </cell>
          <cell r="AU10">
            <v>160</v>
          </cell>
          <cell r="AV10">
            <v>165.89999999999989</v>
          </cell>
          <cell r="AW10">
            <v>884.79999999999961</v>
          </cell>
          <cell r="AX10">
            <v>1040.1929999999995</v>
          </cell>
          <cell r="AY10">
            <v>884.79999999999961</v>
          </cell>
          <cell r="AZ10">
            <v>0</v>
          </cell>
          <cell r="BA10">
            <v>0</v>
          </cell>
          <cell r="BB10">
            <v>0</v>
          </cell>
          <cell r="BC10">
            <v>63</v>
          </cell>
          <cell r="BD10">
            <v>884.79999999999961</v>
          </cell>
          <cell r="BE10">
            <v>1061.7599999999995</v>
          </cell>
          <cell r="BF10">
            <v>1040.1929999999995</v>
          </cell>
          <cell r="BG10">
            <v>4480</v>
          </cell>
          <cell r="BH10">
            <v>4480</v>
          </cell>
          <cell r="BI10">
            <v>3360</v>
          </cell>
          <cell r="BJ10">
            <v>1.4700000000000002</v>
          </cell>
          <cell r="BK10">
            <v>0</v>
          </cell>
          <cell r="BL10">
            <v>235.20000000000005</v>
          </cell>
          <cell r="BM10">
            <v>3595.2</v>
          </cell>
          <cell r="BN10">
            <v>1.4700000000000002</v>
          </cell>
          <cell r="BO10">
            <v>884.8</v>
          </cell>
          <cell r="BP10" t="str">
            <v>Y</v>
          </cell>
          <cell r="BQ10">
            <v>1</v>
          </cell>
          <cell r="BR10" t="str">
            <v>N</v>
          </cell>
          <cell r="BS10">
            <v>0</v>
          </cell>
          <cell r="BT10" t="str">
            <v>Done</v>
          </cell>
          <cell r="BU10">
            <v>160</v>
          </cell>
          <cell r="BV10">
            <v>2024</v>
          </cell>
        </row>
        <row r="11">
          <cell r="A11" t="str">
            <v>Lucknow</v>
          </cell>
          <cell r="B11" t="str">
            <v>Titans</v>
          </cell>
          <cell r="C11" t="str">
            <v>Mid Level</v>
          </cell>
          <cell r="D11" t="str">
            <v>Nitin Saxena</v>
          </cell>
          <cell r="E11" t="str">
            <v>-</v>
          </cell>
          <cell r="H11" t="str">
            <v>Tushar Bisht</v>
          </cell>
          <cell r="J11" t="str">
            <v>ACH</v>
          </cell>
          <cell r="K11">
            <v>0</v>
          </cell>
          <cell r="L11" t="str">
            <v>Old</v>
          </cell>
          <cell r="M11">
            <v>45390</v>
          </cell>
          <cell r="N11">
            <v>2</v>
          </cell>
          <cell r="O11">
            <v>656</v>
          </cell>
          <cell r="P11" t="str">
            <v>-</v>
          </cell>
          <cell r="Q11">
            <v>45755</v>
          </cell>
          <cell r="R11" t="str">
            <v>PLC-3720</v>
          </cell>
          <cell r="S11" t="str">
            <v>Abhishek Patro Balivada</v>
          </cell>
          <cell r="T11" t="str">
            <v>Individual</v>
          </cell>
          <cell r="U11">
            <v>1099</v>
          </cell>
          <cell r="V11" t="str">
            <v>Genpact</v>
          </cell>
          <cell r="W11">
            <v>21</v>
          </cell>
          <cell r="X11">
            <v>31.5</v>
          </cell>
          <cell r="Y11" t="str">
            <v>USD</v>
          </cell>
          <cell r="Z11">
            <v>28</v>
          </cell>
          <cell r="AA11">
            <v>42</v>
          </cell>
          <cell r="AB11">
            <v>0</v>
          </cell>
          <cell r="AC11">
            <v>0</v>
          </cell>
          <cell r="AD11">
            <v>45703</v>
          </cell>
          <cell r="AE11">
            <v>20</v>
          </cell>
          <cell r="AF11">
            <v>46022</v>
          </cell>
          <cell r="AG11">
            <v>22.470000000000002</v>
          </cell>
          <cell r="AH11">
            <v>33.705000000000005</v>
          </cell>
          <cell r="AI11">
            <v>22.470000000000002</v>
          </cell>
          <cell r="AJ11">
            <v>28</v>
          </cell>
          <cell r="AK11">
            <v>42</v>
          </cell>
          <cell r="AL11">
            <v>8.2949999999999946</v>
          </cell>
          <cell r="AM11">
            <v>5.5299999999999976</v>
          </cell>
          <cell r="AN11">
            <v>8.2949999999999946</v>
          </cell>
          <cell r="AO11">
            <v>5.5299999999999976</v>
          </cell>
          <cell r="AP11">
            <v>8.2949999999999946</v>
          </cell>
          <cell r="AQ11">
            <v>5.5299999999999976</v>
          </cell>
          <cell r="AR11" t="str">
            <v>US_24431</v>
          </cell>
          <cell r="AS11">
            <v>16</v>
          </cell>
          <cell r="AT11">
            <v>160</v>
          </cell>
          <cell r="AU11">
            <v>160</v>
          </cell>
          <cell r="AV11">
            <v>132.71999999999991</v>
          </cell>
          <cell r="AW11">
            <v>884.79999999999961</v>
          </cell>
          <cell r="AX11">
            <v>1007.3447999999995</v>
          </cell>
          <cell r="AY11">
            <v>884.79999999999961</v>
          </cell>
          <cell r="AZ11">
            <v>0</v>
          </cell>
          <cell r="BA11">
            <v>0</v>
          </cell>
          <cell r="BB11">
            <v>0</v>
          </cell>
          <cell r="BC11">
            <v>63</v>
          </cell>
          <cell r="BD11">
            <v>884.79999999999961</v>
          </cell>
          <cell r="BE11">
            <v>1061.7599999999995</v>
          </cell>
          <cell r="BF11">
            <v>1007.3447999999995</v>
          </cell>
          <cell r="BG11">
            <v>4480</v>
          </cell>
          <cell r="BH11">
            <v>4480</v>
          </cell>
          <cell r="BI11">
            <v>3360</v>
          </cell>
          <cell r="BJ11">
            <v>1.4700000000000002</v>
          </cell>
          <cell r="BK11">
            <v>0</v>
          </cell>
          <cell r="BL11">
            <v>235.20000000000005</v>
          </cell>
          <cell r="BM11">
            <v>3595.2</v>
          </cell>
          <cell r="BN11">
            <v>1.4700000000000002</v>
          </cell>
          <cell r="BO11">
            <v>884.8</v>
          </cell>
          <cell r="BP11" t="str">
            <v>Y</v>
          </cell>
          <cell r="BQ11">
            <v>1</v>
          </cell>
          <cell r="BR11" t="str">
            <v>N</v>
          </cell>
          <cell r="BS11">
            <v>0</v>
          </cell>
          <cell r="BT11" t="str">
            <v>Done</v>
          </cell>
          <cell r="BU11">
            <v>160</v>
          </cell>
          <cell r="BV11">
            <v>2024</v>
          </cell>
        </row>
        <row r="12">
          <cell r="A12" t="str">
            <v>Lucknow</v>
          </cell>
          <cell r="B12" t="str">
            <v>Titans</v>
          </cell>
          <cell r="C12" t="str">
            <v>Mid Level</v>
          </cell>
          <cell r="D12" t="str">
            <v>Nitin Saxena</v>
          </cell>
          <cell r="E12" t="str">
            <v>-</v>
          </cell>
          <cell r="H12" t="str">
            <v>Tushar Bisht</v>
          </cell>
          <cell r="J12" t="str">
            <v>ACH</v>
          </cell>
          <cell r="K12">
            <v>0</v>
          </cell>
          <cell r="L12" t="str">
            <v>Old</v>
          </cell>
          <cell r="M12">
            <v>45390</v>
          </cell>
          <cell r="N12">
            <v>2</v>
          </cell>
          <cell r="O12">
            <v>656</v>
          </cell>
          <cell r="P12" t="str">
            <v>-</v>
          </cell>
          <cell r="Q12">
            <v>45755</v>
          </cell>
          <cell r="R12" t="str">
            <v>PLC-3720</v>
          </cell>
          <cell r="S12" t="str">
            <v>Abhishek Patro Balivada</v>
          </cell>
          <cell r="T12" t="str">
            <v>Individual</v>
          </cell>
          <cell r="U12">
            <v>1099</v>
          </cell>
          <cell r="V12" t="str">
            <v>Genpact</v>
          </cell>
          <cell r="W12">
            <v>21</v>
          </cell>
          <cell r="X12">
            <v>31.5</v>
          </cell>
          <cell r="Y12" t="str">
            <v>USD</v>
          </cell>
          <cell r="Z12">
            <v>28</v>
          </cell>
          <cell r="AA12">
            <v>42</v>
          </cell>
          <cell r="AB12">
            <v>0</v>
          </cell>
          <cell r="AC12">
            <v>0</v>
          </cell>
          <cell r="AD12">
            <v>45731</v>
          </cell>
          <cell r="AE12">
            <v>21</v>
          </cell>
          <cell r="AF12">
            <v>46022</v>
          </cell>
          <cell r="AG12">
            <v>22.470000000000002</v>
          </cell>
          <cell r="AH12">
            <v>33.705000000000005</v>
          </cell>
          <cell r="AI12">
            <v>22.470000000000002</v>
          </cell>
          <cell r="AJ12">
            <v>28</v>
          </cell>
          <cell r="AK12">
            <v>42</v>
          </cell>
          <cell r="AL12">
            <v>8.2949999999999946</v>
          </cell>
          <cell r="AM12">
            <v>5.5299999999999976</v>
          </cell>
          <cell r="AN12">
            <v>8.2949999999999946</v>
          </cell>
          <cell r="AO12">
            <v>5.5299999999999976</v>
          </cell>
          <cell r="AP12">
            <v>8.2949999999999946</v>
          </cell>
          <cell r="AQ12">
            <v>5.5299999999999976</v>
          </cell>
          <cell r="AR12" t="str">
            <v>US_24623</v>
          </cell>
          <cell r="AS12">
            <v>10</v>
          </cell>
          <cell r="AT12">
            <v>175</v>
          </cell>
          <cell r="AU12">
            <v>175</v>
          </cell>
          <cell r="AV12">
            <v>82.949999999999946</v>
          </cell>
          <cell r="AW12">
            <v>967.74999999999955</v>
          </cell>
          <cell r="AX12">
            <v>1040.1929999999995</v>
          </cell>
          <cell r="AY12">
            <v>967.74999999999955</v>
          </cell>
          <cell r="AZ12">
            <v>0</v>
          </cell>
          <cell r="BA12">
            <v>0</v>
          </cell>
          <cell r="BB12">
            <v>0</v>
          </cell>
          <cell r="BC12">
            <v>63</v>
          </cell>
          <cell r="BD12">
            <v>967.74999999999955</v>
          </cell>
          <cell r="BE12">
            <v>1161.2999999999995</v>
          </cell>
          <cell r="BF12">
            <v>1040.1929999999995</v>
          </cell>
          <cell r="BG12">
            <v>4900</v>
          </cell>
          <cell r="BH12">
            <v>4900</v>
          </cell>
          <cell r="BI12">
            <v>3675</v>
          </cell>
          <cell r="BJ12">
            <v>1.4700000000000002</v>
          </cell>
          <cell r="BK12">
            <v>0</v>
          </cell>
          <cell r="BL12">
            <v>257.25000000000006</v>
          </cell>
          <cell r="BM12">
            <v>3932.25</v>
          </cell>
          <cell r="BN12">
            <v>1.4700000000000002</v>
          </cell>
          <cell r="BO12">
            <v>967.75</v>
          </cell>
          <cell r="BP12" t="str">
            <v>Y</v>
          </cell>
          <cell r="BQ12">
            <v>1</v>
          </cell>
          <cell r="BR12" t="str">
            <v>N</v>
          </cell>
          <cell r="BS12">
            <v>0</v>
          </cell>
          <cell r="BT12" t="str">
            <v>Done</v>
          </cell>
          <cell r="BU12">
            <v>175</v>
          </cell>
          <cell r="BV12">
            <v>2024</v>
          </cell>
        </row>
        <row r="13">
          <cell r="A13" t="str">
            <v>Lucknow</v>
          </cell>
          <cell r="B13" t="str">
            <v>Titans</v>
          </cell>
          <cell r="C13" t="str">
            <v>Mid Level</v>
          </cell>
          <cell r="D13" t="str">
            <v>Nitin Saxena</v>
          </cell>
          <cell r="E13" t="str">
            <v>-</v>
          </cell>
          <cell r="H13" t="str">
            <v>Tushar Bisht</v>
          </cell>
          <cell r="J13" t="str">
            <v>ACH</v>
          </cell>
          <cell r="K13">
            <v>0</v>
          </cell>
          <cell r="L13" t="str">
            <v>Old</v>
          </cell>
          <cell r="M13">
            <v>45390</v>
          </cell>
          <cell r="N13">
            <v>2</v>
          </cell>
          <cell r="O13">
            <v>656</v>
          </cell>
          <cell r="P13" t="str">
            <v>-</v>
          </cell>
          <cell r="Q13">
            <v>45755</v>
          </cell>
          <cell r="R13" t="str">
            <v>PLC-3720</v>
          </cell>
          <cell r="S13" t="str">
            <v>Abhishek Patro Balivada</v>
          </cell>
          <cell r="T13" t="str">
            <v>Individual</v>
          </cell>
          <cell r="U13">
            <v>1099</v>
          </cell>
          <cell r="V13" t="str">
            <v>Genpact</v>
          </cell>
          <cell r="W13">
            <v>21</v>
          </cell>
          <cell r="X13">
            <v>31.5</v>
          </cell>
          <cell r="Y13" t="str">
            <v>USD</v>
          </cell>
          <cell r="Z13">
            <v>28</v>
          </cell>
          <cell r="AA13">
            <v>42</v>
          </cell>
          <cell r="AB13">
            <v>0</v>
          </cell>
          <cell r="AC13">
            <v>0</v>
          </cell>
          <cell r="AD13">
            <v>45762</v>
          </cell>
          <cell r="AE13">
            <v>22</v>
          </cell>
          <cell r="AF13">
            <v>46022</v>
          </cell>
          <cell r="AG13">
            <v>22.470000000000002</v>
          </cell>
          <cell r="AH13">
            <v>33.705000000000005</v>
          </cell>
          <cell r="AI13">
            <v>22.470000000000002</v>
          </cell>
          <cell r="AJ13">
            <v>28</v>
          </cell>
          <cell r="AK13">
            <v>42</v>
          </cell>
          <cell r="AL13">
            <v>8.2949999999999946</v>
          </cell>
          <cell r="AM13">
            <v>5.5299999999999976</v>
          </cell>
          <cell r="AN13">
            <v>8.2949999999999946</v>
          </cell>
          <cell r="AO13">
            <v>5.5299999999999976</v>
          </cell>
          <cell r="AP13">
            <v>8.2949999999999946</v>
          </cell>
          <cell r="AQ13">
            <v>5.5299999999999976</v>
          </cell>
          <cell r="AR13" t="str">
            <v>US_24832</v>
          </cell>
          <cell r="AS13">
            <v>5</v>
          </cell>
          <cell r="AT13">
            <v>170</v>
          </cell>
          <cell r="AU13">
            <v>170</v>
          </cell>
          <cell r="AV13">
            <v>41.474999999999973</v>
          </cell>
          <cell r="AW13">
            <v>940.09999999999957</v>
          </cell>
          <cell r="AX13">
            <v>971.75924999999961</v>
          </cell>
          <cell r="AY13">
            <v>940.09999999999957</v>
          </cell>
          <cell r="AZ13">
            <v>0</v>
          </cell>
          <cell r="BA13">
            <v>0</v>
          </cell>
          <cell r="BB13">
            <v>0</v>
          </cell>
          <cell r="BC13">
            <v>63</v>
          </cell>
          <cell r="BD13">
            <v>0</v>
          </cell>
          <cell r="BE13">
            <v>0</v>
          </cell>
          <cell r="BF13">
            <v>0</v>
          </cell>
          <cell r="BG13">
            <v>4760</v>
          </cell>
          <cell r="BH13">
            <v>4760</v>
          </cell>
          <cell r="BI13">
            <v>3570</v>
          </cell>
          <cell r="BJ13">
            <v>1.4700000000000002</v>
          </cell>
          <cell r="BK13">
            <v>0</v>
          </cell>
          <cell r="BL13">
            <v>249.90000000000003</v>
          </cell>
          <cell r="BM13">
            <v>3819.9</v>
          </cell>
          <cell r="BN13">
            <v>1.4700000000000002</v>
          </cell>
          <cell r="BO13">
            <v>940.09999999999991</v>
          </cell>
          <cell r="BP13" t="str">
            <v>Y</v>
          </cell>
          <cell r="BQ13">
            <v>2</v>
          </cell>
          <cell r="BR13" t="str">
            <v>N</v>
          </cell>
          <cell r="BS13">
            <v>0</v>
          </cell>
          <cell r="BT13" t="str">
            <v>Done</v>
          </cell>
          <cell r="BU13">
            <v>170</v>
          </cell>
          <cell r="BV13">
            <v>2024</v>
          </cell>
        </row>
        <row r="14">
          <cell r="A14" t="str">
            <v>Noida</v>
          </cell>
          <cell r="B14" t="str">
            <v>Noida IT</v>
          </cell>
          <cell r="C14" t="str">
            <v>Mid Level</v>
          </cell>
          <cell r="D14" t="str">
            <v>Akash Saxena</v>
          </cell>
          <cell r="E14" t="str">
            <v>-</v>
          </cell>
          <cell r="H14" t="str">
            <v>Prashant Pal</v>
          </cell>
          <cell r="K14">
            <v>0</v>
          </cell>
          <cell r="L14" t="str">
            <v>Old</v>
          </cell>
          <cell r="M14">
            <v>45621</v>
          </cell>
          <cell r="N14">
            <v>4</v>
          </cell>
          <cell r="O14">
            <v>425</v>
          </cell>
          <cell r="P14">
            <v>45751</v>
          </cell>
          <cell r="Q14">
            <v>45986</v>
          </cell>
          <cell r="R14" t="str">
            <v>PLC-4058</v>
          </cell>
          <cell r="S14" t="str">
            <v>Abhishek Shrivastava</v>
          </cell>
          <cell r="T14" t="str">
            <v>Individual</v>
          </cell>
          <cell r="U14" t="str">
            <v>C2C</v>
          </cell>
          <cell r="V14" t="str">
            <v>Citius Tech</v>
          </cell>
          <cell r="W14">
            <v>50</v>
          </cell>
          <cell r="X14">
            <v>0</v>
          </cell>
          <cell r="Y14" t="str">
            <v>USD</v>
          </cell>
          <cell r="Z14">
            <v>58</v>
          </cell>
          <cell r="AA14">
            <v>0</v>
          </cell>
          <cell r="AB14">
            <v>0</v>
          </cell>
          <cell r="AC14">
            <v>0</v>
          </cell>
          <cell r="AD14">
            <v>45672</v>
          </cell>
          <cell r="AE14">
            <v>22</v>
          </cell>
          <cell r="AF14">
            <v>46022</v>
          </cell>
          <cell r="AG14">
            <v>50</v>
          </cell>
          <cell r="AH14">
            <v>0</v>
          </cell>
          <cell r="AI14">
            <v>50</v>
          </cell>
          <cell r="AJ14">
            <v>58</v>
          </cell>
          <cell r="AK14">
            <v>0</v>
          </cell>
          <cell r="AL14">
            <v>0</v>
          </cell>
          <cell r="AM14">
            <v>8</v>
          </cell>
          <cell r="AN14">
            <v>0</v>
          </cell>
          <cell r="AO14">
            <v>8</v>
          </cell>
          <cell r="AP14">
            <v>0</v>
          </cell>
          <cell r="AQ14">
            <v>8</v>
          </cell>
          <cell r="AR14" t="str">
            <v>US_24265</v>
          </cell>
          <cell r="AS14">
            <v>0</v>
          </cell>
          <cell r="AT14">
            <v>176</v>
          </cell>
          <cell r="AU14">
            <v>176</v>
          </cell>
          <cell r="AV14">
            <v>0</v>
          </cell>
          <cell r="AW14">
            <v>1408</v>
          </cell>
          <cell r="AX14">
            <v>1408</v>
          </cell>
          <cell r="AY14">
            <v>1408</v>
          </cell>
          <cell r="AZ14">
            <v>16.666666666666664</v>
          </cell>
          <cell r="BA14">
            <v>12.8</v>
          </cell>
          <cell r="BB14">
            <v>2252.8000000000002</v>
          </cell>
          <cell r="BD14">
            <v>1408</v>
          </cell>
          <cell r="BF14">
            <v>1408</v>
          </cell>
          <cell r="BG14">
            <v>10208</v>
          </cell>
          <cell r="BH14">
            <v>10208</v>
          </cell>
          <cell r="BI14">
            <v>8800</v>
          </cell>
          <cell r="BJ14">
            <v>0</v>
          </cell>
          <cell r="BK14">
            <v>0</v>
          </cell>
          <cell r="BL14">
            <v>0</v>
          </cell>
          <cell r="BM14">
            <v>8800</v>
          </cell>
          <cell r="BN14">
            <v>0</v>
          </cell>
          <cell r="BO14">
            <v>1408</v>
          </cell>
          <cell r="BP14" t="str">
            <v>Y</v>
          </cell>
          <cell r="BQ14">
            <v>1</v>
          </cell>
          <cell r="BR14" t="str">
            <v>N</v>
          </cell>
          <cell r="BS14">
            <v>2252.8000000000002</v>
          </cell>
          <cell r="BT14" t="str">
            <v>Done</v>
          </cell>
          <cell r="BU14">
            <v>176</v>
          </cell>
          <cell r="BV14">
            <v>2024</v>
          </cell>
        </row>
        <row r="15">
          <cell r="A15" t="str">
            <v>Noida</v>
          </cell>
          <cell r="B15" t="str">
            <v>Noida IT</v>
          </cell>
          <cell r="C15" t="str">
            <v>Mid Level</v>
          </cell>
          <cell r="D15" t="str">
            <v>Akash Saxena</v>
          </cell>
          <cell r="E15" t="str">
            <v>-</v>
          </cell>
          <cell r="H15" t="str">
            <v>Prashant Pal</v>
          </cell>
          <cell r="K15">
            <v>0</v>
          </cell>
          <cell r="L15" t="str">
            <v>Old</v>
          </cell>
          <cell r="M15">
            <v>45621</v>
          </cell>
          <cell r="N15">
            <v>4</v>
          </cell>
          <cell r="O15">
            <v>425</v>
          </cell>
          <cell r="P15">
            <v>45751</v>
          </cell>
          <cell r="Q15">
            <v>45986</v>
          </cell>
          <cell r="R15" t="str">
            <v>PLC-4058</v>
          </cell>
          <cell r="S15" t="str">
            <v>Abhishek Shrivastava</v>
          </cell>
          <cell r="T15" t="str">
            <v>Individual</v>
          </cell>
          <cell r="U15" t="str">
            <v>C2C</v>
          </cell>
          <cell r="V15" t="str">
            <v>Citius Tech</v>
          </cell>
          <cell r="W15">
            <v>50</v>
          </cell>
          <cell r="X15">
            <v>0</v>
          </cell>
          <cell r="Y15" t="str">
            <v>USD</v>
          </cell>
          <cell r="Z15">
            <v>58</v>
          </cell>
          <cell r="AA15">
            <v>0</v>
          </cell>
          <cell r="AB15">
            <v>0</v>
          </cell>
          <cell r="AC15">
            <v>0</v>
          </cell>
          <cell r="AD15">
            <v>45703</v>
          </cell>
          <cell r="AE15">
            <v>20</v>
          </cell>
          <cell r="AF15">
            <v>46022</v>
          </cell>
          <cell r="AG15">
            <v>50</v>
          </cell>
          <cell r="AH15">
            <v>0</v>
          </cell>
          <cell r="AI15">
            <v>50</v>
          </cell>
          <cell r="AJ15">
            <v>58</v>
          </cell>
          <cell r="AK15">
            <v>0</v>
          </cell>
          <cell r="AL15">
            <v>0</v>
          </cell>
          <cell r="AM15">
            <v>8</v>
          </cell>
          <cell r="AN15">
            <v>0</v>
          </cell>
          <cell r="AO15">
            <v>8</v>
          </cell>
          <cell r="AP15">
            <v>0</v>
          </cell>
          <cell r="AQ15">
            <v>8</v>
          </cell>
          <cell r="AR15" t="str">
            <v>US_24466</v>
          </cell>
          <cell r="AS15">
            <v>0</v>
          </cell>
          <cell r="AT15">
            <v>160</v>
          </cell>
          <cell r="AU15">
            <v>160</v>
          </cell>
          <cell r="AV15">
            <v>0</v>
          </cell>
          <cell r="AW15">
            <v>1280</v>
          </cell>
          <cell r="AX15">
            <v>1280</v>
          </cell>
          <cell r="AY15">
            <v>1280</v>
          </cell>
          <cell r="AZ15">
            <v>16.666666666666664</v>
          </cell>
          <cell r="BA15">
            <v>12.8</v>
          </cell>
          <cell r="BB15">
            <v>2048</v>
          </cell>
          <cell r="BD15">
            <v>1280</v>
          </cell>
          <cell r="BF15">
            <v>1280</v>
          </cell>
          <cell r="BG15">
            <v>9280</v>
          </cell>
          <cell r="BH15">
            <v>9280</v>
          </cell>
          <cell r="BI15">
            <v>8000</v>
          </cell>
          <cell r="BJ15">
            <v>0</v>
          </cell>
          <cell r="BK15">
            <v>0</v>
          </cell>
          <cell r="BL15">
            <v>0</v>
          </cell>
          <cell r="BM15">
            <v>8000</v>
          </cell>
          <cell r="BN15">
            <v>0</v>
          </cell>
          <cell r="BO15">
            <v>1280</v>
          </cell>
          <cell r="BP15" t="str">
            <v>Y</v>
          </cell>
          <cell r="BQ15">
            <v>1</v>
          </cell>
          <cell r="BR15" t="str">
            <v>N</v>
          </cell>
          <cell r="BS15">
            <v>2048</v>
          </cell>
          <cell r="BT15" t="str">
            <v>Done</v>
          </cell>
          <cell r="BU15">
            <v>160</v>
          </cell>
          <cell r="BV15">
            <v>2024</v>
          </cell>
        </row>
        <row r="16">
          <cell r="A16" t="str">
            <v>Noida</v>
          </cell>
          <cell r="B16" t="str">
            <v>Noida IT</v>
          </cell>
          <cell r="C16" t="str">
            <v>Mid Level</v>
          </cell>
          <cell r="D16" t="str">
            <v>Akash Saxena</v>
          </cell>
          <cell r="E16" t="str">
            <v>-</v>
          </cell>
          <cell r="H16" t="str">
            <v>Prashant Pal</v>
          </cell>
          <cell r="K16">
            <v>0</v>
          </cell>
          <cell r="L16" t="str">
            <v>Old</v>
          </cell>
          <cell r="M16">
            <v>45621</v>
          </cell>
          <cell r="N16">
            <v>4</v>
          </cell>
          <cell r="O16">
            <v>425</v>
          </cell>
          <cell r="P16">
            <v>45751</v>
          </cell>
          <cell r="Q16">
            <v>45986</v>
          </cell>
          <cell r="R16" t="str">
            <v>PLC-4058</v>
          </cell>
          <cell r="S16" t="str">
            <v>Abhishek Shrivastava</v>
          </cell>
          <cell r="T16" t="str">
            <v>Individual</v>
          </cell>
          <cell r="U16" t="str">
            <v>C2C</v>
          </cell>
          <cell r="V16" t="str">
            <v>Citius Tech</v>
          </cell>
          <cell r="W16">
            <v>50</v>
          </cell>
          <cell r="X16">
            <v>0</v>
          </cell>
          <cell r="Y16" t="str">
            <v>USD</v>
          </cell>
          <cell r="Z16">
            <v>58</v>
          </cell>
          <cell r="AA16">
            <v>0</v>
          </cell>
          <cell r="AB16">
            <v>0</v>
          </cell>
          <cell r="AC16">
            <v>0</v>
          </cell>
          <cell r="AD16">
            <v>45731</v>
          </cell>
          <cell r="AE16">
            <v>21</v>
          </cell>
          <cell r="AF16">
            <v>46022</v>
          </cell>
          <cell r="AG16">
            <v>50</v>
          </cell>
          <cell r="AH16">
            <v>0</v>
          </cell>
          <cell r="AI16">
            <v>50</v>
          </cell>
          <cell r="AJ16">
            <v>58</v>
          </cell>
          <cell r="AK16">
            <v>0</v>
          </cell>
          <cell r="AL16">
            <v>0</v>
          </cell>
          <cell r="AM16">
            <v>8</v>
          </cell>
          <cell r="AN16">
            <v>0</v>
          </cell>
          <cell r="AO16">
            <v>8</v>
          </cell>
          <cell r="AP16">
            <v>0</v>
          </cell>
          <cell r="AQ16">
            <v>8</v>
          </cell>
          <cell r="AR16" t="str">
            <v>US_24653</v>
          </cell>
          <cell r="AS16">
            <v>0</v>
          </cell>
          <cell r="AT16">
            <v>168</v>
          </cell>
          <cell r="AU16">
            <v>168</v>
          </cell>
          <cell r="AV16">
            <v>0</v>
          </cell>
          <cell r="AW16">
            <v>1344</v>
          </cell>
          <cell r="AX16">
            <v>1344</v>
          </cell>
          <cell r="AY16">
            <v>1344</v>
          </cell>
          <cell r="AZ16">
            <v>16.666666666666664</v>
          </cell>
          <cell r="BA16">
            <v>12.8</v>
          </cell>
          <cell r="BB16">
            <v>2150.4</v>
          </cell>
          <cell r="BD16">
            <v>1344</v>
          </cell>
          <cell r="BF16">
            <v>1344</v>
          </cell>
          <cell r="BG16">
            <v>9744</v>
          </cell>
          <cell r="BH16">
            <v>9744</v>
          </cell>
          <cell r="BI16">
            <v>8400</v>
          </cell>
          <cell r="BJ16">
            <v>0</v>
          </cell>
          <cell r="BK16">
            <v>0</v>
          </cell>
          <cell r="BL16">
            <v>0</v>
          </cell>
          <cell r="BM16">
            <v>8400</v>
          </cell>
          <cell r="BN16">
            <v>0</v>
          </cell>
          <cell r="BO16">
            <v>1344</v>
          </cell>
          <cell r="BP16" t="str">
            <v>Y</v>
          </cell>
          <cell r="BQ16">
            <v>1</v>
          </cell>
          <cell r="BR16" t="str">
            <v>N</v>
          </cell>
          <cell r="BS16">
            <v>2150.4</v>
          </cell>
          <cell r="BT16" t="str">
            <v>Done</v>
          </cell>
          <cell r="BU16">
            <v>168</v>
          </cell>
          <cell r="BV16">
            <v>2024</v>
          </cell>
        </row>
        <row r="17">
          <cell r="A17" t="str">
            <v>Noida</v>
          </cell>
          <cell r="B17" t="str">
            <v>Noida IT</v>
          </cell>
          <cell r="C17" t="str">
            <v>Mid Level</v>
          </cell>
          <cell r="D17" t="str">
            <v>Akash Saxena</v>
          </cell>
          <cell r="E17" t="str">
            <v>-</v>
          </cell>
          <cell r="H17" t="str">
            <v>Prashant Pal</v>
          </cell>
          <cell r="K17">
            <v>0</v>
          </cell>
          <cell r="L17" t="str">
            <v>Old</v>
          </cell>
          <cell r="M17">
            <v>45621</v>
          </cell>
          <cell r="N17">
            <v>4</v>
          </cell>
          <cell r="O17">
            <v>425</v>
          </cell>
          <cell r="P17">
            <v>45751</v>
          </cell>
          <cell r="Q17">
            <v>45986</v>
          </cell>
          <cell r="R17" t="str">
            <v>PLC-4058</v>
          </cell>
          <cell r="S17" t="str">
            <v>Abhishek Shrivastava</v>
          </cell>
          <cell r="T17" t="str">
            <v>Individual</v>
          </cell>
          <cell r="U17" t="str">
            <v>C2C</v>
          </cell>
          <cell r="V17" t="str">
            <v>Citius Tech</v>
          </cell>
          <cell r="W17">
            <v>50</v>
          </cell>
          <cell r="X17">
            <v>0</v>
          </cell>
          <cell r="Y17" t="str">
            <v>USD</v>
          </cell>
          <cell r="Z17">
            <v>58</v>
          </cell>
          <cell r="AA17">
            <v>0</v>
          </cell>
          <cell r="AB17">
            <v>0</v>
          </cell>
          <cell r="AC17">
            <v>0</v>
          </cell>
          <cell r="AD17">
            <v>45762</v>
          </cell>
          <cell r="AE17">
            <v>4</v>
          </cell>
          <cell r="AF17">
            <v>46022</v>
          </cell>
          <cell r="AG17">
            <v>50</v>
          </cell>
          <cell r="AH17">
            <v>0</v>
          </cell>
          <cell r="AI17">
            <v>50</v>
          </cell>
          <cell r="AJ17">
            <v>58</v>
          </cell>
          <cell r="AK17">
            <v>0</v>
          </cell>
          <cell r="AL17">
            <v>0</v>
          </cell>
          <cell r="AM17">
            <v>8</v>
          </cell>
          <cell r="AN17">
            <v>0</v>
          </cell>
          <cell r="AO17">
            <v>8</v>
          </cell>
          <cell r="AP17">
            <v>0</v>
          </cell>
          <cell r="AQ17">
            <v>8</v>
          </cell>
          <cell r="AR17" t="str">
            <v>US_24707</v>
          </cell>
          <cell r="AS17">
            <v>0</v>
          </cell>
          <cell r="AT17">
            <v>32</v>
          </cell>
          <cell r="AU17">
            <v>32</v>
          </cell>
          <cell r="AV17">
            <v>0</v>
          </cell>
          <cell r="AW17">
            <v>256</v>
          </cell>
          <cell r="AX17">
            <v>256</v>
          </cell>
          <cell r="AY17">
            <v>256</v>
          </cell>
          <cell r="AZ17">
            <v>16.666666666666664</v>
          </cell>
          <cell r="BA17">
            <v>12.8</v>
          </cell>
          <cell r="BB17">
            <v>409.6</v>
          </cell>
          <cell r="BD17">
            <v>256</v>
          </cell>
          <cell r="BF17">
            <v>256</v>
          </cell>
          <cell r="BG17">
            <v>1856</v>
          </cell>
          <cell r="BH17">
            <v>1856</v>
          </cell>
          <cell r="BI17">
            <v>1600</v>
          </cell>
          <cell r="BJ17">
            <v>0</v>
          </cell>
          <cell r="BK17">
            <v>0</v>
          </cell>
          <cell r="BL17">
            <v>0</v>
          </cell>
          <cell r="BM17">
            <v>1600</v>
          </cell>
          <cell r="BN17">
            <v>0</v>
          </cell>
          <cell r="BO17">
            <v>256</v>
          </cell>
          <cell r="BP17" t="str">
            <v>Y</v>
          </cell>
          <cell r="BQ17">
            <v>2</v>
          </cell>
          <cell r="BR17" t="str">
            <v>N</v>
          </cell>
          <cell r="BS17">
            <v>409.6</v>
          </cell>
          <cell r="BT17" t="str">
            <v>Done</v>
          </cell>
          <cell r="BU17">
            <v>32</v>
          </cell>
          <cell r="BV17">
            <v>2024</v>
          </cell>
        </row>
        <row r="18">
          <cell r="A18" t="str">
            <v>Lucknow</v>
          </cell>
          <cell r="B18" t="str">
            <v>Trust</v>
          </cell>
          <cell r="C18" t="str">
            <v>Mid Level</v>
          </cell>
          <cell r="D18" t="str">
            <v>Harsh Agarwal</v>
          </cell>
          <cell r="E18" t="str">
            <v>Atul Priyadarshi</v>
          </cell>
          <cell r="H18" t="str">
            <v>Himanshu Indus</v>
          </cell>
          <cell r="K18">
            <v>0</v>
          </cell>
          <cell r="L18" t="str">
            <v>Old</v>
          </cell>
          <cell r="M18">
            <v>45397</v>
          </cell>
          <cell r="N18">
            <v>2</v>
          </cell>
          <cell r="O18">
            <v>649</v>
          </cell>
          <cell r="P18">
            <v>45761</v>
          </cell>
          <cell r="Q18">
            <v>45762</v>
          </cell>
          <cell r="R18" t="str">
            <v>PLC-3728</v>
          </cell>
          <cell r="S18" t="str">
            <v>Abinaya Ramaswamy</v>
          </cell>
          <cell r="T18" t="str">
            <v>Individual</v>
          </cell>
          <cell r="U18" t="str">
            <v>Referral</v>
          </cell>
          <cell r="V18" t="str">
            <v>Innova Solutions</v>
          </cell>
          <cell r="W18">
            <v>0</v>
          </cell>
          <cell r="X18">
            <v>0</v>
          </cell>
          <cell r="Y18" t="str">
            <v>USD</v>
          </cell>
          <cell r="Z18">
            <v>2.5</v>
          </cell>
          <cell r="AA18">
            <v>2.5</v>
          </cell>
          <cell r="AB18">
            <v>0</v>
          </cell>
          <cell r="AC18">
            <v>0</v>
          </cell>
          <cell r="AD18">
            <v>45672</v>
          </cell>
          <cell r="AE18">
            <v>22</v>
          </cell>
          <cell r="AF18">
            <v>46022</v>
          </cell>
          <cell r="AG18">
            <v>0</v>
          </cell>
          <cell r="AH18">
            <v>0</v>
          </cell>
          <cell r="AI18">
            <v>0</v>
          </cell>
          <cell r="AJ18">
            <v>2.5</v>
          </cell>
          <cell r="AK18">
            <v>2.5</v>
          </cell>
          <cell r="AL18">
            <v>2.5</v>
          </cell>
          <cell r="AM18">
            <v>2.5</v>
          </cell>
          <cell r="AN18">
            <v>2.5</v>
          </cell>
          <cell r="AO18">
            <v>2.5</v>
          </cell>
          <cell r="AP18">
            <v>2.5</v>
          </cell>
          <cell r="AQ18">
            <v>2.5</v>
          </cell>
          <cell r="AR18" t="str">
            <v>US_24226</v>
          </cell>
          <cell r="AS18">
            <v>0</v>
          </cell>
          <cell r="AT18">
            <v>164</v>
          </cell>
          <cell r="AU18">
            <v>164</v>
          </cell>
          <cell r="AV18">
            <v>0</v>
          </cell>
          <cell r="AW18">
            <v>410</v>
          </cell>
          <cell r="AX18">
            <v>410</v>
          </cell>
          <cell r="AY18">
            <v>410</v>
          </cell>
          <cell r="AZ18">
            <v>0</v>
          </cell>
          <cell r="BA18">
            <v>0</v>
          </cell>
          <cell r="BB18">
            <v>0</v>
          </cell>
          <cell r="BD18">
            <v>410</v>
          </cell>
          <cell r="BF18">
            <v>410</v>
          </cell>
          <cell r="BG18">
            <v>410</v>
          </cell>
          <cell r="BH18">
            <v>410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410</v>
          </cell>
          <cell r="BP18" t="str">
            <v>Y</v>
          </cell>
          <cell r="BQ18">
            <v>1</v>
          </cell>
          <cell r="BR18" t="str">
            <v>N</v>
          </cell>
          <cell r="BS18">
            <v>0</v>
          </cell>
          <cell r="BT18" t="str">
            <v>Done</v>
          </cell>
          <cell r="BU18">
            <v>164</v>
          </cell>
          <cell r="BV18">
            <v>2024</v>
          </cell>
        </row>
        <row r="19">
          <cell r="A19" t="str">
            <v>Lucknow</v>
          </cell>
          <cell r="B19" t="str">
            <v>Trust</v>
          </cell>
          <cell r="C19" t="str">
            <v>Mid Level</v>
          </cell>
          <cell r="D19" t="str">
            <v>Harsh Agarwal</v>
          </cell>
          <cell r="E19" t="str">
            <v>Atul Priyadarshi</v>
          </cell>
          <cell r="H19" t="str">
            <v>Himanshu Indus</v>
          </cell>
          <cell r="K19">
            <v>0</v>
          </cell>
          <cell r="L19" t="str">
            <v>Old</v>
          </cell>
          <cell r="M19">
            <v>45397</v>
          </cell>
          <cell r="N19">
            <v>2</v>
          </cell>
          <cell r="O19">
            <v>649</v>
          </cell>
          <cell r="P19">
            <v>45761</v>
          </cell>
          <cell r="Q19">
            <v>45762</v>
          </cell>
          <cell r="R19" t="str">
            <v>PLC-3728</v>
          </cell>
          <cell r="S19" t="str">
            <v>Abinaya Ramaswamy</v>
          </cell>
          <cell r="T19" t="str">
            <v>Individual</v>
          </cell>
          <cell r="U19" t="str">
            <v>Referral</v>
          </cell>
          <cell r="V19" t="str">
            <v>Innova Solutions</v>
          </cell>
          <cell r="W19">
            <v>0</v>
          </cell>
          <cell r="X19">
            <v>0</v>
          </cell>
          <cell r="Y19" t="str">
            <v>USD</v>
          </cell>
          <cell r="Z19">
            <v>2.5</v>
          </cell>
          <cell r="AA19">
            <v>2.5</v>
          </cell>
          <cell r="AB19">
            <v>0</v>
          </cell>
          <cell r="AC19">
            <v>0</v>
          </cell>
          <cell r="AD19">
            <v>45703</v>
          </cell>
          <cell r="AE19">
            <v>20</v>
          </cell>
          <cell r="AF19">
            <v>46022</v>
          </cell>
          <cell r="AG19">
            <v>0</v>
          </cell>
          <cell r="AH19">
            <v>0</v>
          </cell>
          <cell r="AI19">
            <v>0</v>
          </cell>
          <cell r="AJ19">
            <v>2.5</v>
          </cell>
          <cell r="AK19">
            <v>2.5</v>
          </cell>
          <cell r="AL19">
            <v>2.5</v>
          </cell>
          <cell r="AM19">
            <v>2.5</v>
          </cell>
          <cell r="AN19">
            <v>2.5</v>
          </cell>
          <cell r="AO19">
            <v>2.5</v>
          </cell>
          <cell r="AP19">
            <v>2.5</v>
          </cell>
          <cell r="AQ19">
            <v>2.5</v>
          </cell>
          <cell r="AR19" t="str">
            <v>US_24433</v>
          </cell>
          <cell r="AS19">
            <v>0</v>
          </cell>
          <cell r="AT19">
            <v>152</v>
          </cell>
          <cell r="AU19">
            <v>152</v>
          </cell>
          <cell r="AV19">
            <v>0</v>
          </cell>
          <cell r="AW19">
            <v>380</v>
          </cell>
          <cell r="AX19">
            <v>380</v>
          </cell>
          <cell r="AY19">
            <v>380</v>
          </cell>
          <cell r="AZ19">
            <v>0</v>
          </cell>
          <cell r="BA19">
            <v>0</v>
          </cell>
          <cell r="BB19">
            <v>0</v>
          </cell>
          <cell r="BD19">
            <v>380</v>
          </cell>
          <cell r="BF19">
            <v>380</v>
          </cell>
          <cell r="BG19">
            <v>380</v>
          </cell>
          <cell r="BH19">
            <v>380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380</v>
          </cell>
          <cell r="BP19" t="str">
            <v>Y</v>
          </cell>
          <cell r="BQ19">
            <v>1</v>
          </cell>
          <cell r="BR19" t="str">
            <v>N</v>
          </cell>
          <cell r="BS19">
            <v>0</v>
          </cell>
          <cell r="BT19" t="str">
            <v>Done</v>
          </cell>
          <cell r="BU19">
            <v>152</v>
          </cell>
          <cell r="BV19">
            <v>2024</v>
          </cell>
        </row>
        <row r="20">
          <cell r="A20" t="str">
            <v>Lucknow</v>
          </cell>
          <cell r="B20" t="str">
            <v>Trust</v>
          </cell>
          <cell r="C20" t="str">
            <v>Mid Level</v>
          </cell>
          <cell r="D20" t="str">
            <v>Harsh Agarwal</v>
          </cell>
          <cell r="E20" t="str">
            <v>Atul Priyadarshi</v>
          </cell>
          <cell r="H20" t="str">
            <v>Himanshu Indus</v>
          </cell>
          <cell r="K20">
            <v>0</v>
          </cell>
          <cell r="L20" t="str">
            <v>Old</v>
          </cell>
          <cell r="M20">
            <v>45397</v>
          </cell>
          <cell r="N20">
            <v>2</v>
          </cell>
          <cell r="O20">
            <v>649</v>
          </cell>
          <cell r="P20">
            <v>45761</v>
          </cell>
          <cell r="Q20">
            <v>45762</v>
          </cell>
          <cell r="R20" t="str">
            <v>PLC-3728</v>
          </cell>
          <cell r="S20" t="str">
            <v>Abinaya Ramaswamy</v>
          </cell>
          <cell r="T20" t="str">
            <v>Individual</v>
          </cell>
          <cell r="U20" t="str">
            <v>Referral</v>
          </cell>
          <cell r="V20" t="str">
            <v>Innova Solutions</v>
          </cell>
          <cell r="W20">
            <v>0</v>
          </cell>
          <cell r="X20">
            <v>0</v>
          </cell>
          <cell r="Y20" t="str">
            <v>USD</v>
          </cell>
          <cell r="Z20">
            <v>2.5</v>
          </cell>
          <cell r="AA20">
            <v>2.5</v>
          </cell>
          <cell r="AB20">
            <v>0</v>
          </cell>
          <cell r="AC20">
            <v>0</v>
          </cell>
          <cell r="AD20">
            <v>45731</v>
          </cell>
          <cell r="AE20">
            <v>21</v>
          </cell>
          <cell r="AF20">
            <v>46022</v>
          </cell>
          <cell r="AG20">
            <v>0</v>
          </cell>
          <cell r="AH20">
            <v>0</v>
          </cell>
          <cell r="AI20">
            <v>0</v>
          </cell>
          <cell r="AJ20">
            <v>2.5</v>
          </cell>
          <cell r="AK20">
            <v>2.5</v>
          </cell>
          <cell r="AL20">
            <v>2.5</v>
          </cell>
          <cell r="AM20">
            <v>2.5</v>
          </cell>
          <cell r="AN20">
            <v>2.5</v>
          </cell>
          <cell r="AO20">
            <v>2.5</v>
          </cell>
          <cell r="AP20">
            <v>2.5</v>
          </cell>
          <cell r="AQ20">
            <v>2.5</v>
          </cell>
          <cell r="AR20" t="str">
            <v>US_24625</v>
          </cell>
          <cell r="AS20">
            <v>17</v>
          </cell>
          <cell r="AT20">
            <v>160</v>
          </cell>
          <cell r="AU20">
            <v>160</v>
          </cell>
          <cell r="AV20">
            <v>42.5</v>
          </cell>
          <cell r="AW20">
            <v>400</v>
          </cell>
          <cell r="AX20">
            <v>442.5</v>
          </cell>
          <cell r="AY20">
            <v>400</v>
          </cell>
          <cell r="AZ20">
            <v>0</v>
          </cell>
          <cell r="BA20">
            <v>0</v>
          </cell>
          <cell r="BB20">
            <v>0</v>
          </cell>
          <cell r="BD20">
            <v>400</v>
          </cell>
          <cell r="BF20">
            <v>442.5</v>
          </cell>
          <cell r="BG20">
            <v>400</v>
          </cell>
          <cell r="BH20">
            <v>400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400</v>
          </cell>
          <cell r="BP20" t="str">
            <v>Y</v>
          </cell>
          <cell r="BQ20">
            <v>1</v>
          </cell>
          <cell r="BR20" t="str">
            <v>N</v>
          </cell>
          <cell r="BS20">
            <v>0</v>
          </cell>
          <cell r="BT20" t="str">
            <v>Done</v>
          </cell>
          <cell r="BU20">
            <v>160</v>
          </cell>
          <cell r="BV20">
            <v>2024</v>
          </cell>
        </row>
        <row r="21">
          <cell r="A21" t="str">
            <v>Lucknow</v>
          </cell>
          <cell r="B21" t="str">
            <v>Trust</v>
          </cell>
          <cell r="C21" t="str">
            <v>Mid Level</v>
          </cell>
          <cell r="D21" t="str">
            <v>Harsh Agarwal</v>
          </cell>
          <cell r="E21" t="str">
            <v>Atul Priyadarshi</v>
          </cell>
          <cell r="H21" t="str">
            <v>Himanshu Indus</v>
          </cell>
          <cell r="K21">
            <v>0</v>
          </cell>
          <cell r="L21" t="str">
            <v>Old</v>
          </cell>
          <cell r="M21">
            <v>45397</v>
          </cell>
          <cell r="N21">
            <v>2</v>
          </cell>
          <cell r="O21">
            <v>649</v>
          </cell>
          <cell r="P21">
            <v>45761</v>
          </cell>
          <cell r="Q21">
            <v>45762</v>
          </cell>
          <cell r="R21" t="str">
            <v>PLC-3728</v>
          </cell>
          <cell r="S21" t="str">
            <v>Abinaya Ramaswamy</v>
          </cell>
          <cell r="T21" t="str">
            <v>Individual</v>
          </cell>
          <cell r="U21" t="str">
            <v>Referral</v>
          </cell>
          <cell r="V21" t="str">
            <v>Innova Solutions</v>
          </cell>
          <cell r="W21">
            <v>0</v>
          </cell>
          <cell r="X21">
            <v>0</v>
          </cell>
          <cell r="Y21" t="str">
            <v>USD</v>
          </cell>
          <cell r="Z21">
            <v>2.5</v>
          </cell>
          <cell r="AA21">
            <v>2.5</v>
          </cell>
          <cell r="AB21">
            <v>0</v>
          </cell>
          <cell r="AC21">
            <v>0</v>
          </cell>
          <cell r="AD21">
            <v>45762</v>
          </cell>
          <cell r="AE21">
            <v>10</v>
          </cell>
          <cell r="AF21">
            <v>46022</v>
          </cell>
          <cell r="AG21">
            <v>0</v>
          </cell>
          <cell r="AH21">
            <v>0</v>
          </cell>
          <cell r="AI21">
            <v>0</v>
          </cell>
          <cell r="AJ21">
            <v>2.5</v>
          </cell>
          <cell r="AK21">
            <v>2.5</v>
          </cell>
          <cell r="AL21">
            <v>2.5</v>
          </cell>
          <cell r="AM21">
            <v>2.5</v>
          </cell>
          <cell r="AN21">
            <v>2.5</v>
          </cell>
          <cell r="AO21">
            <v>2.5</v>
          </cell>
          <cell r="AP21">
            <v>2.5</v>
          </cell>
          <cell r="AQ21">
            <v>2.5</v>
          </cell>
          <cell r="AR21" t="str">
            <v>US_24834</v>
          </cell>
          <cell r="AS21">
            <v>0</v>
          </cell>
          <cell r="AT21">
            <v>191</v>
          </cell>
          <cell r="AU21">
            <v>191</v>
          </cell>
          <cell r="AV21">
            <v>0</v>
          </cell>
          <cell r="AW21">
            <v>477.5</v>
          </cell>
          <cell r="AX21">
            <v>477.5</v>
          </cell>
          <cell r="AY21">
            <v>477.5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F21">
            <v>0</v>
          </cell>
          <cell r="BG21">
            <v>477.5</v>
          </cell>
          <cell r="BH21">
            <v>477.5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477.5</v>
          </cell>
          <cell r="BP21" t="str">
            <v>Y</v>
          </cell>
          <cell r="BQ21">
            <v>2</v>
          </cell>
          <cell r="BR21" t="str">
            <v>N</v>
          </cell>
          <cell r="BS21">
            <v>0</v>
          </cell>
          <cell r="BT21" t="str">
            <v>Done</v>
          </cell>
          <cell r="BU21">
            <v>191</v>
          </cell>
          <cell r="BV21">
            <v>2024</v>
          </cell>
        </row>
        <row r="22">
          <cell r="A22" t="str">
            <v>Chennai</v>
          </cell>
          <cell r="B22" t="str">
            <v>Chennai</v>
          </cell>
          <cell r="C22" t="str">
            <v>Mid Level</v>
          </cell>
          <cell r="D22" t="str">
            <v>Vinoth L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Dinesh Kumar Veluchamy</v>
          </cell>
          <cell r="K22" t="str">
            <v>-</v>
          </cell>
          <cell r="L22" t="str">
            <v>New</v>
          </cell>
          <cell r="M22">
            <v>45777</v>
          </cell>
          <cell r="N22">
            <v>2</v>
          </cell>
          <cell r="O22">
            <v>269</v>
          </cell>
          <cell r="P22" t="str">
            <v>-</v>
          </cell>
          <cell r="Q22">
            <v>46142</v>
          </cell>
          <cell r="R22" t="str">
            <v>PLC-4243</v>
          </cell>
          <cell r="S22" t="str">
            <v>Aditya Madala</v>
          </cell>
          <cell r="T22" t="str">
            <v>Individual</v>
          </cell>
          <cell r="U22" t="str">
            <v>C2C</v>
          </cell>
          <cell r="V22" t="str">
            <v>Citius Tech</v>
          </cell>
          <cell r="W22">
            <v>64</v>
          </cell>
          <cell r="X22">
            <v>0</v>
          </cell>
          <cell r="Y22" t="str">
            <v>USD</v>
          </cell>
          <cell r="Z22">
            <v>66</v>
          </cell>
          <cell r="AA22">
            <v>0</v>
          </cell>
          <cell r="AB22">
            <v>0</v>
          </cell>
          <cell r="AC22">
            <v>0</v>
          </cell>
          <cell r="AD22">
            <v>45762</v>
          </cell>
          <cell r="AE22">
            <v>1</v>
          </cell>
          <cell r="AF22">
            <v>46022</v>
          </cell>
          <cell r="AG22">
            <v>64</v>
          </cell>
          <cell r="AH22">
            <v>0</v>
          </cell>
          <cell r="AI22">
            <v>64</v>
          </cell>
          <cell r="AJ22">
            <v>66</v>
          </cell>
          <cell r="AK22">
            <v>0</v>
          </cell>
          <cell r="AL22">
            <v>0</v>
          </cell>
          <cell r="AM22">
            <v>2</v>
          </cell>
          <cell r="AN22">
            <v>0</v>
          </cell>
          <cell r="AO22">
            <v>2</v>
          </cell>
          <cell r="AP22">
            <v>0</v>
          </cell>
          <cell r="AQ22">
            <v>2</v>
          </cell>
          <cell r="AR22" t="str">
            <v>US_24954</v>
          </cell>
          <cell r="AS22">
            <v>0</v>
          </cell>
          <cell r="AT22">
            <v>8</v>
          </cell>
          <cell r="AU22">
            <v>8</v>
          </cell>
          <cell r="AV22">
            <v>0</v>
          </cell>
          <cell r="AW22">
            <v>16</v>
          </cell>
          <cell r="AX22">
            <v>16</v>
          </cell>
          <cell r="AY22">
            <v>16</v>
          </cell>
          <cell r="AZ22">
            <v>120</v>
          </cell>
          <cell r="BA22">
            <v>3.2</v>
          </cell>
          <cell r="BB22">
            <v>25.6</v>
          </cell>
          <cell r="BC22">
            <v>67</v>
          </cell>
          <cell r="BD22">
            <v>16</v>
          </cell>
          <cell r="BE22">
            <v>19.2</v>
          </cell>
          <cell r="BF22">
            <v>16</v>
          </cell>
          <cell r="BG22">
            <v>528</v>
          </cell>
          <cell r="BH22">
            <v>528</v>
          </cell>
          <cell r="BI22">
            <v>512</v>
          </cell>
          <cell r="BJ22">
            <v>0</v>
          </cell>
          <cell r="BK22">
            <v>0</v>
          </cell>
          <cell r="BL22">
            <v>0</v>
          </cell>
          <cell r="BM22">
            <v>512</v>
          </cell>
          <cell r="BN22">
            <v>0</v>
          </cell>
          <cell r="BO22">
            <v>16</v>
          </cell>
          <cell r="BP22" t="str">
            <v>Y</v>
          </cell>
          <cell r="BQ22">
            <v>2</v>
          </cell>
          <cell r="BR22" t="str">
            <v>Y</v>
          </cell>
          <cell r="BS22">
            <v>25.6</v>
          </cell>
          <cell r="BT22" t="str">
            <v>Done</v>
          </cell>
          <cell r="BU22">
            <v>8</v>
          </cell>
          <cell r="BV22">
            <v>2025</v>
          </cell>
        </row>
        <row r="23">
          <cell r="A23" t="str">
            <v>Lucknow</v>
          </cell>
          <cell r="B23" t="str">
            <v>Mavericks</v>
          </cell>
          <cell r="C23" t="str">
            <v>Mid Level</v>
          </cell>
          <cell r="D23" t="str">
            <v>Kashif Nabi</v>
          </cell>
          <cell r="E23" t="str">
            <v>Khatib Rahman</v>
          </cell>
          <cell r="H23" t="str">
            <v>Khatib Rahman</v>
          </cell>
          <cell r="L23" t="str">
            <v>New</v>
          </cell>
          <cell r="M23">
            <v>45742</v>
          </cell>
          <cell r="N23">
            <v>1</v>
          </cell>
          <cell r="O23">
            <v>304</v>
          </cell>
          <cell r="P23" t="str">
            <v>-</v>
          </cell>
          <cell r="Q23">
            <v>46107</v>
          </cell>
          <cell r="R23" t="str">
            <v>PLC-4157</v>
          </cell>
          <cell r="S23" t="str">
            <v>Afzal Ahmad Khan</v>
          </cell>
          <cell r="T23" t="str">
            <v>Individual</v>
          </cell>
          <cell r="U23" t="str">
            <v>C2C</v>
          </cell>
          <cell r="V23" t="str">
            <v>GRI</v>
          </cell>
          <cell r="W23">
            <v>69.7</v>
          </cell>
          <cell r="X23">
            <v>0</v>
          </cell>
          <cell r="Y23" t="str">
            <v>USD</v>
          </cell>
          <cell r="Z23">
            <v>75</v>
          </cell>
          <cell r="AA23">
            <v>0</v>
          </cell>
          <cell r="AB23">
            <v>0</v>
          </cell>
          <cell r="AC23">
            <v>0</v>
          </cell>
          <cell r="AD23">
            <v>45762</v>
          </cell>
          <cell r="AE23">
            <v>22</v>
          </cell>
          <cell r="AF23">
            <v>46022</v>
          </cell>
          <cell r="AG23">
            <v>69.7</v>
          </cell>
          <cell r="AH23">
            <v>0</v>
          </cell>
          <cell r="AI23">
            <v>69.7</v>
          </cell>
          <cell r="AJ23">
            <v>73.215000000000003</v>
          </cell>
          <cell r="AK23">
            <v>0</v>
          </cell>
          <cell r="AL23">
            <v>0</v>
          </cell>
          <cell r="AM23">
            <v>3.5150000000000006</v>
          </cell>
          <cell r="AN23">
            <v>0</v>
          </cell>
          <cell r="AO23">
            <v>3.5150000000000006</v>
          </cell>
          <cell r="AP23">
            <v>0</v>
          </cell>
          <cell r="AQ23">
            <v>3.5150000000000006</v>
          </cell>
          <cell r="AR23" t="str">
            <v>GRI002</v>
          </cell>
          <cell r="AS23">
            <v>0</v>
          </cell>
          <cell r="AT23">
            <v>176</v>
          </cell>
          <cell r="AU23">
            <v>176</v>
          </cell>
          <cell r="AV23">
            <v>0</v>
          </cell>
          <cell r="AW23">
            <v>618.6400000000001</v>
          </cell>
          <cell r="AX23">
            <v>618.6400000000001</v>
          </cell>
          <cell r="AY23">
            <v>618.6400000000001</v>
          </cell>
          <cell r="AZ23">
            <v>83.333333333333343</v>
          </cell>
          <cell r="BA23">
            <v>5.6240000000000006</v>
          </cell>
          <cell r="BB23">
            <v>989.82400000000007</v>
          </cell>
          <cell r="BF23">
            <v>618.6400000000001</v>
          </cell>
          <cell r="BG23">
            <v>13200</v>
          </cell>
          <cell r="BH23">
            <v>12885.84</v>
          </cell>
          <cell r="BI23">
            <v>12267.2</v>
          </cell>
          <cell r="BJ23">
            <v>0</v>
          </cell>
          <cell r="BK23">
            <v>0</v>
          </cell>
          <cell r="BL23">
            <v>0</v>
          </cell>
          <cell r="BM23">
            <v>12267.2</v>
          </cell>
          <cell r="BN23">
            <v>0</v>
          </cell>
          <cell r="BO23">
            <v>618.63999999999942</v>
          </cell>
          <cell r="BP23" t="str">
            <v>Y</v>
          </cell>
          <cell r="BQ23">
            <v>2</v>
          </cell>
          <cell r="BR23" t="str">
            <v>Y</v>
          </cell>
          <cell r="BS23">
            <v>989.82400000000007</v>
          </cell>
          <cell r="BT23" t="str">
            <v>Done</v>
          </cell>
          <cell r="BU23">
            <v>176</v>
          </cell>
          <cell r="BV23">
            <v>2025</v>
          </cell>
        </row>
        <row r="24">
          <cell r="A24" t="str">
            <v>Lucknow</v>
          </cell>
          <cell r="B24" t="str">
            <v>Mavericks</v>
          </cell>
          <cell r="C24" t="str">
            <v>Mid Level</v>
          </cell>
          <cell r="D24" t="str">
            <v>Kashif Nabi</v>
          </cell>
          <cell r="E24" t="str">
            <v>Khatib Rahman</v>
          </cell>
          <cell r="H24" t="str">
            <v>Khatib Rahman</v>
          </cell>
          <cell r="L24" t="str">
            <v>New</v>
          </cell>
          <cell r="M24">
            <v>45742</v>
          </cell>
          <cell r="N24">
            <v>1</v>
          </cell>
          <cell r="O24">
            <v>304</v>
          </cell>
          <cell r="P24" t="str">
            <v>-</v>
          </cell>
          <cell r="Q24">
            <v>46107</v>
          </cell>
          <cell r="R24" t="str">
            <v>PLC-4157</v>
          </cell>
          <cell r="S24" t="str">
            <v>Afzal Ahmad Khan</v>
          </cell>
          <cell r="T24" t="str">
            <v>Individual</v>
          </cell>
          <cell r="U24" t="str">
            <v>C2C</v>
          </cell>
          <cell r="V24" t="str">
            <v>GRI</v>
          </cell>
          <cell r="W24">
            <v>69.7</v>
          </cell>
          <cell r="X24">
            <v>0</v>
          </cell>
          <cell r="Y24" t="str">
            <v>USD</v>
          </cell>
          <cell r="Z24">
            <v>75</v>
          </cell>
          <cell r="AA24">
            <v>0</v>
          </cell>
          <cell r="AB24">
            <v>0</v>
          </cell>
          <cell r="AC24">
            <v>0</v>
          </cell>
          <cell r="AD24">
            <v>45731</v>
          </cell>
          <cell r="AE24">
            <v>4</v>
          </cell>
          <cell r="AF24">
            <v>46022</v>
          </cell>
          <cell r="AG24">
            <v>69.7</v>
          </cell>
          <cell r="AH24">
            <v>0</v>
          </cell>
          <cell r="AI24">
            <v>69.7</v>
          </cell>
          <cell r="AJ24">
            <v>73.215000000000003</v>
          </cell>
          <cell r="AK24">
            <v>0</v>
          </cell>
          <cell r="AL24">
            <v>0</v>
          </cell>
          <cell r="AM24">
            <v>3.5150000000000006</v>
          </cell>
          <cell r="AN24">
            <v>0</v>
          </cell>
          <cell r="AO24">
            <v>3.5150000000000006</v>
          </cell>
          <cell r="AP24">
            <v>0</v>
          </cell>
          <cell r="AQ24">
            <v>3.5150000000000006</v>
          </cell>
          <cell r="AR24" t="str">
            <v>GRI001</v>
          </cell>
          <cell r="AS24">
            <v>0</v>
          </cell>
          <cell r="AT24">
            <v>40</v>
          </cell>
          <cell r="AU24">
            <v>40</v>
          </cell>
          <cell r="AV24">
            <v>0</v>
          </cell>
          <cell r="AW24">
            <v>140.60000000000002</v>
          </cell>
          <cell r="AX24">
            <v>140.60000000000002</v>
          </cell>
          <cell r="AY24">
            <v>140.60000000000002</v>
          </cell>
          <cell r="AZ24">
            <v>83.333333333333343</v>
          </cell>
          <cell r="BA24">
            <v>5.6240000000000006</v>
          </cell>
          <cell r="BB24">
            <v>224.96000000000004</v>
          </cell>
          <cell r="BF24">
            <v>140.60000000000002</v>
          </cell>
          <cell r="BG24">
            <v>3000</v>
          </cell>
          <cell r="BH24">
            <v>2928.6000000000004</v>
          </cell>
          <cell r="BI24">
            <v>2788</v>
          </cell>
          <cell r="BJ24">
            <v>0</v>
          </cell>
          <cell r="BK24">
            <v>0</v>
          </cell>
          <cell r="BL24">
            <v>0</v>
          </cell>
          <cell r="BM24">
            <v>2788</v>
          </cell>
          <cell r="BN24">
            <v>0</v>
          </cell>
          <cell r="BO24">
            <v>140.60000000000036</v>
          </cell>
          <cell r="BP24" t="str">
            <v>Y</v>
          </cell>
          <cell r="BQ24">
            <v>1</v>
          </cell>
          <cell r="BR24" t="str">
            <v>Y</v>
          </cell>
          <cell r="BS24">
            <v>224.96000000000004</v>
          </cell>
          <cell r="BT24" t="str">
            <v>Done</v>
          </cell>
          <cell r="BU24">
            <v>40</v>
          </cell>
          <cell r="BV24">
            <v>2025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Nitin Saxena</v>
          </cell>
          <cell r="H25" t="str">
            <v>Hamza Ali</v>
          </cell>
          <cell r="J25" t="str">
            <v>ACH</v>
          </cell>
          <cell r="K25">
            <v>0</v>
          </cell>
          <cell r="L25" t="str">
            <v>Old</v>
          </cell>
          <cell r="M25">
            <v>45582</v>
          </cell>
          <cell r="N25">
            <v>4</v>
          </cell>
          <cell r="O25">
            <v>464</v>
          </cell>
          <cell r="P25">
            <v>45824</v>
          </cell>
          <cell r="Q25">
            <v>45947</v>
          </cell>
          <cell r="R25" t="str">
            <v>PLC-4023</v>
          </cell>
          <cell r="S25" t="str">
            <v>Ahmed Abdelrahim</v>
          </cell>
          <cell r="T25" t="str">
            <v>Individual</v>
          </cell>
          <cell r="U25">
            <v>1099</v>
          </cell>
          <cell r="V25" t="str">
            <v>Genpact</v>
          </cell>
          <cell r="W25">
            <v>21</v>
          </cell>
          <cell r="X25">
            <v>31.5</v>
          </cell>
          <cell r="Y25" t="str">
            <v>USD</v>
          </cell>
          <cell r="Z25">
            <v>28</v>
          </cell>
          <cell r="AA25">
            <v>42</v>
          </cell>
          <cell r="AB25">
            <v>0</v>
          </cell>
          <cell r="AC25">
            <v>0</v>
          </cell>
          <cell r="AD25">
            <v>45672</v>
          </cell>
          <cell r="AE25">
            <v>22</v>
          </cell>
          <cell r="AF25">
            <v>46022</v>
          </cell>
          <cell r="AG25">
            <v>22.470000000000002</v>
          </cell>
          <cell r="AH25">
            <v>33.705000000000005</v>
          </cell>
          <cell r="AI25">
            <v>22.470000000000002</v>
          </cell>
          <cell r="AJ25">
            <v>28</v>
          </cell>
          <cell r="AK25">
            <v>42</v>
          </cell>
          <cell r="AL25">
            <v>8.2949999999999946</v>
          </cell>
          <cell r="AM25">
            <v>5.5299999999999976</v>
          </cell>
          <cell r="AN25">
            <v>8.2949999999999946</v>
          </cell>
          <cell r="AO25">
            <v>5.5299999999999976</v>
          </cell>
          <cell r="AP25">
            <v>8.2949999999999946</v>
          </cell>
          <cell r="AQ25">
            <v>5.5299999999999976</v>
          </cell>
          <cell r="AR25" t="str">
            <v>US_24285</v>
          </cell>
          <cell r="AS25">
            <v>16</v>
          </cell>
          <cell r="AT25">
            <v>170</v>
          </cell>
          <cell r="AU25">
            <v>170</v>
          </cell>
          <cell r="AV25">
            <v>132.71999999999991</v>
          </cell>
          <cell r="AW25">
            <v>940.09999999999957</v>
          </cell>
          <cell r="AX25">
            <v>1062.0917999999995</v>
          </cell>
          <cell r="AY25">
            <v>940.09999999999957</v>
          </cell>
          <cell r="AZ25">
            <v>106.25</v>
          </cell>
          <cell r="BA25">
            <v>18.801999999999992</v>
          </cell>
          <cell r="BB25">
            <v>3196.3399999999988</v>
          </cell>
          <cell r="BC25">
            <v>63</v>
          </cell>
          <cell r="BD25">
            <v>940.09999999999957</v>
          </cell>
          <cell r="BE25">
            <v>1128.1199999999994</v>
          </cell>
          <cell r="BF25">
            <v>1062.0917999999995</v>
          </cell>
          <cell r="BG25">
            <v>4760</v>
          </cell>
          <cell r="BH25">
            <v>4760</v>
          </cell>
          <cell r="BI25">
            <v>3570</v>
          </cell>
          <cell r="BJ25">
            <v>1.4700000000000002</v>
          </cell>
          <cell r="BK25">
            <v>0</v>
          </cell>
          <cell r="BL25">
            <v>249.90000000000003</v>
          </cell>
          <cell r="BM25">
            <v>3819.9</v>
          </cell>
          <cell r="BN25">
            <v>1.4700000000000002</v>
          </cell>
          <cell r="BO25">
            <v>940.09999999999991</v>
          </cell>
          <cell r="BP25" t="str">
            <v>Y</v>
          </cell>
          <cell r="BQ25">
            <v>1</v>
          </cell>
          <cell r="BR25" t="str">
            <v>Y</v>
          </cell>
          <cell r="BS25">
            <v>3196.3399999999988</v>
          </cell>
          <cell r="BT25" t="str">
            <v>Done</v>
          </cell>
          <cell r="BU25">
            <v>170</v>
          </cell>
          <cell r="BV25">
            <v>2024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Nitin Saxena</v>
          </cell>
          <cell r="H26" t="str">
            <v>Hamza Ali</v>
          </cell>
          <cell r="J26" t="str">
            <v>ACH</v>
          </cell>
          <cell r="K26">
            <v>0</v>
          </cell>
          <cell r="L26" t="str">
            <v>Old</v>
          </cell>
          <cell r="M26">
            <v>45582</v>
          </cell>
          <cell r="N26">
            <v>4</v>
          </cell>
          <cell r="O26">
            <v>464</v>
          </cell>
          <cell r="P26">
            <v>45824</v>
          </cell>
          <cell r="Q26">
            <v>45947</v>
          </cell>
          <cell r="R26" t="str">
            <v>PLC-4023</v>
          </cell>
          <cell r="S26" t="str">
            <v>Ahmed Abdelrahim</v>
          </cell>
          <cell r="T26" t="str">
            <v>Individual</v>
          </cell>
          <cell r="U26">
            <v>1099</v>
          </cell>
          <cell r="V26" t="str">
            <v>Genpact</v>
          </cell>
          <cell r="W26">
            <v>21</v>
          </cell>
          <cell r="X26">
            <v>31.5</v>
          </cell>
          <cell r="Y26" t="str">
            <v>USD</v>
          </cell>
          <cell r="Z26">
            <v>28</v>
          </cell>
          <cell r="AA26">
            <v>42</v>
          </cell>
          <cell r="AB26">
            <v>0</v>
          </cell>
          <cell r="AC26">
            <v>0</v>
          </cell>
          <cell r="AD26">
            <v>45703</v>
          </cell>
          <cell r="AE26">
            <v>20</v>
          </cell>
          <cell r="AF26">
            <v>46022</v>
          </cell>
          <cell r="AG26">
            <v>22.470000000000002</v>
          </cell>
          <cell r="AH26">
            <v>33.705000000000005</v>
          </cell>
          <cell r="AI26">
            <v>22.470000000000002</v>
          </cell>
          <cell r="AJ26">
            <v>28</v>
          </cell>
          <cell r="AK26">
            <v>42</v>
          </cell>
          <cell r="AL26">
            <v>8.2949999999999946</v>
          </cell>
          <cell r="AM26">
            <v>5.5299999999999976</v>
          </cell>
          <cell r="AN26">
            <v>8.2949999999999946</v>
          </cell>
          <cell r="AO26">
            <v>5.5299999999999976</v>
          </cell>
          <cell r="AP26">
            <v>8.2949999999999946</v>
          </cell>
          <cell r="AQ26">
            <v>5.5299999999999976</v>
          </cell>
          <cell r="AR26" t="str">
            <v>US_24485</v>
          </cell>
          <cell r="AS26">
            <v>8</v>
          </cell>
          <cell r="AT26">
            <v>154</v>
          </cell>
          <cell r="AU26">
            <v>154</v>
          </cell>
          <cell r="AV26">
            <v>66.359999999999957</v>
          </cell>
          <cell r="AW26">
            <v>851.61999999999966</v>
          </cell>
          <cell r="AX26">
            <v>908.80019999999956</v>
          </cell>
          <cell r="AY26">
            <v>851.61999999999966</v>
          </cell>
          <cell r="AZ26">
            <v>106.25</v>
          </cell>
          <cell r="BA26">
            <v>18.801999999999992</v>
          </cell>
          <cell r="BB26">
            <v>2895.5079999999989</v>
          </cell>
          <cell r="BC26">
            <v>63</v>
          </cell>
          <cell r="BD26">
            <v>851.61999999999966</v>
          </cell>
          <cell r="BE26">
            <v>1021.9439999999996</v>
          </cell>
          <cell r="BF26">
            <v>908.80019999999956</v>
          </cell>
          <cell r="BG26">
            <v>4312</v>
          </cell>
          <cell r="BH26">
            <v>4312</v>
          </cell>
          <cell r="BI26">
            <v>3234</v>
          </cell>
          <cell r="BJ26">
            <v>1.4700000000000002</v>
          </cell>
          <cell r="BK26">
            <v>0</v>
          </cell>
          <cell r="BL26">
            <v>226.38000000000002</v>
          </cell>
          <cell r="BM26">
            <v>3460.38</v>
          </cell>
          <cell r="BN26">
            <v>1.4700000000000002</v>
          </cell>
          <cell r="BO26">
            <v>851.62</v>
          </cell>
          <cell r="BP26" t="str">
            <v>Y</v>
          </cell>
          <cell r="BQ26">
            <v>1</v>
          </cell>
          <cell r="BR26" t="str">
            <v>Y</v>
          </cell>
          <cell r="BS26">
            <v>2895.5079999999989</v>
          </cell>
          <cell r="BT26" t="str">
            <v>Done</v>
          </cell>
          <cell r="BU26">
            <v>154</v>
          </cell>
          <cell r="BV26">
            <v>2024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Nitin Saxena</v>
          </cell>
          <cell r="H27" t="str">
            <v>Hamza Ali</v>
          </cell>
          <cell r="J27" t="str">
            <v>ACH</v>
          </cell>
          <cell r="K27">
            <v>0</v>
          </cell>
          <cell r="L27" t="str">
            <v>Old</v>
          </cell>
          <cell r="M27">
            <v>45582</v>
          </cell>
          <cell r="N27">
            <v>4</v>
          </cell>
          <cell r="O27">
            <v>464</v>
          </cell>
          <cell r="P27">
            <v>45824</v>
          </cell>
          <cell r="Q27">
            <v>45947</v>
          </cell>
          <cell r="R27" t="str">
            <v>PLC-4023</v>
          </cell>
          <cell r="S27" t="str">
            <v>Ahmed Abdelrahim</v>
          </cell>
          <cell r="T27" t="str">
            <v>Individual</v>
          </cell>
          <cell r="U27">
            <v>1099</v>
          </cell>
          <cell r="V27" t="str">
            <v>Genpact</v>
          </cell>
          <cell r="W27">
            <v>21</v>
          </cell>
          <cell r="X27">
            <v>31.5</v>
          </cell>
          <cell r="Y27" t="str">
            <v>USD</v>
          </cell>
          <cell r="Z27">
            <v>28</v>
          </cell>
          <cell r="AA27">
            <v>42</v>
          </cell>
          <cell r="AB27">
            <v>0</v>
          </cell>
          <cell r="AC27">
            <v>0</v>
          </cell>
          <cell r="AD27">
            <v>45731</v>
          </cell>
          <cell r="AE27">
            <v>21</v>
          </cell>
          <cell r="AF27">
            <v>46022</v>
          </cell>
          <cell r="AG27">
            <v>22.470000000000002</v>
          </cell>
          <cell r="AH27">
            <v>33.705000000000005</v>
          </cell>
          <cell r="AI27">
            <v>22.470000000000002</v>
          </cell>
          <cell r="AJ27">
            <v>28</v>
          </cell>
          <cell r="AK27">
            <v>42</v>
          </cell>
          <cell r="AL27">
            <v>8.2949999999999946</v>
          </cell>
          <cell r="AM27">
            <v>5.5299999999999976</v>
          </cell>
          <cell r="AN27">
            <v>8.2949999999999946</v>
          </cell>
          <cell r="AO27">
            <v>5.5299999999999976</v>
          </cell>
          <cell r="AP27">
            <v>8.2949999999999946</v>
          </cell>
          <cell r="AQ27">
            <v>5.5299999999999976</v>
          </cell>
          <cell r="AR27" t="str">
            <v>US_24671</v>
          </cell>
          <cell r="AS27">
            <v>2</v>
          </cell>
          <cell r="AT27">
            <v>184</v>
          </cell>
          <cell r="AU27">
            <v>184</v>
          </cell>
          <cell r="AV27">
            <v>16.589999999999989</v>
          </cell>
          <cell r="AW27">
            <v>1017.5199999999995</v>
          </cell>
          <cell r="AX27">
            <v>1023.7688999999995</v>
          </cell>
          <cell r="AY27">
            <v>1017.5199999999995</v>
          </cell>
          <cell r="AZ27">
            <v>106.25</v>
          </cell>
          <cell r="BA27">
            <v>18.801999999999992</v>
          </cell>
          <cell r="BB27">
            <v>3459.5679999999984</v>
          </cell>
          <cell r="BC27">
            <v>63</v>
          </cell>
          <cell r="BD27">
            <v>1017.5199999999995</v>
          </cell>
          <cell r="BE27">
            <v>1221.0239999999994</v>
          </cell>
          <cell r="BF27">
            <v>1023.7688999999995</v>
          </cell>
          <cell r="BG27">
            <v>5152</v>
          </cell>
          <cell r="BH27">
            <v>5152</v>
          </cell>
          <cell r="BI27">
            <v>3864</v>
          </cell>
          <cell r="BJ27">
            <v>1.4700000000000002</v>
          </cell>
          <cell r="BK27">
            <v>0</v>
          </cell>
          <cell r="BL27">
            <v>270.48</v>
          </cell>
          <cell r="BM27">
            <v>4134.4799999999996</v>
          </cell>
          <cell r="BN27">
            <v>1.4700000000000002</v>
          </cell>
          <cell r="BO27">
            <v>1017.52</v>
          </cell>
          <cell r="BP27" t="str">
            <v>Y</v>
          </cell>
          <cell r="BQ27">
            <v>1</v>
          </cell>
          <cell r="BR27" t="str">
            <v>Y</v>
          </cell>
          <cell r="BS27">
            <v>3459.5679999999984</v>
          </cell>
          <cell r="BT27" t="str">
            <v>Done</v>
          </cell>
          <cell r="BU27">
            <v>184</v>
          </cell>
          <cell r="BV27">
            <v>2024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Nitin Saxena</v>
          </cell>
          <cell r="H28" t="str">
            <v>Hamza Ali</v>
          </cell>
          <cell r="J28" t="str">
            <v>ACH</v>
          </cell>
          <cell r="K28">
            <v>0</v>
          </cell>
          <cell r="L28" t="str">
            <v>Old</v>
          </cell>
          <cell r="M28">
            <v>45582</v>
          </cell>
          <cell r="N28">
            <v>4</v>
          </cell>
          <cell r="O28">
            <v>464</v>
          </cell>
          <cell r="P28">
            <v>45824</v>
          </cell>
          <cell r="Q28">
            <v>45947</v>
          </cell>
          <cell r="R28" t="str">
            <v>PLC-4023</v>
          </cell>
          <cell r="S28" t="str">
            <v>Ahmed Abdelrahim</v>
          </cell>
          <cell r="T28" t="str">
            <v>Individual</v>
          </cell>
          <cell r="U28">
            <v>1099</v>
          </cell>
          <cell r="V28" t="str">
            <v>Genpact</v>
          </cell>
          <cell r="W28">
            <v>21</v>
          </cell>
          <cell r="X28">
            <v>31.5</v>
          </cell>
          <cell r="Y28" t="str">
            <v>USD</v>
          </cell>
          <cell r="Z28">
            <v>28</v>
          </cell>
          <cell r="AA28">
            <v>42</v>
          </cell>
          <cell r="AB28">
            <v>0</v>
          </cell>
          <cell r="AC28">
            <v>0</v>
          </cell>
          <cell r="AD28">
            <v>45762</v>
          </cell>
          <cell r="AE28">
            <v>22</v>
          </cell>
          <cell r="AF28">
            <v>46022</v>
          </cell>
          <cell r="AG28">
            <v>22.470000000000002</v>
          </cell>
          <cell r="AH28">
            <v>33.705000000000005</v>
          </cell>
          <cell r="AI28">
            <v>22.470000000000002</v>
          </cell>
          <cell r="AJ28">
            <v>28</v>
          </cell>
          <cell r="AK28">
            <v>42</v>
          </cell>
          <cell r="AL28">
            <v>8.2949999999999946</v>
          </cell>
          <cell r="AM28">
            <v>5.5299999999999976</v>
          </cell>
          <cell r="AN28">
            <v>8.2949999999999946</v>
          </cell>
          <cell r="AO28">
            <v>5.5299999999999976</v>
          </cell>
          <cell r="AP28">
            <v>8.2949999999999946</v>
          </cell>
          <cell r="AQ28">
            <v>5.5299999999999976</v>
          </cell>
          <cell r="AR28" t="str">
            <v>US_24876</v>
          </cell>
          <cell r="AS28">
            <v>8</v>
          </cell>
          <cell r="AT28">
            <v>170</v>
          </cell>
          <cell r="AU28">
            <v>170</v>
          </cell>
          <cell r="AV28">
            <v>66.359999999999957</v>
          </cell>
          <cell r="AW28">
            <v>940.09999999999957</v>
          </cell>
          <cell r="AX28">
            <v>996.39539999999954</v>
          </cell>
          <cell r="AY28">
            <v>940.09999999999957</v>
          </cell>
          <cell r="AZ28">
            <v>106.25</v>
          </cell>
          <cell r="BA28">
            <v>18.801999999999992</v>
          </cell>
          <cell r="BB28">
            <v>3196.3399999999988</v>
          </cell>
          <cell r="BC28">
            <v>63</v>
          </cell>
          <cell r="BD28">
            <v>940.09999999999957</v>
          </cell>
          <cell r="BE28">
            <v>1128.1199999999994</v>
          </cell>
          <cell r="BF28">
            <v>996.39539999999954</v>
          </cell>
          <cell r="BG28">
            <v>4760</v>
          </cell>
          <cell r="BH28">
            <v>4760</v>
          </cell>
          <cell r="BI28">
            <v>3570</v>
          </cell>
          <cell r="BJ28">
            <v>1.4700000000000002</v>
          </cell>
          <cell r="BK28">
            <v>0</v>
          </cell>
          <cell r="BL28">
            <v>249.90000000000003</v>
          </cell>
          <cell r="BM28">
            <v>3819.9</v>
          </cell>
          <cell r="BN28">
            <v>1.4700000000000002</v>
          </cell>
          <cell r="BO28">
            <v>940.09999999999991</v>
          </cell>
          <cell r="BP28" t="str">
            <v>Y</v>
          </cell>
          <cell r="BQ28">
            <v>2</v>
          </cell>
          <cell r="BR28" t="str">
            <v>Y</v>
          </cell>
          <cell r="BS28">
            <v>3196.3399999999988</v>
          </cell>
          <cell r="BT28" t="str">
            <v>Done</v>
          </cell>
          <cell r="BU28">
            <v>170</v>
          </cell>
          <cell r="BV28">
            <v>2024</v>
          </cell>
        </row>
        <row r="29">
          <cell r="A29" t="str">
            <v>Lucknow</v>
          </cell>
          <cell r="B29" t="str">
            <v>Trust</v>
          </cell>
          <cell r="C29" t="str">
            <v>Mid Level</v>
          </cell>
          <cell r="D29" t="str">
            <v>Bhanu Pratap Singh</v>
          </cell>
          <cell r="E29" t="str">
            <v>-</v>
          </cell>
          <cell r="H29" t="str">
            <v>Pass Through</v>
          </cell>
          <cell r="L29" t="str">
            <v>New</v>
          </cell>
          <cell r="M29">
            <v>45726</v>
          </cell>
          <cell r="N29">
            <v>1</v>
          </cell>
          <cell r="O29">
            <v>320</v>
          </cell>
          <cell r="P29">
            <v>45835</v>
          </cell>
          <cell r="Q29">
            <v>46091</v>
          </cell>
          <cell r="R29" t="str">
            <v>PLC-4161</v>
          </cell>
          <cell r="S29" t="str">
            <v>Ajaz Pasha Mohammed</v>
          </cell>
          <cell r="T29" t="str">
            <v>Individual</v>
          </cell>
          <cell r="U29" t="str">
            <v>C2C</v>
          </cell>
          <cell r="V29" t="str">
            <v>Birlasoft</v>
          </cell>
          <cell r="W29">
            <v>80</v>
          </cell>
          <cell r="X29">
            <v>0</v>
          </cell>
          <cell r="Y29" t="str">
            <v>USD</v>
          </cell>
          <cell r="Z29">
            <v>84</v>
          </cell>
          <cell r="AA29">
            <v>0</v>
          </cell>
          <cell r="AB29">
            <v>0</v>
          </cell>
          <cell r="AC29">
            <v>0</v>
          </cell>
          <cell r="AD29">
            <v>45731</v>
          </cell>
          <cell r="AE29">
            <v>16</v>
          </cell>
          <cell r="AF29">
            <v>46022</v>
          </cell>
          <cell r="AG29">
            <v>80</v>
          </cell>
          <cell r="AH29">
            <v>0</v>
          </cell>
          <cell r="AI29">
            <v>80</v>
          </cell>
          <cell r="AJ29">
            <v>84</v>
          </cell>
          <cell r="AK29">
            <v>0</v>
          </cell>
          <cell r="AL29">
            <v>0</v>
          </cell>
          <cell r="AM29">
            <v>4</v>
          </cell>
          <cell r="AN29">
            <v>0</v>
          </cell>
          <cell r="AO29">
            <v>4</v>
          </cell>
          <cell r="AP29">
            <v>0</v>
          </cell>
          <cell r="AQ29">
            <v>4</v>
          </cell>
          <cell r="AR29" t="str">
            <v>US_24732</v>
          </cell>
          <cell r="AS29">
            <v>0</v>
          </cell>
          <cell r="AT29">
            <v>168</v>
          </cell>
          <cell r="AU29">
            <v>168</v>
          </cell>
          <cell r="AV29">
            <v>0</v>
          </cell>
          <cell r="AW29">
            <v>672</v>
          </cell>
          <cell r="AX29">
            <v>672</v>
          </cell>
          <cell r="AY29">
            <v>672</v>
          </cell>
          <cell r="AZ29">
            <v>0</v>
          </cell>
          <cell r="BA29">
            <v>0</v>
          </cell>
          <cell r="BB29">
            <v>0</v>
          </cell>
          <cell r="BF29">
            <v>672</v>
          </cell>
          <cell r="BG29">
            <v>14112</v>
          </cell>
          <cell r="BH29">
            <v>14112</v>
          </cell>
          <cell r="BI29">
            <v>13440</v>
          </cell>
          <cell r="BJ29">
            <v>0</v>
          </cell>
          <cell r="BK29">
            <v>0</v>
          </cell>
          <cell r="BL29">
            <v>0</v>
          </cell>
          <cell r="BM29">
            <v>13440</v>
          </cell>
          <cell r="BN29">
            <v>0</v>
          </cell>
          <cell r="BO29">
            <v>672</v>
          </cell>
          <cell r="BP29" t="str">
            <v>Y</v>
          </cell>
          <cell r="BQ29">
            <v>1</v>
          </cell>
          <cell r="BR29" t="str">
            <v>Y</v>
          </cell>
          <cell r="BS29">
            <v>0</v>
          </cell>
          <cell r="BT29" t="str">
            <v>Done</v>
          </cell>
          <cell r="BU29">
            <v>168</v>
          </cell>
          <cell r="BV29">
            <v>2025</v>
          </cell>
        </row>
        <row r="30">
          <cell r="A30" t="str">
            <v>Lucknow</v>
          </cell>
          <cell r="B30" t="str">
            <v>Trust</v>
          </cell>
          <cell r="C30" t="str">
            <v>Mid Level</v>
          </cell>
          <cell r="D30" t="str">
            <v>Bhanu Pratap Singh</v>
          </cell>
          <cell r="E30" t="str">
            <v>-</v>
          </cell>
          <cell r="H30" t="str">
            <v>Pass Through</v>
          </cell>
          <cell r="L30" t="str">
            <v>New</v>
          </cell>
          <cell r="M30">
            <v>45726</v>
          </cell>
          <cell r="N30">
            <v>1</v>
          </cell>
          <cell r="O30">
            <v>320</v>
          </cell>
          <cell r="P30">
            <v>45835</v>
          </cell>
          <cell r="Q30">
            <v>46091</v>
          </cell>
          <cell r="R30" t="str">
            <v>PLC-4161</v>
          </cell>
          <cell r="S30" t="str">
            <v>Ajaz Pasha Mohammed</v>
          </cell>
          <cell r="T30" t="str">
            <v>Individual</v>
          </cell>
          <cell r="U30" t="str">
            <v>C2C</v>
          </cell>
          <cell r="V30" t="str">
            <v>Birlasoft</v>
          </cell>
          <cell r="W30">
            <v>80</v>
          </cell>
          <cell r="X30">
            <v>0</v>
          </cell>
          <cell r="Y30" t="str">
            <v>USD</v>
          </cell>
          <cell r="Z30">
            <v>84</v>
          </cell>
          <cell r="AA30">
            <v>0</v>
          </cell>
          <cell r="AB30">
            <v>0</v>
          </cell>
          <cell r="AC30">
            <v>0</v>
          </cell>
          <cell r="AD30">
            <v>45762</v>
          </cell>
          <cell r="AE30">
            <v>22</v>
          </cell>
          <cell r="AF30">
            <v>46022</v>
          </cell>
          <cell r="AG30">
            <v>80</v>
          </cell>
          <cell r="AH30">
            <v>0</v>
          </cell>
          <cell r="AI30">
            <v>80</v>
          </cell>
          <cell r="AJ30">
            <v>84</v>
          </cell>
          <cell r="AK30">
            <v>0</v>
          </cell>
          <cell r="AL30">
            <v>0</v>
          </cell>
          <cell r="AM30">
            <v>4</v>
          </cell>
          <cell r="AN30">
            <v>0</v>
          </cell>
          <cell r="AO30">
            <v>4</v>
          </cell>
          <cell r="AP30">
            <v>0</v>
          </cell>
          <cell r="AQ30">
            <v>4</v>
          </cell>
          <cell r="AR30" t="str">
            <v>US_24911</v>
          </cell>
          <cell r="AS30">
            <v>0</v>
          </cell>
          <cell r="AT30">
            <v>176</v>
          </cell>
          <cell r="AU30">
            <v>176</v>
          </cell>
          <cell r="AV30">
            <v>0</v>
          </cell>
          <cell r="AW30">
            <v>704</v>
          </cell>
          <cell r="AX30">
            <v>704</v>
          </cell>
          <cell r="AY30">
            <v>704</v>
          </cell>
          <cell r="AZ30">
            <v>0</v>
          </cell>
          <cell r="BA30">
            <v>0</v>
          </cell>
          <cell r="BB30">
            <v>0</v>
          </cell>
          <cell r="BF30">
            <v>704</v>
          </cell>
          <cell r="BG30">
            <v>14784</v>
          </cell>
          <cell r="BH30">
            <v>14784</v>
          </cell>
          <cell r="BI30">
            <v>14080</v>
          </cell>
          <cell r="BJ30">
            <v>0</v>
          </cell>
          <cell r="BK30">
            <v>0</v>
          </cell>
          <cell r="BL30">
            <v>0</v>
          </cell>
          <cell r="BM30">
            <v>14080</v>
          </cell>
          <cell r="BN30">
            <v>0</v>
          </cell>
          <cell r="BO30">
            <v>704</v>
          </cell>
          <cell r="BP30" t="str">
            <v>Y</v>
          </cell>
          <cell r="BQ30">
            <v>2</v>
          </cell>
          <cell r="BR30" t="str">
            <v>Y</v>
          </cell>
          <cell r="BS30">
            <v>0</v>
          </cell>
          <cell r="BT30" t="str">
            <v>Done</v>
          </cell>
          <cell r="BU30">
            <v>176</v>
          </cell>
          <cell r="BV30">
            <v>2025</v>
          </cell>
        </row>
        <row r="31">
          <cell r="A31" t="str">
            <v>Lucknow</v>
          </cell>
          <cell r="B31" t="str">
            <v>Titans</v>
          </cell>
          <cell r="C31" t="str">
            <v>Mid Level</v>
          </cell>
          <cell r="D31" t="str">
            <v>Abhishek Yadav</v>
          </cell>
          <cell r="E31" t="str">
            <v>Abhishek Yadav</v>
          </cell>
          <cell r="H31" t="str">
            <v>Gauresh Gidwani</v>
          </cell>
          <cell r="K31">
            <v>0</v>
          </cell>
          <cell r="L31" t="str">
            <v>Old</v>
          </cell>
          <cell r="M31">
            <v>45568</v>
          </cell>
          <cell r="N31">
            <v>4</v>
          </cell>
          <cell r="O31">
            <v>478</v>
          </cell>
          <cell r="P31">
            <v>45685</v>
          </cell>
          <cell r="Q31">
            <v>45933</v>
          </cell>
          <cell r="R31" t="str">
            <v>PLC-3968</v>
          </cell>
          <cell r="S31" t="str">
            <v>Akshatha Mahadevachary</v>
          </cell>
          <cell r="T31" t="str">
            <v>Individual</v>
          </cell>
          <cell r="U31" t="str">
            <v>C2C</v>
          </cell>
          <cell r="V31" t="str">
            <v>Genpact</v>
          </cell>
          <cell r="W31">
            <v>50</v>
          </cell>
          <cell r="X31">
            <v>0</v>
          </cell>
          <cell r="Y31" t="str">
            <v>CAD</v>
          </cell>
          <cell r="Z31">
            <v>68</v>
          </cell>
          <cell r="AA31">
            <v>0</v>
          </cell>
          <cell r="AB31">
            <v>0</v>
          </cell>
          <cell r="AC31">
            <v>0</v>
          </cell>
          <cell r="AD31">
            <v>45672</v>
          </cell>
          <cell r="AE31">
            <v>20</v>
          </cell>
          <cell r="AF31">
            <v>46022</v>
          </cell>
          <cell r="AG31">
            <v>35.5</v>
          </cell>
          <cell r="AH31">
            <v>0</v>
          </cell>
          <cell r="AI31">
            <v>35.5</v>
          </cell>
          <cell r="AJ31">
            <v>48.28</v>
          </cell>
          <cell r="AK31">
            <v>0</v>
          </cell>
          <cell r="AL31">
            <v>0</v>
          </cell>
          <cell r="AM31">
            <v>12.780000000000001</v>
          </cell>
          <cell r="AN31">
            <v>0</v>
          </cell>
          <cell r="AO31">
            <v>12.780000000000001</v>
          </cell>
          <cell r="AP31">
            <v>0</v>
          </cell>
          <cell r="AQ31">
            <v>12.780000000000001</v>
          </cell>
          <cell r="AR31" t="str">
            <v>CAD_1409</v>
          </cell>
          <cell r="AS31">
            <v>0</v>
          </cell>
          <cell r="AT31">
            <v>152</v>
          </cell>
          <cell r="AU31">
            <v>152</v>
          </cell>
          <cell r="AV31">
            <v>0</v>
          </cell>
          <cell r="AW31">
            <v>1942.5600000000002</v>
          </cell>
          <cell r="AX31">
            <v>1942.5600000000002</v>
          </cell>
          <cell r="AY31">
            <v>1942.5600000000002</v>
          </cell>
          <cell r="AZ31">
            <v>16.666666666666664</v>
          </cell>
          <cell r="BA31">
            <v>20.448</v>
          </cell>
          <cell r="BB31">
            <v>3108.096</v>
          </cell>
          <cell r="BD31">
            <v>1942.5600000000002</v>
          </cell>
          <cell r="BF31">
            <v>1942.5600000000002</v>
          </cell>
          <cell r="BG31">
            <v>10336</v>
          </cell>
          <cell r="BH31">
            <v>7338.56</v>
          </cell>
          <cell r="BI31">
            <v>5630.84</v>
          </cell>
          <cell r="BJ31">
            <v>0</v>
          </cell>
          <cell r="BK31">
            <v>0</v>
          </cell>
          <cell r="BL31">
            <v>0</v>
          </cell>
          <cell r="BM31">
            <v>5630.84</v>
          </cell>
          <cell r="BN31">
            <v>0</v>
          </cell>
          <cell r="BO31">
            <v>1707.7200000000003</v>
          </cell>
          <cell r="BP31" t="str">
            <v>Y</v>
          </cell>
          <cell r="BQ31">
            <v>1</v>
          </cell>
          <cell r="BR31" t="str">
            <v>N</v>
          </cell>
          <cell r="BS31">
            <v>3108.096</v>
          </cell>
          <cell r="BT31" t="str">
            <v>Done</v>
          </cell>
          <cell r="BU31">
            <v>152</v>
          </cell>
          <cell r="BV31">
            <v>2024</v>
          </cell>
        </row>
        <row r="32">
          <cell r="A32" t="str">
            <v>Lucknow</v>
          </cell>
          <cell r="B32" t="str">
            <v>Titans</v>
          </cell>
          <cell r="C32" t="str">
            <v>Mid Level</v>
          </cell>
          <cell r="D32" t="str">
            <v>Nitin Saxena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Hamza Ali</v>
          </cell>
          <cell r="L32" t="str">
            <v>New</v>
          </cell>
          <cell r="M32">
            <v>45748</v>
          </cell>
          <cell r="N32">
            <v>2</v>
          </cell>
          <cell r="O32">
            <v>298</v>
          </cell>
          <cell r="P32" t="str">
            <v>-</v>
          </cell>
          <cell r="Q32">
            <v>46113</v>
          </cell>
          <cell r="R32" t="str">
            <v>PLC-4218</v>
          </cell>
          <cell r="S32" t="str">
            <v>Alex Gonzalez</v>
          </cell>
          <cell r="T32" t="str">
            <v>Individual</v>
          </cell>
          <cell r="U32" t="str">
            <v>FTE</v>
          </cell>
          <cell r="V32" t="str">
            <v>WNS</v>
          </cell>
          <cell r="W32">
            <v>0</v>
          </cell>
          <cell r="X32">
            <v>0</v>
          </cell>
          <cell r="Y32" t="str">
            <v>USD</v>
          </cell>
          <cell r="Z32">
            <v>4992</v>
          </cell>
          <cell r="AA32">
            <v>0</v>
          </cell>
          <cell r="AB32">
            <v>0</v>
          </cell>
          <cell r="AC32">
            <v>0</v>
          </cell>
          <cell r="AD32">
            <v>45762</v>
          </cell>
          <cell r="AE32">
            <v>1</v>
          </cell>
          <cell r="AF32">
            <v>46022</v>
          </cell>
          <cell r="AG32">
            <v>0</v>
          </cell>
          <cell r="AH32">
            <v>0</v>
          </cell>
          <cell r="AI32">
            <v>0</v>
          </cell>
          <cell r="AJ32">
            <v>4992</v>
          </cell>
          <cell r="AK32">
            <v>0</v>
          </cell>
          <cell r="AL32">
            <v>0</v>
          </cell>
          <cell r="AM32">
            <v>4992</v>
          </cell>
          <cell r="AN32">
            <v>0</v>
          </cell>
          <cell r="AO32">
            <v>4992</v>
          </cell>
          <cell r="AP32">
            <v>0</v>
          </cell>
          <cell r="AQ32">
            <v>4992</v>
          </cell>
          <cell r="AR32" t="str">
            <v>US_24722</v>
          </cell>
          <cell r="AS32">
            <v>0</v>
          </cell>
          <cell r="AT32">
            <v>1</v>
          </cell>
          <cell r="AU32">
            <v>1</v>
          </cell>
          <cell r="AV32">
            <v>0</v>
          </cell>
          <cell r="AW32">
            <v>4992</v>
          </cell>
          <cell r="AX32">
            <v>4992</v>
          </cell>
          <cell r="AY32">
            <v>4992</v>
          </cell>
          <cell r="AZ32">
            <v>250</v>
          </cell>
          <cell r="BA32">
            <v>7987.2</v>
          </cell>
          <cell r="BB32">
            <v>7987.2</v>
          </cell>
          <cell r="BC32">
            <v>46</v>
          </cell>
          <cell r="BD32">
            <v>4992</v>
          </cell>
          <cell r="BE32">
            <v>3993.6</v>
          </cell>
          <cell r="BF32">
            <v>4992</v>
          </cell>
          <cell r="BG32">
            <v>4992</v>
          </cell>
          <cell r="BH32">
            <v>4992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4992</v>
          </cell>
          <cell r="BP32" t="str">
            <v>Y</v>
          </cell>
          <cell r="BQ32">
            <v>2</v>
          </cell>
          <cell r="BR32" t="str">
            <v>Y</v>
          </cell>
          <cell r="BS32">
            <v>7987.2</v>
          </cell>
          <cell r="BT32" t="str">
            <v>Done</v>
          </cell>
          <cell r="BU32">
            <v>0</v>
          </cell>
          <cell r="BV32">
            <v>2025</v>
          </cell>
        </row>
        <row r="33">
          <cell r="A33" t="str">
            <v>Lucknow</v>
          </cell>
          <cell r="B33" t="str">
            <v>Americas</v>
          </cell>
          <cell r="C33" t="str">
            <v>Mid Level</v>
          </cell>
          <cell r="D33" t="str">
            <v>Rajesh Khanna</v>
          </cell>
          <cell r="E33" t="str">
            <v>-</v>
          </cell>
          <cell r="H33" t="str">
            <v>Rajesh Khanna</v>
          </cell>
          <cell r="K33">
            <v>0</v>
          </cell>
          <cell r="L33" t="str">
            <v>New</v>
          </cell>
          <cell r="M33">
            <v>45726</v>
          </cell>
          <cell r="N33">
            <v>1</v>
          </cell>
          <cell r="O33">
            <v>320</v>
          </cell>
          <cell r="P33" t="str">
            <v>-</v>
          </cell>
          <cell r="Q33">
            <v>46091</v>
          </cell>
          <cell r="R33" t="str">
            <v>PLC Fanatics</v>
          </cell>
          <cell r="S33" t="str">
            <v>Alok Sundarka</v>
          </cell>
          <cell r="T33" t="str">
            <v>Individual</v>
          </cell>
          <cell r="U33" t="str">
            <v>C2C</v>
          </cell>
          <cell r="V33" t="str">
            <v>Fanatics</v>
          </cell>
          <cell r="W33">
            <v>32.5</v>
          </cell>
          <cell r="X33">
            <v>0</v>
          </cell>
          <cell r="Y33" t="str">
            <v>USD</v>
          </cell>
          <cell r="Z33">
            <v>35</v>
          </cell>
          <cell r="AA33">
            <v>0</v>
          </cell>
          <cell r="AB33">
            <v>0</v>
          </cell>
          <cell r="AC33">
            <v>0</v>
          </cell>
          <cell r="AD33">
            <v>45731</v>
          </cell>
          <cell r="AE33">
            <v>16</v>
          </cell>
          <cell r="AF33">
            <v>46022</v>
          </cell>
          <cell r="AG33">
            <v>32.5</v>
          </cell>
          <cell r="AH33">
            <v>0</v>
          </cell>
          <cell r="AI33">
            <v>32.5</v>
          </cell>
          <cell r="AJ33">
            <v>35</v>
          </cell>
          <cell r="AK33">
            <v>0</v>
          </cell>
          <cell r="AL33">
            <v>0</v>
          </cell>
          <cell r="AM33">
            <v>2.5</v>
          </cell>
          <cell r="AN33">
            <v>0</v>
          </cell>
          <cell r="AO33">
            <v>2.5</v>
          </cell>
          <cell r="AP33">
            <v>0</v>
          </cell>
          <cell r="AQ33">
            <v>2.5</v>
          </cell>
          <cell r="AR33" t="str">
            <v>US_24662</v>
          </cell>
          <cell r="AS33">
            <v>0</v>
          </cell>
          <cell r="AT33">
            <v>128</v>
          </cell>
          <cell r="AU33">
            <v>128</v>
          </cell>
          <cell r="AV33">
            <v>0</v>
          </cell>
          <cell r="AW33">
            <v>320</v>
          </cell>
          <cell r="AX33">
            <v>320</v>
          </cell>
          <cell r="AY33">
            <v>320</v>
          </cell>
          <cell r="AZ33">
            <v>0</v>
          </cell>
          <cell r="BA33">
            <v>0</v>
          </cell>
          <cell r="BB33">
            <v>0</v>
          </cell>
          <cell r="BF33">
            <v>320</v>
          </cell>
          <cell r="BG33">
            <v>4480</v>
          </cell>
          <cell r="BH33">
            <v>4480</v>
          </cell>
          <cell r="BI33">
            <v>4160</v>
          </cell>
          <cell r="BJ33">
            <v>0</v>
          </cell>
          <cell r="BK33">
            <v>0</v>
          </cell>
          <cell r="BL33">
            <v>0</v>
          </cell>
          <cell r="BM33">
            <v>4160</v>
          </cell>
          <cell r="BN33">
            <v>0</v>
          </cell>
          <cell r="BO33">
            <v>320</v>
          </cell>
          <cell r="BP33" t="str">
            <v>Y</v>
          </cell>
          <cell r="BQ33">
            <v>1</v>
          </cell>
          <cell r="BR33" t="str">
            <v>Y</v>
          </cell>
          <cell r="BS33">
            <v>0</v>
          </cell>
          <cell r="BT33" t="str">
            <v>Done</v>
          </cell>
          <cell r="BU33">
            <v>128</v>
          </cell>
          <cell r="BV33">
            <v>2025</v>
          </cell>
        </row>
        <row r="34">
          <cell r="A34" t="str">
            <v>Lucknow</v>
          </cell>
          <cell r="B34" t="str">
            <v>Americas</v>
          </cell>
          <cell r="C34" t="str">
            <v>Mid Level</v>
          </cell>
          <cell r="D34" t="str">
            <v>Rajesh Khanna</v>
          </cell>
          <cell r="E34" t="str">
            <v>-</v>
          </cell>
          <cell r="H34" t="str">
            <v>Rajesh Khanna</v>
          </cell>
          <cell r="K34">
            <v>0</v>
          </cell>
          <cell r="L34" t="str">
            <v>New</v>
          </cell>
          <cell r="M34">
            <v>45726</v>
          </cell>
          <cell r="N34">
            <v>1</v>
          </cell>
          <cell r="O34">
            <v>320</v>
          </cell>
          <cell r="P34" t="str">
            <v>-</v>
          </cell>
          <cell r="Q34">
            <v>46091</v>
          </cell>
          <cell r="R34" t="str">
            <v>PLC Fanatics</v>
          </cell>
          <cell r="S34" t="str">
            <v>Alok Sundarka</v>
          </cell>
          <cell r="T34" t="str">
            <v>Individual</v>
          </cell>
          <cell r="U34" t="str">
            <v>C2C</v>
          </cell>
          <cell r="V34" t="str">
            <v>Fanatics</v>
          </cell>
          <cell r="W34">
            <v>32.5</v>
          </cell>
          <cell r="X34">
            <v>0</v>
          </cell>
          <cell r="Y34" t="str">
            <v>USD</v>
          </cell>
          <cell r="Z34">
            <v>35</v>
          </cell>
          <cell r="AA34">
            <v>0</v>
          </cell>
          <cell r="AB34">
            <v>0</v>
          </cell>
          <cell r="AC34">
            <v>0</v>
          </cell>
          <cell r="AD34">
            <v>45762</v>
          </cell>
          <cell r="AE34">
            <v>22</v>
          </cell>
          <cell r="AF34">
            <v>46022</v>
          </cell>
          <cell r="AG34">
            <v>32.5</v>
          </cell>
          <cell r="AH34">
            <v>0</v>
          </cell>
          <cell r="AI34">
            <v>32.5</v>
          </cell>
          <cell r="AJ34">
            <v>35</v>
          </cell>
          <cell r="AK34">
            <v>0</v>
          </cell>
          <cell r="AL34">
            <v>0</v>
          </cell>
          <cell r="AM34">
            <v>2.5</v>
          </cell>
          <cell r="AN34">
            <v>0</v>
          </cell>
          <cell r="AO34">
            <v>2.5</v>
          </cell>
          <cell r="AP34">
            <v>0</v>
          </cell>
          <cell r="AQ34">
            <v>2.5</v>
          </cell>
          <cell r="AR34" t="str">
            <v>US_24867</v>
          </cell>
          <cell r="AS34">
            <v>0</v>
          </cell>
          <cell r="AT34">
            <v>176</v>
          </cell>
          <cell r="AU34">
            <v>176</v>
          </cell>
          <cell r="AV34">
            <v>0</v>
          </cell>
          <cell r="AW34">
            <v>440</v>
          </cell>
          <cell r="AX34">
            <v>440</v>
          </cell>
          <cell r="AY34">
            <v>440</v>
          </cell>
          <cell r="AZ34">
            <v>0</v>
          </cell>
          <cell r="BA34">
            <v>0</v>
          </cell>
          <cell r="BB34">
            <v>0</v>
          </cell>
          <cell r="BF34">
            <v>440</v>
          </cell>
          <cell r="BG34">
            <v>6160</v>
          </cell>
          <cell r="BH34">
            <v>6160</v>
          </cell>
          <cell r="BI34">
            <v>5720</v>
          </cell>
          <cell r="BJ34">
            <v>0</v>
          </cell>
          <cell r="BK34">
            <v>0</v>
          </cell>
          <cell r="BL34">
            <v>0</v>
          </cell>
          <cell r="BM34">
            <v>5720</v>
          </cell>
          <cell r="BN34">
            <v>0</v>
          </cell>
          <cell r="BO34">
            <v>440</v>
          </cell>
          <cell r="BP34" t="str">
            <v>Y</v>
          </cell>
          <cell r="BQ34">
            <v>2</v>
          </cell>
          <cell r="BR34" t="str">
            <v>Y</v>
          </cell>
          <cell r="BS34">
            <v>0</v>
          </cell>
          <cell r="BT34" t="str">
            <v>Done</v>
          </cell>
          <cell r="BU34">
            <v>176</v>
          </cell>
          <cell r="BV34">
            <v>2025</v>
          </cell>
        </row>
        <row r="35">
          <cell r="A35" t="str">
            <v>Chennai</v>
          </cell>
          <cell r="B35" t="str">
            <v>Chennai</v>
          </cell>
          <cell r="C35" t="str">
            <v>Mid Level</v>
          </cell>
          <cell r="D35" t="str">
            <v>Vinoth L</v>
          </cell>
          <cell r="E35" t="str">
            <v>-</v>
          </cell>
          <cell r="H35" t="str">
            <v>Tejaswini Kanaparthi</v>
          </cell>
          <cell r="L35" t="str">
            <v>New</v>
          </cell>
          <cell r="M35">
            <v>45691</v>
          </cell>
          <cell r="N35">
            <v>1</v>
          </cell>
          <cell r="O35">
            <v>355</v>
          </cell>
          <cell r="P35">
            <v>45807</v>
          </cell>
          <cell r="Q35">
            <v>46056</v>
          </cell>
          <cell r="R35" t="str">
            <v>PLC-4109</v>
          </cell>
          <cell r="S35" t="str">
            <v>Amar Deep Gautam</v>
          </cell>
          <cell r="T35" t="str">
            <v>Individual</v>
          </cell>
          <cell r="U35" t="str">
            <v>W2</v>
          </cell>
          <cell r="V35" t="str">
            <v>Citius Tech</v>
          </cell>
          <cell r="W35">
            <v>60</v>
          </cell>
          <cell r="X35">
            <v>0</v>
          </cell>
          <cell r="Y35" t="str">
            <v>USD</v>
          </cell>
          <cell r="Z35">
            <v>75</v>
          </cell>
          <cell r="AA35">
            <v>0</v>
          </cell>
          <cell r="AB35">
            <v>0</v>
          </cell>
          <cell r="AC35">
            <v>0</v>
          </cell>
          <cell r="AD35">
            <v>45703</v>
          </cell>
          <cell r="AE35">
            <v>20</v>
          </cell>
          <cell r="AF35">
            <v>46022</v>
          </cell>
          <cell r="AG35">
            <v>69</v>
          </cell>
          <cell r="AH35">
            <v>0</v>
          </cell>
          <cell r="AI35">
            <v>69</v>
          </cell>
          <cell r="AJ35">
            <v>75</v>
          </cell>
          <cell r="AK35">
            <v>0</v>
          </cell>
          <cell r="AL35">
            <v>0</v>
          </cell>
          <cell r="AM35">
            <v>6</v>
          </cell>
          <cell r="AN35">
            <v>0</v>
          </cell>
          <cell r="AO35">
            <v>6</v>
          </cell>
          <cell r="AP35">
            <v>0</v>
          </cell>
          <cell r="AQ35">
            <v>6</v>
          </cell>
          <cell r="AR35" t="str">
            <v>US_24347</v>
          </cell>
          <cell r="AS35">
            <v>0</v>
          </cell>
          <cell r="AT35">
            <v>160</v>
          </cell>
          <cell r="AU35">
            <v>160</v>
          </cell>
          <cell r="AV35">
            <v>0</v>
          </cell>
          <cell r="AW35">
            <v>960</v>
          </cell>
          <cell r="AX35">
            <v>960</v>
          </cell>
          <cell r="AY35">
            <v>960</v>
          </cell>
          <cell r="AZ35">
            <v>0</v>
          </cell>
          <cell r="BA35">
            <v>0</v>
          </cell>
          <cell r="BB35">
            <v>0</v>
          </cell>
          <cell r="BC35">
            <v>67</v>
          </cell>
          <cell r="BD35">
            <v>960</v>
          </cell>
          <cell r="BE35">
            <v>1152</v>
          </cell>
          <cell r="BF35">
            <v>960</v>
          </cell>
          <cell r="BG35">
            <v>12000</v>
          </cell>
          <cell r="BH35">
            <v>12000</v>
          </cell>
          <cell r="BI35">
            <v>9600</v>
          </cell>
          <cell r="BJ35">
            <v>9</v>
          </cell>
          <cell r="BK35">
            <v>0</v>
          </cell>
          <cell r="BL35">
            <v>1440</v>
          </cell>
          <cell r="BM35">
            <v>11040</v>
          </cell>
          <cell r="BN35">
            <v>9</v>
          </cell>
          <cell r="BO35">
            <v>960</v>
          </cell>
          <cell r="BP35" t="str">
            <v>Y</v>
          </cell>
          <cell r="BQ35">
            <v>1</v>
          </cell>
          <cell r="BR35" t="str">
            <v>Y</v>
          </cell>
          <cell r="BS35">
            <v>0</v>
          </cell>
          <cell r="BT35" t="str">
            <v>Done</v>
          </cell>
          <cell r="BU35">
            <v>160</v>
          </cell>
          <cell r="BV35">
            <v>2025</v>
          </cell>
        </row>
        <row r="36">
          <cell r="A36" t="str">
            <v>Chennai</v>
          </cell>
          <cell r="B36" t="str">
            <v>Chennai</v>
          </cell>
          <cell r="C36" t="str">
            <v>Mid Level</v>
          </cell>
          <cell r="D36" t="str">
            <v>Vinoth L</v>
          </cell>
          <cell r="E36" t="str">
            <v>-</v>
          </cell>
          <cell r="H36" t="str">
            <v>Tejaswini Kanaparthi</v>
          </cell>
          <cell r="L36" t="str">
            <v>New</v>
          </cell>
          <cell r="M36">
            <v>45691</v>
          </cell>
          <cell r="N36">
            <v>1</v>
          </cell>
          <cell r="O36">
            <v>355</v>
          </cell>
          <cell r="P36">
            <v>45807</v>
          </cell>
          <cell r="Q36">
            <v>46056</v>
          </cell>
          <cell r="R36" t="str">
            <v>PLC-4109</v>
          </cell>
          <cell r="S36" t="str">
            <v>Amar Deep Gautam</v>
          </cell>
          <cell r="T36" t="str">
            <v>Individual</v>
          </cell>
          <cell r="U36" t="str">
            <v>W2</v>
          </cell>
          <cell r="V36" t="str">
            <v>Citius Tech</v>
          </cell>
          <cell r="W36">
            <v>60</v>
          </cell>
          <cell r="X36">
            <v>0</v>
          </cell>
          <cell r="Y36" t="str">
            <v>USD</v>
          </cell>
          <cell r="Z36">
            <v>75</v>
          </cell>
          <cell r="AA36">
            <v>0</v>
          </cell>
          <cell r="AB36">
            <v>0</v>
          </cell>
          <cell r="AC36">
            <v>0</v>
          </cell>
          <cell r="AD36">
            <v>45731</v>
          </cell>
          <cell r="AE36">
            <v>21</v>
          </cell>
          <cell r="AF36">
            <v>46022</v>
          </cell>
          <cell r="AG36">
            <v>69</v>
          </cell>
          <cell r="AH36">
            <v>0</v>
          </cell>
          <cell r="AI36">
            <v>69</v>
          </cell>
          <cell r="AJ36">
            <v>75</v>
          </cell>
          <cell r="AK36">
            <v>0</v>
          </cell>
          <cell r="AL36">
            <v>0</v>
          </cell>
          <cell r="AM36">
            <v>6</v>
          </cell>
          <cell r="AN36">
            <v>0</v>
          </cell>
          <cell r="AO36">
            <v>6</v>
          </cell>
          <cell r="AP36">
            <v>0</v>
          </cell>
          <cell r="AQ36">
            <v>6</v>
          </cell>
          <cell r="AR36" t="str">
            <v>US_24544</v>
          </cell>
          <cell r="AS36">
            <v>0</v>
          </cell>
          <cell r="AT36">
            <v>168</v>
          </cell>
          <cell r="AU36">
            <v>168</v>
          </cell>
          <cell r="AV36">
            <v>0</v>
          </cell>
          <cell r="AW36">
            <v>1008</v>
          </cell>
          <cell r="AX36">
            <v>1008</v>
          </cell>
          <cell r="AY36">
            <v>1008</v>
          </cell>
          <cell r="AZ36">
            <v>0</v>
          </cell>
          <cell r="BA36">
            <v>0</v>
          </cell>
          <cell r="BB36">
            <v>0</v>
          </cell>
          <cell r="BC36">
            <v>67</v>
          </cell>
          <cell r="BD36">
            <v>1008</v>
          </cell>
          <cell r="BE36">
            <v>1209.5999999999999</v>
          </cell>
          <cell r="BF36">
            <v>1008</v>
          </cell>
          <cell r="BG36">
            <v>12600</v>
          </cell>
          <cell r="BH36">
            <v>12600</v>
          </cell>
          <cell r="BI36">
            <v>10080</v>
          </cell>
          <cell r="BJ36">
            <v>9</v>
          </cell>
          <cell r="BK36">
            <v>0</v>
          </cell>
          <cell r="BL36">
            <v>1512</v>
          </cell>
          <cell r="BM36">
            <v>11592</v>
          </cell>
          <cell r="BN36">
            <v>9</v>
          </cell>
          <cell r="BO36">
            <v>1008</v>
          </cell>
          <cell r="BP36" t="str">
            <v>Y</v>
          </cell>
          <cell r="BQ36">
            <v>1</v>
          </cell>
          <cell r="BR36" t="str">
            <v>Y</v>
          </cell>
          <cell r="BS36">
            <v>0</v>
          </cell>
          <cell r="BT36" t="str">
            <v>Done</v>
          </cell>
          <cell r="BU36">
            <v>168</v>
          </cell>
          <cell r="BV36">
            <v>2025</v>
          </cell>
        </row>
        <row r="37">
          <cell r="A37" t="str">
            <v>Chennai</v>
          </cell>
          <cell r="B37" t="str">
            <v>Chennai</v>
          </cell>
          <cell r="C37" t="str">
            <v>Mid Level</v>
          </cell>
          <cell r="D37" t="str">
            <v>Vinoth L</v>
          </cell>
          <cell r="E37" t="str">
            <v>-</v>
          </cell>
          <cell r="H37" t="str">
            <v>Tejaswini Kanaparthi</v>
          </cell>
          <cell r="L37" t="str">
            <v>New</v>
          </cell>
          <cell r="M37">
            <v>45691</v>
          </cell>
          <cell r="N37">
            <v>1</v>
          </cell>
          <cell r="O37">
            <v>355</v>
          </cell>
          <cell r="P37">
            <v>45807</v>
          </cell>
          <cell r="Q37">
            <v>46056</v>
          </cell>
          <cell r="R37" t="str">
            <v>PLC-4109</v>
          </cell>
          <cell r="S37" t="str">
            <v>Amar Deep Gautam</v>
          </cell>
          <cell r="T37" t="str">
            <v>Individual</v>
          </cell>
          <cell r="U37" t="str">
            <v>W2</v>
          </cell>
          <cell r="V37" t="str">
            <v>Citius Tech</v>
          </cell>
          <cell r="W37">
            <v>60</v>
          </cell>
          <cell r="X37">
            <v>0</v>
          </cell>
          <cell r="Y37" t="str">
            <v>USD</v>
          </cell>
          <cell r="Z37">
            <v>75</v>
          </cell>
          <cell r="AA37">
            <v>0</v>
          </cell>
          <cell r="AB37">
            <v>0</v>
          </cell>
          <cell r="AC37">
            <v>0</v>
          </cell>
          <cell r="AD37">
            <v>45762</v>
          </cell>
          <cell r="AE37">
            <v>22</v>
          </cell>
          <cell r="AF37">
            <v>46022</v>
          </cell>
          <cell r="AG37">
            <v>69</v>
          </cell>
          <cell r="AH37">
            <v>0</v>
          </cell>
          <cell r="AI37">
            <v>69</v>
          </cell>
          <cell r="AJ37">
            <v>75</v>
          </cell>
          <cell r="AK37">
            <v>0</v>
          </cell>
          <cell r="AL37">
            <v>0</v>
          </cell>
          <cell r="AM37">
            <v>6</v>
          </cell>
          <cell r="AN37">
            <v>0</v>
          </cell>
          <cell r="AO37">
            <v>6</v>
          </cell>
          <cell r="AP37">
            <v>0</v>
          </cell>
          <cell r="AQ37">
            <v>6</v>
          </cell>
          <cell r="AR37" t="str">
            <v>US_24762</v>
          </cell>
          <cell r="AS37">
            <v>0</v>
          </cell>
          <cell r="AT37">
            <v>168</v>
          </cell>
          <cell r="AU37">
            <v>168</v>
          </cell>
          <cell r="AV37">
            <v>0</v>
          </cell>
          <cell r="AW37">
            <v>1008</v>
          </cell>
          <cell r="AX37">
            <v>1008</v>
          </cell>
          <cell r="AY37">
            <v>1008</v>
          </cell>
          <cell r="AZ37">
            <v>0</v>
          </cell>
          <cell r="BA37">
            <v>0</v>
          </cell>
          <cell r="BB37">
            <v>0</v>
          </cell>
          <cell r="BC37">
            <v>67</v>
          </cell>
          <cell r="BD37">
            <v>1008</v>
          </cell>
          <cell r="BE37">
            <v>1209.5999999999999</v>
          </cell>
          <cell r="BF37">
            <v>1008</v>
          </cell>
          <cell r="BG37">
            <v>12600</v>
          </cell>
          <cell r="BH37">
            <v>12600</v>
          </cell>
          <cell r="BI37">
            <v>10080</v>
          </cell>
          <cell r="BJ37">
            <v>9</v>
          </cell>
          <cell r="BK37">
            <v>0</v>
          </cell>
          <cell r="BL37">
            <v>1512</v>
          </cell>
          <cell r="BM37">
            <v>11592</v>
          </cell>
          <cell r="BN37">
            <v>9</v>
          </cell>
          <cell r="BO37">
            <v>1008</v>
          </cell>
          <cell r="BP37" t="str">
            <v>Y</v>
          </cell>
          <cell r="BQ37">
            <v>2</v>
          </cell>
          <cell r="BR37" t="str">
            <v>N</v>
          </cell>
          <cell r="BS37">
            <v>0</v>
          </cell>
          <cell r="BT37" t="str">
            <v>Done</v>
          </cell>
          <cell r="BU37">
            <v>168</v>
          </cell>
          <cell r="BV37">
            <v>2025</v>
          </cell>
        </row>
        <row r="38">
          <cell r="A38" t="str">
            <v>Lucknow</v>
          </cell>
          <cell r="B38" t="str">
            <v>Mavericks</v>
          </cell>
          <cell r="C38" t="str">
            <v>Mid Level</v>
          </cell>
          <cell r="D38" t="str">
            <v>Kashif Nabi</v>
          </cell>
          <cell r="E38" t="str">
            <v>Mohammad Tariq</v>
          </cell>
          <cell r="H38" t="str">
            <v>Ritik Arya</v>
          </cell>
          <cell r="L38" t="str">
            <v>New</v>
          </cell>
          <cell r="M38">
            <v>45663</v>
          </cell>
          <cell r="N38">
            <v>1</v>
          </cell>
          <cell r="O38">
            <v>383</v>
          </cell>
          <cell r="P38" t="str">
            <v>-</v>
          </cell>
          <cell r="Q38">
            <v>46028</v>
          </cell>
          <cell r="R38" t="str">
            <v>PLC-4070</v>
          </cell>
          <cell r="S38" t="str">
            <v>Amar Preet Singh</v>
          </cell>
          <cell r="T38" t="str">
            <v>Individual</v>
          </cell>
          <cell r="U38" t="str">
            <v>C2C</v>
          </cell>
          <cell r="V38" t="str">
            <v>Synechron</v>
          </cell>
          <cell r="W38">
            <v>77.5</v>
          </cell>
          <cell r="X38">
            <v>0</v>
          </cell>
          <cell r="Y38" t="str">
            <v>CAD</v>
          </cell>
          <cell r="Z38">
            <v>87.5</v>
          </cell>
          <cell r="AA38">
            <v>0</v>
          </cell>
          <cell r="AB38">
            <v>0</v>
          </cell>
          <cell r="AC38">
            <v>0</v>
          </cell>
          <cell r="AD38">
            <v>45672</v>
          </cell>
          <cell r="AE38">
            <v>20</v>
          </cell>
          <cell r="AF38">
            <v>46022</v>
          </cell>
          <cell r="AG38">
            <v>55.024999999999999</v>
          </cell>
          <cell r="AH38">
            <v>0</v>
          </cell>
          <cell r="AI38">
            <v>55.024999999999999</v>
          </cell>
          <cell r="AJ38">
            <v>62.125</v>
          </cell>
          <cell r="AK38">
            <v>0</v>
          </cell>
          <cell r="AL38">
            <v>0</v>
          </cell>
          <cell r="AM38">
            <v>7.1000000000000014</v>
          </cell>
          <cell r="AN38">
            <v>0</v>
          </cell>
          <cell r="AO38">
            <v>7.1000000000000014</v>
          </cell>
          <cell r="AP38">
            <v>0</v>
          </cell>
          <cell r="AQ38">
            <v>7.1000000000000014</v>
          </cell>
          <cell r="AR38" t="str">
            <v>CAD_1421</v>
          </cell>
          <cell r="AS38">
            <v>0</v>
          </cell>
          <cell r="AT38">
            <v>160</v>
          </cell>
          <cell r="AU38">
            <v>160</v>
          </cell>
          <cell r="AV38">
            <v>0</v>
          </cell>
          <cell r="AW38">
            <v>1136.0000000000002</v>
          </cell>
          <cell r="AX38">
            <v>1136.0000000000002</v>
          </cell>
          <cell r="AY38">
            <v>1136.0000000000002</v>
          </cell>
          <cell r="AZ38">
            <v>66.666666666666657</v>
          </cell>
          <cell r="BA38">
            <v>8.5200000000000031</v>
          </cell>
          <cell r="BB38">
            <v>1363.2000000000005</v>
          </cell>
          <cell r="BF38">
            <v>1136.0000000000002</v>
          </cell>
          <cell r="BG38">
            <v>14000</v>
          </cell>
          <cell r="BH38">
            <v>9940</v>
          </cell>
          <cell r="BI38">
            <v>9187.16</v>
          </cell>
          <cell r="BJ38">
            <v>0</v>
          </cell>
          <cell r="BK38">
            <v>0</v>
          </cell>
          <cell r="BL38">
            <v>0</v>
          </cell>
          <cell r="BM38">
            <v>9187.16</v>
          </cell>
          <cell r="BN38">
            <v>0</v>
          </cell>
          <cell r="BO38">
            <v>752.84000000000015</v>
          </cell>
          <cell r="BP38" t="str">
            <v>Y</v>
          </cell>
          <cell r="BQ38">
            <v>1</v>
          </cell>
          <cell r="BR38" t="str">
            <v>Y</v>
          </cell>
          <cell r="BS38">
            <v>1363.2000000000005</v>
          </cell>
          <cell r="BT38" t="str">
            <v>Done</v>
          </cell>
          <cell r="BU38">
            <v>160</v>
          </cell>
          <cell r="BV38">
            <v>2025</v>
          </cell>
        </row>
        <row r="39">
          <cell r="A39" t="str">
            <v>Lucknow</v>
          </cell>
          <cell r="B39" t="str">
            <v>Mavericks</v>
          </cell>
          <cell r="C39" t="str">
            <v>Mid Level</v>
          </cell>
          <cell r="D39" t="str">
            <v>Kashif Nabi</v>
          </cell>
          <cell r="E39" t="str">
            <v>Mohammad Tariq</v>
          </cell>
          <cell r="H39" t="str">
            <v>Ritik Arya</v>
          </cell>
          <cell r="L39" t="str">
            <v>New</v>
          </cell>
          <cell r="M39">
            <v>45663</v>
          </cell>
          <cell r="N39">
            <v>1</v>
          </cell>
          <cell r="O39">
            <v>383</v>
          </cell>
          <cell r="P39" t="str">
            <v>-</v>
          </cell>
          <cell r="Q39">
            <v>46028</v>
          </cell>
          <cell r="R39" t="str">
            <v>PLC-4070</v>
          </cell>
          <cell r="S39" t="str">
            <v>Amar Preet Singh</v>
          </cell>
          <cell r="T39" t="str">
            <v>Individual</v>
          </cell>
          <cell r="U39" t="str">
            <v>C2C</v>
          </cell>
          <cell r="V39" t="str">
            <v>Synechron</v>
          </cell>
          <cell r="W39">
            <v>77.5</v>
          </cell>
          <cell r="X39">
            <v>0</v>
          </cell>
          <cell r="Y39" t="str">
            <v>CAD</v>
          </cell>
          <cell r="Z39">
            <v>87.5</v>
          </cell>
          <cell r="AA39">
            <v>0</v>
          </cell>
          <cell r="AB39">
            <v>0</v>
          </cell>
          <cell r="AC39">
            <v>0</v>
          </cell>
          <cell r="AD39">
            <v>45703</v>
          </cell>
          <cell r="AE39">
            <v>20</v>
          </cell>
          <cell r="AF39">
            <v>46022</v>
          </cell>
          <cell r="AG39">
            <v>55.024999999999999</v>
          </cell>
          <cell r="AH39">
            <v>0</v>
          </cell>
          <cell r="AI39">
            <v>55.024999999999999</v>
          </cell>
          <cell r="AJ39">
            <v>62.125</v>
          </cell>
          <cell r="AK39">
            <v>0</v>
          </cell>
          <cell r="AL39">
            <v>0</v>
          </cell>
          <cell r="AM39">
            <v>7.1000000000000014</v>
          </cell>
          <cell r="AN39">
            <v>0</v>
          </cell>
          <cell r="AO39">
            <v>7.1000000000000014</v>
          </cell>
          <cell r="AP39">
            <v>0</v>
          </cell>
          <cell r="AQ39">
            <v>7.1000000000000014</v>
          </cell>
          <cell r="AR39" t="str">
            <v>CAD_1445</v>
          </cell>
          <cell r="AS39">
            <v>0</v>
          </cell>
          <cell r="AT39">
            <v>152</v>
          </cell>
          <cell r="AU39">
            <v>152</v>
          </cell>
          <cell r="AV39">
            <v>0</v>
          </cell>
          <cell r="AW39">
            <v>1079.2000000000003</v>
          </cell>
          <cell r="AX39">
            <v>1079.2000000000003</v>
          </cell>
          <cell r="AY39">
            <v>1079.2000000000003</v>
          </cell>
          <cell r="AZ39">
            <v>66.666666666666657</v>
          </cell>
          <cell r="BA39">
            <v>8.5200000000000031</v>
          </cell>
          <cell r="BB39">
            <v>1295.0400000000004</v>
          </cell>
          <cell r="BF39">
            <v>1079.2000000000003</v>
          </cell>
          <cell r="BG39">
            <v>13300</v>
          </cell>
          <cell r="BH39">
            <v>9443</v>
          </cell>
          <cell r="BI39">
            <v>8727.8019999999997</v>
          </cell>
          <cell r="BJ39">
            <v>0</v>
          </cell>
          <cell r="BK39">
            <v>0</v>
          </cell>
          <cell r="BL39">
            <v>0</v>
          </cell>
          <cell r="BM39">
            <v>8727.8019999999997</v>
          </cell>
          <cell r="BN39">
            <v>0</v>
          </cell>
          <cell r="BO39">
            <v>715.19800000000032</v>
          </cell>
          <cell r="BP39" t="str">
            <v>Y</v>
          </cell>
          <cell r="BQ39">
            <v>1</v>
          </cell>
          <cell r="BR39" t="str">
            <v>Y</v>
          </cell>
          <cell r="BS39">
            <v>1295.0400000000004</v>
          </cell>
          <cell r="BT39" t="str">
            <v>Done</v>
          </cell>
          <cell r="BU39">
            <v>152</v>
          </cell>
          <cell r="BV39">
            <v>2025</v>
          </cell>
        </row>
        <row r="40">
          <cell r="A40" t="str">
            <v>Lucknow</v>
          </cell>
          <cell r="B40" t="str">
            <v>Mavericks</v>
          </cell>
          <cell r="C40" t="str">
            <v>Mid Level</v>
          </cell>
          <cell r="D40" t="str">
            <v>Kashif Nabi</v>
          </cell>
          <cell r="E40" t="str">
            <v>Mohammad Tariq</v>
          </cell>
          <cell r="H40" t="str">
            <v>Ritik Arya</v>
          </cell>
          <cell r="L40" t="str">
            <v>New</v>
          </cell>
          <cell r="M40">
            <v>45663</v>
          </cell>
          <cell r="N40">
            <v>1</v>
          </cell>
          <cell r="O40">
            <v>383</v>
          </cell>
          <cell r="P40" t="str">
            <v>-</v>
          </cell>
          <cell r="Q40">
            <v>46028</v>
          </cell>
          <cell r="R40" t="str">
            <v>PLC-4070</v>
          </cell>
          <cell r="S40" t="str">
            <v>Amar Preet Singh</v>
          </cell>
          <cell r="T40" t="str">
            <v>Individual</v>
          </cell>
          <cell r="U40" t="str">
            <v>C2C</v>
          </cell>
          <cell r="V40" t="str">
            <v>Synechron</v>
          </cell>
          <cell r="W40">
            <v>77.5</v>
          </cell>
          <cell r="X40">
            <v>0</v>
          </cell>
          <cell r="Y40" t="str">
            <v>CAD</v>
          </cell>
          <cell r="Z40">
            <v>87.5</v>
          </cell>
          <cell r="AA40">
            <v>0</v>
          </cell>
          <cell r="AB40">
            <v>0</v>
          </cell>
          <cell r="AC40">
            <v>0</v>
          </cell>
          <cell r="AD40">
            <v>45731</v>
          </cell>
          <cell r="AE40">
            <v>21</v>
          </cell>
          <cell r="AF40">
            <v>46022</v>
          </cell>
          <cell r="AG40">
            <v>55.024999999999999</v>
          </cell>
          <cell r="AH40">
            <v>0</v>
          </cell>
          <cell r="AI40">
            <v>55.024999999999999</v>
          </cell>
          <cell r="AJ40">
            <v>62.125</v>
          </cell>
          <cell r="AK40">
            <v>0</v>
          </cell>
          <cell r="AL40">
            <v>0</v>
          </cell>
          <cell r="AM40">
            <v>7.1000000000000014</v>
          </cell>
          <cell r="AN40">
            <v>0</v>
          </cell>
          <cell r="AO40">
            <v>7.1000000000000014</v>
          </cell>
          <cell r="AP40">
            <v>0</v>
          </cell>
          <cell r="AQ40">
            <v>7.1000000000000014</v>
          </cell>
          <cell r="AR40" t="str">
            <v>CAD_1470</v>
          </cell>
          <cell r="AS40">
            <v>0</v>
          </cell>
          <cell r="AT40">
            <v>168</v>
          </cell>
          <cell r="AU40">
            <v>168</v>
          </cell>
          <cell r="AV40">
            <v>0</v>
          </cell>
          <cell r="AW40">
            <v>1192.8000000000002</v>
          </cell>
          <cell r="AX40">
            <v>1192.8000000000002</v>
          </cell>
          <cell r="AY40">
            <v>1192.8000000000002</v>
          </cell>
          <cell r="AZ40">
            <v>66.666666666666657</v>
          </cell>
          <cell r="BA40">
            <v>8.5200000000000031</v>
          </cell>
          <cell r="BB40">
            <v>1431.3600000000006</v>
          </cell>
          <cell r="BF40">
            <v>1192.8000000000002</v>
          </cell>
          <cell r="BG40">
            <v>14700</v>
          </cell>
          <cell r="BH40">
            <v>10437</v>
          </cell>
          <cell r="BI40">
            <v>9646.518</v>
          </cell>
          <cell r="BJ40">
            <v>0</v>
          </cell>
          <cell r="BK40">
            <v>0</v>
          </cell>
          <cell r="BL40">
            <v>0</v>
          </cell>
          <cell r="BM40">
            <v>9646.518</v>
          </cell>
          <cell r="BN40">
            <v>0</v>
          </cell>
          <cell r="BO40">
            <v>790.48199999999997</v>
          </cell>
          <cell r="BP40" t="str">
            <v>Y</v>
          </cell>
          <cell r="BQ40">
            <v>1</v>
          </cell>
          <cell r="BR40" t="str">
            <v>Y</v>
          </cell>
          <cell r="BS40">
            <v>1431.3600000000006</v>
          </cell>
          <cell r="BT40" t="str">
            <v>Done</v>
          </cell>
          <cell r="BU40">
            <v>168</v>
          </cell>
          <cell r="BV40">
            <v>2025</v>
          </cell>
        </row>
        <row r="41">
          <cell r="A41" t="str">
            <v>Lucknow</v>
          </cell>
          <cell r="B41" t="str">
            <v>Mavericks</v>
          </cell>
          <cell r="C41" t="str">
            <v>Mid Level</v>
          </cell>
          <cell r="D41" t="str">
            <v>Kashif Nabi</v>
          </cell>
          <cell r="E41" t="str">
            <v>Mohammad Tariq</v>
          </cell>
          <cell r="H41" t="str">
            <v>Ritik Arya</v>
          </cell>
          <cell r="L41" t="str">
            <v>New</v>
          </cell>
          <cell r="M41">
            <v>45663</v>
          </cell>
          <cell r="N41">
            <v>1</v>
          </cell>
          <cell r="O41">
            <v>383</v>
          </cell>
          <cell r="P41" t="str">
            <v>-</v>
          </cell>
          <cell r="Q41">
            <v>46028</v>
          </cell>
          <cell r="R41" t="str">
            <v>PLC-4070</v>
          </cell>
          <cell r="S41" t="str">
            <v>Amar Preet Singh</v>
          </cell>
          <cell r="T41" t="str">
            <v>Individual</v>
          </cell>
          <cell r="U41" t="str">
            <v>C2C</v>
          </cell>
          <cell r="V41" t="str">
            <v>Synechron</v>
          </cell>
          <cell r="W41">
            <v>77.5</v>
          </cell>
          <cell r="X41">
            <v>0</v>
          </cell>
          <cell r="Y41" t="str">
            <v>CAD</v>
          </cell>
          <cell r="Z41">
            <v>87.5</v>
          </cell>
          <cell r="AA41">
            <v>0</v>
          </cell>
          <cell r="AB41">
            <v>0</v>
          </cell>
          <cell r="AC41">
            <v>0</v>
          </cell>
          <cell r="AD41">
            <v>45762</v>
          </cell>
          <cell r="AE41">
            <v>22</v>
          </cell>
          <cell r="AF41">
            <v>46022</v>
          </cell>
          <cell r="AG41">
            <v>55.024999999999999</v>
          </cell>
          <cell r="AH41">
            <v>0</v>
          </cell>
          <cell r="AI41">
            <v>55.024999999999999</v>
          </cell>
          <cell r="AJ41">
            <v>62.125</v>
          </cell>
          <cell r="AK41">
            <v>0</v>
          </cell>
          <cell r="AL41">
            <v>0</v>
          </cell>
          <cell r="AM41">
            <v>7.1000000000000014</v>
          </cell>
          <cell r="AN41">
            <v>0</v>
          </cell>
          <cell r="AO41">
            <v>7.1000000000000014</v>
          </cell>
          <cell r="AP41">
            <v>0</v>
          </cell>
          <cell r="AQ41">
            <v>7.1000000000000014</v>
          </cell>
          <cell r="AR41" t="str">
            <v>CAD_1493</v>
          </cell>
          <cell r="AS41">
            <v>0</v>
          </cell>
          <cell r="AT41">
            <v>168</v>
          </cell>
          <cell r="AU41">
            <v>168</v>
          </cell>
          <cell r="AV41">
            <v>0</v>
          </cell>
          <cell r="AW41">
            <v>1192.8000000000002</v>
          </cell>
          <cell r="AX41">
            <v>1192.8000000000002</v>
          </cell>
          <cell r="AY41">
            <v>1192.8000000000002</v>
          </cell>
          <cell r="AZ41">
            <v>66.666666666666657</v>
          </cell>
          <cell r="BA41">
            <v>8.5200000000000031</v>
          </cell>
          <cell r="BB41">
            <v>1431.3600000000006</v>
          </cell>
          <cell r="BF41">
            <v>1192.8000000000002</v>
          </cell>
          <cell r="BG41">
            <v>14700</v>
          </cell>
          <cell r="BH41">
            <v>10437</v>
          </cell>
          <cell r="BI41">
            <v>9646.518</v>
          </cell>
          <cell r="BJ41">
            <v>0</v>
          </cell>
          <cell r="BK41">
            <v>0</v>
          </cell>
          <cell r="BL41">
            <v>0</v>
          </cell>
          <cell r="BM41">
            <v>9646.518</v>
          </cell>
          <cell r="BN41">
            <v>0</v>
          </cell>
          <cell r="BO41">
            <v>790.48199999999997</v>
          </cell>
          <cell r="BP41" t="str">
            <v>Y</v>
          </cell>
          <cell r="BQ41">
            <v>2</v>
          </cell>
          <cell r="BR41" t="str">
            <v>N</v>
          </cell>
          <cell r="BS41">
            <v>1431.3600000000006</v>
          </cell>
          <cell r="BT41" t="str">
            <v>Done</v>
          </cell>
          <cell r="BU41">
            <v>168</v>
          </cell>
          <cell r="BV41">
            <v>2025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Ashish Saxena</v>
          </cell>
          <cell r="E42" t="str">
            <v>Harsh Agrawal</v>
          </cell>
          <cell r="H42" t="str">
            <v>Rishabh Kapoor</v>
          </cell>
          <cell r="J42" t="str">
            <v>ACH</v>
          </cell>
          <cell r="L42" t="str">
            <v>New</v>
          </cell>
          <cell r="M42">
            <v>45720</v>
          </cell>
          <cell r="N42">
            <v>1</v>
          </cell>
          <cell r="O42">
            <v>326</v>
          </cell>
          <cell r="P42">
            <v>45846</v>
          </cell>
          <cell r="Q42">
            <v>46085</v>
          </cell>
          <cell r="R42" t="str">
            <v>PLC-4136</v>
          </cell>
          <cell r="S42" t="str">
            <v>Amit Jain</v>
          </cell>
          <cell r="T42" t="str">
            <v>Individual</v>
          </cell>
          <cell r="U42" t="str">
            <v>C2C</v>
          </cell>
          <cell r="V42" t="str">
            <v>Global Logic</v>
          </cell>
          <cell r="W42">
            <v>83</v>
          </cell>
          <cell r="X42">
            <v>0</v>
          </cell>
          <cell r="Y42" t="str">
            <v>USD</v>
          </cell>
          <cell r="Z42">
            <v>92</v>
          </cell>
          <cell r="AA42">
            <v>0</v>
          </cell>
          <cell r="AB42">
            <v>0</v>
          </cell>
          <cell r="AC42">
            <v>0</v>
          </cell>
          <cell r="AD42">
            <v>45731</v>
          </cell>
          <cell r="AE42">
            <v>20</v>
          </cell>
          <cell r="AF42">
            <v>46022</v>
          </cell>
          <cell r="AG42">
            <v>83</v>
          </cell>
          <cell r="AH42">
            <v>0</v>
          </cell>
          <cell r="AI42">
            <v>83</v>
          </cell>
          <cell r="AJ42">
            <v>92</v>
          </cell>
          <cell r="AK42">
            <v>0</v>
          </cell>
          <cell r="AL42">
            <v>0</v>
          </cell>
          <cell r="AM42">
            <v>9</v>
          </cell>
          <cell r="AN42">
            <v>0</v>
          </cell>
          <cell r="AO42">
            <v>9</v>
          </cell>
          <cell r="AP42">
            <v>0</v>
          </cell>
          <cell r="AQ42">
            <v>9</v>
          </cell>
          <cell r="AR42" t="str">
            <v>US_24746</v>
          </cell>
          <cell r="AS42">
            <v>0</v>
          </cell>
          <cell r="AT42">
            <v>160</v>
          </cell>
          <cell r="AU42">
            <v>160</v>
          </cell>
          <cell r="AV42">
            <v>0</v>
          </cell>
          <cell r="AW42">
            <v>1440</v>
          </cell>
          <cell r="AX42">
            <v>1425.6</v>
          </cell>
          <cell r="AY42">
            <v>1440</v>
          </cell>
          <cell r="AZ42">
            <v>0</v>
          </cell>
          <cell r="BA42">
            <v>0</v>
          </cell>
          <cell r="BB42">
            <v>0</v>
          </cell>
          <cell r="BF42">
            <v>1425.6</v>
          </cell>
          <cell r="BG42">
            <v>14720</v>
          </cell>
          <cell r="BH42">
            <v>14720</v>
          </cell>
          <cell r="BI42">
            <v>13280</v>
          </cell>
          <cell r="BJ42">
            <v>0</v>
          </cell>
          <cell r="BK42">
            <v>0</v>
          </cell>
          <cell r="BL42">
            <v>0</v>
          </cell>
          <cell r="BM42">
            <v>13280</v>
          </cell>
          <cell r="BN42">
            <v>0</v>
          </cell>
          <cell r="BO42">
            <v>1440</v>
          </cell>
          <cell r="BP42" t="str">
            <v>Y</v>
          </cell>
          <cell r="BQ42">
            <v>1</v>
          </cell>
          <cell r="BR42" t="str">
            <v>Y</v>
          </cell>
          <cell r="BS42">
            <v>0</v>
          </cell>
          <cell r="BT42" t="str">
            <v>Done</v>
          </cell>
          <cell r="BU42">
            <v>160</v>
          </cell>
          <cell r="BV42">
            <v>2025</v>
          </cell>
        </row>
        <row r="43">
          <cell r="A43" t="str">
            <v>Lucknow</v>
          </cell>
          <cell r="B43" t="str">
            <v>Trust</v>
          </cell>
          <cell r="C43" t="str">
            <v>Mid Level</v>
          </cell>
          <cell r="D43" t="str">
            <v>Ashish Saxena</v>
          </cell>
          <cell r="E43" t="str">
            <v>Harsh Agrawal</v>
          </cell>
          <cell r="H43" t="str">
            <v>Rishabh Kapoor</v>
          </cell>
          <cell r="J43" t="str">
            <v>ACH</v>
          </cell>
          <cell r="L43" t="str">
            <v>New</v>
          </cell>
          <cell r="M43">
            <v>45720</v>
          </cell>
          <cell r="N43">
            <v>1</v>
          </cell>
          <cell r="O43">
            <v>326</v>
          </cell>
          <cell r="P43">
            <v>45846</v>
          </cell>
          <cell r="Q43">
            <v>46085</v>
          </cell>
          <cell r="R43" t="str">
            <v>PLC-4136</v>
          </cell>
          <cell r="S43" t="str">
            <v>Amit Jain</v>
          </cell>
          <cell r="T43" t="str">
            <v>Individual</v>
          </cell>
          <cell r="U43" t="str">
            <v>C2C</v>
          </cell>
          <cell r="V43" t="str">
            <v>Global Logic</v>
          </cell>
          <cell r="W43">
            <v>83</v>
          </cell>
          <cell r="X43">
            <v>0</v>
          </cell>
          <cell r="Y43" t="str">
            <v>USD</v>
          </cell>
          <cell r="Z43">
            <v>92</v>
          </cell>
          <cell r="AA43">
            <v>0</v>
          </cell>
          <cell r="AB43">
            <v>0</v>
          </cell>
          <cell r="AC43">
            <v>0</v>
          </cell>
          <cell r="AD43">
            <v>45762</v>
          </cell>
          <cell r="AE43">
            <v>22</v>
          </cell>
          <cell r="AF43">
            <v>46022</v>
          </cell>
          <cell r="AG43">
            <v>83</v>
          </cell>
          <cell r="AH43">
            <v>0</v>
          </cell>
          <cell r="AI43">
            <v>83</v>
          </cell>
          <cell r="AJ43">
            <v>92</v>
          </cell>
          <cell r="AK43">
            <v>0</v>
          </cell>
          <cell r="AL43">
            <v>0</v>
          </cell>
          <cell r="AM43">
            <v>9</v>
          </cell>
          <cell r="AN43">
            <v>0</v>
          </cell>
          <cell r="AO43">
            <v>9</v>
          </cell>
          <cell r="AP43">
            <v>0</v>
          </cell>
          <cell r="AQ43">
            <v>9</v>
          </cell>
          <cell r="AR43" t="str">
            <v>US_24923</v>
          </cell>
          <cell r="AS43">
            <v>0</v>
          </cell>
          <cell r="AT43">
            <v>172</v>
          </cell>
          <cell r="AU43">
            <v>172</v>
          </cell>
          <cell r="AV43">
            <v>0</v>
          </cell>
          <cell r="AW43">
            <v>1548</v>
          </cell>
          <cell r="AX43">
            <v>1532.52</v>
          </cell>
          <cell r="AY43">
            <v>1548</v>
          </cell>
          <cell r="AZ43">
            <v>0</v>
          </cell>
          <cell r="BA43">
            <v>0</v>
          </cell>
          <cell r="BB43">
            <v>0</v>
          </cell>
          <cell r="BF43">
            <v>1532.52</v>
          </cell>
          <cell r="BG43">
            <v>15824</v>
          </cell>
          <cell r="BH43">
            <v>15824</v>
          </cell>
          <cell r="BI43">
            <v>14276</v>
          </cell>
          <cell r="BJ43">
            <v>0</v>
          </cell>
          <cell r="BK43">
            <v>0</v>
          </cell>
          <cell r="BL43">
            <v>0</v>
          </cell>
          <cell r="BM43">
            <v>14276</v>
          </cell>
          <cell r="BN43">
            <v>0</v>
          </cell>
          <cell r="BO43">
            <v>1548</v>
          </cell>
          <cell r="BP43" t="str">
            <v>Y</v>
          </cell>
          <cell r="BQ43">
            <v>2</v>
          </cell>
          <cell r="BR43" t="str">
            <v>Y</v>
          </cell>
          <cell r="BS43">
            <v>0</v>
          </cell>
          <cell r="BT43" t="str">
            <v>Done</v>
          </cell>
          <cell r="BU43">
            <v>172</v>
          </cell>
          <cell r="BV43">
            <v>2025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H44" t="str">
            <v>Ubaid Rahman</v>
          </cell>
          <cell r="J44" t="str">
            <v>ACH</v>
          </cell>
          <cell r="L44" t="str">
            <v>New</v>
          </cell>
          <cell r="M44">
            <v>45706</v>
          </cell>
          <cell r="N44">
            <v>1</v>
          </cell>
          <cell r="O44">
            <v>340</v>
          </cell>
          <cell r="P44">
            <v>45961</v>
          </cell>
          <cell r="Q44">
            <v>46071</v>
          </cell>
          <cell r="R44" t="str">
            <v>PLC-4126</v>
          </cell>
          <cell r="S44" t="str">
            <v>Andrew James Tevis</v>
          </cell>
          <cell r="T44" t="str">
            <v>Individual</v>
          </cell>
          <cell r="U44" t="str">
            <v>C2C</v>
          </cell>
          <cell r="V44" t="str">
            <v>GRI</v>
          </cell>
          <cell r="W44">
            <v>68</v>
          </cell>
          <cell r="X44">
            <v>0</v>
          </cell>
          <cell r="Y44" t="str">
            <v>USD</v>
          </cell>
          <cell r="Z44">
            <v>75</v>
          </cell>
          <cell r="AA44">
            <v>0</v>
          </cell>
          <cell r="AB44">
            <v>0</v>
          </cell>
          <cell r="AC44">
            <v>0</v>
          </cell>
          <cell r="AD44">
            <v>45703</v>
          </cell>
          <cell r="AE44">
            <v>9</v>
          </cell>
          <cell r="AF44">
            <v>46022</v>
          </cell>
          <cell r="AG44">
            <v>68</v>
          </cell>
          <cell r="AH44">
            <v>0</v>
          </cell>
          <cell r="AI44">
            <v>68</v>
          </cell>
          <cell r="AJ44">
            <v>73.215000000000003</v>
          </cell>
          <cell r="AK44">
            <v>0</v>
          </cell>
          <cell r="AL44">
            <v>0</v>
          </cell>
          <cell r="AM44">
            <v>5.2150000000000034</v>
          </cell>
          <cell r="AN44">
            <v>0</v>
          </cell>
          <cell r="AO44">
            <v>5.2150000000000034</v>
          </cell>
          <cell r="AP44">
            <v>0</v>
          </cell>
          <cell r="AQ44">
            <v>5.2150000000000034</v>
          </cell>
          <cell r="AR44" t="str">
            <v>GRI017</v>
          </cell>
          <cell r="AS44">
            <v>0</v>
          </cell>
          <cell r="AT44">
            <v>72</v>
          </cell>
          <cell r="AU44">
            <v>72</v>
          </cell>
          <cell r="AV44">
            <v>0</v>
          </cell>
          <cell r="AW44">
            <v>375.48000000000025</v>
          </cell>
          <cell r="AX44">
            <v>371.72520000000026</v>
          </cell>
          <cell r="AY44">
            <v>375.48000000000025</v>
          </cell>
          <cell r="AZ44">
            <v>100</v>
          </cell>
          <cell r="BA44">
            <v>8.3440000000000047</v>
          </cell>
          <cell r="BB44">
            <v>600.76800000000037</v>
          </cell>
          <cell r="BF44">
            <v>371.72520000000026</v>
          </cell>
          <cell r="BG44">
            <v>5400</v>
          </cell>
          <cell r="BH44">
            <v>5271.4800000000005</v>
          </cell>
          <cell r="BI44">
            <v>4896</v>
          </cell>
          <cell r="BJ44">
            <v>0</v>
          </cell>
          <cell r="BK44">
            <v>0</v>
          </cell>
          <cell r="BL44">
            <v>0</v>
          </cell>
          <cell r="BM44">
            <v>4896</v>
          </cell>
          <cell r="BN44">
            <v>0</v>
          </cell>
          <cell r="BO44">
            <v>375.48000000000047</v>
          </cell>
          <cell r="BP44" t="str">
            <v>Y</v>
          </cell>
          <cell r="BQ44">
            <v>1</v>
          </cell>
          <cell r="BR44" t="str">
            <v>Y</v>
          </cell>
          <cell r="BS44">
            <v>600.76800000000037</v>
          </cell>
          <cell r="BT44" t="str">
            <v>Done</v>
          </cell>
          <cell r="BU44">
            <v>72</v>
          </cell>
          <cell r="BV44">
            <v>2025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H45" t="str">
            <v>Ubaid Rahman</v>
          </cell>
          <cell r="J45" t="str">
            <v>ACH</v>
          </cell>
          <cell r="L45" t="str">
            <v>New</v>
          </cell>
          <cell r="M45">
            <v>45706</v>
          </cell>
          <cell r="N45">
            <v>1</v>
          </cell>
          <cell r="O45">
            <v>340</v>
          </cell>
          <cell r="P45">
            <v>45961</v>
          </cell>
          <cell r="Q45">
            <v>46071</v>
          </cell>
          <cell r="R45" t="str">
            <v>PLC-4126</v>
          </cell>
          <cell r="S45" t="str">
            <v>Andrew James Tevis</v>
          </cell>
          <cell r="T45" t="str">
            <v>Individual</v>
          </cell>
          <cell r="U45" t="str">
            <v>C2C</v>
          </cell>
          <cell r="V45" t="str">
            <v>GRI</v>
          </cell>
          <cell r="W45">
            <v>68</v>
          </cell>
          <cell r="X45">
            <v>0</v>
          </cell>
          <cell r="Y45" t="str">
            <v>USD</v>
          </cell>
          <cell r="Z45">
            <v>75</v>
          </cell>
          <cell r="AA45">
            <v>0</v>
          </cell>
          <cell r="AB45">
            <v>0</v>
          </cell>
          <cell r="AC45">
            <v>0</v>
          </cell>
          <cell r="AD45">
            <v>45731</v>
          </cell>
          <cell r="AE45">
            <v>21</v>
          </cell>
          <cell r="AF45">
            <v>46022</v>
          </cell>
          <cell r="AG45">
            <v>68</v>
          </cell>
          <cell r="AH45">
            <v>0</v>
          </cell>
          <cell r="AI45">
            <v>68</v>
          </cell>
          <cell r="AJ45">
            <v>73.215000000000003</v>
          </cell>
          <cell r="AK45">
            <v>0</v>
          </cell>
          <cell r="AL45">
            <v>0</v>
          </cell>
          <cell r="AM45">
            <v>5.2150000000000034</v>
          </cell>
          <cell r="AN45">
            <v>0</v>
          </cell>
          <cell r="AO45">
            <v>5.2150000000000034</v>
          </cell>
          <cell r="AP45">
            <v>0</v>
          </cell>
          <cell r="AQ45">
            <v>5.2150000000000034</v>
          </cell>
          <cell r="AR45" t="str">
            <v>GRI018</v>
          </cell>
          <cell r="AS45">
            <v>0</v>
          </cell>
          <cell r="AT45">
            <v>168</v>
          </cell>
          <cell r="AU45">
            <v>168</v>
          </cell>
          <cell r="AV45">
            <v>0</v>
          </cell>
          <cell r="AW45">
            <v>876.12000000000057</v>
          </cell>
          <cell r="AX45">
            <v>867.35880000000054</v>
          </cell>
          <cell r="AY45">
            <v>876.12000000000057</v>
          </cell>
          <cell r="AZ45">
            <v>100</v>
          </cell>
          <cell r="BA45">
            <v>8.3440000000000047</v>
          </cell>
          <cell r="BB45">
            <v>1401.7920000000008</v>
          </cell>
          <cell r="BF45">
            <v>867.35880000000054</v>
          </cell>
          <cell r="BG45">
            <v>12600</v>
          </cell>
          <cell r="BH45">
            <v>12300.12</v>
          </cell>
          <cell r="BI45">
            <v>11424</v>
          </cell>
          <cell r="BJ45">
            <v>0</v>
          </cell>
          <cell r="BK45">
            <v>0</v>
          </cell>
          <cell r="BL45">
            <v>0</v>
          </cell>
          <cell r="BM45">
            <v>11424</v>
          </cell>
          <cell r="BN45">
            <v>0</v>
          </cell>
          <cell r="BO45">
            <v>876.1200000000008</v>
          </cell>
          <cell r="BP45" t="str">
            <v>Y</v>
          </cell>
          <cell r="BQ45">
            <v>1</v>
          </cell>
          <cell r="BR45" t="str">
            <v>Y</v>
          </cell>
          <cell r="BS45">
            <v>1401.7920000000008</v>
          </cell>
          <cell r="BT45" t="str">
            <v>Done</v>
          </cell>
          <cell r="BU45">
            <v>168</v>
          </cell>
          <cell r="BV45">
            <v>2025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H46" t="str">
            <v>Ubaid Rahman</v>
          </cell>
          <cell r="J46" t="str">
            <v>ACH</v>
          </cell>
          <cell r="L46" t="str">
            <v>New</v>
          </cell>
          <cell r="M46">
            <v>45706</v>
          </cell>
          <cell r="N46">
            <v>1</v>
          </cell>
          <cell r="O46">
            <v>340</v>
          </cell>
          <cell r="P46">
            <v>45961</v>
          </cell>
          <cell r="Q46">
            <v>46071</v>
          </cell>
          <cell r="R46" t="str">
            <v>PLC-4126</v>
          </cell>
          <cell r="S46" t="str">
            <v>Andrew James Tevis</v>
          </cell>
          <cell r="T46" t="str">
            <v>Individual</v>
          </cell>
          <cell r="U46" t="str">
            <v>C2C</v>
          </cell>
          <cell r="V46" t="str">
            <v>GRI</v>
          </cell>
          <cell r="W46">
            <v>68</v>
          </cell>
          <cell r="X46">
            <v>0</v>
          </cell>
          <cell r="Y46" t="str">
            <v>USD</v>
          </cell>
          <cell r="Z46">
            <v>75</v>
          </cell>
          <cell r="AA46">
            <v>0</v>
          </cell>
          <cell r="AB46">
            <v>0</v>
          </cell>
          <cell r="AC46">
            <v>0</v>
          </cell>
          <cell r="AD46">
            <v>45762</v>
          </cell>
          <cell r="AE46">
            <v>22</v>
          </cell>
          <cell r="AF46">
            <v>46022</v>
          </cell>
          <cell r="AG46">
            <v>68</v>
          </cell>
          <cell r="AH46">
            <v>0</v>
          </cell>
          <cell r="AI46">
            <v>68</v>
          </cell>
          <cell r="AJ46">
            <v>73.215000000000003</v>
          </cell>
          <cell r="AK46">
            <v>0</v>
          </cell>
          <cell r="AL46">
            <v>0</v>
          </cell>
          <cell r="AM46">
            <v>5.2150000000000034</v>
          </cell>
          <cell r="AN46">
            <v>0</v>
          </cell>
          <cell r="AO46">
            <v>5.2150000000000034</v>
          </cell>
          <cell r="AP46">
            <v>0</v>
          </cell>
          <cell r="AQ46">
            <v>5.2150000000000034</v>
          </cell>
          <cell r="AR46" t="str">
            <v>GRI019</v>
          </cell>
          <cell r="AS46">
            <v>0</v>
          </cell>
          <cell r="AT46">
            <v>168</v>
          </cell>
          <cell r="AU46">
            <v>168</v>
          </cell>
          <cell r="AV46">
            <v>0</v>
          </cell>
          <cell r="AW46">
            <v>876.12000000000057</v>
          </cell>
          <cell r="AX46">
            <v>867.35880000000054</v>
          </cell>
          <cell r="AY46">
            <v>876.12000000000057</v>
          </cell>
          <cell r="AZ46">
            <v>100</v>
          </cell>
          <cell r="BA46">
            <v>8.3440000000000047</v>
          </cell>
          <cell r="BB46">
            <v>1401.7920000000008</v>
          </cell>
          <cell r="BF46">
            <v>867.35880000000054</v>
          </cell>
          <cell r="BG46">
            <v>12600</v>
          </cell>
          <cell r="BH46">
            <v>12300.12</v>
          </cell>
          <cell r="BI46">
            <v>11424</v>
          </cell>
          <cell r="BJ46">
            <v>0</v>
          </cell>
          <cell r="BK46">
            <v>0</v>
          </cell>
          <cell r="BL46">
            <v>0</v>
          </cell>
          <cell r="BM46">
            <v>11424</v>
          </cell>
          <cell r="BN46">
            <v>0</v>
          </cell>
          <cell r="BO46">
            <v>876.1200000000008</v>
          </cell>
          <cell r="BP46" t="str">
            <v>Y</v>
          </cell>
          <cell r="BQ46">
            <v>2</v>
          </cell>
          <cell r="BR46" t="str">
            <v>Y</v>
          </cell>
          <cell r="BS46">
            <v>1401.7920000000008</v>
          </cell>
          <cell r="BT46" t="str">
            <v>Done</v>
          </cell>
          <cell r="BU46">
            <v>168</v>
          </cell>
          <cell r="BV46">
            <v>2025</v>
          </cell>
        </row>
        <row r="47">
          <cell r="A47" t="str">
            <v>Lucknow</v>
          </cell>
          <cell r="B47" t="str">
            <v>Americas</v>
          </cell>
          <cell r="C47" t="str">
            <v>Mid Level</v>
          </cell>
          <cell r="D47" t="str">
            <v>Rajesh Khanna</v>
          </cell>
          <cell r="E47" t="str">
            <v>-</v>
          </cell>
          <cell r="H47" t="str">
            <v>Sarthak Dixit</v>
          </cell>
          <cell r="K47">
            <v>0</v>
          </cell>
          <cell r="L47" t="str">
            <v>Old</v>
          </cell>
          <cell r="M47">
            <v>45607</v>
          </cell>
          <cell r="N47">
            <v>4</v>
          </cell>
          <cell r="O47">
            <v>439</v>
          </cell>
          <cell r="P47" t="str">
            <v>-</v>
          </cell>
          <cell r="Q47">
            <v>45972</v>
          </cell>
          <cell r="S47" t="str">
            <v>Ank Kumar Roy</v>
          </cell>
          <cell r="T47" t="str">
            <v>Individual</v>
          </cell>
          <cell r="U47" t="str">
            <v>C2C</v>
          </cell>
          <cell r="V47" t="str">
            <v>Fanatics</v>
          </cell>
          <cell r="W47">
            <v>7.5</v>
          </cell>
          <cell r="X47">
            <v>0</v>
          </cell>
          <cell r="Y47" t="str">
            <v>USD</v>
          </cell>
          <cell r="Z47">
            <v>35</v>
          </cell>
          <cell r="AA47">
            <v>0</v>
          </cell>
          <cell r="AB47">
            <v>0</v>
          </cell>
          <cell r="AC47">
            <v>12.5</v>
          </cell>
          <cell r="AD47">
            <v>45672</v>
          </cell>
          <cell r="AE47">
            <v>23</v>
          </cell>
          <cell r="AF47">
            <v>46022</v>
          </cell>
          <cell r="AG47">
            <v>7.5</v>
          </cell>
          <cell r="AH47">
            <v>0</v>
          </cell>
          <cell r="AI47">
            <v>20</v>
          </cell>
          <cell r="AJ47">
            <v>35</v>
          </cell>
          <cell r="AK47">
            <v>0</v>
          </cell>
          <cell r="AL47">
            <v>0</v>
          </cell>
          <cell r="AM47">
            <v>15</v>
          </cell>
          <cell r="AN47">
            <v>0</v>
          </cell>
          <cell r="AO47">
            <v>15</v>
          </cell>
          <cell r="AP47">
            <v>0</v>
          </cell>
          <cell r="AQ47">
            <v>15</v>
          </cell>
          <cell r="AR47" t="str">
            <v>US_24153</v>
          </cell>
          <cell r="AS47">
            <v>0</v>
          </cell>
          <cell r="AT47">
            <v>189</v>
          </cell>
          <cell r="AU47">
            <v>189</v>
          </cell>
          <cell r="AV47">
            <v>0</v>
          </cell>
          <cell r="AW47">
            <v>2835</v>
          </cell>
          <cell r="AX47">
            <v>2835</v>
          </cell>
          <cell r="AY47">
            <v>2835</v>
          </cell>
          <cell r="AZ47">
            <v>0</v>
          </cell>
          <cell r="BA47">
            <v>0</v>
          </cell>
          <cell r="BB47">
            <v>0</v>
          </cell>
          <cell r="BD47">
            <v>2835</v>
          </cell>
          <cell r="BF47">
            <v>2835</v>
          </cell>
          <cell r="BG47">
            <v>6615</v>
          </cell>
          <cell r="BH47">
            <v>6615</v>
          </cell>
          <cell r="BI47">
            <v>1417.5</v>
          </cell>
          <cell r="BJ47">
            <v>0</v>
          </cell>
          <cell r="BK47">
            <v>2362.5</v>
          </cell>
          <cell r="BL47">
            <v>0</v>
          </cell>
          <cell r="BM47">
            <v>3780</v>
          </cell>
          <cell r="BN47">
            <v>12.5</v>
          </cell>
          <cell r="BO47">
            <v>2835</v>
          </cell>
          <cell r="BP47" t="str">
            <v>Y</v>
          </cell>
          <cell r="BQ47">
            <v>1</v>
          </cell>
          <cell r="BR47" t="str">
            <v>N</v>
          </cell>
          <cell r="BS47">
            <v>0</v>
          </cell>
          <cell r="BT47" t="str">
            <v>Done</v>
          </cell>
          <cell r="BU47">
            <v>189</v>
          </cell>
          <cell r="BV47">
            <v>2024</v>
          </cell>
        </row>
        <row r="48">
          <cell r="A48" t="str">
            <v>Lucknow</v>
          </cell>
          <cell r="B48" t="str">
            <v>Americas</v>
          </cell>
          <cell r="C48" t="str">
            <v>Mid Level</v>
          </cell>
          <cell r="D48" t="str">
            <v>Rajesh Khanna</v>
          </cell>
          <cell r="E48" t="str">
            <v>-</v>
          </cell>
          <cell r="H48" t="str">
            <v>Sarthak Dixit</v>
          </cell>
          <cell r="K48">
            <v>0</v>
          </cell>
          <cell r="L48" t="str">
            <v>Old</v>
          </cell>
          <cell r="M48">
            <v>45607</v>
          </cell>
          <cell r="N48">
            <v>4</v>
          </cell>
          <cell r="O48">
            <v>439</v>
          </cell>
          <cell r="P48" t="str">
            <v>-</v>
          </cell>
          <cell r="Q48">
            <v>45972</v>
          </cell>
          <cell r="S48" t="str">
            <v>Ank Kumar Roy</v>
          </cell>
          <cell r="T48" t="str">
            <v>Individual</v>
          </cell>
          <cell r="U48" t="str">
            <v>C2C</v>
          </cell>
          <cell r="V48" t="str">
            <v>Fanatics</v>
          </cell>
          <cell r="W48">
            <v>7.5</v>
          </cell>
          <cell r="X48">
            <v>0</v>
          </cell>
          <cell r="Y48" t="str">
            <v>USD</v>
          </cell>
          <cell r="Z48">
            <v>35</v>
          </cell>
          <cell r="AA48">
            <v>0</v>
          </cell>
          <cell r="AB48">
            <v>0</v>
          </cell>
          <cell r="AC48">
            <v>12.5</v>
          </cell>
          <cell r="AD48">
            <v>45703</v>
          </cell>
          <cell r="AE48">
            <v>20</v>
          </cell>
          <cell r="AF48">
            <v>46022</v>
          </cell>
          <cell r="AG48">
            <v>7.5</v>
          </cell>
          <cell r="AH48">
            <v>0</v>
          </cell>
          <cell r="AI48">
            <v>20</v>
          </cell>
          <cell r="AJ48">
            <v>35</v>
          </cell>
          <cell r="AK48">
            <v>0</v>
          </cell>
          <cell r="AL48">
            <v>0</v>
          </cell>
          <cell r="AM48">
            <v>15</v>
          </cell>
          <cell r="AN48">
            <v>0</v>
          </cell>
          <cell r="AO48">
            <v>15</v>
          </cell>
          <cell r="AP48">
            <v>0</v>
          </cell>
          <cell r="AQ48">
            <v>15</v>
          </cell>
          <cell r="AR48" t="str">
            <v>US_24362</v>
          </cell>
          <cell r="AS48">
            <v>0</v>
          </cell>
          <cell r="AT48">
            <v>180</v>
          </cell>
          <cell r="AU48">
            <v>180</v>
          </cell>
          <cell r="AV48">
            <v>0</v>
          </cell>
          <cell r="AW48">
            <v>2700</v>
          </cell>
          <cell r="AX48">
            <v>2700</v>
          </cell>
          <cell r="AY48">
            <v>2700</v>
          </cell>
          <cell r="AZ48">
            <v>0</v>
          </cell>
          <cell r="BA48">
            <v>0</v>
          </cell>
          <cell r="BB48">
            <v>0</v>
          </cell>
          <cell r="BD48">
            <v>2700</v>
          </cell>
          <cell r="BF48">
            <v>2700</v>
          </cell>
          <cell r="BG48">
            <v>6300</v>
          </cell>
          <cell r="BH48">
            <v>6300</v>
          </cell>
          <cell r="BI48">
            <v>1350</v>
          </cell>
          <cell r="BJ48">
            <v>0</v>
          </cell>
          <cell r="BK48">
            <v>2250</v>
          </cell>
          <cell r="BL48">
            <v>0</v>
          </cell>
          <cell r="BM48">
            <v>3600</v>
          </cell>
          <cell r="BN48">
            <v>12.5</v>
          </cell>
          <cell r="BO48">
            <v>2700</v>
          </cell>
          <cell r="BP48" t="str">
            <v>Y</v>
          </cell>
          <cell r="BQ48">
            <v>1</v>
          </cell>
          <cell r="BR48" t="str">
            <v>N</v>
          </cell>
          <cell r="BS48">
            <v>0</v>
          </cell>
          <cell r="BT48" t="str">
            <v>Done</v>
          </cell>
          <cell r="BU48">
            <v>180</v>
          </cell>
          <cell r="BV48">
            <v>2024</v>
          </cell>
        </row>
        <row r="49">
          <cell r="A49" t="str">
            <v>Lucknow</v>
          </cell>
          <cell r="B49" t="str">
            <v>Americas</v>
          </cell>
          <cell r="C49" t="str">
            <v>Mid Level</v>
          </cell>
          <cell r="D49" t="str">
            <v>Rajesh Khanna</v>
          </cell>
          <cell r="E49" t="str">
            <v>-</v>
          </cell>
          <cell r="H49" t="str">
            <v>Sarthak Dixit</v>
          </cell>
          <cell r="K49">
            <v>0</v>
          </cell>
          <cell r="L49" t="str">
            <v>Old</v>
          </cell>
          <cell r="M49">
            <v>45607</v>
          </cell>
          <cell r="N49">
            <v>4</v>
          </cell>
          <cell r="O49">
            <v>439</v>
          </cell>
          <cell r="P49" t="str">
            <v>-</v>
          </cell>
          <cell r="Q49">
            <v>45972</v>
          </cell>
          <cell r="S49" t="str">
            <v>Ank Kumar Roy</v>
          </cell>
          <cell r="T49" t="str">
            <v>Individual</v>
          </cell>
          <cell r="U49" t="str">
            <v>C2C</v>
          </cell>
          <cell r="V49" t="str">
            <v>Fanatics</v>
          </cell>
          <cell r="W49">
            <v>7.5</v>
          </cell>
          <cell r="X49">
            <v>0</v>
          </cell>
          <cell r="Y49" t="str">
            <v>USD</v>
          </cell>
          <cell r="Z49">
            <v>35</v>
          </cell>
          <cell r="AA49">
            <v>0</v>
          </cell>
          <cell r="AB49">
            <v>0</v>
          </cell>
          <cell r="AC49">
            <v>12.5</v>
          </cell>
          <cell r="AD49">
            <v>45731</v>
          </cell>
          <cell r="AE49">
            <v>21</v>
          </cell>
          <cell r="AF49">
            <v>46022</v>
          </cell>
          <cell r="AG49">
            <v>7.5</v>
          </cell>
          <cell r="AH49">
            <v>0</v>
          </cell>
          <cell r="AI49">
            <v>20</v>
          </cell>
          <cell r="AJ49">
            <v>35</v>
          </cell>
          <cell r="AK49">
            <v>0</v>
          </cell>
          <cell r="AL49">
            <v>0</v>
          </cell>
          <cell r="AM49">
            <v>15</v>
          </cell>
          <cell r="AN49">
            <v>0</v>
          </cell>
          <cell r="AO49">
            <v>15</v>
          </cell>
          <cell r="AP49">
            <v>0</v>
          </cell>
          <cell r="AQ49">
            <v>15</v>
          </cell>
          <cell r="AR49" t="str">
            <v>US_24558</v>
          </cell>
          <cell r="AS49">
            <v>0</v>
          </cell>
          <cell r="AT49">
            <v>180</v>
          </cell>
          <cell r="AU49">
            <v>180</v>
          </cell>
          <cell r="AV49">
            <v>0</v>
          </cell>
          <cell r="AW49">
            <v>2700</v>
          </cell>
          <cell r="AX49">
            <v>2700</v>
          </cell>
          <cell r="AY49">
            <v>2700</v>
          </cell>
          <cell r="AZ49">
            <v>0</v>
          </cell>
          <cell r="BA49">
            <v>0</v>
          </cell>
          <cell r="BB49">
            <v>0</v>
          </cell>
          <cell r="BD49">
            <v>2700</v>
          </cell>
          <cell r="BF49">
            <v>2700</v>
          </cell>
          <cell r="BG49">
            <v>6300</v>
          </cell>
          <cell r="BH49">
            <v>6300</v>
          </cell>
          <cell r="BI49">
            <v>1350</v>
          </cell>
          <cell r="BJ49">
            <v>0</v>
          </cell>
          <cell r="BK49">
            <v>2250</v>
          </cell>
          <cell r="BL49">
            <v>0</v>
          </cell>
          <cell r="BM49">
            <v>3600</v>
          </cell>
          <cell r="BN49">
            <v>12.5</v>
          </cell>
          <cell r="BO49">
            <v>2700</v>
          </cell>
          <cell r="BP49" t="str">
            <v>Y</v>
          </cell>
          <cell r="BQ49">
            <v>1</v>
          </cell>
          <cell r="BR49" t="str">
            <v>N</v>
          </cell>
          <cell r="BS49">
            <v>0</v>
          </cell>
          <cell r="BT49" t="str">
            <v>Done</v>
          </cell>
          <cell r="BU49">
            <v>180</v>
          </cell>
          <cell r="BV49">
            <v>2024</v>
          </cell>
        </row>
        <row r="50">
          <cell r="A50" t="str">
            <v>Lucknow</v>
          </cell>
          <cell r="B50" t="str">
            <v>Americas</v>
          </cell>
          <cell r="C50" t="str">
            <v>Mid Level</v>
          </cell>
          <cell r="D50" t="str">
            <v>Rajesh Khanna</v>
          </cell>
          <cell r="E50" t="str">
            <v>-</v>
          </cell>
          <cell r="H50" t="str">
            <v>Sarthak Dixit</v>
          </cell>
          <cell r="K50">
            <v>0</v>
          </cell>
          <cell r="L50" t="str">
            <v>Old</v>
          </cell>
          <cell r="M50">
            <v>45607</v>
          </cell>
          <cell r="N50">
            <v>4</v>
          </cell>
          <cell r="O50">
            <v>439</v>
          </cell>
          <cell r="P50" t="str">
            <v>-</v>
          </cell>
          <cell r="Q50">
            <v>45972</v>
          </cell>
          <cell r="S50" t="str">
            <v>Ank Kumar Roy</v>
          </cell>
          <cell r="T50" t="str">
            <v>Individual</v>
          </cell>
          <cell r="U50" t="str">
            <v>C2C</v>
          </cell>
          <cell r="V50" t="str">
            <v>Fanatics</v>
          </cell>
          <cell r="W50">
            <v>7.5</v>
          </cell>
          <cell r="X50">
            <v>0</v>
          </cell>
          <cell r="Y50" t="str">
            <v>USD</v>
          </cell>
          <cell r="Z50">
            <v>35</v>
          </cell>
          <cell r="AA50">
            <v>0</v>
          </cell>
          <cell r="AB50">
            <v>0</v>
          </cell>
          <cell r="AC50">
            <v>12.5</v>
          </cell>
          <cell r="AD50">
            <v>45762</v>
          </cell>
          <cell r="AE50">
            <v>22</v>
          </cell>
          <cell r="AF50">
            <v>46022</v>
          </cell>
          <cell r="AG50">
            <v>7.5</v>
          </cell>
          <cell r="AH50">
            <v>0</v>
          </cell>
          <cell r="AI50">
            <v>20</v>
          </cell>
          <cell r="AJ50">
            <v>35</v>
          </cell>
          <cell r="AK50">
            <v>0</v>
          </cell>
          <cell r="AL50">
            <v>0</v>
          </cell>
          <cell r="AM50">
            <v>15</v>
          </cell>
          <cell r="AN50">
            <v>0</v>
          </cell>
          <cell r="AO50">
            <v>15</v>
          </cell>
          <cell r="AP50">
            <v>0</v>
          </cell>
          <cell r="AQ50">
            <v>15</v>
          </cell>
          <cell r="AR50" t="str">
            <v>US_24775</v>
          </cell>
          <cell r="AS50">
            <v>0</v>
          </cell>
          <cell r="AT50">
            <v>198</v>
          </cell>
          <cell r="AU50">
            <v>198</v>
          </cell>
          <cell r="AV50">
            <v>0</v>
          </cell>
          <cell r="AW50">
            <v>2970</v>
          </cell>
          <cell r="AX50">
            <v>2970</v>
          </cell>
          <cell r="AY50">
            <v>2970</v>
          </cell>
          <cell r="AZ50">
            <v>0</v>
          </cell>
          <cell r="BA50">
            <v>0</v>
          </cell>
          <cell r="BB50">
            <v>0</v>
          </cell>
          <cell r="BD50">
            <v>2970</v>
          </cell>
          <cell r="BF50">
            <v>2970</v>
          </cell>
          <cell r="BG50">
            <v>6930</v>
          </cell>
          <cell r="BH50">
            <v>6930</v>
          </cell>
          <cell r="BI50">
            <v>1485</v>
          </cell>
          <cell r="BJ50">
            <v>0</v>
          </cell>
          <cell r="BK50">
            <v>2475</v>
          </cell>
          <cell r="BL50">
            <v>0</v>
          </cell>
          <cell r="BM50">
            <v>3960</v>
          </cell>
          <cell r="BN50">
            <v>12.5</v>
          </cell>
          <cell r="BO50">
            <v>2970</v>
          </cell>
          <cell r="BP50" t="str">
            <v>Y</v>
          </cell>
          <cell r="BQ50">
            <v>2</v>
          </cell>
          <cell r="BR50" t="str">
            <v>N</v>
          </cell>
          <cell r="BS50">
            <v>0</v>
          </cell>
          <cell r="BT50" t="str">
            <v>Done</v>
          </cell>
          <cell r="BU50">
            <v>198</v>
          </cell>
          <cell r="BV50">
            <v>2024</v>
          </cell>
        </row>
        <row r="51">
          <cell r="A51" t="str">
            <v>Lucknow</v>
          </cell>
          <cell r="B51" t="str">
            <v>Americas</v>
          </cell>
          <cell r="C51" t="str">
            <v>Mid Level</v>
          </cell>
          <cell r="D51" t="str">
            <v>Rajesh Khanna</v>
          </cell>
          <cell r="E51" t="str">
            <v>-</v>
          </cell>
          <cell r="H51" t="str">
            <v>Rajesh Khanna</v>
          </cell>
          <cell r="K51">
            <v>0</v>
          </cell>
          <cell r="L51" t="str">
            <v>Old</v>
          </cell>
          <cell r="M51">
            <v>45579</v>
          </cell>
          <cell r="N51">
            <v>4</v>
          </cell>
          <cell r="O51">
            <v>467</v>
          </cell>
          <cell r="P51">
            <v>45766</v>
          </cell>
          <cell r="Q51">
            <v>45944</v>
          </cell>
          <cell r="R51" t="str">
            <v>PLC Fanatics</v>
          </cell>
          <cell r="S51" t="str">
            <v>Ankit Kumar</v>
          </cell>
          <cell r="T51" t="str">
            <v>Individual</v>
          </cell>
          <cell r="U51" t="str">
            <v>C2C</v>
          </cell>
          <cell r="V51" t="str">
            <v>Fanatics</v>
          </cell>
          <cell r="W51">
            <v>32.5</v>
          </cell>
          <cell r="X51">
            <v>0</v>
          </cell>
          <cell r="Y51" t="str">
            <v>USD</v>
          </cell>
          <cell r="Z51">
            <v>35</v>
          </cell>
          <cell r="AA51">
            <v>0</v>
          </cell>
          <cell r="AB51">
            <v>0</v>
          </cell>
          <cell r="AC51">
            <v>0</v>
          </cell>
          <cell r="AD51">
            <v>45672</v>
          </cell>
          <cell r="AE51">
            <v>22</v>
          </cell>
          <cell r="AF51">
            <v>46022</v>
          </cell>
          <cell r="AG51">
            <v>32.5</v>
          </cell>
          <cell r="AH51">
            <v>0</v>
          </cell>
          <cell r="AI51">
            <v>32.5</v>
          </cell>
          <cell r="AJ51">
            <v>35</v>
          </cell>
          <cell r="AK51">
            <v>0</v>
          </cell>
          <cell r="AL51">
            <v>0</v>
          </cell>
          <cell r="AM51">
            <v>2.5</v>
          </cell>
          <cell r="AN51">
            <v>0</v>
          </cell>
          <cell r="AO51">
            <v>2.5</v>
          </cell>
          <cell r="AP51">
            <v>0</v>
          </cell>
          <cell r="AQ51">
            <v>2.5</v>
          </cell>
          <cell r="AR51" t="str">
            <v>US_24298</v>
          </cell>
          <cell r="AS51">
            <v>0</v>
          </cell>
          <cell r="AT51">
            <v>176</v>
          </cell>
          <cell r="AU51">
            <v>176</v>
          </cell>
          <cell r="AV51">
            <v>0</v>
          </cell>
          <cell r="AW51">
            <v>440</v>
          </cell>
          <cell r="AX51">
            <v>440</v>
          </cell>
          <cell r="AY51">
            <v>440</v>
          </cell>
          <cell r="AZ51">
            <v>0</v>
          </cell>
          <cell r="BA51">
            <v>0</v>
          </cell>
          <cell r="BB51">
            <v>0</v>
          </cell>
          <cell r="BD51">
            <v>440</v>
          </cell>
          <cell r="BF51">
            <v>440</v>
          </cell>
          <cell r="BG51">
            <v>6160</v>
          </cell>
          <cell r="BH51">
            <v>6160</v>
          </cell>
          <cell r="BI51">
            <v>5720</v>
          </cell>
          <cell r="BJ51">
            <v>0</v>
          </cell>
          <cell r="BK51">
            <v>0</v>
          </cell>
          <cell r="BL51">
            <v>0</v>
          </cell>
          <cell r="BM51">
            <v>5720</v>
          </cell>
          <cell r="BN51">
            <v>0</v>
          </cell>
          <cell r="BO51">
            <v>440</v>
          </cell>
          <cell r="BP51" t="str">
            <v>Y</v>
          </cell>
          <cell r="BQ51">
            <v>1</v>
          </cell>
          <cell r="BR51" t="str">
            <v>Y</v>
          </cell>
          <cell r="BS51">
            <v>0</v>
          </cell>
          <cell r="BT51" t="str">
            <v>Done</v>
          </cell>
          <cell r="BU51">
            <v>176</v>
          </cell>
          <cell r="BV51">
            <v>2024</v>
          </cell>
        </row>
        <row r="52">
          <cell r="A52" t="str">
            <v>Lucknow</v>
          </cell>
          <cell r="B52" t="str">
            <v>Americas</v>
          </cell>
          <cell r="C52" t="str">
            <v>Mid Level</v>
          </cell>
          <cell r="D52" t="str">
            <v>Rajesh Khanna</v>
          </cell>
          <cell r="E52" t="str">
            <v>-</v>
          </cell>
          <cell r="H52" t="str">
            <v>Rajesh Khanna</v>
          </cell>
          <cell r="K52">
            <v>0</v>
          </cell>
          <cell r="L52" t="str">
            <v>Old</v>
          </cell>
          <cell r="M52">
            <v>45579</v>
          </cell>
          <cell r="N52">
            <v>4</v>
          </cell>
          <cell r="O52">
            <v>467</v>
          </cell>
          <cell r="P52">
            <v>45766</v>
          </cell>
          <cell r="Q52">
            <v>45944</v>
          </cell>
          <cell r="R52" t="str">
            <v>PLC Fanatics</v>
          </cell>
          <cell r="S52" t="str">
            <v>Ankit Kumar</v>
          </cell>
          <cell r="T52" t="str">
            <v>Individual</v>
          </cell>
          <cell r="U52" t="str">
            <v>C2C</v>
          </cell>
          <cell r="V52" t="str">
            <v>Fanatics</v>
          </cell>
          <cell r="W52">
            <v>32.5</v>
          </cell>
          <cell r="X52">
            <v>0</v>
          </cell>
          <cell r="Y52" t="str">
            <v>USD</v>
          </cell>
          <cell r="Z52">
            <v>35</v>
          </cell>
          <cell r="AA52">
            <v>0</v>
          </cell>
          <cell r="AB52">
            <v>0</v>
          </cell>
          <cell r="AC52">
            <v>0</v>
          </cell>
          <cell r="AD52">
            <v>45703</v>
          </cell>
          <cell r="AE52">
            <v>20</v>
          </cell>
          <cell r="AF52">
            <v>46022</v>
          </cell>
          <cell r="AG52">
            <v>32.5</v>
          </cell>
          <cell r="AH52">
            <v>0</v>
          </cell>
          <cell r="AI52">
            <v>32.5</v>
          </cell>
          <cell r="AJ52">
            <v>35</v>
          </cell>
          <cell r="AK52">
            <v>0</v>
          </cell>
          <cell r="AL52">
            <v>0</v>
          </cell>
          <cell r="AM52">
            <v>2.5</v>
          </cell>
          <cell r="AN52">
            <v>0</v>
          </cell>
          <cell r="AO52">
            <v>2.5</v>
          </cell>
          <cell r="AP52">
            <v>0</v>
          </cell>
          <cell r="AQ52">
            <v>2.5</v>
          </cell>
          <cell r="AR52" t="str">
            <v>US_24497</v>
          </cell>
          <cell r="AS52">
            <v>0</v>
          </cell>
          <cell r="AT52">
            <v>160</v>
          </cell>
          <cell r="AU52">
            <v>160</v>
          </cell>
          <cell r="AV52">
            <v>0</v>
          </cell>
          <cell r="AW52">
            <v>400</v>
          </cell>
          <cell r="AX52">
            <v>400</v>
          </cell>
          <cell r="AY52">
            <v>400</v>
          </cell>
          <cell r="AZ52">
            <v>0</v>
          </cell>
          <cell r="BA52">
            <v>0</v>
          </cell>
          <cell r="BB52">
            <v>0</v>
          </cell>
          <cell r="BD52">
            <v>400</v>
          </cell>
          <cell r="BF52">
            <v>400</v>
          </cell>
          <cell r="BG52">
            <v>5600</v>
          </cell>
          <cell r="BH52">
            <v>5600</v>
          </cell>
          <cell r="BI52">
            <v>5200</v>
          </cell>
          <cell r="BJ52">
            <v>0</v>
          </cell>
          <cell r="BK52">
            <v>0</v>
          </cell>
          <cell r="BL52">
            <v>0</v>
          </cell>
          <cell r="BM52">
            <v>5200</v>
          </cell>
          <cell r="BN52">
            <v>0</v>
          </cell>
          <cell r="BO52">
            <v>400</v>
          </cell>
          <cell r="BP52" t="str">
            <v>Y</v>
          </cell>
          <cell r="BQ52">
            <v>1</v>
          </cell>
          <cell r="BR52" t="str">
            <v>Y</v>
          </cell>
          <cell r="BS52">
            <v>0</v>
          </cell>
          <cell r="BT52" t="str">
            <v>Done</v>
          </cell>
          <cell r="BU52">
            <v>160</v>
          </cell>
          <cell r="BV52">
            <v>2024</v>
          </cell>
        </row>
        <row r="53">
          <cell r="A53" t="str">
            <v>Lucknow</v>
          </cell>
          <cell r="B53" t="str">
            <v>Americas</v>
          </cell>
          <cell r="C53" t="str">
            <v>Mid Level</v>
          </cell>
          <cell r="D53" t="str">
            <v>Rajesh Khanna</v>
          </cell>
          <cell r="E53" t="str">
            <v>-</v>
          </cell>
          <cell r="H53" t="str">
            <v>Rajesh Khanna</v>
          </cell>
          <cell r="K53">
            <v>0</v>
          </cell>
          <cell r="L53" t="str">
            <v>Old</v>
          </cell>
          <cell r="M53">
            <v>45579</v>
          </cell>
          <cell r="N53">
            <v>4</v>
          </cell>
          <cell r="O53">
            <v>467</v>
          </cell>
          <cell r="P53">
            <v>45766</v>
          </cell>
          <cell r="Q53">
            <v>45944</v>
          </cell>
          <cell r="R53" t="str">
            <v>PLC Fanatics</v>
          </cell>
          <cell r="S53" t="str">
            <v>Ankit Kumar</v>
          </cell>
          <cell r="T53" t="str">
            <v>Individual</v>
          </cell>
          <cell r="U53" t="str">
            <v>C2C</v>
          </cell>
          <cell r="V53" t="str">
            <v>Fanatics</v>
          </cell>
          <cell r="W53">
            <v>32.5</v>
          </cell>
          <cell r="X53">
            <v>0</v>
          </cell>
          <cell r="Y53" t="str">
            <v>USD</v>
          </cell>
          <cell r="Z53">
            <v>35</v>
          </cell>
          <cell r="AA53">
            <v>0</v>
          </cell>
          <cell r="AB53">
            <v>0</v>
          </cell>
          <cell r="AC53">
            <v>0</v>
          </cell>
          <cell r="AD53">
            <v>45731</v>
          </cell>
          <cell r="AE53">
            <v>21</v>
          </cell>
          <cell r="AF53">
            <v>46022</v>
          </cell>
          <cell r="AG53">
            <v>32.5</v>
          </cell>
          <cell r="AH53">
            <v>0</v>
          </cell>
          <cell r="AI53">
            <v>32.5</v>
          </cell>
          <cell r="AJ53">
            <v>35</v>
          </cell>
          <cell r="AK53">
            <v>0</v>
          </cell>
          <cell r="AL53">
            <v>0</v>
          </cell>
          <cell r="AM53">
            <v>2.5</v>
          </cell>
          <cell r="AN53">
            <v>0</v>
          </cell>
          <cell r="AO53">
            <v>2.5</v>
          </cell>
          <cell r="AP53">
            <v>0</v>
          </cell>
          <cell r="AQ53">
            <v>2.5</v>
          </cell>
          <cell r="AR53" t="str">
            <v>US_24682</v>
          </cell>
          <cell r="AS53">
            <v>0</v>
          </cell>
          <cell r="AT53">
            <v>168</v>
          </cell>
          <cell r="AU53">
            <v>168</v>
          </cell>
          <cell r="AV53">
            <v>0</v>
          </cell>
          <cell r="AW53">
            <v>420</v>
          </cell>
          <cell r="AX53">
            <v>420</v>
          </cell>
          <cell r="AY53">
            <v>420</v>
          </cell>
          <cell r="AZ53">
            <v>0</v>
          </cell>
          <cell r="BA53">
            <v>0</v>
          </cell>
          <cell r="BB53">
            <v>0</v>
          </cell>
          <cell r="BD53">
            <v>420</v>
          </cell>
          <cell r="BF53">
            <v>420</v>
          </cell>
          <cell r="BG53">
            <v>5880</v>
          </cell>
          <cell r="BH53">
            <v>5880</v>
          </cell>
          <cell r="BI53">
            <v>5460</v>
          </cell>
          <cell r="BJ53">
            <v>0</v>
          </cell>
          <cell r="BK53">
            <v>0</v>
          </cell>
          <cell r="BL53">
            <v>0</v>
          </cell>
          <cell r="BM53">
            <v>5460</v>
          </cell>
          <cell r="BN53">
            <v>0</v>
          </cell>
          <cell r="BO53">
            <v>420</v>
          </cell>
          <cell r="BP53" t="str">
            <v>Y</v>
          </cell>
          <cell r="BQ53">
            <v>1</v>
          </cell>
          <cell r="BR53" t="str">
            <v>Y</v>
          </cell>
          <cell r="BS53">
            <v>0</v>
          </cell>
          <cell r="BT53" t="str">
            <v>Done</v>
          </cell>
          <cell r="BU53">
            <v>168</v>
          </cell>
          <cell r="BV53">
            <v>2024</v>
          </cell>
        </row>
        <row r="54">
          <cell r="A54" t="str">
            <v>Lucknow</v>
          </cell>
          <cell r="B54" t="str">
            <v>Americas</v>
          </cell>
          <cell r="C54" t="str">
            <v>Mid Level</v>
          </cell>
          <cell r="D54" t="str">
            <v>Rajesh Khanna</v>
          </cell>
          <cell r="E54" t="str">
            <v>-</v>
          </cell>
          <cell r="H54" t="str">
            <v>Rajesh Khanna</v>
          </cell>
          <cell r="K54">
            <v>0</v>
          </cell>
          <cell r="L54" t="str">
            <v>Old</v>
          </cell>
          <cell r="M54">
            <v>45579</v>
          </cell>
          <cell r="N54">
            <v>4</v>
          </cell>
          <cell r="O54">
            <v>467</v>
          </cell>
          <cell r="P54">
            <v>45766</v>
          </cell>
          <cell r="Q54">
            <v>45944</v>
          </cell>
          <cell r="R54" t="str">
            <v>PLC Fanatics</v>
          </cell>
          <cell r="S54" t="str">
            <v>Ankit Kumar</v>
          </cell>
          <cell r="T54" t="str">
            <v>Individual</v>
          </cell>
          <cell r="U54" t="str">
            <v>C2C</v>
          </cell>
          <cell r="V54" t="str">
            <v>Fanatics</v>
          </cell>
          <cell r="W54">
            <v>32.5</v>
          </cell>
          <cell r="X54">
            <v>0</v>
          </cell>
          <cell r="Y54" t="str">
            <v>USD</v>
          </cell>
          <cell r="Z54">
            <v>35</v>
          </cell>
          <cell r="AA54">
            <v>0</v>
          </cell>
          <cell r="AB54">
            <v>0</v>
          </cell>
          <cell r="AC54">
            <v>0</v>
          </cell>
          <cell r="AD54">
            <v>45762</v>
          </cell>
          <cell r="AE54">
            <v>14</v>
          </cell>
          <cell r="AF54">
            <v>46022</v>
          </cell>
          <cell r="AG54">
            <v>32.5</v>
          </cell>
          <cell r="AH54">
            <v>0</v>
          </cell>
          <cell r="AI54">
            <v>32.5</v>
          </cell>
          <cell r="AJ54">
            <v>35</v>
          </cell>
          <cell r="AK54">
            <v>0</v>
          </cell>
          <cell r="AL54">
            <v>0</v>
          </cell>
          <cell r="AM54">
            <v>2.5</v>
          </cell>
          <cell r="AN54">
            <v>0</v>
          </cell>
          <cell r="AO54">
            <v>2.5</v>
          </cell>
          <cell r="AP54">
            <v>0</v>
          </cell>
          <cell r="AQ54">
            <v>2.5</v>
          </cell>
          <cell r="AR54" t="str">
            <v>US_24752</v>
          </cell>
          <cell r="AS54">
            <v>0</v>
          </cell>
          <cell r="AT54">
            <v>112</v>
          </cell>
          <cell r="AU54">
            <v>112</v>
          </cell>
          <cell r="AV54">
            <v>0</v>
          </cell>
          <cell r="AW54">
            <v>280</v>
          </cell>
          <cell r="AX54">
            <v>280</v>
          </cell>
          <cell r="AY54">
            <v>280</v>
          </cell>
          <cell r="AZ54">
            <v>0</v>
          </cell>
          <cell r="BA54">
            <v>0</v>
          </cell>
          <cell r="BB54">
            <v>0</v>
          </cell>
          <cell r="BD54">
            <v>280</v>
          </cell>
          <cell r="BF54">
            <v>280</v>
          </cell>
          <cell r="BG54">
            <v>3920</v>
          </cell>
          <cell r="BH54">
            <v>3920</v>
          </cell>
          <cell r="BI54">
            <v>3640</v>
          </cell>
          <cell r="BJ54">
            <v>0</v>
          </cell>
          <cell r="BK54">
            <v>0</v>
          </cell>
          <cell r="BL54">
            <v>0</v>
          </cell>
          <cell r="BM54">
            <v>3640</v>
          </cell>
          <cell r="BN54">
            <v>0</v>
          </cell>
          <cell r="BO54">
            <v>280</v>
          </cell>
          <cell r="BP54" t="str">
            <v>Y</v>
          </cell>
          <cell r="BQ54">
            <v>2</v>
          </cell>
          <cell r="BR54" t="str">
            <v>Y</v>
          </cell>
          <cell r="BS54">
            <v>0</v>
          </cell>
          <cell r="BT54" t="str">
            <v>Done</v>
          </cell>
          <cell r="BU54">
            <v>112</v>
          </cell>
          <cell r="BV54">
            <v>2024</v>
          </cell>
        </row>
        <row r="55">
          <cell r="A55" t="str">
            <v>Lucknow</v>
          </cell>
          <cell r="B55" t="str">
            <v>Trust</v>
          </cell>
          <cell r="C55" t="str">
            <v>Mid Level</v>
          </cell>
          <cell r="D55" t="str">
            <v>Bhanu Pratap Singh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Pass Through</v>
          </cell>
          <cell r="K55" t="str">
            <v>-</v>
          </cell>
          <cell r="L55" t="str">
            <v>New</v>
          </cell>
          <cell r="M55">
            <v>45757</v>
          </cell>
          <cell r="N55">
            <v>2</v>
          </cell>
          <cell r="O55">
            <v>289</v>
          </cell>
          <cell r="P55">
            <v>46022</v>
          </cell>
          <cell r="Q55">
            <v>46122</v>
          </cell>
          <cell r="R55" t="str">
            <v>PLC-4216</v>
          </cell>
          <cell r="S55" t="str">
            <v>Anupam Beeharry</v>
          </cell>
          <cell r="T55" t="str">
            <v>Individual</v>
          </cell>
          <cell r="U55" t="str">
            <v>C2C</v>
          </cell>
          <cell r="V55" t="str">
            <v>Global Logic</v>
          </cell>
          <cell r="W55">
            <v>100</v>
          </cell>
          <cell r="X55">
            <v>0</v>
          </cell>
          <cell r="Y55" t="str">
            <v>CAD</v>
          </cell>
          <cell r="Z55">
            <v>103</v>
          </cell>
          <cell r="AA55">
            <v>0</v>
          </cell>
          <cell r="AB55">
            <v>0</v>
          </cell>
          <cell r="AC55">
            <v>0</v>
          </cell>
          <cell r="AD55">
            <v>45762</v>
          </cell>
          <cell r="AE55">
            <v>15</v>
          </cell>
          <cell r="AF55">
            <v>46022</v>
          </cell>
          <cell r="AG55">
            <v>71</v>
          </cell>
          <cell r="AH55">
            <v>0</v>
          </cell>
          <cell r="AI55">
            <v>71</v>
          </cell>
          <cell r="AJ55">
            <v>73.13</v>
          </cell>
          <cell r="AK55">
            <v>0</v>
          </cell>
          <cell r="AL55">
            <v>0</v>
          </cell>
          <cell r="AM55">
            <v>2.1299999999999955</v>
          </cell>
          <cell r="AN55">
            <v>0</v>
          </cell>
          <cell r="AO55">
            <v>2.1299999999999955</v>
          </cell>
          <cell r="AP55">
            <v>0</v>
          </cell>
          <cell r="AQ55">
            <v>2.1299999999999955</v>
          </cell>
          <cell r="AR55" t="str">
            <v>CAD_1479</v>
          </cell>
          <cell r="AS55">
            <v>0</v>
          </cell>
          <cell r="AT55">
            <v>120</v>
          </cell>
          <cell r="AU55">
            <v>120</v>
          </cell>
          <cell r="AV55">
            <v>0</v>
          </cell>
          <cell r="AW55">
            <v>255.59999999999945</v>
          </cell>
          <cell r="AX55">
            <v>255.59999999999945</v>
          </cell>
          <cell r="AY55">
            <v>255.59999999999945</v>
          </cell>
          <cell r="AZ55">
            <v>0</v>
          </cell>
          <cell r="BA55">
            <v>0</v>
          </cell>
          <cell r="BB55">
            <v>0</v>
          </cell>
          <cell r="BF55">
            <v>255.59999999999945</v>
          </cell>
          <cell r="BG55">
            <v>12360</v>
          </cell>
          <cell r="BH55">
            <v>8775.5999999999985</v>
          </cell>
          <cell r="BI55">
            <v>8890.7999999999993</v>
          </cell>
          <cell r="BJ55">
            <v>0</v>
          </cell>
          <cell r="BK55">
            <v>0</v>
          </cell>
          <cell r="BL55">
            <v>0</v>
          </cell>
          <cell r="BM55">
            <v>8890.7999999999993</v>
          </cell>
          <cell r="BN55">
            <v>0</v>
          </cell>
          <cell r="BO55">
            <v>-115.20000000000073</v>
          </cell>
          <cell r="BP55" t="str">
            <v>Y</v>
          </cell>
          <cell r="BQ55">
            <v>2</v>
          </cell>
          <cell r="BR55" t="str">
            <v>Y</v>
          </cell>
          <cell r="BS55">
            <v>0</v>
          </cell>
          <cell r="BT55" t="str">
            <v>Done</v>
          </cell>
          <cell r="BU55">
            <v>120</v>
          </cell>
          <cell r="BV55">
            <v>2025</v>
          </cell>
        </row>
        <row r="56">
          <cell r="A56" t="str">
            <v>Noida</v>
          </cell>
          <cell r="B56" t="str">
            <v>Noida IT</v>
          </cell>
          <cell r="C56" t="str">
            <v>Mid Level</v>
          </cell>
          <cell r="D56" t="str">
            <v>Abdul Rahman</v>
          </cell>
          <cell r="E56" t="str">
            <v>-</v>
          </cell>
          <cell r="H56" t="str">
            <v>Avinay Srinavastav</v>
          </cell>
          <cell r="K56">
            <v>0</v>
          </cell>
          <cell r="L56" t="str">
            <v>Old</v>
          </cell>
          <cell r="M56">
            <v>45530</v>
          </cell>
          <cell r="N56">
            <v>3</v>
          </cell>
          <cell r="O56">
            <v>516</v>
          </cell>
          <cell r="P56">
            <v>45715</v>
          </cell>
          <cell r="Q56">
            <v>45895</v>
          </cell>
          <cell r="R56" t="str">
            <v>PLC-3946</v>
          </cell>
          <cell r="S56" t="str">
            <v>Aparna Koranne</v>
          </cell>
          <cell r="T56" t="str">
            <v>Individual</v>
          </cell>
          <cell r="U56" t="str">
            <v>C2C</v>
          </cell>
          <cell r="V56" t="str">
            <v>Xebia</v>
          </cell>
          <cell r="W56">
            <v>41</v>
          </cell>
          <cell r="X56">
            <v>0</v>
          </cell>
          <cell r="Y56" t="str">
            <v>USD</v>
          </cell>
          <cell r="Z56">
            <v>60</v>
          </cell>
          <cell r="AA56">
            <v>0</v>
          </cell>
          <cell r="AB56">
            <v>0</v>
          </cell>
          <cell r="AC56">
            <v>0</v>
          </cell>
          <cell r="AD56">
            <v>45672</v>
          </cell>
          <cell r="AE56">
            <v>22</v>
          </cell>
          <cell r="AF56">
            <v>46022</v>
          </cell>
          <cell r="AG56">
            <v>41</v>
          </cell>
          <cell r="AH56">
            <v>0</v>
          </cell>
          <cell r="AI56">
            <v>41</v>
          </cell>
          <cell r="AJ56">
            <v>60</v>
          </cell>
          <cell r="AK56">
            <v>0</v>
          </cell>
          <cell r="AL56">
            <v>0</v>
          </cell>
          <cell r="AM56">
            <v>19</v>
          </cell>
          <cell r="AN56">
            <v>0</v>
          </cell>
          <cell r="AO56">
            <v>19</v>
          </cell>
          <cell r="AP56">
            <v>0</v>
          </cell>
          <cell r="AQ56">
            <v>19</v>
          </cell>
          <cell r="AR56" t="str">
            <v>US_24270</v>
          </cell>
          <cell r="AS56">
            <v>0</v>
          </cell>
          <cell r="AT56">
            <v>176</v>
          </cell>
          <cell r="AU56">
            <v>176</v>
          </cell>
          <cell r="AV56">
            <v>0</v>
          </cell>
          <cell r="AW56">
            <v>3344</v>
          </cell>
          <cell r="AX56">
            <v>3344</v>
          </cell>
          <cell r="AY56">
            <v>3344</v>
          </cell>
          <cell r="AZ56">
            <v>40</v>
          </cell>
          <cell r="BA56">
            <v>30.4</v>
          </cell>
          <cell r="BB56">
            <v>5350.4</v>
          </cell>
          <cell r="BD56">
            <v>3344</v>
          </cell>
          <cell r="BF56">
            <v>3344</v>
          </cell>
          <cell r="BG56">
            <v>10560</v>
          </cell>
          <cell r="BH56">
            <v>10560</v>
          </cell>
          <cell r="BI56">
            <v>7216</v>
          </cell>
          <cell r="BJ56">
            <v>0</v>
          </cell>
          <cell r="BK56">
            <v>0</v>
          </cell>
          <cell r="BL56">
            <v>0</v>
          </cell>
          <cell r="BM56">
            <v>7216</v>
          </cell>
          <cell r="BN56">
            <v>0</v>
          </cell>
          <cell r="BO56">
            <v>3344</v>
          </cell>
          <cell r="BP56" t="str">
            <v>Y</v>
          </cell>
          <cell r="BQ56">
            <v>1</v>
          </cell>
          <cell r="BR56" t="str">
            <v>N</v>
          </cell>
          <cell r="BS56">
            <v>5350.4</v>
          </cell>
          <cell r="BT56" t="str">
            <v>Done</v>
          </cell>
          <cell r="BU56">
            <v>176</v>
          </cell>
          <cell r="BV56">
            <v>2024</v>
          </cell>
        </row>
        <row r="57">
          <cell r="A57" t="str">
            <v>Noida</v>
          </cell>
          <cell r="B57" t="str">
            <v>Noida IT</v>
          </cell>
          <cell r="C57" t="str">
            <v>Mid Level</v>
          </cell>
          <cell r="D57" t="str">
            <v>Abdul Rahman</v>
          </cell>
          <cell r="E57" t="str">
            <v>-</v>
          </cell>
          <cell r="H57" t="str">
            <v>Avinay Srinavastav</v>
          </cell>
          <cell r="K57">
            <v>0</v>
          </cell>
          <cell r="L57" t="str">
            <v>Old</v>
          </cell>
          <cell r="M57">
            <v>45530</v>
          </cell>
          <cell r="N57">
            <v>3</v>
          </cell>
          <cell r="O57">
            <v>516</v>
          </cell>
          <cell r="P57">
            <v>45715</v>
          </cell>
          <cell r="Q57">
            <v>45895</v>
          </cell>
          <cell r="R57" t="str">
            <v>PLC-3946</v>
          </cell>
          <cell r="S57" t="str">
            <v>Aparna Koranne</v>
          </cell>
          <cell r="T57" t="str">
            <v>Individual</v>
          </cell>
          <cell r="U57" t="str">
            <v>C2C</v>
          </cell>
          <cell r="V57" t="str">
            <v>Xebia</v>
          </cell>
          <cell r="W57">
            <v>41</v>
          </cell>
          <cell r="X57">
            <v>0</v>
          </cell>
          <cell r="Y57" t="str">
            <v>USD</v>
          </cell>
          <cell r="Z57">
            <v>60</v>
          </cell>
          <cell r="AA57">
            <v>0</v>
          </cell>
          <cell r="AB57">
            <v>0</v>
          </cell>
          <cell r="AC57">
            <v>3</v>
          </cell>
          <cell r="AD57">
            <v>45703</v>
          </cell>
          <cell r="AE57">
            <v>20</v>
          </cell>
          <cell r="AF57">
            <v>46022</v>
          </cell>
          <cell r="AG57">
            <v>41</v>
          </cell>
          <cell r="AH57">
            <v>0</v>
          </cell>
          <cell r="AI57">
            <v>44</v>
          </cell>
          <cell r="AJ57">
            <v>60</v>
          </cell>
          <cell r="AK57">
            <v>0</v>
          </cell>
          <cell r="AL57">
            <v>0</v>
          </cell>
          <cell r="AM57">
            <v>16</v>
          </cell>
          <cell r="AN57">
            <v>0</v>
          </cell>
          <cell r="AO57">
            <v>16</v>
          </cell>
          <cell r="AP57">
            <v>0</v>
          </cell>
          <cell r="AQ57">
            <v>16</v>
          </cell>
          <cell r="AR57" t="str">
            <v>US_24471</v>
          </cell>
          <cell r="AS57">
            <v>0</v>
          </cell>
          <cell r="AT57">
            <v>144</v>
          </cell>
          <cell r="AU57">
            <v>144</v>
          </cell>
          <cell r="AV57">
            <v>0</v>
          </cell>
          <cell r="AW57">
            <v>2304</v>
          </cell>
          <cell r="AX57">
            <v>2304</v>
          </cell>
          <cell r="AY57">
            <v>2304</v>
          </cell>
          <cell r="AZ57">
            <v>40</v>
          </cell>
          <cell r="BA57">
            <v>25.6</v>
          </cell>
          <cell r="BB57">
            <v>3686.4</v>
          </cell>
          <cell r="BD57">
            <v>2304</v>
          </cell>
          <cell r="BF57">
            <v>2304</v>
          </cell>
          <cell r="BG57">
            <v>8640</v>
          </cell>
          <cell r="BH57">
            <v>8640</v>
          </cell>
          <cell r="BI57">
            <v>5904</v>
          </cell>
          <cell r="BJ57">
            <v>0</v>
          </cell>
          <cell r="BK57">
            <v>432</v>
          </cell>
          <cell r="BL57">
            <v>0</v>
          </cell>
          <cell r="BM57">
            <v>6336</v>
          </cell>
          <cell r="BN57">
            <v>3</v>
          </cell>
          <cell r="BO57">
            <v>2304</v>
          </cell>
          <cell r="BP57" t="str">
            <v>Y</v>
          </cell>
          <cell r="BQ57">
            <v>1</v>
          </cell>
          <cell r="BR57" t="str">
            <v>N</v>
          </cell>
          <cell r="BS57">
            <v>3686.4</v>
          </cell>
          <cell r="BT57" t="str">
            <v>Done</v>
          </cell>
          <cell r="BU57">
            <v>144</v>
          </cell>
          <cell r="BV57">
            <v>2024</v>
          </cell>
        </row>
        <row r="58">
          <cell r="A58" t="str">
            <v>Lucknow</v>
          </cell>
          <cell r="B58" t="str">
            <v>Vantedge</v>
          </cell>
          <cell r="C58" t="str">
            <v>Senior</v>
          </cell>
          <cell r="D58" t="str">
            <v>Mayank Saxena</v>
          </cell>
          <cell r="E58" t="str">
            <v>-</v>
          </cell>
          <cell r="H58" t="str">
            <v>Mayank Saxena</v>
          </cell>
          <cell r="K58" t="str">
            <v>Rohini Parihar</v>
          </cell>
          <cell r="L58" t="str">
            <v>New</v>
          </cell>
          <cell r="M58">
            <v>45665</v>
          </cell>
          <cell r="N58">
            <v>1</v>
          </cell>
          <cell r="O58">
            <v>381</v>
          </cell>
          <cell r="P58" t="str">
            <v>-</v>
          </cell>
          <cell r="Q58">
            <v>46030</v>
          </cell>
          <cell r="R58" t="str">
            <v>PLC-4093</v>
          </cell>
          <cell r="S58" t="str">
            <v>Arbindoo Sood</v>
          </cell>
          <cell r="T58" t="str">
            <v>Individual</v>
          </cell>
          <cell r="U58" t="str">
            <v>FTE</v>
          </cell>
          <cell r="V58" t="str">
            <v>RCG Global</v>
          </cell>
          <cell r="W58">
            <v>0</v>
          </cell>
          <cell r="X58">
            <v>0</v>
          </cell>
          <cell r="Y58" t="str">
            <v>USD</v>
          </cell>
          <cell r="Z58">
            <v>27950</v>
          </cell>
          <cell r="AA58">
            <v>0</v>
          </cell>
          <cell r="AB58">
            <v>0</v>
          </cell>
          <cell r="AC58">
            <v>0</v>
          </cell>
          <cell r="AD58">
            <v>45672</v>
          </cell>
          <cell r="AE58">
            <v>1</v>
          </cell>
          <cell r="AF58">
            <v>46022</v>
          </cell>
          <cell r="AG58">
            <v>0</v>
          </cell>
          <cell r="AH58">
            <v>0</v>
          </cell>
          <cell r="AI58">
            <v>0</v>
          </cell>
          <cell r="AJ58">
            <v>27950</v>
          </cell>
          <cell r="AK58">
            <v>0</v>
          </cell>
          <cell r="AL58">
            <v>0</v>
          </cell>
          <cell r="AM58">
            <v>27950</v>
          </cell>
          <cell r="AN58">
            <v>0</v>
          </cell>
          <cell r="AO58">
            <v>27950</v>
          </cell>
          <cell r="AP58">
            <v>0</v>
          </cell>
          <cell r="AQ58">
            <v>27950</v>
          </cell>
          <cell r="AR58" t="str">
            <v>US_24338</v>
          </cell>
          <cell r="AS58">
            <v>0</v>
          </cell>
          <cell r="AT58">
            <v>1</v>
          </cell>
          <cell r="AU58">
            <v>1</v>
          </cell>
          <cell r="AV58">
            <v>0</v>
          </cell>
          <cell r="AW58">
            <v>27950</v>
          </cell>
          <cell r="AX58">
            <v>27950</v>
          </cell>
          <cell r="AY58">
            <v>27950</v>
          </cell>
          <cell r="AZ58">
            <v>238</v>
          </cell>
          <cell r="BA58">
            <v>44720</v>
          </cell>
          <cell r="BB58">
            <v>44720</v>
          </cell>
          <cell r="BC58">
            <v>82</v>
          </cell>
          <cell r="BD58">
            <v>27950</v>
          </cell>
          <cell r="BE58">
            <v>33540</v>
          </cell>
          <cell r="BF58">
            <v>27950</v>
          </cell>
          <cell r="BG58">
            <v>27950</v>
          </cell>
          <cell r="BH58">
            <v>27950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27950</v>
          </cell>
          <cell r="BP58" t="str">
            <v>Y</v>
          </cell>
          <cell r="BQ58">
            <v>1</v>
          </cell>
          <cell r="BR58" t="str">
            <v>Y</v>
          </cell>
          <cell r="BS58">
            <v>44720</v>
          </cell>
          <cell r="BT58" t="str">
            <v>Done</v>
          </cell>
          <cell r="BU58">
            <v>0</v>
          </cell>
          <cell r="BV58">
            <v>2025</v>
          </cell>
        </row>
        <row r="59">
          <cell r="A59" t="str">
            <v>Lucknow</v>
          </cell>
          <cell r="B59" t="str">
            <v>Trust</v>
          </cell>
          <cell r="C59" t="str">
            <v>Mid Level</v>
          </cell>
          <cell r="D59" t="str">
            <v>Bhanu Pratap Singh</v>
          </cell>
          <cell r="E59" t="str">
            <v>-</v>
          </cell>
          <cell r="H59" t="str">
            <v>Pass Through</v>
          </cell>
          <cell r="L59" t="str">
            <v>New</v>
          </cell>
          <cell r="M59">
            <v>45678</v>
          </cell>
          <cell r="N59">
            <v>1</v>
          </cell>
          <cell r="O59">
            <v>368</v>
          </cell>
          <cell r="P59">
            <v>45849</v>
          </cell>
          <cell r="Q59">
            <v>46043</v>
          </cell>
          <cell r="R59" t="str">
            <v>PLC-4088</v>
          </cell>
          <cell r="S59" t="str">
            <v>Arpit Sharma</v>
          </cell>
          <cell r="T59" t="str">
            <v>Individual</v>
          </cell>
          <cell r="U59" t="str">
            <v>C2C</v>
          </cell>
          <cell r="V59" t="str">
            <v>Global Logic</v>
          </cell>
          <cell r="W59">
            <v>115</v>
          </cell>
          <cell r="X59">
            <v>0</v>
          </cell>
          <cell r="Y59" t="str">
            <v>CAD</v>
          </cell>
          <cell r="Z59">
            <v>118</v>
          </cell>
          <cell r="AA59">
            <v>0</v>
          </cell>
          <cell r="AB59">
            <v>0</v>
          </cell>
          <cell r="AC59">
            <v>0</v>
          </cell>
          <cell r="AD59">
            <v>45672</v>
          </cell>
          <cell r="AE59">
            <v>9</v>
          </cell>
          <cell r="AF59">
            <v>46022</v>
          </cell>
          <cell r="AG59">
            <v>81.649999999999991</v>
          </cell>
          <cell r="AH59">
            <v>0</v>
          </cell>
          <cell r="AI59">
            <v>81.649999999999991</v>
          </cell>
          <cell r="AJ59">
            <v>83.78</v>
          </cell>
          <cell r="AK59">
            <v>0</v>
          </cell>
          <cell r="AL59">
            <v>0</v>
          </cell>
          <cell r="AM59">
            <v>2.1300000000000097</v>
          </cell>
          <cell r="AN59">
            <v>0</v>
          </cell>
          <cell r="AO59">
            <v>2.1300000000000097</v>
          </cell>
          <cell r="AP59">
            <v>0</v>
          </cell>
          <cell r="AQ59">
            <v>2.1300000000000097</v>
          </cell>
          <cell r="AR59" t="str">
            <v>CAD_1420</v>
          </cell>
          <cell r="AS59">
            <v>0</v>
          </cell>
          <cell r="AT59">
            <v>72</v>
          </cell>
          <cell r="AU59">
            <v>72</v>
          </cell>
          <cell r="AV59">
            <v>0</v>
          </cell>
          <cell r="AW59">
            <v>153.3600000000007</v>
          </cell>
          <cell r="AX59">
            <v>153.3600000000007</v>
          </cell>
          <cell r="AY59">
            <v>153.3600000000007</v>
          </cell>
          <cell r="AZ59">
            <v>0</v>
          </cell>
          <cell r="BA59">
            <v>0</v>
          </cell>
          <cell r="BB59">
            <v>0</v>
          </cell>
          <cell r="BF59">
            <v>153.3600000000007</v>
          </cell>
          <cell r="BG59">
            <v>8496</v>
          </cell>
          <cell r="BH59">
            <v>6032.16</v>
          </cell>
          <cell r="BI59">
            <v>6134.652</v>
          </cell>
          <cell r="BJ59">
            <v>0</v>
          </cell>
          <cell r="BK59">
            <v>0</v>
          </cell>
          <cell r="BL59">
            <v>0</v>
          </cell>
          <cell r="BM59">
            <v>6134.652</v>
          </cell>
          <cell r="BN59">
            <v>0</v>
          </cell>
          <cell r="BO59">
            <v>-102.49200000000019</v>
          </cell>
          <cell r="BP59" t="str">
            <v>Y</v>
          </cell>
          <cell r="BQ59">
            <v>1</v>
          </cell>
          <cell r="BR59" t="str">
            <v>Y</v>
          </cell>
          <cell r="BS59">
            <v>0</v>
          </cell>
          <cell r="BT59" t="str">
            <v>Done</v>
          </cell>
          <cell r="BU59">
            <v>72</v>
          </cell>
          <cell r="BV59">
            <v>2025</v>
          </cell>
        </row>
        <row r="60">
          <cell r="A60" t="str">
            <v>Lucknow</v>
          </cell>
          <cell r="B60" t="str">
            <v>Trust</v>
          </cell>
          <cell r="C60" t="str">
            <v>Mid Level</v>
          </cell>
          <cell r="D60" t="str">
            <v>Bhanu Pratap Singh</v>
          </cell>
          <cell r="E60" t="str">
            <v>-</v>
          </cell>
          <cell r="H60" t="str">
            <v>Pass Through</v>
          </cell>
          <cell r="L60" t="str">
            <v>New</v>
          </cell>
          <cell r="M60">
            <v>45678</v>
          </cell>
          <cell r="N60">
            <v>1</v>
          </cell>
          <cell r="O60">
            <v>368</v>
          </cell>
          <cell r="P60">
            <v>45849</v>
          </cell>
          <cell r="Q60">
            <v>46043</v>
          </cell>
          <cell r="R60" t="str">
            <v>PLC-4088</v>
          </cell>
          <cell r="S60" t="str">
            <v>Arpit Sharma</v>
          </cell>
          <cell r="T60" t="str">
            <v>Individual</v>
          </cell>
          <cell r="U60" t="str">
            <v>C2C</v>
          </cell>
          <cell r="V60" t="str">
            <v>Global Logic</v>
          </cell>
          <cell r="W60">
            <v>115</v>
          </cell>
          <cell r="X60">
            <v>0</v>
          </cell>
          <cell r="Y60" t="str">
            <v>CAD</v>
          </cell>
          <cell r="Z60">
            <v>118</v>
          </cell>
          <cell r="AA60">
            <v>0</v>
          </cell>
          <cell r="AB60">
            <v>0</v>
          </cell>
          <cell r="AC60">
            <v>0</v>
          </cell>
          <cell r="AD60">
            <v>45703</v>
          </cell>
          <cell r="AE60">
            <v>20</v>
          </cell>
          <cell r="AF60">
            <v>46022</v>
          </cell>
          <cell r="AG60">
            <v>81.649999999999991</v>
          </cell>
          <cell r="AH60">
            <v>0</v>
          </cell>
          <cell r="AI60">
            <v>81.649999999999991</v>
          </cell>
          <cell r="AJ60">
            <v>83.78</v>
          </cell>
          <cell r="AK60">
            <v>0</v>
          </cell>
          <cell r="AL60">
            <v>0</v>
          </cell>
          <cell r="AM60">
            <v>2.1300000000000097</v>
          </cell>
          <cell r="AN60">
            <v>0</v>
          </cell>
          <cell r="AO60">
            <v>2.1300000000000097</v>
          </cell>
          <cell r="AP60">
            <v>0</v>
          </cell>
          <cell r="AQ60">
            <v>2.1300000000000097</v>
          </cell>
          <cell r="AR60" t="str">
            <v>CAD_1444</v>
          </cell>
          <cell r="AS60">
            <v>0</v>
          </cell>
          <cell r="AT60">
            <v>152</v>
          </cell>
          <cell r="AU60">
            <v>152</v>
          </cell>
          <cell r="AV60">
            <v>0</v>
          </cell>
          <cell r="AW60">
            <v>323.76000000000147</v>
          </cell>
          <cell r="AX60">
            <v>323.76000000000147</v>
          </cell>
          <cell r="AY60">
            <v>323.76000000000147</v>
          </cell>
          <cell r="AZ60">
            <v>0</v>
          </cell>
          <cell r="BA60">
            <v>0</v>
          </cell>
          <cell r="BB60">
            <v>0</v>
          </cell>
          <cell r="BF60">
            <v>323.76000000000147</v>
          </cell>
          <cell r="BG60">
            <v>17936</v>
          </cell>
          <cell r="BH60">
            <v>12734.56</v>
          </cell>
          <cell r="BI60">
            <v>12950.932000000001</v>
          </cell>
          <cell r="BJ60">
            <v>0</v>
          </cell>
          <cell r="BK60">
            <v>0</v>
          </cell>
          <cell r="BL60">
            <v>0</v>
          </cell>
          <cell r="BM60">
            <v>12950.932000000001</v>
          </cell>
          <cell r="BN60">
            <v>0</v>
          </cell>
          <cell r="BO60">
            <v>-216.37200000000121</v>
          </cell>
          <cell r="BP60" t="str">
            <v>Y</v>
          </cell>
          <cell r="BQ60">
            <v>1</v>
          </cell>
          <cell r="BR60" t="str">
            <v>Y</v>
          </cell>
          <cell r="BS60">
            <v>0</v>
          </cell>
          <cell r="BT60" t="str">
            <v>Done</v>
          </cell>
          <cell r="BU60">
            <v>152</v>
          </cell>
          <cell r="BV60">
            <v>2025</v>
          </cell>
        </row>
        <row r="61">
          <cell r="A61" t="str">
            <v>Lucknow</v>
          </cell>
          <cell r="B61" t="str">
            <v>Trust</v>
          </cell>
          <cell r="C61" t="str">
            <v>Mid Level</v>
          </cell>
          <cell r="D61" t="str">
            <v>Bhanu Pratap Singh</v>
          </cell>
          <cell r="E61" t="str">
            <v>-</v>
          </cell>
          <cell r="H61" t="str">
            <v>Pass Through</v>
          </cell>
          <cell r="L61" t="str">
            <v>New</v>
          </cell>
          <cell r="M61">
            <v>45678</v>
          </cell>
          <cell r="N61">
            <v>1</v>
          </cell>
          <cell r="O61">
            <v>368</v>
          </cell>
          <cell r="P61">
            <v>45849</v>
          </cell>
          <cell r="Q61">
            <v>46043</v>
          </cell>
          <cell r="R61" t="str">
            <v>PLC-4088</v>
          </cell>
          <cell r="S61" t="str">
            <v>Arpit Sharma</v>
          </cell>
          <cell r="T61" t="str">
            <v>Individual</v>
          </cell>
          <cell r="U61" t="str">
            <v>C2C</v>
          </cell>
          <cell r="V61" t="str">
            <v>Global Logic</v>
          </cell>
          <cell r="W61">
            <v>115</v>
          </cell>
          <cell r="X61">
            <v>0</v>
          </cell>
          <cell r="Y61" t="str">
            <v>CAD</v>
          </cell>
          <cell r="Z61">
            <v>118</v>
          </cell>
          <cell r="AA61">
            <v>0</v>
          </cell>
          <cell r="AB61">
            <v>0</v>
          </cell>
          <cell r="AC61">
            <v>0</v>
          </cell>
          <cell r="AD61">
            <v>45731</v>
          </cell>
          <cell r="AE61">
            <v>21</v>
          </cell>
          <cell r="AF61">
            <v>46022</v>
          </cell>
          <cell r="AG61">
            <v>81.649999999999991</v>
          </cell>
          <cell r="AH61">
            <v>0</v>
          </cell>
          <cell r="AI61">
            <v>81.649999999999991</v>
          </cell>
          <cell r="AJ61">
            <v>83.78</v>
          </cell>
          <cell r="AK61">
            <v>0</v>
          </cell>
          <cell r="AL61">
            <v>0</v>
          </cell>
          <cell r="AM61">
            <v>2.1300000000000097</v>
          </cell>
          <cell r="AN61">
            <v>0</v>
          </cell>
          <cell r="AO61">
            <v>2.1300000000000097</v>
          </cell>
          <cell r="AP61">
            <v>0</v>
          </cell>
          <cell r="AQ61">
            <v>2.1300000000000097</v>
          </cell>
          <cell r="AR61" t="str">
            <v>CAD_1469</v>
          </cell>
          <cell r="AS61">
            <v>0</v>
          </cell>
          <cell r="AT61">
            <v>144</v>
          </cell>
          <cell r="AU61">
            <v>144</v>
          </cell>
          <cell r="AV61">
            <v>0</v>
          </cell>
          <cell r="AW61">
            <v>306.72000000000139</v>
          </cell>
          <cell r="AX61">
            <v>306.72000000000139</v>
          </cell>
          <cell r="AY61">
            <v>306.72000000000139</v>
          </cell>
          <cell r="AZ61">
            <v>0</v>
          </cell>
          <cell r="BA61">
            <v>0</v>
          </cell>
          <cell r="BB61">
            <v>0</v>
          </cell>
          <cell r="BF61">
            <v>306.72000000000139</v>
          </cell>
          <cell r="BG61">
            <v>16992</v>
          </cell>
          <cell r="BH61">
            <v>12064.32</v>
          </cell>
          <cell r="BI61">
            <v>12269.304</v>
          </cell>
          <cell r="BJ61">
            <v>0</v>
          </cell>
          <cell r="BK61">
            <v>0</v>
          </cell>
          <cell r="BL61">
            <v>0</v>
          </cell>
          <cell r="BM61">
            <v>12269.304</v>
          </cell>
          <cell r="BN61">
            <v>0</v>
          </cell>
          <cell r="BO61">
            <v>-204.98400000000038</v>
          </cell>
          <cell r="BP61" t="str">
            <v>Y</v>
          </cell>
          <cell r="BQ61">
            <v>1</v>
          </cell>
          <cell r="BR61" t="str">
            <v>Y</v>
          </cell>
          <cell r="BS61">
            <v>0</v>
          </cell>
          <cell r="BT61" t="str">
            <v>Done</v>
          </cell>
          <cell r="BU61">
            <v>144</v>
          </cell>
          <cell r="BV61">
            <v>2025</v>
          </cell>
        </row>
        <row r="62">
          <cell r="A62" t="str">
            <v>Lucknow</v>
          </cell>
          <cell r="B62" t="str">
            <v>Trust</v>
          </cell>
          <cell r="C62" t="str">
            <v>Mid Level</v>
          </cell>
          <cell r="D62" t="str">
            <v>Bhanu Pratap Singh</v>
          </cell>
          <cell r="E62" t="str">
            <v>-</v>
          </cell>
          <cell r="H62" t="str">
            <v>Pass Through</v>
          </cell>
          <cell r="L62" t="str">
            <v>New</v>
          </cell>
          <cell r="M62">
            <v>45678</v>
          </cell>
          <cell r="N62">
            <v>1</v>
          </cell>
          <cell r="O62">
            <v>368</v>
          </cell>
          <cell r="P62">
            <v>45849</v>
          </cell>
          <cell r="Q62">
            <v>46043</v>
          </cell>
          <cell r="R62" t="str">
            <v>PLC-4088</v>
          </cell>
          <cell r="S62" t="str">
            <v>Arpit Sharma</v>
          </cell>
          <cell r="T62" t="str">
            <v>Individual</v>
          </cell>
          <cell r="U62" t="str">
            <v>C2C</v>
          </cell>
          <cell r="V62" t="str">
            <v>Global Logic</v>
          </cell>
          <cell r="W62">
            <v>115</v>
          </cell>
          <cell r="X62">
            <v>0</v>
          </cell>
          <cell r="Y62" t="str">
            <v>CAD</v>
          </cell>
          <cell r="Z62">
            <v>118</v>
          </cell>
          <cell r="AA62">
            <v>0</v>
          </cell>
          <cell r="AB62">
            <v>0</v>
          </cell>
          <cell r="AC62">
            <v>0</v>
          </cell>
          <cell r="AD62">
            <v>45762</v>
          </cell>
          <cell r="AE62">
            <v>22</v>
          </cell>
          <cell r="AF62">
            <v>46022</v>
          </cell>
          <cell r="AG62">
            <v>81.649999999999991</v>
          </cell>
          <cell r="AH62">
            <v>0</v>
          </cell>
          <cell r="AI62">
            <v>81.649999999999991</v>
          </cell>
          <cell r="AJ62">
            <v>83.78</v>
          </cell>
          <cell r="AK62">
            <v>0</v>
          </cell>
          <cell r="AL62">
            <v>0</v>
          </cell>
          <cell r="AM62">
            <v>2.1300000000000097</v>
          </cell>
          <cell r="AN62">
            <v>0</v>
          </cell>
          <cell r="AO62">
            <v>2.1300000000000097</v>
          </cell>
          <cell r="AP62">
            <v>0</v>
          </cell>
          <cell r="AQ62">
            <v>2.1300000000000097</v>
          </cell>
          <cell r="AR62" t="str">
            <v>CAD_1492</v>
          </cell>
          <cell r="AS62">
            <v>0</v>
          </cell>
          <cell r="AT62">
            <v>176</v>
          </cell>
          <cell r="AU62">
            <v>176</v>
          </cell>
          <cell r="AV62">
            <v>0</v>
          </cell>
          <cell r="AW62">
            <v>374.8800000000017</v>
          </cell>
          <cell r="AX62">
            <v>374.8800000000017</v>
          </cell>
          <cell r="AY62">
            <v>374.8800000000017</v>
          </cell>
          <cell r="AZ62">
            <v>0</v>
          </cell>
          <cell r="BA62">
            <v>0</v>
          </cell>
          <cell r="BB62">
            <v>0</v>
          </cell>
          <cell r="BF62">
            <v>374.8800000000017</v>
          </cell>
          <cell r="BG62">
            <v>20768</v>
          </cell>
          <cell r="BH62">
            <v>14745.28</v>
          </cell>
          <cell r="BI62">
            <v>14995.816000000001</v>
          </cell>
          <cell r="BJ62">
            <v>0</v>
          </cell>
          <cell r="BK62">
            <v>0</v>
          </cell>
          <cell r="BL62">
            <v>0</v>
          </cell>
          <cell r="BM62">
            <v>14995.816000000001</v>
          </cell>
          <cell r="BN62">
            <v>0</v>
          </cell>
          <cell r="BO62">
            <v>-250.53600000000006</v>
          </cell>
          <cell r="BP62" t="str">
            <v>Y</v>
          </cell>
          <cell r="BQ62">
            <v>2</v>
          </cell>
          <cell r="BR62" t="str">
            <v>Y</v>
          </cell>
          <cell r="BS62">
            <v>0</v>
          </cell>
          <cell r="BT62" t="str">
            <v>Done</v>
          </cell>
          <cell r="BU62">
            <v>176</v>
          </cell>
          <cell r="BV62">
            <v>2025</v>
          </cell>
        </row>
        <row r="63">
          <cell r="A63" t="str">
            <v>Lucknow</v>
          </cell>
          <cell r="B63" t="str">
            <v>Vantedge</v>
          </cell>
          <cell r="C63" t="str">
            <v>Mid Level</v>
          </cell>
          <cell r="D63" t="str">
            <v>Mayank Saxena</v>
          </cell>
          <cell r="E63" t="str">
            <v>-</v>
          </cell>
          <cell r="H63" t="str">
            <v>M Harinath</v>
          </cell>
          <cell r="L63" t="str">
            <v>New</v>
          </cell>
          <cell r="M63">
            <v>45684</v>
          </cell>
          <cell r="N63">
            <v>1</v>
          </cell>
          <cell r="O63">
            <v>362</v>
          </cell>
          <cell r="P63" t="str">
            <v>-</v>
          </cell>
          <cell r="Q63">
            <v>46049</v>
          </cell>
          <cell r="R63" t="str">
            <v>PLC-4101</v>
          </cell>
          <cell r="S63" t="str">
            <v>Ashish Garg</v>
          </cell>
          <cell r="T63" t="str">
            <v>Split</v>
          </cell>
          <cell r="U63" t="str">
            <v>FTE</v>
          </cell>
          <cell r="V63" t="str">
            <v>Tredence</v>
          </cell>
          <cell r="W63">
            <v>0</v>
          </cell>
          <cell r="X63">
            <v>0</v>
          </cell>
          <cell r="Y63" t="str">
            <v>USD</v>
          </cell>
          <cell r="Z63">
            <v>14000</v>
          </cell>
          <cell r="AA63">
            <v>0</v>
          </cell>
          <cell r="AB63">
            <v>0</v>
          </cell>
          <cell r="AC63">
            <v>0</v>
          </cell>
          <cell r="AD63">
            <v>45672</v>
          </cell>
          <cell r="AE63">
            <v>1</v>
          </cell>
          <cell r="AF63">
            <v>46022</v>
          </cell>
          <cell r="AG63">
            <v>0</v>
          </cell>
          <cell r="AH63">
            <v>0</v>
          </cell>
          <cell r="AI63">
            <v>0</v>
          </cell>
          <cell r="AJ63">
            <v>14000</v>
          </cell>
          <cell r="AK63">
            <v>0</v>
          </cell>
          <cell r="AL63">
            <v>0</v>
          </cell>
          <cell r="AM63">
            <v>14000</v>
          </cell>
          <cell r="AN63">
            <v>0</v>
          </cell>
          <cell r="AO63">
            <v>7000</v>
          </cell>
          <cell r="AP63">
            <v>0</v>
          </cell>
          <cell r="AQ63">
            <v>7000</v>
          </cell>
          <cell r="AR63" t="str">
            <v>US_24322</v>
          </cell>
          <cell r="AS63">
            <v>0</v>
          </cell>
          <cell r="AT63">
            <v>1</v>
          </cell>
          <cell r="AU63">
            <v>1</v>
          </cell>
          <cell r="AV63">
            <v>0</v>
          </cell>
          <cell r="AW63">
            <v>7000</v>
          </cell>
          <cell r="AX63">
            <v>7000</v>
          </cell>
          <cell r="AY63">
            <v>7000</v>
          </cell>
          <cell r="AZ63">
            <v>150</v>
          </cell>
          <cell r="BA63">
            <v>11200</v>
          </cell>
          <cell r="BB63">
            <v>11200</v>
          </cell>
          <cell r="BC63">
            <v>82</v>
          </cell>
          <cell r="BD63">
            <v>7000</v>
          </cell>
          <cell r="BE63">
            <v>8400</v>
          </cell>
          <cell r="BF63">
            <v>7000</v>
          </cell>
          <cell r="BG63">
            <v>7000</v>
          </cell>
          <cell r="BH63">
            <v>7000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7000</v>
          </cell>
          <cell r="BP63" t="str">
            <v>Y</v>
          </cell>
          <cell r="BQ63">
            <v>1</v>
          </cell>
          <cell r="BR63" t="str">
            <v>Y</v>
          </cell>
          <cell r="BS63">
            <v>11200</v>
          </cell>
          <cell r="BT63" t="str">
            <v>Done</v>
          </cell>
          <cell r="BU63">
            <v>0</v>
          </cell>
          <cell r="BV63">
            <v>2025</v>
          </cell>
        </row>
        <row r="64">
          <cell r="A64" t="str">
            <v>Chennai</v>
          </cell>
          <cell r="B64" t="str">
            <v>Chennai</v>
          </cell>
          <cell r="C64" t="str">
            <v>Mid Level</v>
          </cell>
          <cell r="D64" t="str">
            <v>Vinoth L</v>
          </cell>
          <cell r="E64" t="str">
            <v>-</v>
          </cell>
          <cell r="H64" t="str">
            <v>M Harinath</v>
          </cell>
          <cell r="L64" t="str">
            <v>New</v>
          </cell>
          <cell r="M64">
            <v>45684</v>
          </cell>
          <cell r="N64">
            <v>1</v>
          </cell>
          <cell r="O64">
            <v>362</v>
          </cell>
          <cell r="P64" t="str">
            <v>-</v>
          </cell>
          <cell r="Q64">
            <v>46049</v>
          </cell>
          <cell r="R64" t="str">
            <v>PLC-4101</v>
          </cell>
          <cell r="S64" t="str">
            <v>Ashish Garg</v>
          </cell>
          <cell r="T64" t="str">
            <v>Split</v>
          </cell>
          <cell r="U64" t="str">
            <v>FTE</v>
          </cell>
          <cell r="V64" t="str">
            <v>Tredence</v>
          </cell>
          <cell r="W64">
            <v>0</v>
          </cell>
          <cell r="X64">
            <v>0</v>
          </cell>
          <cell r="Y64" t="str">
            <v>USD</v>
          </cell>
          <cell r="Z64">
            <v>14000</v>
          </cell>
          <cell r="AA64">
            <v>0</v>
          </cell>
          <cell r="AB64">
            <v>0</v>
          </cell>
          <cell r="AC64">
            <v>0</v>
          </cell>
          <cell r="AD64">
            <v>45672</v>
          </cell>
          <cell r="AE64">
            <v>1</v>
          </cell>
          <cell r="AF64">
            <v>46022</v>
          </cell>
          <cell r="AG64">
            <v>0</v>
          </cell>
          <cell r="AH64">
            <v>0</v>
          </cell>
          <cell r="AI64">
            <v>0</v>
          </cell>
          <cell r="AJ64">
            <v>14000</v>
          </cell>
          <cell r="AK64">
            <v>0</v>
          </cell>
          <cell r="AL64">
            <v>0</v>
          </cell>
          <cell r="AM64">
            <v>14000</v>
          </cell>
          <cell r="AN64">
            <v>0</v>
          </cell>
          <cell r="AO64">
            <v>7000</v>
          </cell>
          <cell r="AP64">
            <v>0</v>
          </cell>
          <cell r="AQ64">
            <v>7000</v>
          </cell>
          <cell r="AR64" t="str">
            <v>US_24322</v>
          </cell>
          <cell r="AS64">
            <v>0</v>
          </cell>
          <cell r="AT64">
            <v>1</v>
          </cell>
          <cell r="AU64">
            <v>1</v>
          </cell>
          <cell r="AV64">
            <v>0</v>
          </cell>
          <cell r="AW64">
            <v>7000</v>
          </cell>
          <cell r="AX64">
            <v>7000</v>
          </cell>
          <cell r="AY64">
            <v>7000</v>
          </cell>
          <cell r="AZ64">
            <v>150</v>
          </cell>
          <cell r="BA64">
            <v>11200</v>
          </cell>
          <cell r="BB64">
            <v>11200</v>
          </cell>
          <cell r="BC64">
            <v>67</v>
          </cell>
          <cell r="BD64">
            <v>7000</v>
          </cell>
          <cell r="BE64">
            <v>8400</v>
          </cell>
          <cell r="BF64">
            <v>7000</v>
          </cell>
          <cell r="BG64">
            <v>7000</v>
          </cell>
          <cell r="BH64">
            <v>7000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7000</v>
          </cell>
          <cell r="BP64" t="str">
            <v>Y</v>
          </cell>
          <cell r="BQ64">
            <v>1</v>
          </cell>
          <cell r="BR64" t="str">
            <v>Y</v>
          </cell>
          <cell r="BS64">
            <v>11200</v>
          </cell>
          <cell r="BT64" t="str">
            <v>Done</v>
          </cell>
          <cell r="BU64">
            <v>0</v>
          </cell>
          <cell r="BV64">
            <v>2025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Nitin Saxena</v>
          </cell>
          <cell r="E65" t="str">
            <v>Nitin Saxena</v>
          </cell>
          <cell r="F65">
            <v>0</v>
          </cell>
          <cell r="H65" t="str">
            <v>Hamza Ali</v>
          </cell>
          <cell r="J65" t="str">
            <v>ACH</v>
          </cell>
          <cell r="K65">
            <v>0</v>
          </cell>
          <cell r="L65" t="str">
            <v>Old</v>
          </cell>
          <cell r="M65">
            <v>45316</v>
          </cell>
          <cell r="N65">
            <v>1</v>
          </cell>
          <cell r="O65">
            <v>730</v>
          </cell>
          <cell r="P65">
            <v>45742</v>
          </cell>
          <cell r="Q65">
            <v>45681</v>
          </cell>
          <cell r="R65" t="str">
            <v>PLC-3599</v>
          </cell>
          <cell r="S65" t="str">
            <v>Asif Mustaffa Shaik</v>
          </cell>
          <cell r="T65" t="str">
            <v>Individual</v>
          </cell>
          <cell r="U65">
            <v>1099</v>
          </cell>
          <cell r="V65" t="str">
            <v>Genpact</v>
          </cell>
          <cell r="W65">
            <v>20</v>
          </cell>
          <cell r="X65">
            <v>30</v>
          </cell>
          <cell r="Y65" t="str">
            <v>USD</v>
          </cell>
          <cell r="Z65">
            <v>28</v>
          </cell>
          <cell r="AA65">
            <v>42</v>
          </cell>
          <cell r="AB65">
            <v>0</v>
          </cell>
          <cell r="AC65">
            <v>0</v>
          </cell>
          <cell r="AD65">
            <v>45672</v>
          </cell>
          <cell r="AE65">
            <v>22</v>
          </cell>
          <cell r="AF65">
            <v>46022</v>
          </cell>
          <cell r="AG65">
            <v>21.400000000000002</v>
          </cell>
          <cell r="AH65">
            <v>32.1</v>
          </cell>
          <cell r="AI65">
            <v>21.400000000000002</v>
          </cell>
          <cell r="AJ65">
            <v>28</v>
          </cell>
          <cell r="AK65">
            <v>42</v>
          </cell>
          <cell r="AL65">
            <v>9.8999999999999986</v>
          </cell>
          <cell r="AM65">
            <v>6.5999999999999979</v>
          </cell>
          <cell r="AN65">
            <v>9.8999999999999986</v>
          </cell>
          <cell r="AO65">
            <v>6.5999999999999979</v>
          </cell>
          <cell r="AP65">
            <v>9.8999999999999986</v>
          </cell>
          <cell r="AQ65">
            <v>6.5999999999999979</v>
          </cell>
          <cell r="AR65" t="str">
            <v>US_24212</v>
          </cell>
          <cell r="AS65">
            <v>20</v>
          </cell>
          <cell r="AT65">
            <v>80</v>
          </cell>
          <cell r="AU65">
            <v>80</v>
          </cell>
          <cell r="AV65">
            <v>197.99999999999997</v>
          </cell>
          <cell r="AW65">
            <v>527.99999999999977</v>
          </cell>
          <cell r="AX65">
            <v>718.73999999999978</v>
          </cell>
          <cell r="AY65">
            <v>527.99999999999977</v>
          </cell>
          <cell r="AZ65">
            <v>106.25</v>
          </cell>
          <cell r="BA65">
            <v>22.439999999999991</v>
          </cell>
          <cell r="BB65">
            <v>1795.1999999999994</v>
          </cell>
          <cell r="BC65">
            <v>63</v>
          </cell>
          <cell r="BD65">
            <v>527.99999999999977</v>
          </cell>
          <cell r="BE65">
            <v>633.59999999999968</v>
          </cell>
          <cell r="BF65">
            <v>718.73999999999978</v>
          </cell>
          <cell r="BG65">
            <v>2240</v>
          </cell>
          <cell r="BH65">
            <v>2240</v>
          </cell>
          <cell r="BI65">
            <v>1600</v>
          </cell>
          <cell r="BJ65">
            <v>1.4000000000000001</v>
          </cell>
          <cell r="BK65">
            <v>0</v>
          </cell>
          <cell r="BL65">
            <v>112.00000000000001</v>
          </cell>
          <cell r="BM65">
            <v>1712</v>
          </cell>
          <cell r="BN65">
            <v>1.4000000000000001</v>
          </cell>
          <cell r="BO65">
            <v>528</v>
          </cell>
          <cell r="BP65" t="str">
            <v>Y</v>
          </cell>
          <cell r="BQ65">
            <v>1</v>
          </cell>
          <cell r="BR65" t="str">
            <v>Y</v>
          </cell>
          <cell r="BS65">
            <v>1795.1999999999994</v>
          </cell>
          <cell r="BT65" t="str">
            <v>Done</v>
          </cell>
          <cell r="BU65">
            <v>80</v>
          </cell>
          <cell r="BV65">
            <v>2024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Nitin Saxena</v>
          </cell>
          <cell r="E66" t="str">
            <v>Nitin Saxena</v>
          </cell>
          <cell r="F66">
            <v>0</v>
          </cell>
          <cell r="H66" t="str">
            <v>Hamza Ali</v>
          </cell>
          <cell r="J66" t="str">
            <v>ACH</v>
          </cell>
          <cell r="K66">
            <v>0</v>
          </cell>
          <cell r="L66" t="str">
            <v>Old</v>
          </cell>
          <cell r="M66">
            <v>45316</v>
          </cell>
          <cell r="N66">
            <v>1</v>
          </cell>
          <cell r="O66">
            <v>730</v>
          </cell>
          <cell r="P66">
            <v>45742</v>
          </cell>
          <cell r="Q66">
            <v>45681</v>
          </cell>
          <cell r="R66" t="str">
            <v>PLC-3599</v>
          </cell>
          <cell r="S66" t="str">
            <v>Asif Mustaffa Shaik</v>
          </cell>
          <cell r="T66" t="str">
            <v>Individual</v>
          </cell>
          <cell r="U66">
            <v>1099</v>
          </cell>
          <cell r="V66" t="str">
            <v>Genpact</v>
          </cell>
          <cell r="W66">
            <v>20</v>
          </cell>
          <cell r="X66">
            <v>30</v>
          </cell>
          <cell r="Y66" t="str">
            <v>USD</v>
          </cell>
          <cell r="Z66">
            <v>28</v>
          </cell>
          <cell r="AA66">
            <v>42</v>
          </cell>
          <cell r="AB66">
            <v>0</v>
          </cell>
          <cell r="AC66">
            <v>0</v>
          </cell>
          <cell r="AD66">
            <v>45703</v>
          </cell>
          <cell r="AE66">
            <v>20</v>
          </cell>
          <cell r="AF66">
            <v>46022</v>
          </cell>
          <cell r="AG66">
            <v>21.400000000000002</v>
          </cell>
          <cell r="AH66">
            <v>32.1</v>
          </cell>
          <cell r="AI66">
            <v>21.400000000000002</v>
          </cell>
          <cell r="AJ66">
            <v>28</v>
          </cell>
          <cell r="AK66">
            <v>42</v>
          </cell>
          <cell r="AL66">
            <v>9.8999999999999986</v>
          </cell>
          <cell r="AM66">
            <v>6.5999999999999979</v>
          </cell>
          <cell r="AN66">
            <v>9.8999999999999986</v>
          </cell>
          <cell r="AO66">
            <v>6.5999999999999979</v>
          </cell>
          <cell r="AP66">
            <v>9.8999999999999986</v>
          </cell>
          <cell r="AQ66">
            <v>6.5999999999999979</v>
          </cell>
          <cell r="AR66" t="str">
            <v>US_24419</v>
          </cell>
          <cell r="AS66">
            <v>15</v>
          </cell>
          <cell r="AT66">
            <v>145</v>
          </cell>
          <cell r="AU66">
            <v>145</v>
          </cell>
          <cell r="AV66">
            <v>148.49999999999997</v>
          </cell>
          <cell r="AW66">
            <v>956.99999999999966</v>
          </cell>
          <cell r="AX66">
            <v>1094.4449999999995</v>
          </cell>
          <cell r="AY66">
            <v>956.99999999999966</v>
          </cell>
          <cell r="AZ66">
            <v>106.25</v>
          </cell>
          <cell r="BA66">
            <v>22.439999999999991</v>
          </cell>
          <cell r="BB66">
            <v>0</v>
          </cell>
          <cell r="BC66">
            <v>63</v>
          </cell>
          <cell r="BD66">
            <v>0</v>
          </cell>
          <cell r="BE66">
            <v>0</v>
          </cell>
          <cell r="BF66">
            <v>0</v>
          </cell>
          <cell r="BG66">
            <v>4060</v>
          </cell>
          <cell r="BH66">
            <v>4060</v>
          </cell>
          <cell r="BI66">
            <v>2900</v>
          </cell>
          <cell r="BJ66">
            <v>1.4000000000000001</v>
          </cell>
          <cell r="BK66">
            <v>0</v>
          </cell>
          <cell r="BL66">
            <v>203.00000000000003</v>
          </cell>
          <cell r="BM66">
            <v>3103</v>
          </cell>
          <cell r="BN66">
            <v>1.4000000000000001</v>
          </cell>
          <cell r="BO66">
            <v>957</v>
          </cell>
          <cell r="BP66" t="str">
            <v>Y</v>
          </cell>
          <cell r="BQ66">
            <v>1</v>
          </cell>
          <cell r="BR66" t="str">
            <v>Y</v>
          </cell>
          <cell r="BS66">
            <v>0</v>
          </cell>
          <cell r="BT66" t="str">
            <v>Done</v>
          </cell>
          <cell r="BU66">
            <v>145</v>
          </cell>
          <cell r="BV66">
            <v>2024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Nitin Saxena</v>
          </cell>
          <cell r="E67" t="str">
            <v>Nitin Saxena</v>
          </cell>
          <cell r="F67">
            <v>0</v>
          </cell>
          <cell r="H67" t="str">
            <v>Hamza Ali</v>
          </cell>
          <cell r="J67" t="str">
            <v>ACH</v>
          </cell>
          <cell r="K67">
            <v>0</v>
          </cell>
          <cell r="L67" t="str">
            <v>Old</v>
          </cell>
          <cell r="M67">
            <v>45316</v>
          </cell>
          <cell r="N67">
            <v>1</v>
          </cell>
          <cell r="O67">
            <v>730</v>
          </cell>
          <cell r="P67">
            <v>45742</v>
          </cell>
          <cell r="Q67">
            <v>45681</v>
          </cell>
          <cell r="R67" t="str">
            <v>PLC-3599</v>
          </cell>
          <cell r="S67" t="str">
            <v>Asif Mustaffa Shaik</v>
          </cell>
          <cell r="T67" t="str">
            <v>Individual</v>
          </cell>
          <cell r="U67">
            <v>1099</v>
          </cell>
          <cell r="V67" t="str">
            <v>Genpact</v>
          </cell>
          <cell r="W67">
            <v>20</v>
          </cell>
          <cell r="X67">
            <v>30</v>
          </cell>
          <cell r="Y67" t="str">
            <v>USD</v>
          </cell>
          <cell r="Z67">
            <v>28</v>
          </cell>
          <cell r="AA67">
            <v>42</v>
          </cell>
          <cell r="AB67">
            <v>0</v>
          </cell>
          <cell r="AC67">
            <v>0</v>
          </cell>
          <cell r="AD67">
            <v>45731</v>
          </cell>
          <cell r="AE67">
            <v>18</v>
          </cell>
          <cell r="AF67">
            <v>46022</v>
          </cell>
          <cell r="AG67">
            <v>21.400000000000002</v>
          </cell>
          <cell r="AH67">
            <v>32.1</v>
          </cell>
          <cell r="AI67">
            <v>21.400000000000002</v>
          </cell>
          <cell r="AJ67">
            <v>28</v>
          </cell>
          <cell r="AK67">
            <v>42</v>
          </cell>
          <cell r="AL67">
            <v>9.8999999999999986</v>
          </cell>
          <cell r="AM67">
            <v>6.5999999999999979</v>
          </cell>
          <cell r="AN67">
            <v>9.8999999999999986</v>
          </cell>
          <cell r="AO67">
            <v>6.5999999999999979</v>
          </cell>
          <cell r="AP67">
            <v>9.8999999999999986</v>
          </cell>
          <cell r="AQ67">
            <v>6.5999999999999979</v>
          </cell>
          <cell r="AR67" t="str">
            <v>US_24612</v>
          </cell>
          <cell r="AS67">
            <v>30</v>
          </cell>
          <cell r="AT67">
            <v>140</v>
          </cell>
          <cell r="AU67">
            <v>140</v>
          </cell>
          <cell r="AV67">
            <v>296.99999999999994</v>
          </cell>
          <cell r="AW67">
            <v>923.99999999999966</v>
          </cell>
          <cell r="AX67">
            <v>1208.7899999999995</v>
          </cell>
          <cell r="AY67">
            <v>923.99999999999966</v>
          </cell>
          <cell r="AZ67">
            <v>106.25</v>
          </cell>
          <cell r="BA67">
            <v>22.439999999999991</v>
          </cell>
          <cell r="BB67">
            <v>0</v>
          </cell>
          <cell r="BC67">
            <v>63</v>
          </cell>
          <cell r="BD67">
            <v>0</v>
          </cell>
          <cell r="BE67">
            <v>0</v>
          </cell>
          <cell r="BF67">
            <v>0</v>
          </cell>
          <cell r="BG67">
            <v>3920</v>
          </cell>
          <cell r="BH67">
            <v>3920</v>
          </cell>
          <cell r="BI67">
            <v>2800</v>
          </cell>
          <cell r="BJ67">
            <v>1.4000000000000001</v>
          </cell>
          <cell r="BK67">
            <v>0</v>
          </cell>
          <cell r="BL67">
            <v>196.00000000000003</v>
          </cell>
          <cell r="BM67">
            <v>2996</v>
          </cell>
          <cell r="BN67">
            <v>1.4000000000000001</v>
          </cell>
          <cell r="BO67">
            <v>924</v>
          </cell>
          <cell r="BP67" t="str">
            <v>Y</v>
          </cell>
          <cell r="BQ67">
            <v>1</v>
          </cell>
          <cell r="BR67" t="str">
            <v>Y</v>
          </cell>
          <cell r="BS67">
            <v>0</v>
          </cell>
          <cell r="BT67" t="str">
            <v>Done</v>
          </cell>
          <cell r="BU67">
            <v>140</v>
          </cell>
          <cell r="BV67">
            <v>2024</v>
          </cell>
        </row>
        <row r="68">
          <cell r="A68" t="str">
            <v>Lucknow</v>
          </cell>
          <cell r="B68" t="str">
            <v>RPO</v>
          </cell>
          <cell r="C68" t="str">
            <v>Mid Level</v>
          </cell>
          <cell r="D68" t="str">
            <v>Ankit Pandey</v>
          </cell>
          <cell r="E68" t="str">
            <v>-</v>
          </cell>
          <cell r="H68" t="str">
            <v>Sagar Chandani</v>
          </cell>
          <cell r="K68" t="str">
            <v>Ankit Pandey</v>
          </cell>
          <cell r="L68" t="str">
            <v>New</v>
          </cell>
          <cell r="M68">
            <v>45670</v>
          </cell>
          <cell r="N68">
            <v>1</v>
          </cell>
          <cell r="O68">
            <v>376</v>
          </cell>
          <cell r="P68" t="str">
            <v>-</v>
          </cell>
          <cell r="Q68">
            <v>46035</v>
          </cell>
          <cell r="R68" t="str">
            <v>PLC-4097</v>
          </cell>
          <cell r="S68" t="str">
            <v>Avi Wallis</v>
          </cell>
          <cell r="T68" t="str">
            <v>Individual</v>
          </cell>
          <cell r="U68" t="str">
            <v>FTE</v>
          </cell>
          <cell r="V68" t="str">
            <v>GPC RPO</v>
          </cell>
          <cell r="W68">
            <v>0</v>
          </cell>
          <cell r="X68">
            <v>0</v>
          </cell>
          <cell r="Y68" t="str">
            <v>USD</v>
          </cell>
          <cell r="Z68">
            <v>300</v>
          </cell>
          <cell r="AA68">
            <v>0</v>
          </cell>
          <cell r="AB68">
            <v>0</v>
          </cell>
          <cell r="AC68">
            <v>0</v>
          </cell>
          <cell r="AD68">
            <v>45672</v>
          </cell>
          <cell r="AE68">
            <v>1</v>
          </cell>
          <cell r="AF68">
            <v>46022</v>
          </cell>
          <cell r="AG68">
            <v>0</v>
          </cell>
          <cell r="AH68">
            <v>0</v>
          </cell>
          <cell r="AI68">
            <v>0</v>
          </cell>
          <cell r="AJ68">
            <v>300</v>
          </cell>
          <cell r="AK68">
            <v>0</v>
          </cell>
          <cell r="AL68">
            <v>0</v>
          </cell>
          <cell r="AM68">
            <v>300</v>
          </cell>
          <cell r="AN68">
            <v>0</v>
          </cell>
          <cell r="AO68">
            <v>300</v>
          </cell>
          <cell r="AP68">
            <v>0</v>
          </cell>
          <cell r="AQ68">
            <v>300</v>
          </cell>
          <cell r="AR68" t="str">
            <v>US_24188</v>
          </cell>
          <cell r="AS68">
            <v>0</v>
          </cell>
          <cell r="AT68">
            <v>1</v>
          </cell>
          <cell r="AU68">
            <v>1</v>
          </cell>
          <cell r="AV68">
            <v>0</v>
          </cell>
          <cell r="AW68">
            <v>300</v>
          </cell>
          <cell r="AX68">
            <v>300</v>
          </cell>
          <cell r="AY68">
            <v>300</v>
          </cell>
          <cell r="AZ68">
            <v>116.3</v>
          </cell>
          <cell r="BA68">
            <v>480</v>
          </cell>
          <cell r="BB68">
            <v>480</v>
          </cell>
          <cell r="BF68">
            <v>300</v>
          </cell>
          <cell r="BG68">
            <v>300</v>
          </cell>
          <cell r="BH68">
            <v>300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300</v>
          </cell>
          <cell r="BP68" t="str">
            <v>Y</v>
          </cell>
          <cell r="BQ68">
            <v>1</v>
          </cell>
          <cell r="BR68" t="str">
            <v>Y</v>
          </cell>
          <cell r="BS68">
            <v>480</v>
          </cell>
          <cell r="BT68" t="str">
            <v>Done</v>
          </cell>
          <cell r="BU68">
            <v>0</v>
          </cell>
          <cell r="BV68">
            <v>2025</v>
          </cell>
        </row>
        <row r="69">
          <cell r="A69" t="str">
            <v>Lucknow</v>
          </cell>
          <cell r="B69" t="str">
            <v>Trust</v>
          </cell>
          <cell r="C69" t="str">
            <v>Mid Level</v>
          </cell>
          <cell r="D69" t="str">
            <v>Shashank Yadav</v>
          </cell>
          <cell r="E69" t="str">
            <v>Harsh Agrawal</v>
          </cell>
          <cell r="H69" t="str">
            <v>Harsh Patel</v>
          </cell>
          <cell r="K69">
            <v>0</v>
          </cell>
          <cell r="L69" t="str">
            <v>Old</v>
          </cell>
          <cell r="M69">
            <v>45516</v>
          </cell>
          <cell r="N69">
            <v>3</v>
          </cell>
          <cell r="O69">
            <v>530</v>
          </cell>
          <cell r="P69">
            <v>45700</v>
          </cell>
          <cell r="Q69">
            <v>45881</v>
          </cell>
          <cell r="R69" t="str">
            <v>PLC-3920</v>
          </cell>
          <cell r="S69" t="str">
            <v>Azure Williams-Scott</v>
          </cell>
          <cell r="T69" t="str">
            <v>Split</v>
          </cell>
          <cell r="U69" t="str">
            <v>Referral</v>
          </cell>
          <cell r="V69" t="str">
            <v>Reflik</v>
          </cell>
          <cell r="W69">
            <v>0</v>
          </cell>
          <cell r="X69">
            <v>0</v>
          </cell>
          <cell r="Y69" t="str">
            <v>USD</v>
          </cell>
          <cell r="Z69">
            <v>2.4</v>
          </cell>
          <cell r="AA69">
            <v>0</v>
          </cell>
          <cell r="AB69">
            <v>0</v>
          </cell>
          <cell r="AC69">
            <v>0</v>
          </cell>
          <cell r="AD69">
            <v>45672</v>
          </cell>
          <cell r="AE69">
            <v>22</v>
          </cell>
          <cell r="AF69">
            <v>46022</v>
          </cell>
          <cell r="AG69">
            <v>0</v>
          </cell>
          <cell r="AH69">
            <v>0</v>
          </cell>
          <cell r="AI69">
            <v>0</v>
          </cell>
          <cell r="AJ69">
            <v>2.4</v>
          </cell>
          <cell r="AK69">
            <v>0</v>
          </cell>
          <cell r="AL69">
            <v>0</v>
          </cell>
          <cell r="AM69">
            <v>2.4</v>
          </cell>
          <cell r="AN69">
            <v>0</v>
          </cell>
          <cell r="AO69">
            <v>1.2</v>
          </cell>
          <cell r="AP69">
            <v>0</v>
          </cell>
          <cell r="AQ69">
            <v>1.2</v>
          </cell>
          <cell r="AR69" t="str">
            <v>US_24262</v>
          </cell>
          <cell r="AS69">
            <v>0</v>
          </cell>
          <cell r="AT69">
            <v>204</v>
          </cell>
          <cell r="AU69">
            <v>204</v>
          </cell>
          <cell r="AV69">
            <v>0</v>
          </cell>
          <cell r="AW69">
            <v>244.79999999999998</v>
          </cell>
          <cell r="AX69">
            <v>244.79999999999998</v>
          </cell>
          <cell r="AY69">
            <v>244.79999999999998</v>
          </cell>
          <cell r="AZ69">
            <v>75</v>
          </cell>
          <cell r="BA69">
            <v>3.36</v>
          </cell>
          <cell r="BB69">
            <v>685.43999999999994</v>
          </cell>
          <cell r="BD69">
            <v>244.79999999999998</v>
          </cell>
          <cell r="BF69">
            <v>244.79999999999998</v>
          </cell>
          <cell r="BG69">
            <v>244.79999999999998</v>
          </cell>
          <cell r="BH69">
            <v>244.79999999999998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244.79999999999998</v>
          </cell>
          <cell r="BP69" t="str">
            <v>Y</v>
          </cell>
          <cell r="BQ69">
            <v>1</v>
          </cell>
          <cell r="BR69" t="str">
            <v>N</v>
          </cell>
          <cell r="BS69">
            <v>685.43999999999994</v>
          </cell>
          <cell r="BT69" t="str">
            <v>Done</v>
          </cell>
          <cell r="BU69">
            <v>204</v>
          </cell>
          <cell r="BV69">
            <v>2024</v>
          </cell>
        </row>
        <row r="70">
          <cell r="A70" t="str">
            <v>Lucknow</v>
          </cell>
          <cell r="B70" t="str">
            <v>Trust</v>
          </cell>
          <cell r="C70" t="str">
            <v>Mid Level</v>
          </cell>
          <cell r="D70" t="str">
            <v>Harsh Agarwal</v>
          </cell>
          <cell r="E70" t="str">
            <v>Shashank Yadav</v>
          </cell>
          <cell r="H70" t="str">
            <v>Harsh Patel</v>
          </cell>
          <cell r="K70">
            <v>0</v>
          </cell>
          <cell r="L70" t="str">
            <v>Old</v>
          </cell>
          <cell r="M70">
            <v>45516</v>
          </cell>
          <cell r="N70">
            <v>3</v>
          </cell>
          <cell r="O70">
            <v>530</v>
          </cell>
          <cell r="P70">
            <v>45700</v>
          </cell>
          <cell r="Q70">
            <v>45881</v>
          </cell>
          <cell r="R70" t="str">
            <v>PLC-3920</v>
          </cell>
          <cell r="S70" t="str">
            <v>Azure Williams-Scott</v>
          </cell>
          <cell r="T70" t="str">
            <v>Split</v>
          </cell>
          <cell r="U70" t="str">
            <v>Referral</v>
          </cell>
          <cell r="V70" t="str">
            <v>Reflik</v>
          </cell>
          <cell r="W70">
            <v>0</v>
          </cell>
          <cell r="X70">
            <v>0</v>
          </cell>
          <cell r="Y70" t="str">
            <v>USD</v>
          </cell>
          <cell r="Z70">
            <v>2.4</v>
          </cell>
          <cell r="AA70">
            <v>0</v>
          </cell>
          <cell r="AB70">
            <v>0</v>
          </cell>
          <cell r="AC70">
            <v>0</v>
          </cell>
          <cell r="AD70">
            <v>45672</v>
          </cell>
          <cell r="AE70">
            <v>22</v>
          </cell>
          <cell r="AF70">
            <v>46022</v>
          </cell>
          <cell r="AG70">
            <v>0</v>
          </cell>
          <cell r="AH70">
            <v>0</v>
          </cell>
          <cell r="AI70">
            <v>0</v>
          </cell>
          <cell r="AJ70">
            <v>2.4</v>
          </cell>
          <cell r="AK70">
            <v>0</v>
          </cell>
          <cell r="AL70">
            <v>0</v>
          </cell>
          <cell r="AM70">
            <v>2.4</v>
          </cell>
          <cell r="AN70">
            <v>0</v>
          </cell>
          <cell r="AO70">
            <v>1.2</v>
          </cell>
          <cell r="AP70">
            <v>0</v>
          </cell>
          <cell r="AQ70">
            <v>1.2</v>
          </cell>
          <cell r="AR70" t="str">
            <v>US_24262</v>
          </cell>
          <cell r="AS70">
            <v>0</v>
          </cell>
          <cell r="AT70">
            <v>204</v>
          </cell>
          <cell r="AU70">
            <v>204</v>
          </cell>
          <cell r="AV70">
            <v>0</v>
          </cell>
          <cell r="AW70">
            <v>244.79999999999998</v>
          </cell>
          <cell r="AX70">
            <v>244.79999999999998</v>
          </cell>
          <cell r="AY70">
            <v>244.79999999999998</v>
          </cell>
          <cell r="AZ70">
            <v>75</v>
          </cell>
          <cell r="BA70">
            <v>3.36</v>
          </cell>
          <cell r="BB70">
            <v>685.43999999999994</v>
          </cell>
          <cell r="BD70">
            <v>244.79999999999998</v>
          </cell>
          <cell r="BF70">
            <v>244.79999999999998</v>
          </cell>
          <cell r="BG70">
            <v>244.79999999999998</v>
          </cell>
          <cell r="BH70">
            <v>244.79999999999998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244.79999999999998</v>
          </cell>
          <cell r="BP70" t="str">
            <v>Y</v>
          </cell>
          <cell r="BQ70">
            <v>1</v>
          </cell>
          <cell r="BR70" t="str">
            <v>N</v>
          </cell>
          <cell r="BS70">
            <v>685.43999999999994</v>
          </cell>
          <cell r="BT70" t="str">
            <v>Done</v>
          </cell>
          <cell r="BU70">
            <v>204</v>
          </cell>
          <cell r="BV70">
            <v>2024</v>
          </cell>
        </row>
        <row r="71">
          <cell r="A71" t="str">
            <v>Lucknow</v>
          </cell>
          <cell r="B71" t="str">
            <v>Trust</v>
          </cell>
          <cell r="C71" t="str">
            <v>Mid Level</v>
          </cell>
          <cell r="D71" t="str">
            <v>Shashank Yadav</v>
          </cell>
          <cell r="E71" t="str">
            <v>Harsh Agrawal</v>
          </cell>
          <cell r="H71" t="str">
            <v>Harsh Patel</v>
          </cell>
          <cell r="K71">
            <v>0</v>
          </cell>
          <cell r="L71" t="str">
            <v>Old</v>
          </cell>
          <cell r="M71">
            <v>45516</v>
          </cell>
          <cell r="N71">
            <v>3</v>
          </cell>
          <cell r="O71">
            <v>530</v>
          </cell>
          <cell r="P71">
            <v>45700</v>
          </cell>
          <cell r="Q71">
            <v>45881</v>
          </cell>
          <cell r="R71" t="str">
            <v>PLC-3920</v>
          </cell>
          <cell r="S71" t="str">
            <v>Azure Williams-Scott</v>
          </cell>
          <cell r="T71" t="str">
            <v>Split</v>
          </cell>
          <cell r="U71" t="str">
            <v>Referral</v>
          </cell>
          <cell r="V71" t="str">
            <v>Reflik</v>
          </cell>
          <cell r="W71">
            <v>0</v>
          </cell>
          <cell r="X71">
            <v>0</v>
          </cell>
          <cell r="Y71" t="str">
            <v>USD</v>
          </cell>
          <cell r="Z71">
            <v>2.4</v>
          </cell>
          <cell r="AA71">
            <v>0</v>
          </cell>
          <cell r="AB71">
            <v>0</v>
          </cell>
          <cell r="AC71">
            <v>0</v>
          </cell>
          <cell r="AD71">
            <v>45703</v>
          </cell>
          <cell r="AE71">
            <v>8</v>
          </cell>
          <cell r="AF71">
            <v>46022</v>
          </cell>
          <cell r="AG71">
            <v>0</v>
          </cell>
          <cell r="AH71">
            <v>0</v>
          </cell>
          <cell r="AI71">
            <v>0</v>
          </cell>
          <cell r="AJ71">
            <v>2.4</v>
          </cell>
          <cell r="AK71">
            <v>0</v>
          </cell>
          <cell r="AL71">
            <v>0</v>
          </cell>
          <cell r="AM71">
            <v>2.4</v>
          </cell>
          <cell r="AN71">
            <v>0</v>
          </cell>
          <cell r="AO71">
            <v>1.2</v>
          </cell>
          <cell r="AP71">
            <v>0</v>
          </cell>
          <cell r="AQ71">
            <v>1.2</v>
          </cell>
          <cell r="AR71" t="str">
            <v>US_24342</v>
          </cell>
          <cell r="AS71">
            <v>0</v>
          </cell>
          <cell r="AT71">
            <v>72</v>
          </cell>
          <cell r="AU71">
            <v>72</v>
          </cell>
          <cell r="AV71">
            <v>0</v>
          </cell>
          <cell r="AW71">
            <v>86.399999999999991</v>
          </cell>
          <cell r="AX71">
            <v>86.399999999999991</v>
          </cell>
          <cell r="AY71">
            <v>86.399999999999991</v>
          </cell>
          <cell r="AZ71">
            <v>75</v>
          </cell>
          <cell r="BA71">
            <v>3.36</v>
          </cell>
          <cell r="BB71">
            <v>241.92</v>
          </cell>
          <cell r="BD71">
            <v>86.399999999999991</v>
          </cell>
          <cell r="BF71">
            <v>86.399999999999991</v>
          </cell>
          <cell r="BG71">
            <v>86.399999999999991</v>
          </cell>
          <cell r="BH71">
            <v>86.399999999999991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86.399999999999991</v>
          </cell>
          <cell r="BP71" t="str">
            <v>Y</v>
          </cell>
          <cell r="BQ71">
            <v>1</v>
          </cell>
          <cell r="BR71" t="str">
            <v>N</v>
          </cell>
          <cell r="BS71">
            <v>241.92</v>
          </cell>
          <cell r="BT71" t="str">
            <v>Done</v>
          </cell>
          <cell r="BU71">
            <v>72</v>
          </cell>
          <cell r="BV71">
            <v>2024</v>
          </cell>
        </row>
        <row r="72">
          <cell r="A72" t="str">
            <v>Lucknow</v>
          </cell>
          <cell r="B72" t="str">
            <v>Trust</v>
          </cell>
          <cell r="C72" t="str">
            <v>Mid Level</v>
          </cell>
          <cell r="D72" t="str">
            <v>Harsh Agarwal</v>
          </cell>
          <cell r="E72" t="str">
            <v>Shashank Yadav</v>
          </cell>
          <cell r="H72" t="str">
            <v>Harsh Patel</v>
          </cell>
          <cell r="K72">
            <v>0</v>
          </cell>
          <cell r="L72" t="str">
            <v>Old</v>
          </cell>
          <cell r="M72">
            <v>45516</v>
          </cell>
          <cell r="N72">
            <v>3</v>
          </cell>
          <cell r="O72">
            <v>530</v>
          </cell>
          <cell r="P72">
            <v>45700</v>
          </cell>
          <cell r="Q72">
            <v>45881</v>
          </cell>
          <cell r="R72" t="str">
            <v>PLC-3920</v>
          </cell>
          <cell r="S72" t="str">
            <v>Azure Williams-Scott</v>
          </cell>
          <cell r="T72" t="str">
            <v>Split</v>
          </cell>
          <cell r="U72" t="str">
            <v>Referral</v>
          </cell>
          <cell r="V72" t="str">
            <v>Reflik</v>
          </cell>
          <cell r="W72">
            <v>0</v>
          </cell>
          <cell r="X72">
            <v>0</v>
          </cell>
          <cell r="Y72" t="str">
            <v>USD</v>
          </cell>
          <cell r="Z72">
            <v>2.4</v>
          </cell>
          <cell r="AA72">
            <v>0</v>
          </cell>
          <cell r="AB72">
            <v>0</v>
          </cell>
          <cell r="AC72">
            <v>0</v>
          </cell>
          <cell r="AD72">
            <v>45703</v>
          </cell>
          <cell r="AE72">
            <v>8</v>
          </cell>
          <cell r="AF72">
            <v>46022</v>
          </cell>
          <cell r="AG72">
            <v>0</v>
          </cell>
          <cell r="AH72">
            <v>0</v>
          </cell>
          <cell r="AI72">
            <v>0</v>
          </cell>
          <cell r="AJ72">
            <v>2.4</v>
          </cell>
          <cell r="AK72">
            <v>0</v>
          </cell>
          <cell r="AL72">
            <v>0</v>
          </cell>
          <cell r="AM72">
            <v>2.4</v>
          </cell>
          <cell r="AN72">
            <v>0</v>
          </cell>
          <cell r="AO72">
            <v>1.2</v>
          </cell>
          <cell r="AP72">
            <v>0</v>
          </cell>
          <cell r="AQ72">
            <v>1.2</v>
          </cell>
          <cell r="AR72" t="str">
            <v>US_24342</v>
          </cell>
          <cell r="AS72">
            <v>0</v>
          </cell>
          <cell r="AT72">
            <v>72</v>
          </cell>
          <cell r="AU72">
            <v>72</v>
          </cell>
          <cell r="AV72">
            <v>0</v>
          </cell>
          <cell r="AW72">
            <v>86.399999999999991</v>
          </cell>
          <cell r="AX72">
            <v>86.399999999999991</v>
          </cell>
          <cell r="AY72">
            <v>86.399999999999991</v>
          </cell>
          <cell r="AZ72">
            <v>75</v>
          </cell>
          <cell r="BA72">
            <v>3.36</v>
          </cell>
          <cell r="BB72">
            <v>241.92</v>
          </cell>
          <cell r="BD72">
            <v>86.399999999999991</v>
          </cell>
          <cell r="BF72">
            <v>86.399999999999991</v>
          </cell>
          <cell r="BG72">
            <v>86.399999999999991</v>
          </cell>
          <cell r="BH72">
            <v>86.399999999999991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86.399999999999991</v>
          </cell>
          <cell r="BP72" t="str">
            <v>Y</v>
          </cell>
          <cell r="BQ72">
            <v>1</v>
          </cell>
          <cell r="BR72" t="str">
            <v>N</v>
          </cell>
          <cell r="BS72">
            <v>241.92</v>
          </cell>
          <cell r="BT72" t="str">
            <v>Done</v>
          </cell>
          <cell r="BU72">
            <v>72</v>
          </cell>
          <cell r="BV72">
            <v>2024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Rohit Gupta</v>
          </cell>
          <cell r="E73" t="str">
            <v>Vaibhav Kumar</v>
          </cell>
          <cell r="H73" t="str">
            <v>Rohit Saini</v>
          </cell>
          <cell r="K73">
            <v>0</v>
          </cell>
          <cell r="L73" t="str">
            <v>Old</v>
          </cell>
          <cell r="M73">
            <v>45397</v>
          </cell>
          <cell r="N73">
            <v>2</v>
          </cell>
          <cell r="O73">
            <v>649</v>
          </cell>
          <cell r="P73" t="str">
            <v>-</v>
          </cell>
          <cell r="Q73">
            <v>45762</v>
          </cell>
          <cell r="R73" t="str">
            <v>PLC-3703</v>
          </cell>
          <cell r="S73" t="str">
            <v>Bala Krishna Saka</v>
          </cell>
          <cell r="T73" t="str">
            <v>Individual</v>
          </cell>
          <cell r="U73" t="str">
            <v>C2C</v>
          </cell>
          <cell r="V73" t="str">
            <v>Coforge</v>
          </cell>
          <cell r="W73">
            <v>110</v>
          </cell>
          <cell r="X73">
            <v>0</v>
          </cell>
          <cell r="Y73" t="str">
            <v>USD</v>
          </cell>
          <cell r="Z73">
            <v>114</v>
          </cell>
          <cell r="AA73">
            <v>0</v>
          </cell>
          <cell r="AB73">
            <v>0</v>
          </cell>
          <cell r="AC73">
            <v>0</v>
          </cell>
          <cell r="AD73">
            <v>45672</v>
          </cell>
          <cell r="AE73">
            <v>23</v>
          </cell>
          <cell r="AF73">
            <v>46022</v>
          </cell>
          <cell r="AG73">
            <v>110</v>
          </cell>
          <cell r="AH73">
            <v>0</v>
          </cell>
          <cell r="AI73">
            <v>110</v>
          </cell>
          <cell r="AJ73">
            <v>114</v>
          </cell>
          <cell r="AK73">
            <v>0</v>
          </cell>
          <cell r="AL73">
            <v>0</v>
          </cell>
          <cell r="AM73">
            <v>4</v>
          </cell>
          <cell r="AN73">
            <v>0</v>
          </cell>
          <cell r="AO73">
            <v>4</v>
          </cell>
          <cell r="AP73">
            <v>0</v>
          </cell>
          <cell r="AQ73">
            <v>4</v>
          </cell>
          <cell r="AR73" t="str">
            <v>US_24227</v>
          </cell>
          <cell r="AS73">
            <v>0</v>
          </cell>
          <cell r="AT73">
            <v>168</v>
          </cell>
          <cell r="AU73">
            <v>168</v>
          </cell>
          <cell r="AV73">
            <v>0</v>
          </cell>
          <cell r="AW73">
            <v>672</v>
          </cell>
          <cell r="AX73">
            <v>672</v>
          </cell>
          <cell r="AY73">
            <v>672</v>
          </cell>
          <cell r="AZ73">
            <v>14.285714285714285</v>
          </cell>
          <cell r="BA73">
            <v>6.4</v>
          </cell>
          <cell r="BB73">
            <v>1075.2</v>
          </cell>
          <cell r="BC73">
            <v>38.28125</v>
          </cell>
          <cell r="BD73">
            <v>672</v>
          </cell>
          <cell r="BE73">
            <v>537.6</v>
          </cell>
          <cell r="BF73">
            <v>672</v>
          </cell>
          <cell r="BG73">
            <v>19152</v>
          </cell>
          <cell r="BH73">
            <v>19152</v>
          </cell>
          <cell r="BI73">
            <v>18480</v>
          </cell>
          <cell r="BJ73">
            <v>0</v>
          </cell>
          <cell r="BK73">
            <v>0</v>
          </cell>
          <cell r="BL73">
            <v>0</v>
          </cell>
          <cell r="BM73">
            <v>18480</v>
          </cell>
          <cell r="BN73">
            <v>0</v>
          </cell>
          <cell r="BO73">
            <v>672</v>
          </cell>
          <cell r="BP73" t="str">
            <v>Y</v>
          </cell>
          <cell r="BQ73">
            <v>1</v>
          </cell>
          <cell r="BR73" t="str">
            <v>N</v>
          </cell>
          <cell r="BS73">
            <v>1075.2</v>
          </cell>
          <cell r="BT73" t="str">
            <v>Done</v>
          </cell>
          <cell r="BU73">
            <v>168</v>
          </cell>
          <cell r="BV73">
            <v>2024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Rohit Gupta</v>
          </cell>
          <cell r="E74" t="str">
            <v>Vaibhav Kumar</v>
          </cell>
          <cell r="H74" t="str">
            <v>Rohit Saini</v>
          </cell>
          <cell r="K74">
            <v>0</v>
          </cell>
          <cell r="L74" t="str">
            <v>Old</v>
          </cell>
          <cell r="M74">
            <v>45397</v>
          </cell>
          <cell r="N74">
            <v>2</v>
          </cell>
          <cell r="O74">
            <v>649</v>
          </cell>
          <cell r="P74" t="str">
            <v>-</v>
          </cell>
          <cell r="Q74">
            <v>45762</v>
          </cell>
          <cell r="R74" t="str">
            <v>PLC-3703</v>
          </cell>
          <cell r="S74" t="str">
            <v>Bala Krishna Saka</v>
          </cell>
          <cell r="T74" t="str">
            <v>Individual</v>
          </cell>
          <cell r="U74" t="str">
            <v>C2C</v>
          </cell>
          <cell r="V74" t="str">
            <v>Coforge</v>
          </cell>
          <cell r="W74">
            <v>110</v>
          </cell>
          <cell r="X74">
            <v>0</v>
          </cell>
          <cell r="Y74" t="str">
            <v>USD</v>
          </cell>
          <cell r="Z74">
            <v>114</v>
          </cell>
          <cell r="AA74">
            <v>0</v>
          </cell>
          <cell r="AB74">
            <v>0</v>
          </cell>
          <cell r="AC74">
            <v>0</v>
          </cell>
          <cell r="AD74">
            <v>45703</v>
          </cell>
          <cell r="AE74">
            <v>20</v>
          </cell>
          <cell r="AF74">
            <v>46022</v>
          </cell>
          <cell r="AG74">
            <v>110</v>
          </cell>
          <cell r="AH74">
            <v>0</v>
          </cell>
          <cell r="AI74">
            <v>110</v>
          </cell>
          <cell r="AJ74">
            <v>114</v>
          </cell>
          <cell r="AK74">
            <v>0</v>
          </cell>
          <cell r="AL74">
            <v>0</v>
          </cell>
          <cell r="AM74">
            <v>4</v>
          </cell>
          <cell r="AN74">
            <v>0</v>
          </cell>
          <cell r="AO74">
            <v>4</v>
          </cell>
          <cell r="AP74">
            <v>0</v>
          </cell>
          <cell r="AQ74">
            <v>4</v>
          </cell>
          <cell r="AR74" t="str">
            <v>US_24434</v>
          </cell>
          <cell r="AS74">
            <v>0</v>
          </cell>
          <cell r="AT74">
            <v>152</v>
          </cell>
          <cell r="AU74">
            <v>152</v>
          </cell>
          <cell r="AV74">
            <v>0</v>
          </cell>
          <cell r="AW74">
            <v>608</v>
          </cell>
          <cell r="AX74">
            <v>608</v>
          </cell>
          <cell r="AY74">
            <v>608</v>
          </cell>
          <cell r="AZ74">
            <v>14.285714285714285</v>
          </cell>
          <cell r="BA74">
            <v>6.4</v>
          </cell>
          <cell r="BB74">
            <v>972.80000000000007</v>
          </cell>
          <cell r="BC74">
            <v>38.28125</v>
          </cell>
          <cell r="BD74">
            <v>608</v>
          </cell>
          <cell r="BE74">
            <v>486.4</v>
          </cell>
          <cell r="BF74">
            <v>608</v>
          </cell>
          <cell r="BG74">
            <v>17328</v>
          </cell>
          <cell r="BH74">
            <v>17328</v>
          </cell>
          <cell r="BI74">
            <v>16720</v>
          </cell>
          <cell r="BJ74">
            <v>0</v>
          </cell>
          <cell r="BK74">
            <v>0</v>
          </cell>
          <cell r="BL74">
            <v>0</v>
          </cell>
          <cell r="BM74">
            <v>16720</v>
          </cell>
          <cell r="BN74">
            <v>0</v>
          </cell>
          <cell r="BO74">
            <v>608</v>
          </cell>
          <cell r="BP74" t="str">
            <v>Y</v>
          </cell>
          <cell r="BQ74">
            <v>1</v>
          </cell>
          <cell r="BR74" t="str">
            <v>N</v>
          </cell>
          <cell r="BS74">
            <v>972.80000000000007</v>
          </cell>
          <cell r="BT74" t="str">
            <v>Done</v>
          </cell>
          <cell r="BU74">
            <v>152</v>
          </cell>
          <cell r="BV74">
            <v>2024</v>
          </cell>
        </row>
        <row r="75">
          <cell r="A75" t="str">
            <v>Lucknow</v>
          </cell>
          <cell r="B75" t="str">
            <v>Mavericks</v>
          </cell>
          <cell r="C75" t="str">
            <v>Mid Level</v>
          </cell>
          <cell r="D75" t="str">
            <v>Rohit Gupta</v>
          </cell>
          <cell r="E75" t="str">
            <v>Vaibhav Kumar</v>
          </cell>
          <cell r="H75" t="str">
            <v>Rohit Saini</v>
          </cell>
          <cell r="K75">
            <v>0</v>
          </cell>
          <cell r="L75" t="str">
            <v>Old</v>
          </cell>
          <cell r="M75">
            <v>45397</v>
          </cell>
          <cell r="N75">
            <v>2</v>
          </cell>
          <cell r="O75">
            <v>649</v>
          </cell>
          <cell r="P75" t="str">
            <v>-</v>
          </cell>
          <cell r="Q75">
            <v>45762</v>
          </cell>
          <cell r="R75" t="str">
            <v>PLC-3703</v>
          </cell>
          <cell r="S75" t="str">
            <v>Bala Krishna Saka</v>
          </cell>
          <cell r="T75" t="str">
            <v>Individual</v>
          </cell>
          <cell r="U75" t="str">
            <v>C2C</v>
          </cell>
          <cell r="V75" t="str">
            <v>Coforge</v>
          </cell>
          <cell r="W75">
            <v>110</v>
          </cell>
          <cell r="X75">
            <v>0</v>
          </cell>
          <cell r="Y75" t="str">
            <v>USD</v>
          </cell>
          <cell r="Z75">
            <v>114</v>
          </cell>
          <cell r="AA75">
            <v>0</v>
          </cell>
          <cell r="AB75">
            <v>0</v>
          </cell>
          <cell r="AC75">
            <v>0</v>
          </cell>
          <cell r="AD75">
            <v>45731</v>
          </cell>
          <cell r="AE75">
            <v>21</v>
          </cell>
          <cell r="AF75">
            <v>46022</v>
          </cell>
          <cell r="AG75">
            <v>110</v>
          </cell>
          <cell r="AH75">
            <v>0</v>
          </cell>
          <cell r="AI75">
            <v>110</v>
          </cell>
          <cell r="AJ75">
            <v>114</v>
          </cell>
          <cell r="AK75">
            <v>0</v>
          </cell>
          <cell r="AL75">
            <v>0</v>
          </cell>
          <cell r="AM75">
            <v>4</v>
          </cell>
          <cell r="AN75">
            <v>0</v>
          </cell>
          <cell r="AO75">
            <v>4</v>
          </cell>
          <cell r="AP75">
            <v>0</v>
          </cell>
          <cell r="AQ75">
            <v>4</v>
          </cell>
          <cell r="AR75" t="str">
            <v>US_24626</v>
          </cell>
          <cell r="AS75">
            <v>0</v>
          </cell>
          <cell r="AT75">
            <v>168</v>
          </cell>
          <cell r="AU75">
            <v>168</v>
          </cell>
          <cell r="AV75">
            <v>0</v>
          </cell>
          <cell r="AW75">
            <v>672</v>
          </cell>
          <cell r="AX75">
            <v>672</v>
          </cell>
          <cell r="AY75">
            <v>672</v>
          </cell>
          <cell r="AZ75">
            <v>14.285714285714285</v>
          </cell>
          <cell r="BA75">
            <v>6.4</v>
          </cell>
          <cell r="BB75">
            <v>1075.2</v>
          </cell>
          <cell r="BC75">
            <v>38.28125</v>
          </cell>
          <cell r="BD75">
            <v>672</v>
          </cell>
          <cell r="BE75">
            <v>537.6</v>
          </cell>
          <cell r="BF75">
            <v>672</v>
          </cell>
          <cell r="BG75">
            <v>19152</v>
          </cell>
          <cell r="BH75">
            <v>19152</v>
          </cell>
          <cell r="BI75">
            <v>18480</v>
          </cell>
          <cell r="BJ75">
            <v>0</v>
          </cell>
          <cell r="BK75">
            <v>0</v>
          </cell>
          <cell r="BL75">
            <v>0</v>
          </cell>
          <cell r="BM75">
            <v>18480</v>
          </cell>
          <cell r="BN75">
            <v>0</v>
          </cell>
          <cell r="BO75">
            <v>672</v>
          </cell>
          <cell r="BP75" t="str">
            <v>Y</v>
          </cell>
          <cell r="BQ75">
            <v>1</v>
          </cell>
          <cell r="BR75" t="str">
            <v>N</v>
          </cell>
          <cell r="BS75">
            <v>1075.2</v>
          </cell>
          <cell r="BT75" t="str">
            <v>Done</v>
          </cell>
          <cell r="BU75">
            <v>168</v>
          </cell>
          <cell r="BV75">
            <v>2024</v>
          </cell>
        </row>
        <row r="76">
          <cell r="A76" t="str">
            <v>Lucknow</v>
          </cell>
          <cell r="B76" t="str">
            <v>Mavericks</v>
          </cell>
          <cell r="C76" t="str">
            <v>Mid Level</v>
          </cell>
          <cell r="D76" t="str">
            <v>Rohit Gupta</v>
          </cell>
          <cell r="E76" t="str">
            <v>Vaibhav Kumar</v>
          </cell>
          <cell r="H76" t="str">
            <v>Rohit Saini</v>
          </cell>
          <cell r="K76">
            <v>0</v>
          </cell>
          <cell r="L76" t="str">
            <v>Old</v>
          </cell>
          <cell r="M76">
            <v>45397</v>
          </cell>
          <cell r="N76">
            <v>2</v>
          </cell>
          <cell r="O76">
            <v>649</v>
          </cell>
          <cell r="P76" t="str">
            <v>-</v>
          </cell>
          <cell r="Q76">
            <v>45762</v>
          </cell>
          <cell r="R76" t="str">
            <v>PLC-3703</v>
          </cell>
          <cell r="S76" t="str">
            <v>Bala Krishna Saka</v>
          </cell>
          <cell r="T76" t="str">
            <v>Individual</v>
          </cell>
          <cell r="U76" t="str">
            <v>C2C</v>
          </cell>
          <cell r="V76" t="str">
            <v>Coforge</v>
          </cell>
          <cell r="W76">
            <v>110</v>
          </cell>
          <cell r="X76">
            <v>0</v>
          </cell>
          <cell r="Y76" t="str">
            <v>USD</v>
          </cell>
          <cell r="Z76">
            <v>114</v>
          </cell>
          <cell r="AA76">
            <v>0</v>
          </cell>
          <cell r="AB76">
            <v>0</v>
          </cell>
          <cell r="AC76">
            <v>0</v>
          </cell>
          <cell r="AD76">
            <v>45762</v>
          </cell>
          <cell r="AE76">
            <v>22</v>
          </cell>
          <cell r="AF76">
            <v>46022</v>
          </cell>
          <cell r="AG76">
            <v>110</v>
          </cell>
          <cell r="AH76">
            <v>0</v>
          </cell>
          <cell r="AI76">
            <v>110</v>
          </cell>
          <cell r="AJ76">
            <v>114</v>
          </cell>
          <cell r="AK76">
            <v>0</v>
          </cell>
          <cell r="AL76">
            <v>0</v>
          </cell>
          <cell r="AM76">
            <v>4</v>
          </cell>
          <cell r="AN76">
            <v>0</v>
          </cell>
          <cell r="AO76">
            <v>4</v>
          </cell>
          <cell r="AP76">
            <v>0</v>
          </cell>
          <cell r="AQ76">
            <v>4</v>
          </cell>
          <cell r="AR76" t="str">
            <v>US_24835</v>
          </cell>
          <cell r="AS76">
            <v>0</v>
          </cell>
          <cell r="AT76">
            <v>176</v>
          </cell>
          <cell r="AU76">
            <v>176</v>
          </cell>
          <cell r="AV76">
            <v>0</v>
          </cell>
          <cell r="AW76">
            <v>704</v>
          </cell>
          <cell r="AX76">
            <v>704</v>
          </cell>
          <cell r="AY76">
            <v>704</v>
          </cell>
          <cell r="AZ76">
            <v>14.285714285714285</v>
          </cell>
          <cell r="BA76">
            <v>6.4</v>
          </cell>
          <cell r="BB76">
            <v>0</v>
          </cell>
          <cell r="BC76">
            <v>38.28125</v>
          </cell>
          <cell r="BD76">
            <v>0</v>
          </cell>
          <cell r="BE76">
            <v>0</v>
          </cell>
          <cell r="BF76">
            <v>0</v>
          </cell>
          <cell r="BG76">
            <v>20064</v>
          </cell>
          <cell r="BH76">
            <v>20064</v>
          </cell>
          <cell r="BI76">
            <v>19360</v>
          </cell>
          <cell r="BJ76">
            <v>0</v>
          </cell>
          <cell r="BK76">
            <v>0</v>
          </cell>
          <cell r="BL76">
            <v>0</v>
          </cell>
          <cell r="BM76">
            <v>19360</v>
          </cell>
          <cell r="BN76">
            <v>0</v>
          </cell>
          <cell r="BO76">
            <v>704</v>
          </cell>
          <cell r="BP76" t="str">
            <v>Y</v>
          </cell>
          <cell r="BQ76">
            <v>2</v>
          </cell>
          <cell r="BR76" t="str">
            <v>N</v>
          </cell>
          <cell r="BS76">
            <v>0</v>
          </cell>
          <cell r="BT76" t="str">
            <v>Done</v>
          </cell>
          <cell r="BU76">
            <v>176</v>
          </cell>
          <cell r="BV76">
            <v>2024</v>
          </cell>
        </row>
        <row r="77">
          <cell r="A77" t="str">
            <v>Chennai</v>
          </cell>
          <cell r="B77" t="str">
            <v>Chennai</v>
          </cell>
          <cell r="C77" t="str">
            <v>Mid Level</v>
          </cell>
          <cell r="D77" t="str">
            <v>Vinoth L</v>
          </cell>
          <cell r="E77" t="str">
            <v>-</v>
          </cell>
          <cell r="H77" t="str">
            <v>Dinesh Kumar Veluchamy</v>
          </cell>
          <cell r="K77">
            <v>0</v>
          </cell>
          <cell r="L77" t="str">
            <v>Old</v>
          </cell>
          <cell r="M77">
            <v>45575</v>
          </cell>
          <cell r="N77">
            <v>4</v>
          </cell>
          <cell r="O77">
            <v>471</v>
          </cell>
          <cell r="P77" t="str">
            <v>-</v>
          </cell>
          <cell r="Q77">
            <v>45940</v>
          </cell>
          <cell r="R77" t="str">
            <v>PLC-4020</v>
          </cell>
          <cell r="S77" t="str">
            <v>Balakishan Ponuganti</v>
          </cell>
          <cell r="T77" t="str">
            <v>Individual</v>
          </cell>
          <cell r="U77" t="str">
            <v>C2C</v>
          </cell>
          <cell r="V77" t="str">
            <v>Citius Tech</v>
          </cell>
          <cell r="W77">
            <v>63</v>
          </cell>
          <cell r="X77">
            <v>0</v>
          </cell>
          <cell r="Y77" t="str">
            <v>USD</v>
          </cell>
          <cell r="Z77">
            <v>68</v>
          </cell>
          <cell r="AA77">
            <v>0</v>
          </cell>
          <cell r="AB77">
            <v>0</v>
          </cell>
          <cell r="AC77">
            <v>0</v>
          </cell>
          <cell r="AD77">
            <v>45672</v>
          </cell>
          <cell r="AE77">
            <v>23</v>
          </cell>
          <cell r="AF77">
            <v>46022</v>
          </cell>
          <cell r="AG77">
            <v>63</v>
          </cell>
          <cell r="AH77">
            <v>0</v>
          </cell>
          <cell r="AI77">
            <v>63</v>
          </cell>
          <cell r="AJ77">
            <v>68</v>
          </cell>
          <cell r="AK77">
            <v>0</v>
          </cell>
          <cell r="AL77">
            <v>0</v>
          </cell>
          <cell r="AM77">
            <v>5</v>
          </cell>
          <cell r="AN77">
            <v>0</v>
          </cell>
          <cell r="AO77">
            <v>5</v>
          </cell>
          <cell r="AP77">
            <v>0</v>
          </cell>
          <cell r="AQ77">
            <v>5</v>
          </cell>
          <cell r="AR77" t="str">
            <v>US_24283</v>
          </cell>
          <cell r="AS77">
            <v>0</v>
          </cell>
          <cell r="AT77">
            <v>168</v>
          </cell>
          <cell r="AU77">
            <v>168</v>
          </cell>
          <cell r="AV77">
            <v>0</v>
          </cell>
          <cell r="AW77">
            <v>840</v>
          </cell>
          <cell r="AX77">
            <v>840</v>
          </cell>
          <cell r="AY77">
            <v>840</v>
          </cell>
          <cell r="AZ77">
            <v>50</v>
          </cell>
          <cell r="BA77">
            <v>8</v>
          </cell>
          <cell r="BB77">
            <v>1344</v>
          </cell>
          <cell r="BC77">
            <v>53.225806451612897</v>
          </cell>
          <cell r="BD77">
            <v>840</v>
          </cell>
          <cell r="BE77">
            <v>672</v>
          </cell>
          <cell r="BF77">
            <v>840</v>
          </cell>
          <cell r="BG77">
            <v>11424</v>
          </cell>
          <cell r="BH77">
            <v>11424</v>
          </cell>
          <cell r="BI77">
            <v>10584</v>
          </cell>
          <cell r="BJ77">
            <v>0</v>
          </cell>
          <cell r="BK77">
            <v>0</v>
          </cell>
          <cell r="BL77">
            <v>0</v>
          </cell>
          <cell r="BM77">
            <v>10584</v>
          </cell>
          <cell r="BN77">
            <v>0</v>
          </cell>
          <cell r="BO77">
            <v>840</v>
          </cell>
          <cell r="BP77" t="str">
            <v>Y</v>
          </cell>
          <cell r="BQ77">
            <v>1</v>
          </cell>
          <cell r="BR77" t="str">
            <v>Y</v>
          </cell>
          <cell r="BS77">
            <v>1344</v>
          </cell>
          <cell r="BT77" t="str">
            <v>Done</v>
          </cell>
          <cell r="BU77">
            <v>168</v>
          </cell>
          <cell r="BV77">
            <v>2024</v>
          </cell>
        </row>
        <row r="78">
          <cell r="A78" t="str">
            <v>Chennai</v>
          </cell>
          <cell r="B78" t="str">
            <v>Chennai</v>
          </cell>
          <cell r="C78" t="str">
            <v>Mid Level</v>
          </cell>
          <cell r="D78" t="str">
            <v>Vinoth L</v>
          </cell>
          <cell r="E78" t="str">
            <v>-</v>
          </cell>
          <cell r="H78" t="str">
            <v>Dinesh Kumar Veluchamy</v>
          </cell>
          <cell r="K78">
            <v>0</v>
          </cell>
          <cell r="L78" t="str">
            <v>Old</v>
          </cell>
          <cell r="M78">
            <v>45575</v>
          </cell>
          <cell r="N78">
            <v>4</v>
          </cell>
          <cell r="O78">
            <v>471</v>
          </cell>
          <cell r="P78" t="str">
            <v>-</v>
          </cell>
          <cell r="Q78">
            <v>45940</v>
          </cell>
          <cell r="R78" t="str">
            <v>PLC-4020</v>
          </cell>
          <cell r="S78" t="str">
            <v>Balakishan Ponuganti</v>
          </cell>
          <cell r="T78" t="str">
            <v>Individual</v>
          </cell>
          <cell r="U78" t="str">
            <v>C2C</v>
          </cell>
          <cell r="V78" t="str">
            <v>Citius Tech</v>
          </cell>
          <cell r="W78">
            <v>63</v>
          </cell>
          <cell r="X78">
            <v>0</v>
          </cell>
          <cell r="Y78" t="str">
            <v>USD</v>
          </cell>
          <cell r="Z78">
            <v>68</v>
          </cell>
          <cell r="AA78">
            <v>0</v>
          </cell>
          <cell r="AB78">
            <v>0</v>
          </cell>
          <cell r="AC78">
            <v>0</v>
          </cell>
          <cell r="AD78">
            <v>45703</v>
          </cell>
          <cell r="AE78">
            <v>20</v>
          </cell>
          <cell r="AF78">
            <v>46022</v>
          </cell>
          <cell r="AG78">
            <v>63</v>
          </cell>
          <cell r="AH78">
            <v>0</v>
          </cell>
          <cell r="AI78">
            <v>63</v>
          </cell>
          <cell r="AJ78">
            <v>68</v>
          </cell>
          <cell r="AK78">
            <v>0</v>
          </cell>
          <cell r="AL78">
            <v>0</v>
          </cell>
          <cell r="AM78">
            <v>5</v>
          </cell>
          <cell r="AN78">
            <v>0</v>
          </cell>
          <cell r="AO78">
            <v>5</v>
          </cell>
          <cell r="AP78">
            <v>0</v>
          </cell>
          <cell r="AQ78">
            <v>5</v>
          </cell>
          <cell r="AR78" t="str">
            <v>US_24483</v>
          </cell>
          <cell r="AS78">
            <v>0</v>
          </cell>
          <cell r="AT78">
            <v>112</v>
          </cell>
          <cell r="AU78">
            <v>112</v>
          </cell>
          <cell r="AV78">
            <v>0</v>
          </cell>
          <cell r="AW78">
            <v>560</v>
          </cell>
          <cell r="AX78">
            <v>560</v>
          </cell>
          <cell r="AY78">
            <v>560</v>
          </cell>
          <cell r="AZ78">
            <v>50</v>
          </cell>
          <cell r="BA78">
            <v>8</v>
          </cell>
          <cell r="BB78">
            <v>896</v>
          </cell>
          <cell r="BC78">
            <v>53.225806451612897</v>
          </cell>
          <cell r="BD78">
            <v>560</v>
          </cell>
          <cell r="BE78">
            <v>448</v>
          </cell>
          <cell r="BF78">
            <v>560</v>
          </cell>
          <cell r="BG78">
            <v>7616</v>
          </cell>
          <cell r="BH78">
            <v>7616</v>
          </cell>
          <cell r="BI78">
            <v>7056</v>
          </cell>
          <cell r="BJ78">
            <v>0</v>
          </cell>
          <cell r="BK78">
            <v>0</v>
          </cell>
          <cell r="BL78">
            <v>0</v>
          </cell>
          <cell r="BM78">
            <v>7056</v>
          </cell>
          <cell r="BN78">
            <v>0</v>
          </cell>
          <cell r="BO78">
            <v>560</v>
          </cell>
          <cell r="BP78" t="str">
            <v>Y</v>
          </cell>
          <cell r="BQ78">
            <v>1</v>
          </cell>
          <cell r="BR78" t="str">
            <v>Y</v>
          </cell>
          <cell r="BS78">
            <v>896</v>
          </cell>
          <cell r="BT78" t="str">
            <v>Done</v>
          </cell>
          <cell r="BU78">
            <v>112</v>
          </cell>
          <cell r="BV78">
            <v>2024</v>
          </cell>
        </row>
        <row r="79">
          <cell r="A79" t="str">
            <v>Chennai</v>
          </cell>
          <cell r="B79" t="str">
            <v>Chennai</v>
          </cell>
          <cell r="C79" t="str">
            <v>Mid Level</v>
          </cell>
          <cell r="D79" t="str">
            <v>Vinoth L</v>
          </cell>
          <cell r="E79" t="str">
            <v>-</v>
          </cell>
          <cell r="H79" t="str">
            <v>Dinesh Kumar Veluchamy</v>
          </cell>
          <cell r="K79">
            <v>0</v>
          </cell>
          <cell r="L79" t="str">
            <v>Old</v>
          </cell>
          <cell r="M79">
            <v>45575</v>
          </cell>
          <cell r="N79">
            <v>4</v>
          </cell>
          <cell r="O79">
            <v>471</v>
          </cell>
          <cell r="P79" t="str">
            <v>-</v>
          </cell>
          <cell r="Q79">
            <v>45940</v>
          </cell>
          <cell r="R79" t="str">
            <v>PLC-4020</v>
          </cell>
          <cell r="S79" t="str">
            <v>Balakishan Ponuganti</v>
          </cell>
          <cell r="T79" t="str">
            <v>Individual</v>
          </cell>
          <cell r="U79" t="str">
            <v>C2C</v>
          </cell>
          <cell r="V79" t="str">
            <v>Citius Tech</v>
          </cell>
          <cell r="W79">
            <v>63</v>
          </cell>
          <cell r="X79">
            <v>0</v>
          </cell>
          <cell r="Y79" t="str">
            <v>USD</v>
          </cell>
          <cell r="Z79">
            <v>68</v>
          </cell>
          <cell r="AA79">
            <v>0</v>
          </cell>
          <cell r="AB79">
            <v>0</v>
          </cell>
          <cell r="AC79">
            <v>0</v>
          </cell>
          <cell r="AD79">
            <v>45731</v>
          </cell>
          <cell r="AE79">
            <v>21</v>
          </cell>
          <cell r="AF79">
            <v>46022</v>
          </cell>
          <cell r="AG79">
            <v>63</v>
          </cell>
          <cell r="AH79">
            <v>0</v>
          </cell>
          <cell r="AI79">
            <v>63</v>
          </cell>
          <cell r="AJ79">
            <v>68</v>
          </cell>
          <cell r="AK79">
            <v>0</v>
          </cell>
          <cell r="AL79">
            <v>0</v>
          </cell>
          <cell r="AM79">
            <v>5</v>
          </cell>
          <cell r="AN79">
            <v>0</v>
          </cell>
          <cell r="AO79">
            <v>5</v>
          </cell>
          <cell r="AP79">
            <v>0</v>
          </cell>
          <cell r="AQ79">
            <v>5</v>
          </cell>
          <cell r="AR79" t="str">
            <v>US_24669</v>
          </cell>
          <cell r="AS79">
            <v>0</v>
          </cell>
          <cell r="AT79">
            <v>168</v>
          </cell>
          <cell r="AU79">
            <v>168</v>
          </cell>
          <cell r="AV79">
            <v>0</v>
          </cell>
          <cell r="AW79">
            <v>840</v>
          </cell>
          <cell r="AX79">
            <v>840</v>
          </cell>
          <cell r="AY79">
            <v>840</v>
          </cell>
          <cell r="AZ79">
            <v>50</v>
          </cell>
          <cell r="BA79">
            <v>8</v>
          </cell>
          <cell r="BB79">
            <v>1344</v>
          </cell>
          <cell r="BC79">
            <v>53.225806451612897</v>
          </cell>
          <cell r="BD79">
            <v>840</v>
          </cell>
          <cell r="BE79">
            <v>672</v>
          </cell>
          <cell r="BF79">
            <v>840</v>
          </cell>
          <cell r="BG79">
            <v>11424</v>
          </cell>
          <cell r="BH79">
            <v>11424</v>
          </cell>
          <cell r="BI79">
            <v>10584</v>
          </cell>
          <cell r="BJ79">
            <v>0</v>
          </cell>
          <cell r="BK79">
            <v>0</v>
          </cell>
          <cell r="BL79">
            <v>0</v>
          </cell>
          <cell r="BM79">
            <v>10584</v>
          </cell>
          <cell r="BN79">
            <v>0</v>
          </cell>
          <cell r="BO79">
            <v>840</v>
          </cell>
          <cell r="BP79" t="str">
            <v>Y</v>
          </cell>
          <cell r="BQ79">
            <v>1</v>
          </cell>
          <cell r="BR79" t="str">
            <v>Y</v>
          </cell>
          <cell r="BS79">
            <v>1344</v>
          </cell>
          <cell r="BT79" t="str">
            <v>Done</v>
          </cell>
          <cell r="BU79">
            <v>168</v>
          </cell>
          <cell r="BV79">
            <v>2024</v>
          </cell>
        </row>
        <row r="80">
          <cell r="A80" t="str">
            <v>Chennai</v>
          </cell>
          <cell r="B80" t="str">
            <v>Chennai</v>
          </cell>
          <cell r="C80" t="str">
            <v>Mid Level</v>
          </cell>
          <cell r="D80" t="str">
            <v>Vinoth L</v>
          </cell>
          <cell r="E80" t="str">
            <v>-</v>
          </cell>
          <cell r="H80" t="str">
            <v>Dinesh Kumar Veluchamy</v>
          </cell>
          <cell r="K80">
            <v>0</v>
          </cell>
          <cell r="L80" t="str">
            <v>Old</v>
          </cell>
          <cell r="M80">
            <v>45575</v>
          </cell>
          <cell r="N80">
            <v>4</v>
          </cell>
          <cell r="O80">
            <v>471</v>
          </cell>
          <cell r="P80" t="str">
            <v>-</v>
          </cell>
          <cell r="Q80">
            <v>45940</v>
          </cell>
          <cell r="R80" t="str">
            <v>PLC-4020</v>
          </cell>
          <cell r="S80" t="str">
            <v>Balakishan Ponuganti</v>
          </cell>
          <cell r="T80" t="str">
            <v>Individual</v>
          </cell>
          <cell r="U80" t="str">
            <v>C2C</v>
          </cell>
          <cell r="V80" t="str">
            <v>Citius Tech</v>
          </cell>
          <cell r="W80">
            <v>63</v>
          </cell>
          <cell r="X80">
            <v>0</v>
          </cell>
          <cell r="Y80" t="str">
            <v>USD</v>
          </cell>
          <cell r="Z80">
            <v>68</v>
          </cell>
          <cell r="AA80">
            <v>0</v>
          </cell>
          <cell r="AB80">
            <v>0</v>
          </cell>
          <cell r="AC80">
            <v>0</v>
          </cell>
          <cell r="AD80">
            <v>45762</v>
          </cell>
          <cell r="AE80">
            <v>22</v>
          </cell>
          <cell r="AF80">
            <v>46022</v>
          </cell>
          <cell r="AG80">
            <v>63</v>
          </cell>
          <cell r="AH80">
            <v>0</v>
          </cell>
          <cell r="AI80">
            <v>63</v>
          </cell>
          <cell r="AJ80">
            <v>68</v>
          </cell>
          <cell r="AK80">
            <v>0</v>
          </cell>
          <cell r="AL80">
            <v>0</v>
          </cell>
          <cell r="AM80">
            <v>5</v>
          </cell>
          <cell r="AN80">
            <v>0</v>
          </cell>
          <cell r="AO80">
            <v>5</v>
          </cell>
          <cell r="AP80">
            <v>0</v>
          </cell>
          <cell r="AQ80">
            <v>5</v>
          </cell>
          <cell r="AR80" t="str">
            <v>US_24874</v>
          </cell>
          <cell r="AS80">
            <v>0</v>
          </cell>
          <cell r="AT80">
            <v>176</v>
          </cell>
          <cell r="AU80">
            <v>176</v>
          </cell>
          <cell r="AV80">
            <v>0</v>
          </cell>
          <cell r="AW80">
            <v>880</v>
          </cell>
          <cell r="AX80">
            <v>880</v>
          </cell>
          <cell r="AY80">
            <v>880</v>
          </cell>
          <cell r="AZ80">
            <v>50</v>
          </cell>
          <cell r="BA80">
            <v>8</v>
          </cell>
          <cell r="BB80">
            <v>1408</v>
          </cell>
          <cell r="BC80">
            <v>53.225806451612897</v>
          </cell>
          <cell r="BD80">
            <v>880</v>
          </cell>
          <cell r="BE80">
            <v>704</v>
          </cell>
          <cell r="BF80">
            <v>880</v>
          </cell>
          <cell r="BG80">
            <v>11968</v>
          </cell>
          <cell r="BH80">
            <v>11968</v>
          </cell>
          <cell r="BI80">
            <v>11088</v>
          </cell>
          <cell r="BJ80">
            <v>0</v>
          </cell>
          <cell r="BK80">
            <v>0</v>
          </cell>
          <cell r="BL80">
            <v>0</v>
          </cell>
          <cell r="BM80">
            <v>11088</v>
          </cell>
          <cell r="BN80">
            <v>0</v>
          </cell>
          <cell r="BO80">
            <v>880</v>
          </cell>
          <cell r="BP80" t="str">
            <v>Y</v>
          </cell>
          <cell r="BQ80">
            <v>2</v>
          </cell>
          <cell r="BR80" t="str">
            <v>Y</v>
          </cell>
          <cell r="BS80">
            <v>1408</v>
          </cell>
          <cell r="BT80" t="str">
            <v>Done</v>
          </cell>
          <cell r="BU80">
            <v>176</v>
          </cell>
          <cell r="BV80">
            <v>2024</v>
          </cell>
        </row>
        <row r="81">
          <cell r="A81" t="str">
            <v>Chennai</v>
          </cell>
          <cell r="B81" t="str">
            <v>Chennai</v>
          </cell>
          <cell r="C81" t="str">
            <v>Mid Level</v>
          </cell>
          <cell r="D81" t="str">
            <v>Vinoth L</v>
          </cell>
          <cell r="E81" t="str">
            <v>-</v>
          </cell>
          <cell r="H81" t="str">
            <v>Pass Through</v>
          </cell>
          <cell r="K81">
            <v>0</v>
          </cell>
          <cell r="L81" t="str">
            <v>Old</v>
          </cell>
          <cell r="M81">
            <v>45586</v>
          </cell>
          <cell r="N81">
            <v>4</v>
          </cell>
          <cell r="O81">
            <v>460</v>
          </cell>
          <cell r="P81" t="str">
            <v>-</v>
          </cell>
          <cell r="Q81">
            <v>45951</v>
          </cell>
          <cell r="R81" t="str">
            <v>PLC-Passthrough</v>
          </cell>
          <cell r="S81" t="str">
            <v>Bashetty Pranav Nath</v>
          </cell>
          <cell r="T81" t="str">
            <v>Individual</v>
          </cell>
          <cell r="U81" t="str">
            <v>C2C</v>
          </cell>
          <cell r="V81" t="str">
            <v>Citius Tech</v>
          </cell>
          <cell r="W81">
            <v>50</v>
          </cell>
          <cell r="X81">
            <v>0</v>
          </cell>
          <cell r="Y81" t="str">
            <v>USD</v>
          </cell>
          <cell r="Z81">
            <v>52</v>
          </cell>
          <cell r="AA81">
            <v>0</v>
          </cell>
          <cell r="AB81">
            <v>0</v>
          </cell>
          <cell r="AC81">
            <v>0</v>
          </cell>
          <cell r="AD81">
            <v>45672</v>
          </cell>
          <cell r="AE81">
            <v>23</v>
          </cell>
          <cell r="AF81">
            <v>46022</v>
          </cell>
          <cell r="AG81">
            <v>50</v>
          </cell>
          <cell r="AH81">
            <v>0</v>
          </cell>
          <cell r="AI81">
            <v>50</v>
          </cell>
          <cell r="AJ81">
            <v>52</v>
          </cell>
          <cell r="AK81">
            <v>0</v>
          </cell>
          <cell r="AL81">
            <v>0</v>
          </cell>
          <cell r="AM81">
            <v>2</v>
          </cell>
          <cell r="AN81">
            <v>0</v>
          </cell>
          <cell r="AO81">
            <v>2</v>
          </cell>
          <cell r="AP81">
            <v>0</v>
          </cell>
          <cell r="AQ81">
            <v>2</v>
          </cell>
          <cell r="AR81" t="str">
            <v>US_24289</v>
          </cell>
          <cell r="AS81">
            <v>0</v>
          </cell>
          <cell r="AT81">
            <v>168</v>
          </cell>
          <cell r="AU81">
            <v>168</v>
          </cell>
          <cell r="AV81">
            <v>0</v>
          </cell>
          <cell r="AW81">
            <v>336</v>
          </cell>
          <cell r="AX81">
            <v>336</v>
          </cell>
          <cell r="AY81">
            <v>336</v>
          </cell>
          <cell r="AZ81">
            <v>0</v>
          </cell>
          <cell r="BA81">
            <v>0</v>
          </cell>
          <cell r="BB81">
            <v>0</v>
          </cell>
          <cell r="BC81">
            <v>53.225806451612897</v>
          </cell>
          <cell r="BD81">
            <v>336</v>
          </cell>
          <cell r="BE81">
            <v>268.8</v>
          </cell>
          <cell r="BF81">
            <v>336</v>
          </cell>
          <cell r="BG81">
            <v>8736</v>
          </cell>
          <cell r="BH81">
            <v>8736</v>
          </cell>
          <cell r="BI81">
            <v>8400</v>
          </cell>
          <cell r="BJ81">
            <v>0</v>
          </cell>
          <cell r="BK81">
            <v>0</v>
          </cell>
          <cell r="BL81">
            <v>0</v>
          </cell>
          <cell r="BM81">
            <v>8400</v>
          </cell>
          <cell r="BN81">
            <v>0</v>
          </cell>
          <cell r="BO81">
            <v>336</v>
          </cell>
          <cell r="BP81" t="str">
            <v>Y</v>
          </cell>
          <cell r="BQ81">
            <v>1</v>
          </cell>
          <cell r="BR81" t="str">
            <v>Y</v>
          </cell>
          <cell r="BS81">
            <v>0</v>
          </cell>
          <cell r="BT81" t="str">
            <v>Done</v>
          </cell>
          <cell r="BU81">
            <v>168</v>
          </cell>
          <cell r="BV81">
            <v>2024</v>
          </cell>
        </row>
        <row r="82">
          <cell r="A82" t="str">
            <v>Chennai</v>
          </cell>
          <cell r="B82" t="str">
            <v>Chennai</v>
          </cell>
          <cell r="C82" t="str">
            <v>Mid Level</v>
          </cell>
          <cell r="D82" t="str">
            <v>Vinoth L</v>
          </cell>
          <cell r="E82" t="str">
            <v>-</v>
          </cell>
          <cell r="H82" t="str">
            <v>Pass Through</v>
          </cell>
          <cell r="K82">
            <v>0</v>
          </cell>
          <cell r="L82" t="str">
            <v>Old</v>
          </cell>
          <cell r="M82">
            <v>45586</v>
          </cell>
          <cell r="N82">
            <v>4</v>
          </cell>
          <cell r="O82">
            <v>460</v>
          </cell>
          <cell r="P82" t="str">
            <v>-</v>
          </cell>
          <cell r="Q82">
            <v>45951</v>
          </cell>
          <cell r="R82" t="str">
            <v>PLC-Passthrough</v>
          </cell>
          <cell r="S82" t="str">
            <v>Bashetty Pranav Nath</v>
          </cell>
          <cell r="T82" t="str">
            <v>Individual</v>
          </cell>
          <cell r="U82" t="str">
            <v>C2C</v>
          </cell>
          <cell r="V82" t="str">
            <v>Citius Tech</v>
          </cell>
          <cell r="W82">
            <v>50</v>
          </cell>
          <cell r="X82">
            <v>0</v>
          </cell>
          <cell r="Y82" t="str">
            <v>USD</v>
          </cell>
          <cell r="Z82">
            <v>52</v>
          </cell>
          <cell r="AA82">
            <v>0</v>
          </cell>
          <cell r="AB82">
            <v>0</v>
          </cell>
          <cell r="AC82">
            <v>0</v>
          </cell>
          <cell r="AD82">
            <v>45703</v>
          </cell>
          <cell r="AE82">
            <v>20</v>
          </cell>
          <cell r="AF82">
            <v>46022</v>
          </cell>
          <cell r="AG82">
            <v>50</v>
          </cell>
          <cell r="AH82">
            <v>0</v>
          </cell>
          <cell r="AI82">
            <v>50</v>
          </cell>
          <cell r="AJ82">
            <v>52</v>
          </cell>
          <cell r="AK82">
            <v>0</v>
          </cell>
          <cell r="AL82">
            <v>0</v>
          </cell>
          <cell r="AM82">
            <v>2</v>
          </cell>
          <cell r="AN82">
            <v>0</v>
          </cell>
          <cell r="AO82">
            <v>2</v>
          </cell>
          <cell r="AP82">
            <v>0</v>
          </cell>
          <cell r="AQ82">
            <v>2</v>
          </cell>
          <cell r="AR82" t="str">
            <v>US_24489</v>
          </cell>
          <cell r="AS82">
            <v>0</v>
          </cell>
          <cell r="AT82">
            <v>160</v>
          </cell>
          <cell r="AU82">
            <v>160</v>
          </cell>
          <cell r="AV82">
            <v>0</v>
          </cell>
          <cell r="AW82">
            <v>320</v>
          </cell>
          <cell r="AX82">
            <v>320</v>
          </cell>
          <cell r="AY82">
            <v>320</v>
          </cell>
          <cell r="AZ82">
            <v>0</v>
          </cell>
          <cell r="BA82">
            <v>0</v>
          </cell>
          <cell r="BB82">
            <v>0</v>
          </cell>
          <cell r="BC82">
            <v>53.225806451612897</v>
          </cell>
          <cell r="BD82">
            <v>320</v>
          </cell>
          <cell r="BE82">
            <v>256</v>
          </cell>
          <cell r="BF82">
            <v>320</v>
          </cell>
          <cell r="BG82">
            <v>8320</v>
          </cell>
          <cell r="BH82">
            <v>8320</v>
          </cell>
          <cell r="BI82">
            <v>8000</v>
          </cell>
          <cell r="BJ82">
            <v>0</v>
          </cell>
          <cell r="BK82">
            <v>0</v>
          </cell>
          <cell r="BL82">
            <v>0</v>
          </cell>
          <cell r="BM82">
            <v>8000</v>
          </cell>
          <cell r="BN82">
            <v>0</v>
          </cell>
          <cell r="BO82">
            <v>320</v>
          </cell>
          <cell r="BP82" t="str">
            <v>Y</v>
          </cell>
          <cell r="BQ82">
            <v>1</v>
          </cell>
          <cell r="BR82" t="str">
            <v>Y</v>
          </cell>
          <cell r="BS82">
            <v>0</v>
          </cell>
          <cell r="BT82" t="str">
            <v>Done</v>
          </cell>
          <cell r="BU82">
            <v>160</v>
          </cell>
          <cell r="BV82">
            <v>2024</v>
          </cell>
        </row>
        <row r="83">
          <cell r="A83" t="str">
            <v>Chennai</v>
          </cell>
          <cell r="B83" t="str">
            <v>Chennai</v>
          </cell>
          <cell r="C83" t="str">
            <v>Mid Level</v>
          </cell>
          <cell r="D83" t="str">
            <v>Vinoth L</v>
          </cell>
          <cell r="E83" t="str">
            <v>-</v>
          </cell>
          <cell r="H83" t="str">
            <v>Pass Through</v>
          </cell>
          <cell r="K83">
            <v>0</v>
          </cell>
          <cell r="L83" t="str">
            <v>Old</v>
          </cell>
          <cell r="M83">
            <v>45586</v>
          </cell>
          <cell r="N83">
            <v>4</v>
          </cell>
          <cell r="O83">
            <v>460</v>
          </cell>
          <cell r="P83" t="str">
            <v>-</v>
          </cell>
          <cell r="Q83">
            <v>45951</v>
          </cell>
          <cell r="R83" t="str">
            <v>PLC-Passthrough</v>
          </cell>
          <cell r="S83" t="str">
            <v>Bashetty Pranav Nath</v>
          </cell>
          <cell r="T83" t="str">
            <v>Individual</v>
          </cell>
          <cell r="U83" t="str">
            <v>C2C</v>
          </cell>
          <cell r="V83" t="str">
            <v>Citius Tech</v>
          </cell>
          <cell r="W83">
            <v>50</v>
          </cell>
          <cell r="X83">
            <v>0</v>
          </cell>
          <cell r="Y83" t="str">
            <v>USD</v>
          </cell>
          <cell r="Z83">
            <v>52</v>
          </cell>
          <cell r="AA83">
            <v>0</v>
          </cell>
          <cell r="AB83">
            <v>0</v>
          </cell>
          <cell r="AC83">
            <v>0</v>
          </cell>
          <cell r="AD83">
            <v>45731</v>
          </cell>
          <cell r="AE83">
            <v>21</v>
          </cell>
          <cell r="AF83">
            <v>46022</v>
          </cell>
          <cell r="AG83">
            <v>50</v>
          </cell>
          <cell r="AH83">
            <v>0</v>
          </cell>
          <cell r="AI83">
            <v>50</v>
          </cell>
          <cell r="AJ83">
            <v>52</v>
          </cell>
          <cell r="AK83">
            <v>0</v>
          </cell>
          <cell r="AL83">
            <v>0</v>
          </cell>
          <cell r="AM83">
            <v>2</v>
          </cell>
          <cell r="AN83">
            <v>0</v>
          </cell>
          <cell r="AO83">
            <v>2</v>
          </cell>
          <cell r="AP83">
            <v>0</v>
          </cell>
          <cell r="AQ83">
            <v>2</v>
          </cell>
          <cell r="AR83" t="str">
            <v>US_24675</v>
          </cell>
          <cell r="AS83">
            <v>0</v>
          </cell>
          <cell r="AT83">
            <v>168</v>
          </cell>
          <cell r="AU83">
            <v>168</v>
          </cell>
          <cell r="AV83">
            <v>0</v>
          </cell>
          <cell r="AW83">
            <v>336</v>
          </cell>
          <cell r="AX83">
            <v>336</v>
          </cell>
          <cell r="AY83">
            <v>336</v>
          </cell>
          <cell r="AZ83">
            <v>0</v>
          </cell>
          <cell r="BA83">
            <v>0</v>
          </cell>
          <cell r="BB83">
            <v>0</v>
          </cell>
          <cell r="BC83">
            <v>53.225806451612897</v>
          </cell>
          <cell r="BD83">
            <v>336</v>
          </cell>
          <cell r="BE83">
            <v>268.8</v>
          </cell>
          <cell r="BF83">
            <v>336</v>
          </cell>
          <cell r="BG83">
            <v>8736</v>
          </cell>
          <cell r="BH83">
            <v>8736</v>
          </cell>
          <cell r="BI83">
            <v>8400</v>
          </cell>
          <cell r="BJ83">
            <v>0</v>
          </cell>
          <cell r="BK83">
            <v>0</v>
          </cell>
          <cell r="BL83">
            <v>0</v>
          </cell>
          <cell r="BM83">
            <v>8400</v>
          </cell>
          <cell r="BN83">
            <v>0</v>
          </cell>
          <cell r="BO83">
            <v>336</v>
          </cell>
          <cell r="BP83" t="str">
            <v>Y</v>
          </cell>
          <cell r="BQ83">
            <v>1</v>
          </cell>
          <cell r="BR83" t="str">
            <v>Y</v>
          </cell>
          <cell r="BS83">
            <v>0</v>
          </cell>
          <cell r="BT83" t="str">
            <v>Done</v>
          </cell>
          <cell r="BU83">
            <v>168</v>
          </cell>
          <cell r="BV83">
            <v>2024</v>
          </cell>
        </row>
        <row r="84">
          <cell r="A84" t="str">
            <v>Chennai</v>
          </cell>
          <cell r="B84" t="str">
            <v>Chennai</v>
          </cell>
          <cell r="C84" t="str">
            <v>Mid Level</v>
          </cell>
          <cell r="D84" t="str">
            <v>Vinoth L</v>
          </cell>
          <cell r="E84" t="str">
            <v>-</v>
          </cell>
          <cell r="H84" t="str">
            <v>Pass Through</v>
          </cell>
          <cell r="K84">
            <v>0</v>
          </cell>
          <cell r="L84" t="str">
            <v>Old</v>
          </cell>
          <cell r="M84">
            <v>45586</v>
          </cell>
          <cell r="N84">
            <v>4</v>
          </cell>
          <cell r="O84">
            <v>460</v>
          </cell>
          <cell r="P84" t="str">
            <v>-</v>
          </cell>
          <cell r="Q84">
            <v>45951</v>
          </cell>
          <cell r="R84" t="str">
            <v>PLC-Passthrough</v>
          </cell>
          <cell r="S84" t="str">
            <v>Bashetty Pranav Nath</v>
          </cell>
          <cell r="T84" t="str">
            <v>Individual</v>
          </cell>
          <cell r="U84" t="str">
            <v>C2C</v>
          </cell>
          <cell r="V84" t="str">
            <v>Citius Tech</v>
          </cell>
          <cell r="W84">
            <v>50</v>
          </cell>
          <cell r="X84">
            <v>0</v>
          </cell>
          <cell r="Y84" t="str">
            <v>USD</v>
          </cell>
          <cell r="Z84">
            <v>52</v>
          </cell>
          <cell r="AA84">
            <v>0</v>
          </cell>
          <cell r="AB84">
            <v>0</v>
          </cell>
          <cell r="AC84">
            <v>0</v>
          </cell>
          <cell r="AD84">
            <v>45762</v>
          </cell>
          <cell r="AE84">
            <v>22</v>
          </cell>
          <cell r="AF84">
            <v>46022</v>
          </cell>
          <cell r="AG84">
            <v>50</v>
          </cell>
          <cell r="AH84">
            <v>0</v>
          </cell>
          <cell r="AI84">
            <v>50</v>
          </cell>
          <cell r="AJ84">
            <v>52</v>
          </cell>
          <cell r="AK84">
            <v>0</v>
          </cell>
          <cell r="AL84">
            <v>0</v>
          </cell>
          <cell r="AM84">
            <v>2</v>
          </cell>
          <cell r="AN84">
            <v>0</v>
          </cell>
          <cell r="AO84">
            <v>2</v>
          </cell>
          <cell r="AP84">
            <v>0</v>
          </cell>
          <cell r="AQ84">
            <v>2</v>
          </cell>
          <cell r="AR84" t="str">
            <v>US_24880</v>
          </cell>
          <cell r="AS84">
            <v>0</v>
          </cell>
          <cell r="AT84">
            <v>176</v>
          </cell>
          <cell r="AU84">
            <v>176</v>
          </cell>
          <cell r="AV84">
            <v>0</v>
          </cell>
          <cell r="AW84">
            <v>352</v>
          </cell>
          <cell r="AX84">
            <v>352</v>
          </cell>
          <cell r="AY84">
            <v>352</v>
          </cell>
          <cell r="AZ84">
            <v>0</v>
          </cell>
          <cell r="BA84">
            <v>0</v>
          </cell>
          <cell r="BB84">
            <v>0</v>
          </cell>
          <cell r="BC84">
            <v>53.225806451612897</v>
          </cell>
          <cell r="BD84">
            <v>352</v>
          </cell>
          <cell r="BE84">
            <v>281.60000000000002</v>
          </cell>
          <cell r="BF84">
            <v>352</v>
          </cell>
          <cell r="BG84">
            <v>9152</v>
          </cell>
          <cell r="BH84">
            <v>9152</v>
          </cell>
          <cell r="BI84">
            <v>8800</v>
          </cell>
          <cell r="BJ84">
            <v>0</v>
          </cell>
          <cell r="BK84">
            <v>0</v>
          </cell>
          <cell r="BL84">
            <v>0</v>
          </cell>
          <cell r="BM84">
            <v>8800</v>
          </cell>
          <cell r="BN84">
            <v>0</v>
          </cell>
          <cell r="BO84">
            <v>352</v>
          </cell>
          <cell r="BP84" t="str">
            <v>Y</v>
          </cell>
          <cell r="BQ84">
            <v>2</v>
          </cell>
          <cell r="BR84" t="str">
            <v>Y</v>
          </cell>
          <cell r="BS84">
            <v>0</v>
          </cell>
          <cell r="BT84" t="str">
            <v>Done</v>
          </cell>
          <cell r="BU84">
            <v>176</v>
          </cell>
          <cell r="BV84">
            <v>2024</v>
          </cell>
        </row>
        <row r="85">
          <cell r="A85" t="str">
            <v>Chennai</v>
          </cell>
          <cell r="B85" t="str">
            <v>Chennai</v>
          </cell>
          <cell r="C85" t="str">
            <v>Mid Level</v>
          </cell>
          <cell r="D85" t="str">
            <v>Vinoth L</v>
          </cell>
          <cell r="E85" t="str">
            <v>-</v>
          </cell>
          <cell r="F85" t="str">
            <v>-</v>
          </cell>
          <cell r="G85" t="str">
            <v>-</v>
          </cell>
          <cell r="H85" t="str">
            <v>R Richardson</v>
          </cell>
          <cell r="K85" t="str">
            <v>-</v>
          </cell>
          <cell r="L85" t="str">
            <v>New</v>
          </cell>
          <cell r="M85">
            <v>45768</v>
          </cell>
          <cell r="N85">
            <v>2</v>
          </cell>
          <cell r="O85">
            <v>278</v>
          </cell>
          <cell r="P85" t="str">
            <v>-</v>
          </cell>
          <cell r="Q85">
            <v>46133</v>
          </cell>
          <cell r="R85" t="str">
            <v>PLC-4229</v>
          </cell>
          <cell r="S85" t="str">
            <v>Bharathi Kota</v>
          </cell>
          <cell r="T85" t="str">
            <v>Individual</v>
          </cell>
          <cell r="U85" t="str">
            <v>C2C</v>
          </cell>
          <cell r="V85" t="str">
            <v>Apexon</v>
          </cell>
          <cell r="W85">
            <v>66</v>
          </cell>
          <cell r="X85">
            <v>0</v>
          </cell>
          <cell r="Y85" t="str">
            <v>USD</v>
          </cell>
          <cell r="Z85">
            <v>72</v>
          </cell>
          <cell r="AA85">
            <v>0</v>
          </cell>
          <cell r="AB85">
            <v>0</v>
          </cell>
          <cell r="AC85">
            <v>0</v>
          </cell>
          <cell r="AD85">
            <v>45762</v>
          </cell>
          <cell r="AE85">
            <v>8</v>
          </cell>
          <cell r="AF85">
            <v>46022</v>
          </cell>
          <cell r="AG85">
            <v>66</v>
          </cell>
          <cell r="AH85">
            <v>0</v>
          </cell>
          <cell r="AI85">
            <v>66</v>
          </cell>
          <cell r="AJ85">
            <v>72</v>
          </cell>
          <cell r="AK85">
            <v>0</v>
          </cell>
          <cell r="AL85">
            <v>0</v>
          </cell>
          <cell r="AM85">
            <v>6</v>
          </cell>
          <cell r="AN85">
            <v>0</v>
          </cell>
          <cell r="AO85">
            <v>6</v>
          </cell>
          <cell r="AP85">
            <v>0</v>
          </cell>
          <cell r="AQ85">
            <v>6</v>
          </cell>
          <cell r="AR85" t="str">
            <v>US_24952</v>
          </cell>
          <cell r="AS85">
            <v>0</v>
          </cell>
          <cell r="AT85">
            <v>64</v>
          </cell>
          <cell r="AU85">
            <v>64</v>
          </cell>
          <cell r="AV85">
            <v>0</v>
          </cell>
          <cell r="AW85">
            <v>384</v>
          </cell>
          <cell r="AX85">
            <v>384</v>
          </cell>
          <cell r="AY85">
            <v>384</v>
          </cell>
          <cell r="AZ85">
            <v>50</v>
          </cell>
          <cell r="BA85">
            <v>7.2</v>
          </cell>
          <cell r="BB85">
            <v>460.8</v>
          </cell>
          <cell r="BC85">
            <v>67</v>
          </cell>
          <cell r="BD85">
            <v>384</v>
          </cell>
          <cell r="BE85">
            <v>460.8</v>
          </cell>
          <cell r="BF85">
            <v>384</v>
          </cell>
          <cell r="BG85">
            <v>4608</v>
          </cell>
          <cell r="BH85">
            <v>4608</v>
          </cell>
          <cell r="BI85">
            <v>4224</v>
          </cell>
          <cell r="BJ85">
            <v>0</v>
          </cell>
          <cell r="BK85">
            <v>0</v>
          </cell>
          <cell r="BL85">
            <v>0</v>
          </cell>
          <cell r="BM85">
            <v>4224</v>
          </cell>
          <cell r="BN85">
            <v>0</v>
          </cell>
          <cell r="BO85">
            <v>384</v>
          </cell>
          <cell r="BP85" t="str">
            <v>Y</v>
          </cell>
          <cell r="BQ85">
            <v>2</v>
          </cell>
          <cell r="BR85" t="str">
            <v>Y</v>
          </cell>
          <cell r="BS85">
            <v>460.8</v>
          </cell>
          <cell r="BT85" t="str">
            <v>Done</v>
          </cell>
          <cell r="BU85">
            <v>64</v>
          </cell>
          <cell r="BV85">
            <v>2025</v>
          </cell>
        </row>
        <row r="86">
          <cell r="A86" t="str">
            <v>Chennai</v>
          </cell>
          <cell r="B86" t="str">
            <v>Chennai</v>
          </cell>
          <cell r="C86" t="str">
            <v>Mid Level</v>
          </cell>
          <cell r="D86" t="str">
            <v>Vinoth L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Pass Through</v>
          </cell>
          <cell r="K86" t="str">
            <v>-</v>
          </cell>
          <cell r="L86" t="str">
            <v>New</v>
          </cell>
          <cell r="M86">
            <v>45768</v>
          </cell>
          <cell r="N86">
            <v>2</v>
          </cell>
          <cell r="O86">
            <v>278</v>
          </cell>
          <cell r="P86">
            <v>45814</v>
          </cell>
          <cell r="Q86">
            <v>46133</v>
          </cell>
          <cell r="R86" t="str">
            <v>PLC-4244</v>
          </cell>
          <cell r="S86" t="str">
            <v>Bhargava Kommineni</v>
          </cell>
          <cell r="T86" t="str">
            <v>Individual</v>
          </cell>
          <cell r="U86" t="str">
            <v>C2C</v>
          </cell>
          <cell r="V86" t="str">
            <v>Citius Tech</v>
          </cell>
          <cell r="W86">
            <v>80</v>
          </cell>
          <cell r="X86">
            <v>0</v>
          </cell>
          <cell r="Y86" t="str">
            <v>USD</v>
          </cell>
          <cell r="Z86">
            <v>82</v>
          </cell>
          <cell r="AA86">
            <v>0</v>
          </cell>
          <cell r="AB86">
            <v>0</v>
          </cell>
          <cell r="AC86">
            <v>0</v>
          </cell>
          <cell r="AD86">
            <v>45762</v>
          </cell>
          <cell r="AE86">
            <v>8</v>
          </cell>
          <cell r="AF86">
            <v>46022</v>
          </cell>
          <cell r="AG86">
            <v>80</v>
          </cell>
          <cell r="AH86">
            <v>0</v>
          </cell>
          <cell r="AI86">
            <v>80</v>
          </cell>
          <cell r="AJ86">
            <v>82</v>
          </cell>
          <cell r="AK86">
            <v>0</v>
          </cell>
          <cell r="AL86">
            <v>0</v>
          </cell>
          <cell r="AM86">
            <v>2</v>
          </cell>
          <cell r="AN86">
            <v>0</v>
          </cell>
          <cell r="AO86">
            <v>2</v>
          </cell>
          <cell r="AP86">
            <v>0</v>
          </cell>
          <cell r="AQ86">
            <v>2</v>
          </cell>
          <cell r="AR86" t="str">
            <v>US_24953</v>
          </cell>
          <cell r="AS86">
            <v>0</v>
          </cell>
          <cell r="AT86">
            <v>64</v>
          </cell>
          <cell r="AU86">
            <v>64</v>
          </cell>
          <cell r="AV86">
            <v>0</v>
          </cell>
          <cell r="AW86">
            <v>128</v>
          </cell>
          <cell r="AX86">
            <v>128</v>
          </cell>
          <cell r="AY86">
            <v>128</v>
          </cell>
          <cell r="AZ86">
            <v>0</v>
          </cell>
          <cell r="BA86">
            <v>0</v>
          </cell>
          <cell r="BB86">
            <v>0</v>
          </cell>
          <cell r="BC86">
            <v>67</v>
          </cell>
          <cell r="BD86">
            <v>128</v>
          </cell>
          <cell r="BE86">
            <v>153.6</v>
          </cell>
          <cell r="BF86">
            <v>128</v>
          </cell>
          <cell r="BG86">
            <v>5248</v>
          </cell>
          <cell r="BH86">
            <v>5248</v>
          </cell>
          <cell r="BI86">
            <v>5120</v>
          </cell>
          <cell r="BJ86">
            <v>0</v>
          </cell>
          <cell r="BK86">
            <v>0</v>
          </cell>
          <cell r="BL86">
            <v>0</v>
          </cell>
          <cell r="BM86">
            <v>5120</v>
          </cell>
          <cell r="BN86">
            <v>0</v>
          </cell>
          <cell r="BO86">
            <v>128</v>
          </cell>
          <cell r="BP86" t="str">
            <v>Y</v>
          </cell>
          <cell r="BQ86">
            <v>2</v>
          </cell>
          <cell r="BR86" t="str">
            <v>Y</v>
          </cell>
          <cell r="BS86">
            <v>0</v>
          </cell>
          <cell r="BT86" t="str">
            <v>Done</v>
          </cell>
          <cell r="BU86">
            <v>64</v>
          </cell>
          <cell r="BV86">
            <v>2025</v>
          </cell>
        </row>
        <row r="87">
          <cell r="A87" t="str">
            <v>Lucknow</v>
          </cell>
          <cell r="B87" t="str">
            <v>Mavericks</v>
          </cell>
          <cell r="C87" t="str">
            <v>Mid Level</v>
          </cell>
          <cell r="D87" t="str">
            <v>Rohit Gupta</v>
          </cell>
          <cell r="E87" t="str">
            <v>Vivek Yadav</v>
          </cell>
          <cell r="F87">
            <v>0</v>
          </cell>
          <cell r="H87" t="str">
            <v>Nilesh Shahi</v>
          </cell>
          <cell r="K87">
            <v>0</v>
          </cell>
          <cell r="L87" t="str">
            <v>Old</v>
          </cell>
          <cell r="M87">
            <v>45348</v>
          </cell>
          <cell r="N87">
            <v>1</v>
          </cell>
          <cell r="O87">
            <v>698</v>
          </cell>
          <cell r="P87" t="str">
            <v>-</v>
          </cell>
          <cell r="Q87">
            <v>45713</v>
          </cell>
          <cell r="R87" t="str">
            <v>PLC-3633</v>
          </cell>
          <cell r="S87" t="str">
            <v>Bheem Rao Palepu</v>
          </cell>
          <cell r="T87" t="str">
            <v>Individual</v>
          </cell>
          <cell r="U87" t="str">
            <v>C2C</v>
          </cell>
          <cell r="V87" t="str">
            <v>Coforge</v>
          </cell>
          <cell r="W87">
            <v>100</v>
          </cell>
          <cell r="X87">
            <v>150</v>
          </cell>
          <cell r="Y87" t="str">
            <v>USD</v>
          </cell>
          <cell r="Z87">
            <v>103</v>
          </cell>
          <cell r="AA87">
            <v>154.5</v>
          </cell>
          <cell r="AB87">
            <v>0</v>
          </cell>
          <cell r="AC87">
            <v>0</v>
          </cell>
          <cell r="AD87">
            <v>45672</v>
          </cell>
          <cell r="AE87">
            <v>23</v>
          </cell>
          <cell r="AF87">
            <v>46022</v>
          </cell>
          <cell r="AG87">
            <v>100</v>
          </cell>
          <cell r="AH87">
            <v>150</v>
          </cell>
          <cell r="AI87">
            <v>100</v>
          </cell>
          <cell r="AJ87">
            <v>103</v>
          </cell>
          <cell r="AK87">
            <v>154.5</v>
          </cell>
          <cell r="AL87">
            <v>4.5</v>
          </cell>
          <cell r="AM87">
            <v>3</v>
          </cell>
          <cell r="AN87">
            <v>4.5</v>
          </cell>
          <cell r="AO87">
            <v>3</v>
          </cell>
          <cell r="AP87">
            <v>4.5</v>
          </cell>
          <cell r="AQ87">
            <v>3</v>
          </cell>
          <cell r="AR87" t="str">
            <v>US_24158</v>
          </cell>
          <cell r="AS87">
            <v>0</v>
          </cell>
          <cell r="AT87">
            <v>168</v>
          </cell>
          <cell r="AU87">
            <v>168</v>
          </cell>
          <cell r="AV87">
            <v>0</v>
          </cell>
          <cell r="AW87">
            <v>504</v>
          </cell>
          <cell r="AX87">
            <v>504</v>
          </cell>
          <cell r="AY87">
            <v>504</v>
          </cell>
          <cell r="AZ87">
            <v>62.5</v>
          </cell>
          <cell r="BA87">
            <v>6.6</v>
          </cell>
          <cell r="BB87">
            <v>1108.8</v>
          </cell>
          <cell r="BC87">
            <v>38.28125</v>
          </cell>
          <cell r="BD87">
            <v>504</v>
          </cell>
          <cell r="BE87">
            <v>403.2</v>
          </cell>
          <cell r="BF87">
            <v>504</v>
          </cell>
          <cell r="BG87">
            <v>17304</v>
          </cell>
          <cell r="BH87">
            <v>17304</v>
          </cell>
          <cell r="BI87">
            <v>16800</v>
          </cell>
          <cell r="BJ87">
            <v>0</v>
          </cell>
          <cell r="BK87">
            <v>0</v>
          </cell>
          <cell r="BL87">
            <v>0</v>
          </cell>
          <cell r="BM87">
            <v>16800</v>
          </cell>
          <cell r="BN87">
            <v>0</v>
          </cell>
          <cell r="BO87">
            <v>504</v>
          </cell>
          <cell r="BP87" t="str">
            <v>Y</v>
          </cell>
          <cell r="BQ87">
            <v>1</v>
          </cell>
          <cell r="BR87" t="str">
            <v>N</v>
          </cell>
          <cell r="BS87">
            <v>1108.8</v>
          </cell>
          <cell r="BT87" t="str">
            <v>Done</v>
          </cell>
          <cell r="BU87">
            <v>168</v>
          </cell>
          <cell r="BV87">
            <v>2024</v>
          </cell>
        </row>
        <row r="88">
          <cell r="A88" t="str">
            <v>Lucknow</v>
          </cell>
          <cell r="B88" t="str">
            <v>Mavericks</v>
          </cell>
          <cell r="C88" t="str">
            <v>Mid Level</v>
          </cell>
          <cell r="D88" t="str">
            <v>Rohit Gupta</v>
          </cell>
          <cell r="E88" t="str">
            <v>Vivek Yadav</v>
          </cell>
          <cell r="F88">
            <v>0</v>
          </cell>
          <cell r="H88" t="str">
            <v>Nilesh Shahi</v>
          </cell>
          <cell r="K88">
            <v>0</v>
          </cell>
          <cell r="L88" t="str">
            <v>Old</v>
          </cell>
          <cell r="M88">
            <v>45348</v>
          </cell>
          <cell r="N88">
            <v>1</v>
          </cell>
          <cell r="O88">
            <v>698</v>
          </cell>
          <cell r="P88" t="str">
            <v>-</v>
          </cell>
          <cell r="Q88">
            <v>45713</v>
          </cell>
          <cell r="R88" t="str">
            <v>PLC-3633</v>
          </cell>
          <cell r="S88" t="str">
            <v>Bheem Rao Palepu</v>
          </cell>
          <cell r="T88" t="str">
            <v>Individual</v>
          </cell>
          <cell r="U88" t="str">
            <v>C2C</v>
          </cell>
          <cell r="V88" t="str">
            <v>Coforge</v>
          </cell>
          <cell r="W88">
            <v>100</v>
          </cell>
          <cell r="X88">
            <v>150</v>
          </cell>
          <cell r="Y88" t="str">
            <v>USD</v>
          </cell>
          <cell r="Z88">
            <v>103</v>
          </cell>
          <cell r="AA88">
            <v>154.5</v>
          </cell>
          <cell r="AB88">
            <v>0</v>
          </cell>
          <cell r="AC88">
            <v>0</v>
          </cell>
          <cell r="AD88">
            <v>45703</v>
          </cell>
          <cell r="AE88">
            <v>20</v>
          </cell>
          <cell r="AF88">
            <v>46022</v>
          </cell>
          <cell r="AG88">
            <v>100</v>
          </cell>
          <cell r="AH88">
            <v>150</v>
          </cell>
          <cell r="AI88">
            <v>100</v>
          </cell>
          <cell r="AJ88">
            <v>103</v>
          </cell>
          <cell r="AK88">
            <v>154.5</v>
          </cell>
          <cell r="AL88">
            <v>4.5</v>
          </cell>
          <cell r="AM88">
            <v>3</v>
          </cell>
          <cell r="AN88">
            <v>4.5</v>
          </cell>
          <cell r="AO88">
            <v>3</v>
          </cell>
          <cell r="AP88">
            <v>4.5</v>
          </cell>
          <cell r="AQ88">
            <v>3</v>
          </cell>
          <cell r="AR88" t="str">
            <v>US_24367</v>
          </cell>
          <cell r="AS88">
            <v>0</v>
          </cell>
          <cell r="AT88">
            <v>152</v>
          </cell>
          <cell r="AU88">
            <v>152</v>
          </cell>
          <cell r="AV88">
            <v>0</v>
          </cell>
          <cell r="AW88">
            <v>456</v>
          </cell>
          <cell r="AX88">
            <v>456</v>
          </cell>
          <cell r="AY88">
            <v>456</v>
          </cell>
          <cell r="AZ88">
            <v>62.5</v>
          </cell>
          <cell r="BA88">
            <v>6.6</v>
          </cell>
          <cell r="BB88">
            <v>1003.1999999999999</v>
          </cell>
          <cell r="BC88">
            <v>38.28125</v>
          </cell>
          <cell r="BD88">
            <v>456</v>
          </cell>
          <cell r="BE88">
            <v>364.8</v>
          </cell>
          <cell r="BF88">
            <v>456</v>
          </cell>
          <cell r="BG88">
            <v>15656</v>
          </cell>
          <cell r="BH88">
            <v>15656</v>
          </cell>
          <cell r="BI88">
            <v>15200</v>
          </cell>
          <cell r="BJ88">
            <v>0</v>
          </cell>
          <cell r="BK88">
            <v>0</v>
          </cell>
          <cell r="BL88">
            <v>0</v>
          </cell>
          <cell r="BM88">
            <v>15200</v>
          </cell>
          <cell r="BN88">
            <v>0</v>
          </cell>
          <cell r="BO88">
            <v>456</v>
          </cell>
          <cell r="BP88" t="str">
            <v>Y</v>
          </cell>
          <cell r="BQ88">
            <v>1</v>
          </cell>
          <cell r="BR88" t="str">
            <v>N</v>
          </cell>
          <cell r="BS88">
            <v>1003.1999999999999</v>
          </cell>
          <cell r="BT88" t="str">
            <v>Done</v>
          </cell>
          <cell r="BU88">
            <v>152</v>
          </cell>
          <cell r="BV88">
            <v>2024</v>
          </cell>
        </row>
        <row r="89">
          <cell r="A89" t="str">
            <v>Lucknow</v>
          </cell>
          <cell r="B89" t="str">
            <v>Mavericks</v>
          </cell>
          <cell r="C89" t="str">
            <v>Mid Level</v>
          </cell>
          <cell r="D89" t="str">
            <v>Rohit Gupta</v>
          </cell>
          <cell r="E89" t="str">
            <v>Vivek Yadav</v>
          </cell>
          <cell r="F89">
            <v>0</v>
          </cell>
          <cell r="H89" t="str">
            <v>Nilesh Shahi</v>
          </cell>
          <cell r="K89">
            <v>0</v>
          </cell>
          <cell r="L89" t="str">
            <v>Old</v>
          </cell>
          <cell r="M89">
            <v>45348</v>
          </cell>
          <cell r="N89">
            <v>1</v>
          </cell>
          <cell r="O89">
            <v>698</v>
          </cell>
          <cell r="P89" t="str">
            <v>-</v>
          </cell>
          <cell r="Q89">
            <v>45713</v>
          </cell>
          <cell r="R89" t="str">
            <v>PLC-3633</v>
          </cell>
          <cell r="S89" t="str">
            <v>Bheem Rao Palepu</v>
          </cell>
          <cell r="T89" t="str">
            <v>Individual</v>
          </cell>
          <cell r="U89" t="str">
            <v>C2C</v>
          </cell>
          <cell r="V89" t="str">
            <v>Coforge</v>
          </cell>
          <cell r="W89">
            <v>100</v>
          </cell>
          <cell r="X89">
            <v>150</v>
          </cell>
          <cell r="Y89" t="str">
            <v>USD</v>
          </cell>
          <cell r="Z89">
            <v>103</v>
          </cell>
          <cell r="AA89">
            <v>154.5</v>
          </cell>
          <cell r="AB89">
            <v>0</v>
          </cell>
          <cell r="AC89">
            <v>0</v>
          </cell>
          <cell r="AD89">
            <v>45731</v>
          </cell>
          <cell r="AE89">
            <v>21</v>
          </cell>
          <cell r="AF89">
            <v>46022</v>
          </cell>
          <cell r="AG89">
            <v>100</v>
          </cell>
          <cell r="AH89">
            <v>150</v>
          </cell>
          <cell r="AI89">
            <v>100</v>
          </cell>
          <cell r="AJ89">
            <v>103</v>
          </cell>
          <cell r="AK89">
            <v>154.5</v>
          </cell>
          <cell r="AL89">
            <v>4.5</v>
          </cell>
          <cell r="AM89">
            <v>3</v>
          </cell>
          <cell r="AN89">
            <v>4.5</v>
          </cell>
          <cell r="AO89">
            <v>3</v>
          </cell>
          <cell r="AP89">
            <v>4.5</v>
          </cell>
          <cell r="AQ89">
            <v>3</v>
          </cell>
          <cell r="AR89" t="str">
            <v>US_24563</v>
          </cell>
          <cell r="AS89">
            <v>0</v>
          </cell>
          <cell r="AT89">
            <v>168</v>
          </cell>
          <cell r="AU89">
            <v>168</v>
          </cell>
          <cell r="AV89">
            <v>0</v>
          </cell>
          <cell r="AW89">
            <v>504</v>
          </cell>
          <cell r="AX89">
            <v>504</v>
          </cell>
          <cell r="AY89">
            <v>504</v>
          </cell>
          <cell r="AZ89">
            <v>62.5</v>
          </cell>
          <cell r="BA89">
            <v>6.6</v>
          </cell>
          <cell r="BB89">
            <v>0</v>
          </cell>
          <cell r="BC89">
            <v>38.28125</v>
          </cell>
          <cell r="BD89">
            <v>0</v>
          </cell>
          <cell r="BE89">
            <v>0</v>
          </cell>
          <cell r="BF89">
            <v>0</v>
          </cell>
          <cell r="BG89">
            <v>17304</v>
          </cell>
          <cell r="BH89">
            <v>17304</v>
          </cell>
          <cell r="BI89">
            <v>16800</v>
          </cell>
          <cell r="BJ89">
            <v>0</v>
          </cell>
          <cell r="BK89">
            <v>0</v>
          </cell>
          <cell r="BL89">
            <v>0</v>
          </cell>
          <cell r="BM89">
            <v>16800</v>
          </cell>
          <cell r="BN89">
            <v>0</v>
          </cell>
          <cell r="BO89">
            <v>504</v>
          </cell>
          <cell r="BP89" t="str">
            <v>Y</v>
          </cell>
          <cell r="BQ89">
            <v>1</v>
          </cell>
          <cell r="BR89" t="str">
            <v>N</v>
          </cell>
          <cell r="BS89">
            <v>0</v>
          </cell>
          <cell r="BT89" t="str">
            <v>Done</v>
          </cell>
          <cell r="BU89">
            <v>168</v>
          </cell>
          <cell r="BV89">
            <v>2024</v>
          </cell>
        </row>
        <row r="90">
          <cell r="A90" t="str">
            <v>Lucknow</v>
          </cell>
          <cell r="B90" t="str">
            <v>Mavericks</v>
          </cell>
          <cell r="C90" t="str">
            <v>Mid Level</v>
          </cell>
          <cell r="D90" t="str">
            <v>Rohit Gupta</v>
          </cell>
          <cell r="E90" t="str">
            <v>Vivek Yadav</v>
          </cell>
          <cell r="F90">
            <v>0</v>
          </cell>
          <cell r="H90" t="str">
            <v>Nilesh Shahi</v>
          </cell>
          <cell r="K90">
            <v>0</v>
          </cell>
          <cell r="L90" t="str">
            <v>Old</v>
          </cell>
          <cell r="M90">
            <v>45348</v>
          </cell>
          <cell r="N90">
            <v>1</v>
          </cell>
          <cell r="O90">
            <v>698</v>
          </cell>
          <cell r="P90" t="str">
            <v>-</v>
          </cell>
          <cell r="Q90">
            <v>45713</v>
          </cell>
          <cell r="R90" t="str">
            <v>PLC-3633</v>
          </cell>
          <cell r="S90" t="str">
            <v>Bheem Rao Palepu</v>
          </cell>
          <cell r="T90" t="str">
            <v>Individual</v>
          </cell>
          <cell r="U90" t="str">
            <v>C2C</v>
          </cell>
          <cell r="V90" t="str">
            <v>Coforge</v>
          </cell>
          <cell r="W90">
            <v>100</v>
          </cell>
          <cell r="X90">
            <v>150</v>
          </cell>
          <cell r="Y90" t="str">
            <v>USD</v>
          </cell>
          <cell r="Z90">
            <v>103</v>
          </cell>
          <cell r="AA90">
            <v>154.5</v>
          </cell>
          <cell r="AB90">
            <v>0</v>
          </cell>
          <cell r="AC90">
            <v>0</v>
          </cell>
          <cell r="AD90">
            <v>45762</v>
          </cell>
          <cell r="AE90">
            <v>22</v>
          </cell>
          <cell r="AF90">
            <v>46022</v>
          </cell>
          <cell r="AG90">
            <v>100</v>
          </cell>
          <cell r="AH90">
            <v>150</v>
          </cell>
          <cell r="AI90">
            <v>100</v>
          </cell>
          <cell r="AJ90">
            <v>103</v>
          </cell>
          <cell r="AK90">
            <v>154.5</v>
          </cell>
          <cell r="AL90">
            <v>4.5</v>
          </cell>
          <cell r="AM90">
            <v>3</v>
          </cell>
          <cell r="AN90">
            <v>4.5</v>
          </cell>
          <cell r="AO90">
            <v>3</v>
          </cell>
          <cell r="AP90">
            <v>4.5</v>
          </cell>
          <cell r="AQ90">
            <v>3</v>
          </cell>
          <cell r="AR90" t="str">
            <v>US_24779</v>
          </cell>
          <cell r="AS90">
            <v>0</v>
          </cell>
          <cell r="AT90">
            <v>176</v>
          </cell>
          <cell r="AU90">
            <v>176</v>
          </cell>
          <cell r="AV90">
            <v>0</v>
          </cell>
          <cell r="AW90">
            <v>528</v>
          </cell>
          <cell r="AX90">
            <v>528</v>
          </cell>
          <cell r="AY90">
            <v>528</v>
          </cell>
          <cell r="AZ90">
            <v>62.5</v>
          </cell>
          <cell r="BA90">
            <v>6.6</v>
          </cell>
          <cell r="BB90">
            <v>0</v>
          </cell>
          <cell r="BC90">
            <v>38.28125</v>
          </cell>
          <cell r="BD90">
            <v>0</v>
          </cell>
          <cell r="BE90">
            <v>0</v>
          </cell>
          <cell r="BF90">
            <v>0</v>
          </cell>
          <cell r="BG90">
            <v>18128</v>
          </cell>
          <cell r="BH90">
            <v>18128</v>
          </cell>
          <cell r="BI90">
            <v>17600</v>
          </cell>
          <cell r="BJ90">
            <v>0</v>
          </cell>
          <cell r="BK90">
            <v>0</v>
          </cell>
          <cell r="BL90">
            <v>0</v>
          </cell>
          <cell r="BM90">
            <v>17600</v>
          </cell>
          <cell r="BN90">
            <v>0</v>
          </cell>
          <cell r="BO90">
            <v>528</v>
          </cell>
          <cell r="BP90" t="str">
            <v>Y</v>
          </cell>
          <cell r="BQ90">
            <v>2</v>
          </cell>
          <cell r="BR90" t="str">
            <v>N</v>
          </cell>
          <cell r="BS90">
            <v>0</v>
          </cell>
          <cell r="BT90" t="str">
            <v>Done</v>
          </cell>
          <cell r="BU90">
            <v>176</v>
          </cell>
          <cell r="BV90">
            <v>2024</v>
          </cell>
        </row>
        <row r="91">
          <cell r="A91" t="str">
            <v>Lucknow</v>
          </cell>
          <cell r="B91" t="str">
            <v>Vantedge</v>
          </cell>
          <cell r="C91" t="str">
            <v>Senior</v>
          </cell>
          <cell r="D91" t="str">
            <v>Anshul Kumar</v>
          </cell>
          <cell r="E91" t="str">
            <v>Dev Srivastava</v>
          </cell>
          <cell r="H91" t="str">
            <v>Priyansh Khare</v>
          </cell>
          <cell r="L91" t="str">
            <v>New</v>
          </cell>
          <cell r="M91">
            <v>45733</v>
          </cell>
          <cell r="N91">
            <v>1</v>
          </cell>
          <cell r="O91">
            <v>313</v>
          </cell>
          <cell r="P91" t="str">
            <v>-</v>
          </cell>
          <cell r="Q91">
            <v>46098</v>
          </cell>
          <cell r="R91" t="str">
            <v>PLC-4178</v>
          </cell>
          <cell r="S91" t="str">
            <v>Brandon Ross</v>
          </cell>
          <cell r="T91" t="str">
            <v>Individual</v>
          </cell>
          <cell r="U91" t="str">
            <v>FTE</v>
          </cell>
          <cell r="V91" t="str">
            <v>VXI</v>
          </cell>
          <cell r="W91">
            <v>0</v>
          </cell>
          <cell r="X91">
            <v>0</v>
          </cell>
          <cell r="Y91" t="str">
            <v>USD</v>
          </cell>
          <cell r="Z91">
            <v>20250</v>
          </cell>
          <cell r="AA91">
            <v>0</v>
          </cell>
          <cell r="AB91">
            <v>0</v>
          </cell>
          <cell r="AC91">
            <v>0</v>
          </cell>
          <cell r="AD91">
            <v>45731</v>
          </cell>
          <cell r="AE91">
            <v>1</v>
          </cell>
          <cell r="AF91">
            <v>46022</v>
          </cell>
          <cell r="AG91">
            <v>0</v>
          </cell>
          <cell r="AH91">
            <v>0</v>
          </cell>
          <cell r="AI91">
            <v>0</v>
          </cell>
          <cell r="AJ91">
            <v>20250</v>
          </cell>
          <cell r="AK91">
            <v>0</v>
          </cell>
          <cell r="AL91">
            <v>0</v>
          </cell>
          <cell r="AM91">
            <v>20250</v>
          </cell>
          <cell r="AN91">
            <v>0</v>
          </cell>
          <cell r="AO91">
            <v>20250</v>
          </cell>
          <cell r="AP91">
            <v>0</v>
          </cell>
          <cell r="AQ91">
            <v>20250</v>
          </cell>
          <cell r="AR91" t="str">
            <v>US_24528</v>
          </cell>
          <cell r="AS91">
            <v>0</v>
          </cell>
          <cell r="AT91">
            <v>1</v>
          </cell>
          <cell r="AU91">
            <v>1</v>
          </cell>
          <cell r="AV91">
            <v>0</v>
          </cell>
          <cell r="AW91">
            <v>20250</v>
          </cell>
          <cell r="AX91">
            <v>20250</v>
          </cell>
          <cell r="AY91">
            <v>20250</v>
          </cell>
          <cell r="AZ91">
            <v>42</v>
          </cell>
          <cell r="BA91">
            <v>20250</v>
          </cell>
          <cell r="BB91">
            <v>20250</v>
          </cell>
          <cell r="BC91">
            <v>100</v>
          </cell>
          <cell r="BD91">
            <v>20250</v>
          </cell>
          <cell r="BE91">
            <v>32400</v>
          </cell>
          <cell r="BF91">
            <v>20250</v>
          </cell>
          <cell r="BG91">
            <v>20250</v>
          </cell>
          <cell r="BH91">
            <v>20250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20250</v>
          </cell>
          <cell r="BP91" t="str">
            <v>Y</v>
          </cell>
          <cell r="BQ91">
            <v>1</v>
          </cell>
          <cell r="BR91" t="str">
            <v>Y</v>
          </cell>
          <cell r="BS91">
            <v>20250</v>
          </cell>
          <cell r="BT91" t="str">
            <v>Done</v>
          </cell>
          <cell r="BU91">
            <v>0</v>
          </cell>
          <cell r="BV91">
            <v>2025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Nitin Saxena</v>
          </cell>
          <cell r="E92" t="str">
            <v>-</v>
          </cell>
          <cell r="H92" t="str">
            <v>Samad Quraishi</v>
          </cell>
          <cell r="L92" t="str">
            <v>New</v>
          </cell>
          <cell r="M92">
            <v>45747</v>
          </cell>
          <cell r="N92">
            <v>1</v>
          </cell>
          <cell r="O92">
            <v>299</v>
          </cell>
          <cell r="P92" t="str">
            <v>-</v>
          </cell>
          <cell r="Q92">
            <v>46112</v>
          </cell>
          <cell r="R92" t="str">
            <v>PLC-4199</v>
          </cell>
          <cell r="S92" t="str">
            <v>Brianna Myers</v>
          </cell>
          <cell r="T92" t="str">
            <v>Individual</v>
          </cell>
          <cell r="U92" t="str">
            <v>FTE</v>
          </cell>
          <cell r="V92" t="str">
            <v>WNS</v>
          </cell>
          <cell r="W92">
            <v>0</v>
          </cell>
          <cell r="X92">
            <v>0</v>
          </cell>
          <cell r="Y92" t="str">
            <v>USD</v>
          </cell>
          <cell r="Z92">
            <v>4784</v>
          </cell>
          <cell r="AA92">
            <v>0</v>
          </cell>
          <cell r="AB92">
            <v>0</v>
          </cell>
          <cell r="AC92">
            <v>0</v>
          </cell>
          <cell r="AD92">
            <v>45731</v>
          </cell>
          <cell r="AE92">
            <v>1</v>
          </cell>
          <cell r="AF92">
            <v>46022</v>
          </cell>
          <cell r="AG92">
            <v>0</v>
          </cell>
          <cell r="AH92">
            <v>0</v>
          </cell>
          <cell r="AI92">
            <v>0</v>
          </cell>
          <cell r="AJ92">
            <v>4784</v>
          </cell>
          <cell r="AK92">
            <v>0</v>
          </cell>
          <cell r="AL92">
            <v>0</v>
          </cell>
          <cell r="AM92">
            <v>4784</v>
          </cell>
          <cell r="AN92">
            <v>0</v>
          </cell>
          <cell r="AO92">
            <v>4784</v>
          </cell>
          <cell r="AP92">
            <v>0</v>
          </cell>
          <cell r="AQ92">
            <v>4784</v>
          </cell>
          <cell r="AR92" t="str">
            <v>US_24722</v>
          </cell>
          <cell r="AS92">
            <v>0</v>
          </cell>
          <cell r="AT92">
            <v>1</v>
          </cell>
          <cell r="AU92">
            <v>1</v>
          </cell>
          <cell r="AV92">
            <v>0</v>
          </cell>
          <cell r="AW92">
            <v>4784</v>
          </cell>
          <cell r="AX92">
            <v>4784</v>
          </cell>
          <cell r="AY92">
            <v>4784</v>
          </cell>
          <cell r="AZ92">
            <v>125</v>
          </cell>
          <cell r="BA92">
            <v>7654.4</v>
          </cell>
          <cell r="BB92">
            <v>7654.4</v>
          </cell>
          <cell r="BC92">
            <v>46</v>
          </cell>
          <cell r="BD92">
            <v>4784</v>
          </cell>
          <cell r="BE92">
            <v>3827.2</v>
          </cell>
          <cell r="BF92">
            <v>4784</v>
          </cell>
          <cell r="BG92">
            <v>4784</v>
          </cell>
          <cell r="BH92">
            <v>4784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4784</v>
          </cell>
          <cell r="BP92" t="str">
            <v>Y</v>
          </cell>
          <cell r="BQ92">
            <v>1</v>
          </cell>
          <cell r="BR92" t="str">
            <v>Y</v>
          </cell>
          <cell r="BS92">
            <v>7654.4</v>
          </cell>
          <cell r="BT92" t="str">
            <v>Done</v>
          </cell>
          <cell r="BU92">
            <v>0</v>
          </cell>
          <cell r="BV92">
            <v>2025</v>
          </cell>
        </row>
        <row r="93">
          <cell r="A93" t="str">
            <v>Lucknow</v>
          </cell>
          <cell r="B93" t="str">
            <v>Mavericks</v>
          </cell>
          <cell r="C93" t="str">
            <v>Mid Level</v>
          </cell>
          <cell r="D93" t="str">
            <v>Rohit Gupta</v>
          </cell>
          <cell r="E93" t="str">
            <v>-</v>
          </cell>
          <cell r="H93" t="str">
            <v>Yogesh Bisht</v>
          </cell>
          <cell r="J93" t="str">
            <v>ACH</v>
          </cell>
          <cell r="K93">
            <v>0</v>
          </cell>
          <cell r="L93" t="str">
            <v>Old</v>
          </cell>
          <cell r="M93">
            <v>45383</v>
          </cell>
          <cell r="N93">
            <v>2</v>
          </cell>
          <cell r="O93">
            <v>663</v>
          </cell>
          <cell r="P93">
            <v>45814</v>
          </cell>
          <cell r="Q93">
            <v>45748</v>
          </cell>
          <cell r="R93" t="str">
            <v>PLC-3700</v>
          </cell>
          <cell r="S93" t="str">
            <v>Brittney Petitte</v>
          </cell>
          <cell r="T93" t="str">
            <v>Individual</v>
          </cell>
          <cell r="U93">
            <v>1099</v>
          </cell>
          <cell r="V93" t="str">
            <v>Xceedence</v>
          </cell>
          <cell r="W93">
            <v>18</v>
          </cell>
          <cell r="X93">
            <v>27</v>
          </cell>
          <cell r="Y93" t="str">
            <v>USD</v>
          </cell>
          <cell r="Z93">
            <v>24</v>
          </cell>
          <cell r="AA93">
            <v>36</v>
          </cell>
          <cell r="AB93">
            <v>0</v>
          </cell>
          <cell r="AC93">
            <v>0</v>
          </cell>
          <cell r="AD93">
            <v>45672</v>
          </cell>
          <cell r="AE93">
            <v>22</v>
          </cell>
          <cell r="AF93">
            <v>46022</v>
          </cell>
          <cell r="AG93">
            <v>19.260000000000002</v>
          </cell>
          <cell r="AH93">
            <v>28.89</v>
          </cell>
          <cell r="AI93">
            <v>19.260000000000002</v>
          </cell>
          <cell r="AJ93">
            <v>24</v>
          </cell>
          <cell r="AK93">
            <v>36</v>
          </cell>
          <cell r="AL93">
            <v>7.1099999999999994</v>
          </cell>
          <cell r="AM93">
            <v>4.7399999999999984</v>
          </cell>
          <cell r="AN93">
            <v>7.1099999999999994</v>
          </cell>
          <cell r="AO93">
            <v>4.7399999999999984</v>
          </cell>
          <cell r="AP93">
            <v>7.1099999999999994</v>
          </cell>
          <cell r="AQ93">
            <v>4.7399999999999984</v>
          </cell>
          <cell r="AR93" t="str">
            <v>US_24223</v>
          </cell>
          <cell r="AS93">
            <v>0</v>
          </cell>
          <cell r="AT93">
            <v>133.26</v>
          </cell>
          <cell r="AU93">
            <v>133.26</v>
          </cell>
          <cell r="AV93">
            <v>0</v>
          </cell>
          <cell r="AW93">
            <v>631.65239999999972</v>
          </cell>
          <cell r="AX93">
            <v>625.33587599999976</v>
          </cell>
          <cell r="AY93">
            <v>631.65239999999972</v>
          </cell>
          <cell r="AZ93">
            <v>21.428571428571427</v>
          </cell>
          <cell r="BA93">
            <v>7.5839999999999979</v>
          </cell>
          <cell r="BB93">
            <v>1010.6438399999996</v>
          </cell>
          <cell r="BC93">
            <v>38.28125</v>
          </cell>
          <cell r="BD93">
            <v>631.65239999999972</v>
          </cell>
          <cell r="BE93">
            <v>505.32191999999981</v>
          </cell>
          <cell r="BF93">
            <v>625.33587599999976</v>
          </cell>
          <cell r="BG93">
            <v>3198.24</v>
          </cell>
          <cell r="BH93">
            <v>3198.24</v>
          </cell>
          <cell r="BI93">
            <v>2398.6799999999998</v>
          </cell>
          <cell r="BJ93">
            <v>1.2600000000000002</v>
          </cell>
          <cell r="BK93">
            <v>0</v>
          </cell>
          <cell r="BL93">
            <v>167.90760000000003</v>
          </cell>
          <cell r="BM93">
            <v>2566.5875999999998</v>
          </cell>
          <cell r="BN93">
            <v>1.2600000000000002</v>
          </cell>
          <cell r="BO93">
            <v>631.65239999999994</v>
          </cell>
          <cell r="BP93" t="str">
            <v>Y</v>
          </cell>
          <cell r="BQ93">
            <v>1</v>
          </cell>
          <cell r="BR93" t="str">
            <v>Y</v>
          </cell>
          <cell r="BS93">
            <v>1010.6438399999996</v>
          </cell>
          <cell r="BT93" t="str">
            <v>Done</v>
          </cell>
          <cell r="BU93">
            <v>133.26</v>
          </cell>
          <cell r="BV93">
            <v>2024</v>
          </cell>
        </row>
        <row r="94">
          <cell r="A94" t="str">
            <v>Lucknow</v>
          </cell>
          <cell r="B94" t="str">
            <v>Mavericks</v>
          </cell>
          <cell r="C94" t="str">
            <v>Mid Level</v>
          </cell>
          <cell r="D94" t="str">
            <v>Rohit Gupta</v>
          </cell>
          <cell r="E94" t="str">
            <v>-</v>
          </cell>
          <cell r="H94" t="str">
            <v>Yogesh Bisht</v>
          </cell>
          <cell r="J94" t="str">
            <v>ACH</v>
          </cell>
          <cell r="K94">
            <v>0</v>
          </cell>
          <cell r="L94" t="str">
            <v>Old</v>
          </cell>
          <cell r="M94">
            <v>45383</v>
          </cell>
          <cell r="N94">
            <v>2</v>
          </cell>
          <cell r="O94">
            <v>663</v>
          </cell>
          <cell r="P94">
            <v>45814</v>
          </cell>
          <cell r="Q94">
            <v>45748</v>
          </cell>
          <cell r="R94" t="str">
            <v>PLC-3700</v>
          </cell>
          <cell r="S94" t="str">
            <v>Brittney Petitte</v>
          </cell>
          <cell r="T94" t="str">
            <v>Individual</v>
          </cell>
          <cell r="U94">
            <v>1099</v>
          </cell>
          <cell r="V94" t="str">
            <v>Xceedence</v>
          </cell>
          <cell r="W94">
            <v>18</v>
          </cell>
          <cell r="X94">
            <v>27</v>
          </cell>
          <cell r="Y94" t="str">
            <v>USD</v>
          </cell>
          <cell r="Z94">
            <v>24</v>
          </cell>
          <cell r="AA94">
            <v>36</v>
          </cell>
          <cell r="AB94">
            <v>0</v>
          </cell>
          <cell r="AC94">
            <v>0</v>
          </cell>
          <cell r="AD94">
            <v>45703</v>
          </cell>
          <cell r="AE94">
            <v>20</v>
          </cell>
          <cell r="AF94">
            <v>46022</v>
          </cell>
          <cell r="AG94">
            <v>19.260000000000002</v>
          </cell>
          <cell r="AH94">
            <v>28.89</v>
          </cell>
          <cell r="AI94">
            <v>19.260000000000002</v>
          </cell>
          <cell r="AJ94">
            <v>24</v>
          </cell>
          <cell r="AK94">
            <v>36</v>
          </cell>
          <cell r="AL94">
            <v>7.1099999999999994</v>
          </cell>
          <cell r="AM94">
            <v>4.7399999999999984</v>
          </cell>
          <cell r="AN94">
            <v>7.1099999999999994</v>
          </cell>
          <cell r="AO94">
            <v>4.7399999999999984</v>
          </cell>
          <cell r="AP94">
            <v>7.1099999999999994</v>
          </cell>
          <cell r="AQ94">
            <v>4.7399999999999984</v>
          </cell>
          <cell r="AR94" t="str">
            <v>US_24430</v>
          </cell>
          <cell r="AS94">
            <v>0</v>
          </cell>
          <cell r="AT94">
            <v>139.57999999999998</v>
          </cell>
          <cell r="AU94">
            <v>139.57999999999998</v>
          </cell>
          <cell r="AV94">
            <v>0</v>
          </cell>
          <cell r="AW94">
            <v>661.60919999999976</v>
          </cell>
          <cell r="AX94">
            <v>654.99310799999978</v>
          </cell>
          <cell r="AY94">
            <v>661.60919999999976</v>
          </cell>
          <cell r="AZ94">
            <v>21.428571428571427</v>
          </cell>
          <cell r="BA94">
            <v>7.5839999999999979</v>
          </cell>
          <cell r="BB94">
            <v>1058.5747199999996</v>
          </cell>
          <cell r="BC94">
            <v>38.28125</v>
          </cell>
          <cell r="BD94">
            <v>661.60919999999976</v>
          </cell>
          <cell r="BE94">
            <v>529.28735999999981</v>
          </cell>
          <cell r="BF94">
            <v>654.99310799999978</v>
          </cell>
          <cell r="BG94">
            <v>3349.9199999999996</v>
          </cell>
          <cell r="BH94">
            <v>3349.9199999999996</v>
          </cell>
          <cell r="BI94">
            <v>2512.4399999999996</v>
          </cell>
          <cell r="BJ94">
            <v>1.2600000000000002</v>
          </cell>
          <cell r="BK94">
            <v>0</v>
          </cell>
          <cell r="BL94">
            <v>175.8708</v>
          </cell>
          <cell r="BM94">
            <v>2688.3107999999997</v>
          </cell>
          <cell r="BN94">
            <v>1.2600000000000002</v>
          </cell>
          <cell r="BO94">
            <v>661.60919999999999</v>
          </cell>
          <cell r="BP94" t="str">
            <v>Y</v>
          </cell>
          <cell r="BQ94">
            <v>1</v>
          </cell>
          <cell r="BR94" t="str">
            <v>Y</v>
          </cell>
          <cell r="BS94">
            <v>1058.5747199999996</v>
          </cell>
          <cell r="BT94" t="str">
            <v>Done</v>
          </cell>
          <cell r="BU94">
            <v>139.57999999999998</v>
          </cell>
          <cell r="BV94">
            <v>2024</v>
          </cell>
        </row>
        <row r="95">
          <cell r="A95" t="str">
            <v>Lucknow</v>
          </cell>
          <cell r="B95" t="str">
            <v>Mavericks</v>
          </cell>
          <cell r="C95" t="str">
            <v>Mid Level</v>
          </cell>
          <cell r="D95" t="str">
            <v>Rohit Gupta</v>
          </cell>
          <cell r="E95" t="str">
            <v>-</v>
          </cell>
          <cell r="H95" t="str">
            <v>Yogesh Bisht</v>
          </cell>
          <cell r="J95" t="str">
            <v>ACH</v>
          </cell>
          <cell r="K95">
            <v>0</v>
          </cell>
          <cell r="L95" t="str">
            <v>Old</v>
          </cell>
          <cell r="M95">
            <v>45383</v>
          </cell>
          <cell r="N95">
            <v>2</v>
          </cell>
          <cell r="O95">
            <v>663</v>
          </cell>
          <cell r="P95">
            <v>45814</v>
          </cell>
          <cell r="Q95">
            <v>45748</v>
          </cell>
          <cell r="R95" t="str">
            <v>PLC-3700</v>
          </cell>
          <cell r="S95" t="str">
            <v>Brittney Petitte</v>
          </cell>
          <cell r="T95" t="str">
            <v>Individual</v>
          </cell>
          <cell r="U95">
            <v>1099</v>
          </cell>
          <cell r="V95" t="str">
            <v>Xceedence</v>
          </cell>
          <cell r="W95">
            <v>18</v>
          </cell>
          <cell r="X95">
            <v>27</v>
          </cell>
          <cell r="Y95" t="str">
            <v>USD</v>
          </cell>
          <cell r="Z95">
            <v>24</v>
          </cell>
          <cell r="AA95">
            <v>36</v>
          </cell>
          <cell r="AB95">
            <v>0</v>
          </cell>
          <cell r="AC95">
            <v>0</v>
          </cell>
          <cell r="AD95">
            <v>45731</v>
          </cell>
          <cell r="AE95">
            <v>21</v>
          </cell>
          <cell r="AF95">
            <v>46022</v>
          </cell>
          <cell r="AG95">
            <v>19.260000000000002</v>
          </cell>
          <cell r="AH95">
            <v>28.89</v>
          </cell>
          <cell r="AI95">
            <v>19.260000000000002</v>
          </cell>
          <cell r="AJ95">
            <v>24</v>
          </cell>
          <cell r="AK95">
            <v>36</v>
          </cell>
          <cell r="AL95">
            <v>7.1099999999999994</v>
          </cell>
          <cell r="AM95">
            <v>4.7399999999999984</v>
          </cell>
          <cell r="AN95">
            <v>7.1099999999999994</v>
          </cell>
          <cell r="AO95">
            <v>4.7399999999999984</v>
          </cell>
          <cell r="AP95">
            <v>7.1099999999999994</v>
          </cell>
          <cell r="AQ95">
            <v>4.7399999999999984</v>
          </cell>
          <cell r="AR95" t="str">
            <v>US_24622</v>
          </cell>
          <cell r="AS95">
            <v>0</v>
          </cell>
          <cell r="AT95">
            <v>142.57</v>
          </cell>
          <cell r="AU95">
            <v>142.57</v>
          </cell>
          <cell r="AV95">
            <v>0</v>
          </cell>
          <cell r="AW95">
            <v>675.78179999999975</v>
          </cell>
          <cell r="AX95">
            <v>669.02398199999971</v>
          </cell>
          <cell r="AY95">
            <v>675.78179999999975</v>
          </cell>
          <cell r="AZ95">
            <v>21.428571428571427</v>
          </cell>
          <cell r="BA95">
            <v>7.5839999999999979</v>
          </cell>
          <cell r="BB95">
            <v>1081.2508799999996</v>
          </cell>
          <cell r="BC95">
            <v>38.28125</v>
          </cell>
          <cell r="BD95">
            <v>675.78179999999975</v>
          </cell>
          <cell r="BE95">
            <v>540.6254399999998</v>
          </cell>
          <cell r="BF95">
            <v>669.02398199999971</v>
          </cell>
          <cell r="BG95">
            <v>3421.68</v>
          </cell>
          <cell r="BH95">
            <v>3421.68</v>
          </cell>
          <cell r="BI95">
            <v>2566.2599999999998</v>
          </cell>
          <cell r="BJ95">
            <v>1.2600000000000002</v>
          </cell>
          <cell r="BK95">
            <v>0</v>
          </cell>
          <cell r="BL95">
            <v>179.63820000000001</v>
          </cell>
          <cell r="BM95">
            <v>2745.8981999999996</v>
          </cell>
          <cell r="BN95">
            <v>1.2600000000000002</v>
          </cell>
          <cell r="BO95">
            <v>675.78180000000009</v>
          </cell>
          <cell r="BP95" t="str">
            <v>Y</v>
          </cell>
          <cell r="BQ95">
            <v>1</v>
          </cell>
          <cell r="BR95" t="str">
            <v>Y</v>
          </cell>
          <cell r="BS95">
            <v>1081.2508799999996</v>
          </cell>
          <cell r="BT95" t="str">
            <v>Done</v>
          </cell>
          <cell r="BU95">
            <v>142.57</v>
          </cell>
          <cell r="BV95">
            <v>2024</v>
          </cell>
        </row>
        <row r="96">
          <cell r="A96" t="str">
            <v>Lucknow</v>
          </cell>
          <cell r="B96" t="str">
            <v>Mavericks</v>
          </cell>
          <cell r="C96" t="str">
            <v>Mid Level</v>
          </cell>
          <cell r="D96" t="str">
            <v>Rohit Gupta</v>
          </cell>
          <cell r="E96" t="str">
            <v>-</v>
          </cell>
          <cell r="H96" t="str">
            <v>Yogesh Bisht</v>
          </cell>
          <cell r="J96" t="str">
            <v>ACH</v>
          </cell>
          <cell r="K96">
            <v>0</v>
          </cell>
          <cell r="L96" t="str">
            <v>Old</v>
          </cell>
          <cell r="M96">
            <v>45383</v>
          </cell>
          <cell r="N96">
            <v>2</v>
          </cell>
          <cell r="O96">
            <v>663</v>
          </cell>
          <cell r="P96">
            <v>45814</v>
          </cell>
          <cell r="Q96">
            <v>45748</v>
          </cell>
          <cell r="R96" t="str">
            <v>PLC-3700</v>
          </cell>
          <cell r="S96" t="str">
            <v>Brittney Petitte</v>
          </cell>
          <cell r="T96" t="str">
            <v>Individual</v>
          </cell>
          <cell r="U96">
            <v>1099</v>
          </cell>
          <cell r="V96" t="str">
            <v>Xceedence</v>
          </cell>
          <cell r="W96">
            <v>18</v>
          </cell>
          <cell r="X96">
            <v>27</v>
          </cell>
          <cell r="Y96" t="str">
            <v>USD</v>
          </cell>
          <cell r="Z96">
            <v>24</v>
          </cell>
          <cell r="AA96">
            <v>36</v>
          </cell>
          <cell r="AB96">
            <v>0</v>
          </cell>
          <cell r="AC96">
            <v>0</v>
          </cell>
          <cell r="AD96">
            <v>45762</v>
          </cell>
          <cell r="AE96">
            <v>22</v>
          </cell>
          <cell r="AF96">
            <v>46022</v>
          </cell>
          <cell r="AG96">
            <v>19.260000000000002</v>
          </cell>
          <cell r="AH96">
            <v>28.89</v>
          </cell>
          <cell r="AI96">
            <v>19.260000000000002</v>
          </cell>
          <cell r="AJ96">
            <v>24</v>
          </cell>
          <cell r="AK96">
            <v>36</v>
          </cell>
          <cell r="AL96">
            <v>7.1099999999999994</v>
          </cell>
          <cell r="AM96">
            <v>4.7399999999999984</v>
          </cell>
          <cell r="AN96">
            <v>7.1099999999999994</v>
          </cell>
          <cell r="AO96">
            <v>4.7399999999999984</v>
          </cell>
          <cell r="AP96">
            <v>7.1099999999999994</v>
          </cell>
          <cell r="AQ96">
            <v>4.7399999999999984</v>
          </cell>
          <cell r="AR96" t="str">
            <v>US_24831</v>
          </cell>
          <cell r="AS96">
            <v>0</v>
          </cell>
          <cell r="AT96">
            <v>146.08000000000001</v>
          </cell>
          <cell r="AU96">
            <v>146.08000000000001</v>
          </cell>
          <cell r="AV96">
            <v>0</v>
          </cell>
          <cell r="AW96">
            <v>692.41919999999982</v>
          </cell>
          <cell r="AX96">
            <v>685.49500799999987</v>
          </cell>
          <cell r="AY96">
            <v>692.41919999999982</v>
          </cell>
          <cell r="AZ96">
            <v>21.428571428571427</v>
          </cell>
          <cell r="BA96">
            <v>7.5839999999999979</v>
          </cell>
          <cell r="BB96">
            <v>0</v>
          </cell>
          <cell r="BC96">
            <v>38.28125</v>
          </cell>
          <cell r="BD96">
            <v>0</v>
          </cell>
          <cell r="BE96">
            <v>0</v>
          </cell>
          <cell r="BF96">
            <v>0</v>
          </cell>
          <cell r="BG96">
            <v>3505.92</v>
          </cell>
          <cell r="BH96">
            <v>3505.92</v>
          </cell>
          <cell r="BI96">
            <v>2629.44</v>
          </cell>
          <cell r="BJ96">
            <v>1.2600000000000002</v>
          </cell>
          <cell r="BK96">
            <v>0</v>
          </cell>
          <cell r="BL96">
            <v>184.06080000000006</v>
          </cell>
          <cell r="BM96">
            <v>2813.5008000000003</v>
          </cell>
          <cell r="BN96">
            <v>1.2600000000000002</v>
          </cell>
          <cell r="BO96">
            <v>692.41919999999993</v>
          </cell>
          <cell r="BP96" t="str">
            <v>Y</v>
          </cell>
          <cell r="BQ96">
            <v>2</v>
          </cell>
          <cell r="BR96" t="str">
            <v>Y</v>
          </cell>
          <cell r="BS96">
            <v>0</v>
          </cell>
          <cell r="BT96" t="str">
            <v>Done</v>
          </cell>
          <cell r="BU96">
            <v>146.08000000000001</v>
          </cell>
          <cell r="BV96">
            <v>2024</v>
          </cell>
        </row>
        <row r="97">
          <cell r="A97" t="str">
            <v>Lucknow</v>
          </cell>
          <cell r="B97" t="str">
            <v>Trust</v>
          </cell>
          <cell r="C97" t="str">
            <v>Mid Level</v>
          </cell>
          <cell r="D97" t="str">
            <v>Bhanu Pratap Singh</v>
          </cell>
          <cell r="E97" t="str">
            <v>-</v>
          </cell>
          <cell r="H97" t="str">
            <v>Pass Through</v>
          </cell>
          <cell r="K97">
            <v>0</v>
          </cell>
          <cell r="L97" t="str">
            <v>Old</v>
          </cell>
          <cell r="M97">
            <v>45572</v>
          </cell>
          <cell r="N97">
            <v>4</v>
          </cell>
          <cell r="O97">
            <v>474</v>
          </cell>
          <cell r="P97">
            <v>45688</v>
          </cell>
          <cell r="Q97">
            <v>45937</v>
          </cell>
          <cell r="R97" t="str">
            <v>PLC-4011</v>
          </cell>
          <cell r="S97" t="str">
            <v>Brooke Noble</v>
          </cell>
          <cell r="T97" t="str">
            <v>Individual</v>
          </cell>
          <cell r="U97" t="str">
            <v>C2C</v>
          </cell>
          <cell r="V97" t="str">
            <v>Birlasoft</v>
          </cell>
          <cell r="W97">
            <v>70</v>
          </cell>
          <cell r="X97">
            <v>0</v>
          </cell>
          <cell r="Y97" t="str">
            <v>USD</v>
          </cell>
          <cell r="Z97">
            <v>72</v>
          </cell>
          <cell r="AA97">
            <v>0</v>
          </cell>
          <cell r="AB97">
            <v>0</v>
          </cell>
          <cell r="AC97">
            <v>0</v>
          </cell>
          <cell r="AD97">
            <v>45672</v>
          </cell>
          <cell r="AE97">
            <v>22</v>
          </cell>
          <cell r="AF97">
            <v>46022</v>
          </cell>
          <cell r="AG97">
            <v>70</v>
          </cell>
          <cell r="AH97">
            <v>0</v>
          </cell>
          <cell r="AI97">
            <v>70</v>
          </cell>
          <cell r="AJ97">
            <v>72</v>
          </cell>
          <cell r="AK97">
            <v>0</v>
          </cell>
          <cell r="AL97">
            <v>0</v>
          </cell>
          <cell r="AM97">
            <v>2</v>
          </cell>
          <cell r="AN97">
            <v>0</v>
          </cell>
          <cell r="AO97">
            <v>2</v>
          </cell>
          <cell r="AP97">
            <v>0</v>
          </cell>
          <cell r="AQ97">
            <v>2</v>
          </cell>
          <cell r="AR97" t="str">
            <v>US_24280</v>
          </cell>
          <cell r="AS97">
            <v>0</v>
          </cell>
          <cell r="AT97">
            <v>128</v>
          </cell>
          <cell r="AU97">
            <v>128</v>
          </cell>
          <cell r="AV97">
            <v>0</v>
          </cell>
          <cell r="AW97">
            <v>256</v>
          </cell>
          <cell r="AX97">
            <v>256</v>
          </cell>
          <cell r="AY97">
            <v>256</v>
          </cell>
          <cell r="AZ97">
            <v>0</v>
          </cell>
          <cell r="BA97">
            <v>0</v>
          </cell>
          <cell r="BB97">
            <v>0</v>
          </cell>
          <cell r="BD97">
            <v>256</v>
          </cell>
          <cell r="BF97">
            <v>256</v>
          </cell>
          <cell r="BG97">
            <v>9216</v>
          </cell>
          <cell r="BH97">
            <v>9216</v>
          </cell>
          <cell r="BI97">
            <v>8960</v>
          </cell>
          <cell r="BJ97">
            <v>0</v>
          </cell>
          <cell r="BK97">
            <v>0</v>
          </cell>
          <cell r="BL97">
            <v>0</v>
          </cell>
          <cell r="BM97">
            <v>8960</v>
          </cell>
          <cell r="BN97">
            <v>0</v>
          </cell>
          <cell r="BO97">
            <v>256</v>
          </cell>
          <cell r="BP97" t="str">
            <v>Y</v>
          </cell>
          <cell r="BQ97">
            <v>1</v>
          </cell>
          <cell r="BR97" t="str">
            <v>Y</v>
          </cell>
          <cell r="BS97">
            <v>0</v>
          </cell>
          <cell r="BT97" t="str">
            <v>Done</v>
          </cell>
          <cell r="BU97">
            <v>128</v>
          </cell>
          <cell r="BV97">
            <v>2024</v>
          </cell>
        </row>
        <row r="98">
          <cell r="A98" t="str">
            <v>Lucknow</v>
          </cell>
          <cell r="B98" t="str">
            <v>RPO</v>
          </cell>
          <cell r="C98" t="str">
            <v>Mid Level</v>
          </cell>
          <cell r="D98" t="str">
            <v>Ankit Pandey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Priyanka Mishra</v>
          </cell>
          <cell r="L98" t="str">
            <v>New</v>
          </cell>
          <cell r="M98">
            <v>45763</v>
          </cell>
          <cell r="N98">
            <v>2</v>
          </cell>
          <cell r="O98">
            <v>283</v>
          </cell>
          <cell r="P98" t="str">
            <v>-</v>
          </cell>
          <cell r="Q98">
            <v>46128</v>
          </cell>
          <cell r="R98" t="str">
            <v>PLC-4258</v>
          </cell>
          <cell r="S98" t="str">
            <v>Bryce Benjamin</v>
          </cell>
          <cell r="T98" t="str">
            <v>Individual</v>
          </cell>
          <cell r="U98" t="str">
            <v>FTE</v>
          </cell>
          <cell r="V98" t="str">
            <v>GPC RPO</v>
          </cell>
          <cell r="W98">
            <v>0</v>
          </cell>
          <cell r="X98">
            <v>0</v>
          </cell>
          <cell r="Y98" t="str">
            <v>USD</v>
          </cell>
          <cell r="Z98">
            <v>300</v>
          </cell>
          <cell r="AA98">
            <v>0</v>
          </cell>
          <cell r="AB98">
            <v>0</v>
          </cell>
          <cell r="AC98">
            <v>0</v>
          </cell>
          <cell r="AD98">
            <v>45762</v>
          </cell>
          <cell r="AE98">
            <v>1</v>
          </cell>
          <cell r="AF98">
            <v>46022</v>
          </cell>
          <cell r="AG98">
            <v>0</v>
          </cell>
          <cell r="AH98">
            <v>0</v>
          </cell>
          <cell r="AI98">
            <v>0</v>
          </cell>
          <cell r="AJ98">
            <v>300</v>
          </cell>
          <cell r="AK98">
            <v>0</v>
          </cell>
          <cell r="AL98">
            <v>0</v>
          </cell>
          <cell r="AM98">
            <v>300</v>
          </cell>
          <cell r="AN98">
            <v>0</v>
          </cell>
          <cell r="AO98">
            <v>300</v>
          </cell>
          <cell r="AP98">
            <v>0</v>
          </cell>
          <cell r="AQ98">
            <v>300</v>
          </cell>
          <cell r="AR98" t="str">
            <v>US_24759</v>
          </cell>
          <cell r="AS98">
            <v>0</v>
          </cell>
          <cell r="AT98">
            <v>1</v>
          </cell>
          <cell r="AU98">
            <v>1</v>
          </cell>
          <cell r="AV98">
            <v>0</v>
          </cell>
          <cell r="AW98">
            <v>300</v>
          </cell>
          <cell r="AX98">
            <v>300</v>
          </cell>
          <cell r="AY98">
            <v>300</v>
          </cell>
          <cell r="AZ98">
            <v>0</v>
          </cell>
          <cell r="BA98">
            <v>0</v>
          </cell>
          <cell r="BB98">
            <v>0</v>
          </cell>
          <cell r="BF98">
            <v>300</v>
          </cell>
          <cell r="BG98">
            <v>300</v>
          </cell>
          <cell r="BH98">
            <v>300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300</v>
          </cell>
          <cell r="BP98" t="str">
            <v>Y</v>
          </cell>
          <cell r="BQ98">
            <v>2</v>
          </cell>
          <cell r="BR98" t="str">
            <v>Y</v>
          </cell>
          <cell r="BS98">
            <v>0</v>
          </cell>
          <cell r="BT98" t="str">
            <v>Done</v>
          </cell>
          <cell r="BU98">
            <v>0</v>
          </cell>
          <cell r="BV98">
            <v>2025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Rohit Gupta</v>
          </cell>
          <cell r="E99" t="str">
            <v>-</v>
          </cell>
          <cell r="H99" t="str">
            <v>Hamza Ali</v>
          </cell>
          <cell r="J99" t="str">
            <v>ACH</v>
          </cell>
          <cell r="K99">
            <v>0</v>
          </cell>
          <cell r="L99" t="str">
            <v>Old</v>
          </cell>
          <cell r="M99">
            <v>45467</v>
          </cell>
          <cell r="N99">
            <v>2</v>
          </cell>
          <cell r="O99">
            <v>579</v>
          </cell>
          <cell r="P99">
            <v>45705</v>
          </cell>
          <cell r="Q99">
            <v>45832</v>
          </cell>
          <cell r="R99" t="str">
            <v>PLC-3831</v>
          </cell>
          <cell r="S99" t="str">
            <v>Carlean Thompkins</v>
          </cell>
          <cell r="T99" t="str">
            <v>Split</v>
          </cell>
          <cell r="U99">
            <v>1099</v>
          </cell>
          <cell r="V99" t="str">
            <v>Coforge</v>
          </cell>
          <cell r="W99">
            <v>16</v>
          </cell>
          <cell r="X99">
            <v>0</v>
          </cell>
          <cell r="Y99" t="str">
            <v>USD</v>
          </cell>
          <cell r="Z99">
            <v>20.12</v>
          </cell>
          <cell r="AA99">
            <v>0</v>
          </cell>
          <cell r="AB99">
            <v>0</v>
          </cell>
          <cell r="AC99">
            <v>0</v>
          </cell>
          <cell r="AD99">
            <v>45672</v>
          </cell>
          <cell r="AE99">
            <v>22</v>
          </cell>
          <cell r="AF99">
            <v>46022</v>
          </cell>
          <cell r="AG99">
            <v>17.12</v>
          </cell>
          <cell r="AH99">
            <v>0</v>
          </cell>
          <cell r="AI99">
            <v>17.12</v>
          </cell>
          <cell r="AJ99">
            <v>20.12</v>
          </cell>
          <cell r="AK99">
            <v>0</v>
          </cell>
          <cell r="AL99">
            <v>0</v>
          </cell>
          <cell r="AM99">
            <v>3</v>
          </cell>
          <cell r="AN99">
            <v>0</v>
          </cell>
          <cell r="AO99">
            <v>1.5</v>
          </cell>
          <cell r="AP99">
            <v>0</v>
          </cell>
          <cell r="AQ99">
            <v>1.5</v>
          </cell>
          <cell r="AR99" t="str">
            <v>US_24243</v>
          </cell>
          <cell r="AS99">
            <v>0</v>
          </cell>
          <cell r="AT99">
            <v>166</v>
          </cell>
          <cell r="AU99">
            <v>166</v>
          </cell>
          <cell r="AV99">
            <v>0</v>
          </cell>
          <cell r="AW99">
            <v>249</v>
          </cell>
          <cell r="AX99">
            <v>246.51</v>
          </cell>
          <cell r="AY99">
            <v>249</v>
          </cell>
          <cell r="AZ99">
            <v>106.25</v>
          </cell>
          <cell r="BA99">
            <v>5.0999999999999996</v>
          </cell>
          <cell r="BB99">
            <v>846.59999999999991</v>
          </cell>
          <cell r="BC99">
            <v>38.28125</v>
          </cell>
          <cell r="BD99">
            <v>249</v>
          </cell>
          <cell r="BE99">
            <v>199.2</v>
          </cell>
          <cell r="BF99">
            <v>246.51</v>
          </cell>
          <cell r="BG99">
            <v>1669.96</v>
          </cell>
          <cell r="BH99">
            <v>1669.96</v>
          </cell>
          <cell r="BI99">
            <v>1328</v>
          </cell>
          <cell r="BJ99">
            <v>1.1200000000000001</v>
          </cell>
          <cell r="BK99">
            <v>0</v>
          </cell>
          <cell r="BL99">
            <v>185.92000000000002</v>
          </cell>
          <cell r="BM99">
            <v>1513.92</v>
          </cell>
          <cell r="BN99">
            <v>1.1200000000000001</v>
          </cell>
          <cell r="BO99">
            <v>156.04000000000002</v>
          </cell>
          <cell r="BP99" t="str">
            <v>Y</v>
          </cell>
          <cell r="BQ99">
            <v>1</v>
          </cell>
          <cell r="BR99" t="str">
            <v>Y</v>
          </cell>
          <cell r="BS99">
            <v>846.59999999999991</v>
          </cell>
          <cell r="BT99" t="str">
            <v>Done</v>
          </cell>
          <cell r="BU99">
            <v>166</v>
          </cell>
          <cell r="BV99">
            <v>2024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Nitin Saxena</v>
          </cell>
          <cell r="E100" t="str">
            <v>Rohit Gupta</v>
          </cell>
          <cell r="H100" t="str">
            <v>Hamza Ali</v>
          </cell>
          <cell r="J100" t="str">
            <v>ACH</v>
          </cell>
          <cell r="K100">
            <v>0</v>
          </cell>
          <cell r="L100" t="str">
            <v>Old</v>
          </cell>
          <cell r="M100">
            <v>45467</v>
          </cell>
          <cell r="N100">
            <v>2</v>
          </cell>
          <cell r="O100">
            <v>579</v>
          </cell>
          <cell r="P100">
            <v>45705</v>
          </cell>
          <cell r="Q100">
            <v>45832</v>
          </cell>
          <cell r="R100" t="str">
            <v>PLC-3831</v>
          </cell>
          <cell r="S100" t="str">
            <v>Carlean Thompkins</v>
          </cell>
          <cell r="T100" t="str">
            <v>Split</v>
          </cell>
          <cell r="U100">
            <v>1099</v>
          </cell>
          <cell r="V100" t="str">
            <v>Coforge</v>
          </cell>
          <cell r="W100">
            <v>16</v>
          </cell>
          <cell r="X100">
            <v>0</v>
          </cell>
          <cell r="Y100" t="str">
            <v>USD</v>
          </cell>
          <cell r="Z100">
            <v>20.12</v>
          </cell>
          <cell r="AA100">
            <v>0</v>
          </cell>
          <cell r="AB100">
            <v>0</v>
          </cell>
          <cell r="AC100">
            <v>0</v>
          </cell>
          <cell r="AD100">
            <v>45672</v>
          </cell>
          <cell r="AE100">
            <v>22</v>
          </cell>
          <cell r="AF100">
            <v>46022</v>
          </cell>
          <cell r="AG100">
            <v>17.12</v>
          </cell>
          <cell r="AH100">
            <v>0</v>
          </cell>
          <cell r="AI100">
            <v>17.12</v>
          </cell>
          <cell r="AJ100">
            <v>20.12</v>
          </cell>
          <cell r="AK100">
            <v>0</v>
          </cell>
          <cell r="AL100">
            <v>0</v>
          </cell>
          <cell r="AM100">
            <v>3</v>
          </cell>
          <cell r="AN100">
            <v>0</v>
          </cell>
          <cell r="AO100">
            <v>1.5</v>
          </cell>
          <cell r="AP100">
            <v>0</v>
          </cell>
          <cell r="AQ100">
            <v>1.5</v>
          </cell>
          <cell r="AR100" t="str">
            <v>US_24243</v>
          </cell>
          <cell r="AS100">
            <v>0</v>
          </cell>
          <cell r="AT100">
            <v>166</v>
          </cell>
          <cell r="AU100">
            <v>166</v>
          </cell>
          <cell r="AV100">
            <v>0</v>
          </cell>
          <cell r="AW100">
            <v>249</v>
          </cell>
          <cell r="AX100">
            <v>246.51</v>
          </cell>
          <cell r="AY100">
            <v>249</v>
          </cell>
          <cell r="AZ100">
            <v>106.25</v>
          </cell>
          <cell r="BA100">
            <v>5.0999999999999996</v>
          </cell>
          <cell r="BB100">
            <v>846.59999999999991</v>
          </cell>
          <cell r="BC100">
            <v>63</v>
          </cell>
          <cell r="BD100">
            <v>249</v>
          </cell>
          <cell r="BE100">
            <v>298.8</v>
          </cell>
          <cell r="BF100">
            <v>246.51</v>
          </cell>
          <cell r="BG100">
            <v>1669.96</v>
          </cell>
          <cell r="BH100">
            <v>1669.96</v>
          </cell>
          <cell r="BI100">
            <v>1328</v>
          </cell>
          <cell r="BJ100">
            <v>1.1200000000000001</v>
          </cell>
          <cell r="BK100">
            <v>0</v>
          </cell>
          <cell r="BL100">
            <v>185.92000000000002</v>
          </cell>
          <cell r="BM100">
            <v>1513.92</v>
          </cell>
          <cell r="BN100">
            <v>1.1200000000000001</v>
          </cell>
          <cell r="BO100">
            <v>156.04000000000002</v>
          </cell>
          <cell r="BP100" t="str">
            <v>Y</v>
          </cell>
          <cell r="BQ100">
            <v>1</v>
          </cell>
          <cell r="BR100" t="str">
            <v>Y</v>
          </cell>
          <cell r="BS100">
            <v>846.59999999999991</v>
          </cell>
          <cell r="BT100" t="str">
            <v>Done</v>
          </cell>
          <cell r="BU100">
            <v>166</v>
          </cell>
          <cell r="BV100">
            <v>2024</v>
          </cell>
        </row>
        <row r="101">
          <cell r="A101" t="str">
            <v>Lucknow</v>
          </cell>
          <cell r="B101" t="str">
            <v>Mavericks</v>
          </cell>
          <cell r="C101" t="str">
            <v>Mid Level</v>
          </cell>
          <cell r="D101" t="str">
            <v>Rohit Gupta</v>
          </cell>
          <cell r="E101" t="str">
            <v>-</v>
          </cell>
          <cell r="H101" t="str">
            <v>Hamza Ali</v>
          </cell>
          <cell r="J101" t="str">
            <v>ACH</v>
          </cell>
          <cell r="K101">
            <v>0</v>
          </cell>
          <cell r="L101" t="str">
            <v>Old</v>
          </cell>
          <cell r="M101">
            <v>45467</v>
          </cell>
          <cell r="N101">
            <v>2</v>
          </cell>
          <cell r="O101">
            <v>579</v>
          </cell>
          <cell r="P101">
            <v>45705</v>
          </cell>
          <cell r="Q101">
            <v>45832</v>
          </cell>
          <cell r="R101" t="str">
            <v>PLC-3831</v>
          </cell>
          <cell r="S101" t="str">
            <v>Carlean Thompkins</v>
          </cell>
          <cell r="T101" t="str">
            <v>Split</v>
          </cell>
          <cell r="U101">
            <v>1099</v>
          </cell>
          <cell r="V101" t="str">
            <v>Coforge</v>
          </cell>
          <cell r="W101">
            <v>16</v>
          </cell>
          <cell r="X101">
            <v>0</v>
          </cell>
          <cell r="Y101" t="str">
            <v>USD</v>
          </cell>
          <cell r="Z101">
            <v>20.12</v>
          </cell>
          <cell r="AA101">
            <v>0</v>
          </cell>
          <cell r="AB101">
            <v>0</v>
          </cell>
          <cell r="AC101">
            <v>0</v>
          </cell>
          <cell r="AD101">
            <v>45703</v>
          </cell>
          <cell r="AE101">
            <v>9</v>
          </cell>
          <cell r="AF101">
            <v>46022</v>
          </cell>
          <cell r="AG101">
            <v>17.12</v>
          </cell>
          <cell r="AH101">
            <v>0</v>
          </cell>
          <cell r="AI101">
            <v>17.12</v>
          </cell>
          <cell r="AJ101">
            <v>20.12</v>
          </cell>
          <cell r="AK101">
            <v>0</v>
          </cell>
          <cell r="AL101">
            <v>0</v>
          </cell>
          <cell r="AM101">
            <v>3</v>
          </cell>
          <cell r="AN101">
            <v>0</v>
          </cell>
          <cell r="AO101">
            <v>1.5</v>
          </cell>
          <cell r="AP101">
            <v>0</v>
          </cell>
          <cell r="AQ101">
            <v>1.5</v>
          </cell>
          <cell r="AR101" t="str">
            <v>US_24449</v>
          </cell>
          <cell r="AS101">
            <v>0</v>
          </cell>
          <cell r="AT101">
            <v>72</v>
          </cell>
          <cell r="AU101">
            <v>72</v>
          </cell>
          <cell r="AV101">
            <v>0</v>
          </cell>
          <cell r="AW101">
            <v>108</v>
          </cell>
          <cell r="AX101">
            <v>106.92</v>
          </cell>
          <cell r="AY101">
            <v>108</v>
          </cell>
          <cell r="AZ101">
            <v>106.25</v>
          </cell>
          <cell r="BA101">
            <v>5.0999999999999996</v>
          </cell>
          <cell r="BB101">
            <v>367.2</v>
          </cell>
          <cell r="BC101">
            <v>38.28125</v>
          </cell>
          <cell r="BD101">
            <v>108</v>
          </cell>
          <cell r="BE101">
            <v>86.4</v>
          </cell>
          <cell r="BF101">
            <v>106.92</v>
          </cell>
          <cell r="BG101">
            <v>724.32</v>
          </cell>
          <cell r="BH101">
            <v>724.32</v>
          </cell>
          <cell r="BI101">
            <v>576</v>
          </cell>
          <cell r="BJ101">
            <v>1.1200000000000001</v>
          </cell>
          <cell r="BK101">
            <v>0</v>
          </cell>
          <cell r="BL101">
            <v>80.640000000000015</v>
          </cell>
          <cell r="BM101">
            <v>656.64</v>
          </cell>
          <cell r="BN101">
            <v>1.1200000000000001</v>
          </cell>
          <cell r="BO101">
            <v>67.680000000000035</v>
          </cell>
          <cell r="BP101" t="str">
            <v>Y</v>
          </cell>
          <cell r="BQ101">
            <v>1</v>
          </cell>
          <cell r="BR101" t="str">
            <v>Y</v>
          </cell>
          <cell r="BS101">
            <v>367.2</v>
          </cell>
          <cell r="BT101" t="str">
            <v>Done</v>
          </cell>
          <cell r="BU101">
            <v>72</v>
          </cell>
          <cell r="BV101">
            <v>2024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Nitin Saxena</v>
          </cell>
          <cell r="E102" t="str">
            <v>Rohit Gupta</v>
          </cell>
          <cell r="H102" t="str">
            <v>Hamza Ali</v>
          </cell>
          <cell r="J102" t="str">
            <v>ACH</v>
          </cell>
          <cell r="K102">
            <v>0</v>
          </cell>
          <cell r="L102" t="str">
            <v>Old</v>
          </cell>
          <cell r="M102">
            <v>45467</v>
          </cell>
          <cell r="N102">
            <v>2</v>
          </cell>
          <cell r="O102">
            <v>579</v>
          </cell>
          <cell r="P102">
            <v>45705</v>
          </cell>
          <cell r="Q102">
            <v>45832</v>
          </cell>
          <cell r="R102" t="str">
            <v>PLC-3831</v>
          </cell>
          <cell r="S102" t="str">
            <v>Carlean Thompkins</v>
          </cell>
          <cell r="T102" t="str">
            <v>Split</v>
          </cell>
          <cell r="U102">
            <v>1099</v>
          </cell>
          <cell r="V102" t="str">
            <v>Coforge</v>
          </cell>
          <cell r="W102">
            <v>16</v>
          </cell>
          <cell r="X102">
            <v>0</v>
          </cell>
          <cell r="Y102" t="str">
            <v>USD</v>
          </cell>
          <cell r="Z102">
            <v>20.12</v>
          </cell>
          <cell r="AA102">
            <v>0</v>
          </cell>
          <cell r="AB102">
            <v>0</v>
          </cell>
          <cell r="AC102">
            <v>0</v>
          </cell>
          <cell r="AD102">
            <v>45703</v>
          </cell>
          <cell r="AE102">
            <v>9</v>
          </cell>
          <cell r="AF102">
            <v>46022</v>
          </cell>
          <cell r="AG102">
            <v>17.12</v>
          </cell>
          <cell r="AH102">
            <v>0</v>
          </cell>
          <cell r="AI102">
            <v>17.12</v>
          </cell>
          <cell r="AJ102">
            <v>20.12</v>
          </cell>
          <cell r="AK102">
            <v>0</v>
          </cell>
          <cell r="AL102">
            <v>0</v>
          </cell>
          <cell r="AM102">
            <v>3</v>
          </cell>
          <cell r="AN102">
            <v>0</v>
          </cell>
          <cell r="AO102">
            <v>1.5</v>
          </cell>
          <cell r="AP102">
            <v>0</v>
          </cell>
          <cell r="AQ102">
            <v>1.5</v>
          </cell>
          <cell r="AR102" t="str">
            <v>US_24449</v>
          </cell>
          <cell r="AS102">
            <v>0</v>
          </cell>
          <cell r="AT102">
            <v>72</v>
          </cell>
          <cell r="AU102">
            <v>72</v>
          </cell>
          <cell r="AV102">
            <v>0</v>
          </cell>
          <cell r="AW102">
            <v>108</v>
          </cell>
          <cell r="AX102">
            <v>106.92</v>
          </cell>
          <cell r="AY102">
            <v>108</v>
          </cell>
          <cell r="AZ102">
            <v>106.25</v>
          </cell>
          <cell r="BA102">
            <v>5.0999999999999996</v>
          </cell>
          <cell r="BB102">
            <v>367.2</v>
          </cell>
          <cell r="BC102">
            <v>63</v>
          </cell>
          <cell r="BD102">
            <v>108</v>
          </cell>
          <cell r="BE102">
            <v>129.6</v>
          </cell>
          <cell r="BF102">
            <v>106.92</v>
          </cell>
          <cell r="BG102">
            <v>724.32</v>
          </cell>
          <cell r="BH102">
            <v>724.32</v>
          </cell>
          <cell r="BI102">
            <v>576</v>
          </cell>
          <cell r="BJ102">
            <v>1.1200000000000001</v>
          </cell>
          <cell r="BK102">
            <v>0</v>
          </cell>
          <cell r="BL102">
            <v>80.640000000000015</v>
          </cell>
          <cell r="BM102">
            <v>656.64</v>
          </cell>
          <cell r="BN102">
            <v>1.1200000000000001</v>
          </cell>
          <cell r="BO102">
            <v>67.680000000000035</v>
          </cell>
          <cell r="BP102" t="str">
            <v>Y</v>
          </cell>
          <cell r="BQ102">
            <v>1</v>
          </cell>
          <cell r="BR102" t="str">
            <v>Y</v>
          </cell>
          <cell r="BS102">
            <v>367.2</v>
          </cell>
          <cell r="BT102" t="str">
            <v>Done</v>
          </cell>
          <cell r="BU102">
            <v>72</v>
          </cell>
          <cell r="BV102">
            <v>2024</v>
          </cell>
        </row>
        <row r="103">
          <cell r="A103" t="str">
            <v>Noida</v>
          </cell>
          <cell r="B103" t="str">
            <v>Noida IT</v>
          </cell>
          <cell r="C103" t="str">
            <v>Mid Level</v>
          </cell>
          <cell r="D103" t="str">
            <v>Abdul Rahman</v>
          </cell>
          <cell r="E103" t="str">
            <v>-</v>
          </cell>
          <cell r="H103" t="str">
            <v>Mohd Ateeq</v>
          </cell>
          <cell r="L103" t="str">
            <v>New</v>
          </cell>
          <cell r="M103">
            <v>45701</v>
          </cell>
          <cell r="N103">
            <v>1</v>
          </cell>
          <cell r="O103">
            <v>345</v>
          </cell>
          <cell r="P103" t="str">
            <v>-</v>
          </cell>
          <cell r="Q103">
            <v>46066</v>
          </cell>
          <cell r="R103" t="str">
            <v>PLC-4135</v>
          </cell>
          <cell r="S103" t="str">
            <v>Chandiya Shanmugam-2</v>
          </cell>
          <cell r="T103" t="str">
            <v>Individual</v>
          </cell>
          <cell r="U103" t="str">
            <v>W2</v>
          </cell>
          <cell r="V103" t="str">
            <v>Xebia</v>
          </cell>
          <cell r="W103">
            <v>50</v>
          </cell>
          <cell r="X103">
            <v>0</v>
          </cell>
          <cell r="Y103" t="str">
            <v>USD</v>
          </cell>
          <cell r="Z103">
            <v>70</v>
          </cell>
          <cell r="AA103">
            <v>0</v>
          </cell>
          <cell r="AB103">
            <v>0</v>
          </cell>
          <cell r="AC103">
            <v>3</v>
          </cell>
          <cell r="AD103">
            <v>45703</v>
          </cell>
          <cell r="AE103">
            <v>12</v>
          </cell>
          <cell r="AF103">
            <v>46022</v>
          </cell>
          <cell r="AG103">
            <v>57.499999999999993</v>
          </cell>
          <cell r="AH103">
            <v>0</v>
          </cell>
          <cell r="AI103">
            <v>60.499999999999993</v>
          </cell>
          <cell r="AJ103">
            <v>70</v>
          </cell>
          <cell r="AK103">
            <v>0</v>
          </cell>
          <cell r="AL103">
            <v>0</v>
          </cell>
          <cell r="AM103">
            <v>9.5000000000000071</v>
          </cell>
          <cell r="AN103">
            <v>0</v>
          </cell>
          <cell r="AO103">
            <v>9.5000000000000071</v>
          </cell>
          <cell r="AP103">
            <v>0</v>
          </cell>
          <cell r="AQ103">
            <v>9.5000000000000071</v>
          </cell>
          <cell r="AR103" t="str">
            <v>US_24439</v>
          </cell>
          <cell r="AS103">
            <v>0</v>
          </cell>
          <cell r="AT103">
            <v>96</v>
          </cell>
          <cell r="AU103">
            <v>96</v>
          </cell>
          <cell r="AV103">
            <v>0</v>
          </cell>
          <cell r="AW103">
            <v>912.00000000000068</v>
          </cell>
          <cell r="AX103">
            <v>912.00000000000068</v>
          </cell>
          <cell r="AY103">
            <v>912.00000000000068</v>
          </cell>
          <cell r="AZ103">
            <v>60</v>
          </cell>
          <cell r="BA103">
            <v>11.400000000000009</v>
          </cell>
          <cell r="BB103">
            <v>1094.400000000001</v>
          </cell>
          <cell r="BC103">
            <v>48</v>
          </cell>
          <cell r="BD103">
            <v>912.00000000000068</v>
          </cell>
          <cell r="BE103">
            <v>729.60000000000059</v>
          </cell>
          <cell r="BF103">
            <v>912.00000000000068</v>
          </cell>
          <cell r="BG103">
            <v>6720</v>
          </cell>
          <cell r="BH103">
            <v>6720</v>
          </cell>
          <cell r="BI103">
            <v>4800</v>
          </cell>
          <cell r="BJ103">
            <v>7.5</v>
          </cell>
          <cell r="BK103">
            <v>288</v>
          </cell>
          <cell r="BL103">
            <v>720</v>
          </cell>
          <cell r="BM103">
            <v>5808</v>
          </cell>
          <cell r="BN103">
            <v>10.5</v>
          </cell>
          <cell r="BO103">
            <v>912</v>
          </cell>
          <cell r="BP103" t="str">
            <v>Y</v>
          </cell>
          <cell r="BQ103">
            <v>1</v>
          </cell>
          <cell r="BR103" t="str">
            <v>Y</v>
          </cell>
          <cell r="BS103">
            <v>1094.400000000001</v>
          </cell>
          <cell r="BT103" t="str">
            <v>Done</v>
          </cell>
          <cell r="BU103">
            <v>96</v>
          </cell>
          <cell r="BV103">
            <v>2025</v>
          </cell>
        </row>
        <row r="104">
          <cell r="A104" t="str">
            <v>Noida</v>
          </cell>
          <cell r="B104" t="str">
            <v>Noida IT</v>
          </cell>
          <cell r="C104" t="str">
            <v>Mid Level</v>
          </cell>
          <cell r="D104" t="str">
            <v>Abdul Rahman</v>
          </cell>
          <cell r="E104" t="str">
            <v>-</v>
          </cell>
          <cell r="H104" t="str">
            <v>Mohd Ateeq</v>
          </cell>
          <cell r="L104" t="str">
            <v>New</v>
          </cell>
          <cell r="M104">
            <v>45701</v>
          </cell>
          <cell r="N104">
            <v>1</v>
          </cell>
          <cell r="O104">
            <v>345</v>
          </cell>
          <cell r="P104" t="str">
            <v>-</v>
          </cell>
          <cell r="Q104">
            <v>46066</v>
          </cell>
          <cell r="R104" t="str">
            <v>PLC-4135</v>
          </cell>
          <cell r="S104" t="str">
            <v>Chandiya Shanmugam-2</v>
          </cell>
          <cell r="T104" t="str">
            <v>Individual</v>
          </cell>
          <cell r="U104" t="str">
            <v>W2</v>
          </cell>
          <cell r="V104" t="str">
            <v>Xebia</v>
          </cell>
          <cell r="W104">
            <v>50</v>
          </cell>
          <cell r="X104">
            <v>0</v>
          </cell>
          <cell r="Y104" t="str">
            <v>USD</v>
          </cell>
          <cell r="Z104">
            <v>70</v>
          </cell>
          <cell r="AA104">
            <v>0</v>
          </cell>
          <cell r="AB104">
            <v>0</v>
          </cell>
          <cell r="AC104">
            <v>3</v>
          </cell>
          <cell r="AD104">
            <v>45731</v>
          </cell>
          <cell r="AE104">
            <v>21</v>
          </cell>
          <cell r="AF104">
            <v>46022</v>
          </cell>
          <cell r="AG104">
            <v>57.499999999999993</v>
          </cell>
          <cell r="AH104">
            <v>0</v>
          </cell>
          <cell r="AI104">
            <v>60.499999999999993</v>
          </cell>
          <cell r="AJ104">
            <v>70</v>
          </cell>
          <cell r="AK104">
            <v>0</v>
          </cell>
          <cell r="AL104">
            <v>0</v>
          </cell>
          <cell r="AM104">
            <v>9.5000000000000071</v>
          </cell>
          <cell r="AN104">
            <v>0</v>
          </cell>
          <cell r="AO104">
            <v>9.5000000000000071</v>
          </cell>
          <cell r="AP104">
            <v>0</v>
          </cell>
          <cell r="AQ104">
            <v>9.5000000000000071</v>
          </cell>
          <cell r="AR104" t="str">
            <v>US_24629</v>
          </cell>
          <cell r="AS104">
            <v>0</v>
          </cell>
          <cell r="AT104">
            <v>168</v>
          </cell>
          <cell r="AU104">
            <v>168</v>
          </cell>
          <cell r="AV104">
            <v>0</v>
          </cell>
          <cell r="AW104">
            <v>1596.0000000000011</v>
          </cell>
          <cell r="AX104">
            <v>1596.0000000000011</v>
          </cell>
          <cell r="AY104">
            <v>1596.0000000000011</v>
          </cell>
          <cell r="AZ104">
            <v>60</v>
          </cell>
          <cell r="BA104">
            <v>11.400000000000009</v>
          </cell>
          <cell r="BB104">
            <v>1915.2000000000016</v>
          </cell>
          <cell r="BC104">
            <v>48</v>
          </cell>
          <cell r="BD104">
            <v>1596.0000000000011</v>
          </cell>
          <cell r="BE104">
            <v>1276.8000000000009</v>
          </cell>
          <cell r="BF104">
            <v>1596.0000000000011</v>
          </cell>
          <cell r="BG104">
            <v>11760</v>
          </cell>
          <cell r="BH104">
            <v>11760</v>
          </cell>
          <cell r="BI104">
            <v>8400</v>
          </cell>
          <cell r="BJ104">
            <v>7.5</v>
          </cell>
          <cell r="BK104">
            <v>504</v>
          </cell>
          <cell r="BL104">
            <v>1260</v>
          </cell>
          <cell r="BM104">
            <v>10164</v>
          </cell>
          <cell r="BN104">
            <v>10.5</v>
          </cell>
          <cell r="BO104">
            <v>1596</v>
          </cell>
          <cell r="BP104" t="str">
            <v>Y</v>
          </cell>
          <cell r="BQ104">
            <v>1</v>
          </cell>
          <cell r="BR104" t="str">
            <v>Y</v>
          </cell>
          <cell r="BS104">
            <v>1915.2000000000016</v>
          </cell>
          <cell r="BT104" t="str">
            <v>Done</v>
          </cell>
          <cell r="BU104">
            <v>168</v>
          </cell>
          <cell r="BV104">
            <v>2025</v>
          </cell>
        </row>
        <row r="105">
          <cell r="A105" t="str">
            <v>Noida</v>
          </cell>
          <cell r="B105" t="str">
            <v>Noida IT</v>
          </cell>
          <cell r="C105" t="str">
            <v>Mid Level</v>
          </cell>
          <cell r="D105" t="str">
            <v>Abdul Rahman</v>
          </cell>
          <cell r="E105" t="str">
            <v>-</v>
          </cell>
          <cell r="H105" t="str">
            <v>Mohd Ateeq</v>
          </cell>
          <cell r="L105" t="str">
            <v>New</v>
          </cell>
          <cell r="M105">
            <v>45701</v>
          </cell>
          <cell r="N105">
            <v>1</v>
          </cell>
          <cell r="O105">
            <v>345</v>
          </cell>
          <cell r="P105" t="str">
            <v>-</v>
          </cell>
          <cell r="Q105">
            <v>46066</v>
          </cell>
          <cell r="R105" t="str">
            <v>PLC-4135</v>
          </cell>
          <cell r="S105" t="str">
            <v>Chandiya Shanmugam-2</v>
          </cell>
          <cell r="T105" t="str">
            <v>Individual</v>
          </cell>
          <cell r="U105" t="str">
            <v>W2</v>
          </cell>
          <cell r="V105" t="str">
            <v>Xebia</v>
          </cell>
          <cell r="W105">
            <v>50</v>
          </cell>
          <cell r="X105">
            <v>0</v>
          </cell>
          <cell r="Y105" t="str">
            <v>USD</v>
          </cell>
          <cell r="Z105">
            <v>70</v>
          </cell>
          <cell r="AA105">
            <v>0</v>
          </cell>
          <cell r="AB105">
            <v>0</v>
          </cell>
          <cell r="AC105">
            <v>3</v>
          </cell>
          <cell r="AD105">
            <v>45762</v>
          </cell>
          <cell r="AE105">
            <v>22</v>
          </cell>
          <cell r="AF105">
            <v>46022</v>
          </cell>
          <cell r="AG105">
            <v>57.499999999999993</v>
          </cell>
          <cell r="AH105">
            <v>0</v>
          </cell>
          <cell r="AI105">
            <v>60.499999999999993</v>
          </cell>
          <cell r="AJ105">
            <v>70</v>
          </cell>
          <cell r="AK105">
            <v>0</v>
          </cell>
          <cell r="AL105">
            <v>0</v>
          </cell>
          <cell r="AM105">
            <v>9.5000000000000071</v>
          </cell>
          <cell r="AN105">
            <v>0</v>
          </cell>
          <cell r="AO105">
            <v>9.5000000000000071</v>
          </cell>
          <cell r="AP105">
            <v>0</v>
          </cell>
          <cell r="AQ105">
            <v>9.5000000000000071</v>
          </cell>
          <cell r="AR105" t="str">
            <v>US_24837</v>
          </cell>
          <cell r="AS105">
            <v>0</v>
          </cell>
          <cell r="AT105">
            <v>176</v>
          </cell>
          <cell r="AU105">
            <v>176</v>
          </cell>
          <cell r="AV105">
            <v>0</v>
          </cell>
          <cell r="AW105">
            <v>1672.0000000000014</v>
          </cell>
          <cell r="AX105">
            <v>1672.0000000000014</v>
          </cell>
          <cell r="AY105">
            <v>1672.0000000000014</v>
          </cell>
          <cell r="AZ105">
            <v>60</v>
          </cell>
          <cell r="BA105">
            <v>11.400000000000009</v>
          </cell>
          <cell r="BB105">
            <v>2006.4000000000017</v>
          </cell>
          <cell r="BC105">
            <v>48</v>
          </cell>
          <cell r="BD105">
            <v>1672.0000000000014</v>
          </cell>
          <cell r="BE105">
            <v>1337.6000000000013</v>
          </cell>
          <cell r="BF105">
            <v>1672.0000000000014</v>
          </cell>
          <cell r="BG105">
            <v>12320</v>
          </cell>
          <cell r="BH105">
            <v>12320</v>
          </cell>
          <cell r="BI105">
            <v>8800</v>
          </cell>
          <cell r="BJ105">
            <v>7.5</v>
          </cell>
          <cell r="BK105">
            <v>528</v>
          </cell>
          <cell r="BL105">
            <v>1320</v>
          </cell>
          <cell r="BM105">
            <v>10648</v>
          </cell>
          <cell r="BN105">
            <v>10.5</v>
          </cell>
          <cell r="BO105">
            <v>1672</v>
          </cell>
          <cell r="BP105" t="str">
            <v>Y</v>
          </cell>
          <cell r="BQ105">
            <v>2</v>
          </cell>
          <cell r="BR105" t="str">
            <v>Y</v>
          </cell>
          <cell r="BS105">
            <v>2006.4000000000017</v>
          </cell>
          <cell r="BT105" t="str">
            <v>Done</v>
          </cell>
          <cell r="BU105">
            <v>176</v>
          </cell>
          <cell r="BV105">
            <v>2025</v>
          </cell>
        </row>
        <row r="106">
          <cell r="A106" t="str">
            <v>Lucknow</v>
          </cell>
          <cell r="B106" t="str">
            <v>Healthcare</v>
          </cell>
          <cell r="C106" t="str">
            <v>Mid Level</v>
          </cell>
          <cell r="D106" t="str">
            <v>Abhishek Singh</v>
          </cell>
          <cell r="E106" t="str">
            <v>-</v>
          </cell>
          <cell r="H106" t="str">
            <v>Arpita Singh</v>
          </cell>
          <cell r="J106" t="str">
            <v>ACH</v>
          </cell>
          <cell r="K106">
            <v>0</v>
          </cell>
          <cell r="L106" t="str">
            <v>Old</v>
          </cell>
          <cell r="M106">
            <v>45621</v>
          </cell>
          <cell r="N106">
            <v>4</v>
          </cell>
          <cell r="O106">
            <v>425</v>
          </cell>
          <cell r="P106">
            <v>45710</v>
          </cell>
          <cell r="Q106">
            <v>45986</v>
          </cell>
          <cell r="R106" t="str">
            <v>PLC-6</v>
          </cell>
          <cell r="S106" t="str">
            <v>Christina Haywood</v>
          </cell>
          <cell r="T106" t="str">
            <v>Individual</v>
          </cell>
          <cell r="U106" t="str">
            <v>W2</v>
          </cell>
          <cell r="V106" t="str">
            <v>Hallmark</v>
          </cell>
          <cell r="W106">
            <v>16.39</v>
          </cell>
          <cell r="X106">
            <v>0</v>
          </cell>
          <cell r="Y106" t="str">
            <v>USD</v>
          </cell>
          <cell r="Z106">
            <v>90</v>
          </cell>
          <cell r="AA106">
            <v>0</v>
          </cell>
          <cell r="AB106">
            <v>0</v>
          </cell>
          <cell r="AC106">
            <v>48.61</v>
          </cell>
          <cell r="AD106">
            <v>45672</v>
          </cell>
          <cell r="AE106">
            <v>22</v>
          </cell>
          <cell r="AF106">
            <v>46022</v>
          </cell>
          <cell r="AG106">
            <v>18.848499999999998</v>
          </cell>
          <cell r="AH106">
            <v>0</v>
          </cell>
          <cell r="AI106">
            <v>67.458500000000001</v>
          </cell>
          <cell r="AJ106">
            <v>90</v>
          </cell>
          <cell r="AK106">
            <v>0</v>
          </cell>
          <cell r="AL106">
            <v>0</v>
          </cell>
          <cell r="AM106">
            <v>22.541499999999999</v>
          </cell>
          <cell r="AN106">
            <v>0</v>
          </cell>
          <cell r="AO106">
            <v>22.541499999999999</v>
          </cell>
          <cell r="AP106">
            <v>0</v>
          </cell>
          <cell r="AQ106">
            <v>20</v>
          </cell>
          <cell r="AU106">
            <v>176</v>
          </cell>
          <cell r="AY106">
            <v>3967.3040000000001</v>
          </cell>
          <cell r="AZ106">
            <v>50</v>
          </cell>
          <cell r="BA106">
            <v>32</v>
          </cell>
          <cell r="BH106">
            <v>15840</v>
          </cell>
          <cell r="BI106">
            <v>2884.6400000000003</v>
          </cell>
          <cell r="BJ106">
            <v>2.4584999999999999</v>
          </cell>
          <cell r="BK106">
            <v>8555.36</v>
          </cell>
          <cell r="BL106">
            <v>432.69599999999997</v>
          </cell>
          <cell r="BM106">
            <v>11872.696</v>
          </cell>
          <cell r="BN106">
            <v>51.0685</v>
          </cell>
          <cell r="BO106">
            <v>3967.3040000000001</v>
          </cell>
          <cell r="BQ106">
            <v>1</v>
          </cell>
          <cell r="BR106" t="str">
            <v>N</v>
          </cell>
          <cell r="BS106">
            <v>5632</v>
          </cell>
          <cell r="BT106" t="str">
            <v>Pending</v>
          </cell>
          <cell r="BU106">
            <v>0</v>
          </cell>
          <cell r="BV106">
            <v>2024</v>
          </cell>
        </row>
        <row r="107">
          <cell r="A107" t="str">
            <v>Lucknow</v>
          </cell>
          <cell r="B107" t="str">
            <v>Healthcare</v>
          </cell>
          <cell r="C107" t="str">
            <v>Mid Level</v>
          </cell>
          <cell r="D107" t="str">
            <v>Abhishek Singh</v>
          </cell>
          <cell r="E107" t="str">
            <v>-</v>
          </cell>
          <cell r="H107" t="str">
            <v>Arpita Singh</v>
          </cell>
          <cell r="J107" t="str">
            <v>ACH</v>
          </cell>
          <cell r="K107">
            <v>0</v>
          </cell>
          <cell r="L107" t="str">
            <v>Old</v>
          </cell>
          <cell r="M107">
            <v>45621</v>
          </cell>
          <cell r="N107">
            <v>4</v>
          </cell>
          <cell r="O107">
            <v>425</v>
          </cell>
          <cell r="P107">
            <v>45710</v>
          </cell>
          <cell r="Q107">
            <v>45986</v>
          </cell>
          <cell r="R107" t="str">
            <v>PLC-6</v>
          </cell>
          <cell r="S107" t="str">
            <v>Christina Haywood</v>
          </cell>
          <cell r="T107" t="str">
            <v>Individual</v>
          </cell>
          <cell r="U107" t="str">
            <v>W2</v>
          </cell>
          <cell r="V107" t="str">
            <v>Hallmark</v>
          </cell>
          <cell r="W107">
            <v>16.39</v>
          </cell>
          <cell r="X107">
            <v>0</v>
          </cell>
          <cell r="Y107" t="str">
            <v>USD</v>
          </cell>
          <cell r="Z107">
            <v>90</v>
          </cell>
          <cell r="AA107">
            <v>0</v>
          </cell>
          <cell r="AB107">
            <v>0</v>
          </cell>
          <cell r="AC107">
            <v>48.61</v>
          </cell>
          <cell r="AD107">
            <v>45703</v>
          </cell>
          <cell r="AE107">
            <v>15</v>
          </cell>
          <cell r="AF107">
            <v>46022</v>
          </cell>
          <cell r="AG107">
            <v>18.848499999999998</v>
          </cell>
          <cell r="AH107">
            <v>0</v>
          </cell>
          <cell r="AI107">
            <v>67.458500000000001</v>
          </cell>
          <cell r="AJ107">
            <v>90</v>
          </cell>
          <cell r="AK107">
            <v>0</v>
          </cell>
          <cell r="AL107">
            <v>0</v>
          </cell>
          <cell r="AM107">
            <v>22.541499999999999</v>
          </cell>
          <cell r="AN107">
            <v>0</v>
          </cell>
          <cell r="AO107">
            <v>22.541499999999999</v>
          </cell>
          <cell r="AP107">
            <v>0</v>
          </cell>
          <cell r="AQ107">
            <v>20</v>
          </cell>
          <cell r="AU107">
            <v>120</v>
          </cell>
          <cell r="AY107">
            <v>2704.98</v>
          </cell>
          <cell r="AZ107">
            <v>50</v>
          </cell>
          <cell r="BA107">
            <v>32</v>
          </cell>
          <cell r="BH107">
            <v>10800</v>
          </cell>
          <cell r="BI107">
            <v>1966.8000000000002</v>
          </cell>
          <cell r="BJ107">
            <v>2.4584999999999999</v>
          </cell>
          <cell r="BK107">
            <v>5833.2</v>
          </cell>
          <cell r="BL107">
            <v>295.02</v>
          </cell>
          <cell r="BM107">
            <v>8095.02</v>
          </cell>
          <cell r="BN107">
            <v>51.0685</v>
          </cell>
          <cell r="BO107">
            <v>2704.9800000000005</v>
          </cell>
          <cell r="BQ107">
            <v>1</v>
          </cell>
          <cell r="BR107" t="str">
            <v>N</v>
          </cell>
          <cell r="BS107">
            <v>3840</v>
          </cell>
          <cell r="BT107" t="str">
            <v>Pending</v>
          </cell>
          <cell r="BU107">
            <v>0</v>
          </cell>
          <cell r="BV107">
            <v>2024</v>
          </cell>
        </row>
        <row r="108">
          <cell r="A108" t="str">
            <v>Lucknow</v>
          </cell>
          <cell r="B108" t="str">
            <v>Healthcare</v>
          </cell>
          <cell r="C108" t="str">
            <v>Mid Level</v>
          </cell>
          <cell r="D108" t="str">
            <v>Abhishek Singh</v>
          </cell>
          <cell r="E108" t="str">
            <v>-</v>
          </cell>
          <cell r="H108" t="str">
            <v>Arpita Singh</v>
          </cell>
          <cell r="J108" t="str">
            <v>ACH</v>
          </cell>
          <cell r="K108">
            <v>0</v>
          </cell>
          <cell r="L108" t="str">
            <v>Old</v>
          </cell>
          <cell r="M108">
            <v>45621</v>
          </cell>
          <cell r="N108">
            <v>4</v>
          </cell>
          <cell r="O108">
            <v>425</v>
          </cell>
          <cell r="P108">
            <v>45710</v>
          </cell>
          <cell r="Q108">
            <v>45986</v>
          </cell>
          <cell r="R108" t="str">
            <v>PLC-6</v>
          </cell>
          <cell r="S108" t="str">
            <v>Christina Haywood</v>
          </cell>
          <cell r="T108" t="str">
            <v>Individual</v>
          </cell>
          <cell r="U108" t="str">
            <v>W2</v>
          </cell>
          <cell r="V108" t="str">
            <v>Hallmark</v>
          </cell>
          <cell r="W108">
            <v>16.39</v>
          </cell>
          <cell r="X108">
            <v>0</v>
          </cell>
          <cell r="Y108" t="str">
            <v>USD</v>
          </cell>
          <cell r="Z108">
            <v>90</v>
          </cell>
          <cell r="AA108">
            <v>0</v>
          </cell>
          <cell r="AB108">
            <v>0</v>
          </cell>
          <cell r="AC108">
            <v>48.61</v>
          </cell>
          <cell r="AD108">
            <v>45731</v>
          </cell>
          <cell r="AE108">
            <v>21</v>
          </cell>
          <cell r="AF108">
            <v>46022</v>
          </cell>
          <cell r="AG108">
            <v>18.848499999999998</v>
          </cell>
          <cell r="AH108">
            <v>0</v>
          </cell>
          <cell r="AI108">
            <v>67.458500000000001</v>
          </cell>
          <cell r="AJ108">
            <v>90</v>
          </cell>
          <cell r="AK108">
            <v>0</v>
          </cell>
          <cell r="AL108">
            <v>0</v>
          </cell>
          <cell r="AM108">
            <v>22.541499999999999</v>
          </cell>
          <cell r="AN108">
            <v>0</v>
          </cell>
          <cell r="AO108">
            <v>22.541499999999999</v>
          </cell>
          <cell r="AP108">
            <v>0</v>
          </cell>
          <cell r="AQ108">
            <v>20</v>
          </cell>
          <cell r="AU108">
            <v>168</v>
          </cell>
          <cell r="AY108">
            <v>3786.9719999999998</v>
          </cell>
          <cell r="AZ108">
            <v>50</v>
          </cell>
          <cell r="BA108">
            <v>32</v>
          </cell>
          <cell r="BH108">
            <v>15120</v>
          </cell>
          <cell r="BI108">
            <v>2753.52</v>
          </cell>
          <cell r="BJ108">
            <v>2.4584999999999999</v>
          </cell>
          <cell r="BK108">
            <v>8166.48</v>
          </cell>
          <cell r="BL108">
            <v>413.02799999999996</v>
          </cell>
          <cell r="BM108">
            <v>11333.028</v>
          </cell>
          <cell r="BN108">
            <v>51.0685</v>
          </cell>
          <cell r="BO108">
            <v>3786.9719999999998</v>
          </cell>
          <cell r="BQ108">
            <v>1</v>
          </cell>
          <cell r="BR108" t="str">
            <v>N</v>
          </cell>
          <cell r="BS108">
            <v>5376</v>
          </cell>
          <cell r="BT108" t="str">
            <v>Pending</v>
          </cell>
          <cell r="BU108">
            <v>0</v>
          </cell>
          <cell r="BV108">
            <v>2024</v>
          </cell>
        </row>
        <row r="109">
          <cell r="A109" t="str">
            <v>Noida</v>
          </cell>
          <cell r="B109" t="str">
            <v>Healthcare</v>
          </cell>
          <cell r="C109" t="str">
            <v>Mid Level</v>
          </cell>
          <cell r="D109" t="str">
            <v>Shailesh Sharma</v>
          </cell>
          <cell r="E109" t="str">
            <v>-</v>
          </cell>
          <cell r="H109" t="str">
            <v>Shikhar Mishra</v>
          </cell>
          <cell r="J109" t="str">
            <v>ACH</v>
          </cell>
          <cell r="K109">
            <v>0</v>
          </cell>
          <cell r="L109" t="str">
            <v>Old</v>
          </cell>
          <cell r="M109">
            <v>45587</v>
          </cell>
          <cell r="N109">
            <v>4</v>
          </cell>
          <cell r="O109">
            <v>459</v>
          </cell>
          <cell r="P109">
            <v>45676</v>
          </cell>
          <cell r="Q109">
            <v>45952</v>
          </cell>
          <cell r="S109" t="str">
            <v>Christy Briscoe</v>
          </cell>
          <cell r="T109" t="str">
            <v>Individual</v>
          </cell>
          <cell r="U109" t="str">
            <v>W2</v>
          </cell>
          <cell r="V109" t="str">
            <v>CSU</v>
          </cell>
          <cell r="W109">
            <v>13</v>
          </cell>
          <cell r="X109">
            <v>50</v>
          </cell>
          <cell r="Y109" t="str">
            <v>USD</v>
          </cell>
          <cell r="Z109">
            <v>69</v>
          </cell>
          <cell r="AA109">
            <v>103.5</v>
          </cell>
          <cell r="AB109">
            <v>0</v>
          </cell>
          <cell r="AC109">
            <v>41.61</v>
          </cell>
          <cell r="AD109">
            <v>45672</v>
          </cell>
          <cell r="AE109">
            <v>13</v>
          </cell>
          <cell r="AF109">
            <v>46022</v>
          </cell>
          <cell r="AG109">
            <v>14.95</v>
          </cell>
          <cell r="AH109">
            <v>57.499999999999993</v>
          </cell>
          <cell r="AI109">
            <v>56.56</v>
          </cell>
          <cell r="AJ109">
            <v>64.86</v>
          </cell>
          <cell r="AK109">
            <v>98.324999999999989</v>
          </cell>
          <cell r="AL109">
            <v>40.824999999999996</v>
          </cell>
          <cell r="AM109">
            <v>8.2999999999999972</v>
          </cell>
          <cell r="AN109">
            <v>40.824999999999996</v>
          </cell>
          <cell r="AO109">
            <v>8.2999999999999972</v>
          </cell>
          <cell r="AP109">
            <v>20</v>
          </cell>
          <cell r="AQ109">
            <v>8.2999999999999972</v>
          </cell>
          <cell r="AU109">
            <v>104</v>
          </cell>
          <cell r="AY109">
            <v>863.1999999999997</v>
          </cell>
          <cell r="AZ109">
            <v>0</v>
          </cell>
          <cell r="BA109">
            <v>0</v>
          </cell>
          <cell r="BC109">
            <v>57.142857142857139</v>
          </cell>
          <cell r="BH109">
            <v>6745.44</v>
          </cell>
          <cell r="BI109">
            <v>1352</v>
          </cell>
          <cell r="BJ109">
            <v>1.95</v>
          </cell>
          <cell r="BK109">
            <v>4327.4399999999996</v>
          </cell>
          <cell r="BL109">
            <v>202.79999999999998</v>
          </cell>
          <cell r="BM109">
            <v>5882.24</v>
          </cell>
          <cell r="BN109">
            <v>43.56</v>
          </cell>
          <cell r="BO109">
            <v>863.19999999999982</v>
          </cell>
          <cell r="BQ109">
            <v>1</v>
          </cell>
          <cell r="BR109" t="str">
            <v>N</v>
          </cell>
          <cell r="BS109">
            <v>0</v>
          </cell>
          <cell r="BT109" t="str">
            <v>Pending</v>
          </cell>
          <cell r="BU109">
            <v>0</v>
          </cell>
          <cell r="BV109">
            <v>2024</v>
          </cell>
        </row>
        <row r="110">
          <cell r="A110" t="str">
            <v>Noida</v>
          </cell>
          <cell r="B110" t="str">
            <v>Healthcare</v>
          </cell>
          <cell r="C110" t="str">
            <v>Mid Level</v>
          </cell>
          <cell r="D110" t="str">
            <v>Shailesh Sharma</v>
          </cell>
          <cell r="E110" t="str">
            <v>-</v>
          </cell>
          <cell r="H110" t="str">
            <v>Anjali Sah</v>
          </cell>
          <cell r="J110" t="str">
            <v>ACH</v>
          </cell>
          <cell r="K110">
            <v>0</v>
          </cell>
          <cell r="L110" t="str">
            <v>Old</v>
          </cell>
          <cell r="M110">
            <v>45614</v>
          </cell>
          <cell r="N110">
            <v>4</v>
          </cell>
          <cell r="O110">
            <v>432</v>
          </cell>
          <cell r="P110">
            <v>45679</v>
          </cell>
          <cell r="Q110">
            <v>45979</v>
          </cell>
          <cell r="R110" t="str">
            <v>PLC-5</v>
          </cell>
          <cell r="S110" t="str">
            <v>Ciani Allen</v>
          </cell>
          <cell r="T110" t="str">
            <v>Individual</v>
          </cell>
          <cell r="U110" t="str">
            <v>W2</v>
          </cell>
          <cell r="V110" t="str">
            <v>CSU</v>
          </cell>
          <cell r="W110">
            <v>20</v>
          </cell>
          <cell r="X110">
            <v>0</v>
          </cell>
          <cell r="Y110" t="str">
            <v>USD</v>
          </cell>
          <cell r="Z110">
            <v>34</v>
          </cell>
          <cell r="AA110">
            <v>0</v>
          </cell>
          <cell r="AB110">
            <v>0</v>
          </cell>
          <cell r="AC110">
            <v>0</v>
          </cell>
          <cell r="AD110">
            <v>45672</v>
          </cell>
          <cell r="AE110">
            <v>16</v>
          </cell>
          <cell r="AF110">
            <v>46022</v>
          </cell>
          <cell r="AG110">
            <v>23</v>
          </cell>
          <cell r="AH110">
            <v>0</v>
          </cell>
          <cell r="AI110">
            <v>23</v>
          </cell>
          <cell r="AJ110">
            <v>31.959999999999997</v>
          </cell>
          <cell r="AK110">
            <v>0</v>
          </cell>
          <cell r="AL110">
            <v>0</v>
          </cell>
          <cell r="AM110">
            <v>8.9599999999999973</v>
          </cell>
          <cell r="AN110">
            <v>0</v>
          </cell>
          <cell r="AO110">
            <v>8.9599999999999973</v>
          </cell>
          <cell r="AP110">
            <v>0</v>
          </cell>
          <cell r="AQ110">
            <v>8.9599999999999973</v>
          </cell>
          <cell r="AU110">
            <v>128</v>
          </cell>
          <cell r="AY110">
            <v>1146.8799999999997</v>
          </cell>
          <cell r="AZ110">
            <v>42.857142857142854</v>
          </cell>
          <cell r="BA110">
            <v>14.335999999999995</v>
          </cell>
          <cell r="BC110">
            <v>57.142857142857139</v>
          </cell>
          <cell r="BH110">
            <v>4090.8799999999997</v>
          </cell>
          <cell r="BI110">
            <v>2560</v>
          </cell>
          <cell r="BJ110">
            <v>3</v>
          </cell>
          <cell r="BK110">
            <v>0</v>
          </cell>
          <cell r="BL110">
            <v>384</v>
          </cell>
          <cell r="BM110">
            <v>2944</v>
          </cell>
          <cell r="BN110">
            <v>3</v>
          </cell>
          <cell r="BO110">
            <v>1146.8799999999997</v>
          </cell>
          <cell r="BQ110">
            <v>1</v>
          </cell>
          <cell r="BR110" t="str">
            <v>N</v>
          </cell>
          <cell r="BS110">
            <v>1835.0079999999994</v>
          </cell>
          <cell r="BT110" t="str">
            <v>Pending</v>
          </cell>
          <cell r="BU110">
            <v>0</v>
          </cell>
          <cell r="BV110">
            <v>2024</v>
          </cell>
        </row>
        <row r="111">
          <cell r="A111" t="str">
            <v>Lucknow</v>
          </cell>
          <cell r="B111" t="str">
            <v>Titans</v>
          </cell>
          <cell r="C111" t="str">
            <v>Mid Level</v>
          </cell>
          <cell r="D111" t="str">
            <v>Aditya Yadav</v>
          </cell>
          <cell r="E111" t="str">
            <v>-</v>
          </cell>
          <cell r="H111" t="str">
            <v>Aastha Tiwari</v>
          </cell>
          <cell r="K111" t="str">
            <v>-</v>
          </cell>
          <cell r="L111" t="str">
            <v>New</v>
          </cell>
          <cell r="M111">
            <v>45712</v>
          </cell>
          <cell r="N111">
            <v>1</v>
          </cell>
          <cell r="O111">
            <v>334</v>
          </cell>
          <cell r="P111" t="str">
            <v>-</v>
          </cell>
          <cell r="Q111">
            <v>46077</v>
          </cell>
          <cell r="R111" t="str">
            <v>PLC-4149</v>
          </cell>
          <cell r="S111" t="str">
            <v>Claude Auger</v>
          </cell>
          <cell r="T111" t="str">
            <v>Individual</v>
          </cell>
          <cell r="U111" t="str">
            <v>FTE</v>
          </cell>
          <cell r="V111" t="str">
            <v>Cyient</v>
          </cell>
          <cell r="W111">
            <v>0</v>
          </cell>
          <cell r="X111">
            <v>0</v>
          </cell>
          <cell r="Y111" t="str">
            <v>CAD</v>
          </cell>
          <cell r="Z111">
            <v>4500</v>
          </cell>
          <cell r="AA111">
            <v>0</v>
          </cell>
          <cell r="AB111">
            <v>0</v>
          </cell>
          <cell r="AC111">
            <v>0</v>
          </cell>
          <cell r="AD111">
            <v>45703</v>
          </cell>
          <cell r="AE111">
            <v>1</v>
          </cell>
          <cell r="AF111">
            <v>46022</v>
          </cell>
          <cell r="AG111">
            <v>0</v>
          </cell>
          <cell r="AH111">
            <v>0</v>
          </cell>
          <cell r="AI111">
            <v>0</v>
          </cell>
          <cell r="AJ111">
            <v>3195</v>
          </cell>
          <cell r="AK111">
            <v>0</v>
          </cell>
          <cell r="AL111">
            <v>0</v>
          </cell>
          <cell r="AM111">
            <v>3195</v>
          </cell>
          <cell r="AN111">
            <v>0</v>
          </cell>
          <cell r="AO111">
            <v>3195</v>
          </cell>
          <cell r="AP111">
            <v>0</v>
          </cell>
          <cell r="AQ111">
            <v>3195</v>
          </cell>
          <cell r="AR111" t="str">
            <v>CAD_1447</v>
          </cell>
          <cell r="AS111">
            <v>0</v>
          </cell>
          <cell r="AT111">
            <v>1</v>
          </cell>
          <cell r="AU111">
            <v>1</v>
          </cell>
          <cell r="AV111">
            <v>0</v>
          </cell>
          <cell r="AW111">
            <v>3195</v>
          </cell>
          <cell r="AX111">
            <v>3195</v>
          </cell>
          <cell r="AY111">
            <v>3195</v>
          </cell>
          <cell r="AZ111">
            <v>85.714285714285708</v>
          </cell>
          <cell r="BA111">
            <v>5112</v>
          </cell>
          <cell r="BB111">
            <v>5112</v>
          </cell>
          <cell r="BF111">
            <v>3195</v>
          </cell>
          <cell r="BG111">
            <v>4500</v>
          </cell>
          <cell r="BH111">
            <v>3195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3195</v>
          </cell>
          <cell r="BP111" t="str">
            <v>Y</v>
          </cell>
          <cell r="BQ111">
            <v>1</v>
          </cell>
          <cell r="BR111" t="str">
            <v>Y</v>
          </cell>
          <cell r="BS111">
            <v>5112</v>
          </cell>
          <cell r="BT111" t="str">
            <v>Done</v>
          </cell>
          <cell r="BU111">
            <v>0</v>
          </cell>
          <cell r="BV111">
            <v>2025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Shashank Yadav</v>
          </cell>
          <cell r="E112" t="str">
            <v>Abhishek Verma</v>
          </cell>
          <cell r="F112" t="str">
            <v>-</v>
          </cell>
          <cell r="G112" t="str">
            <v>-</v>
          </cell>
          <cell r="H112" t="str">
            <v>Anshika Srivastava</v>
          </cell>
          <cell r="L112" t="str">
            <v>New</v>
          </cell>
          <cell r="M112">
            <v>45761</v>
          </cell>
          <cell r="N112">
            <v>2</v>
          </cell>
          <cell r="O112">
            <v>285</v>
          </cell>
          <cell r="P112" t="str">
            <v>-</v>
          </cell>
          <cell r="Q112">
            <v>46126</v>
          </cell>
          <cell r="R112" t="str">
            <v>PLC-4198</v>
          </cell>
          <cell r="S112" t="str">
            <v>Colin Simpson</v>
          </cell>
          <cell r="T112" t="str">
            <v>Individual</v>
          </cell>
          <cell r="U112" t="str">
            <v>FTE</v>
          </cell>
          <cell r="V112" t="str">
            <v>Reflik</v>
          </cell>
          <cell r="W112">
            <v>0</v>
          </cell>
          <cell r="X112">
            <v>0</v>
          </cell>
          <cell r="Y112" t="str">
            <v>USD</v>
          </cell>
          <cell r="Z112">
            <v>5000</v>
          </cell>
          <cell r="AA112">
            <v>0</v>
          </cell>
          <cell r="AB112">
            <v>0</v>
          </cell>
          <cell r="AC112">
            <v>0</v>
          </cell>
          <cell r="AD112">
            <v>45762</v>
          </cell>
          <cell r="AE112">
            <v>1</v>
          </cell>
          <cell r="AF112">
            <v>46022</v>
          </cell>
          <cell r="AG112">
            <v>0</v>
          </cell>
          <cell r="AH112">
            <v>0</v>
          </cell>
          <cell r="AI112">
            <v>0</v>
          </cell>
          <cell r="AJ112">
            <v>5000</v>
          </cell>
          <cell r="AK112">
            <v>0</v>
          </cell>
          <cell r="AL112">
            <v>0</v>
          </cell>
          <cell r="AM112">
            <v>5000</v>
          </cell>
          <cell r="AN112">
            <v>0</v>
          </cell>
          <cell r="AO112">
            <v>5000</v>
          </cell>
          <cell r="AP112">
            <v>0</v>
          </cell>
          <cell r="AQ112">
            <v>5000</v>
          </cell>
          <cell r="AR112" t="str">
            <v>US_24739</v>
          </cell>
          <cell r="AS112">
            <v>0</v>
          </cell>
          <cell r="AT112">
            <v>1</v>
          </cell>
          <cell r="AU112">
            <v>1</v>
          </cell>
          <cell r="AV112">
            <v>0</v>
          </cell>
          <cell r="AW112">
            <v>5000</v>
          </cell>
          <cell r="AX112">
            <v>5000</v>
          </cell>
          <cell r="AY112">
            <v>5000</v>
          </cell>
          <cell r="AZ112">
            <v>0</v>
          </cell>
          <cell r="BA112">
            <v>0</v>
          </cell>
          <cell r="BB112">
            <v>0</v>
          </cell>
          <cell r="BC112">
            <v>32</v>
          </cell>
          <cell r="BD112">
            <v>5000</v>
          </cell>
          <cell r="BE112">
            <v>4000</v>
          </cell>
          <cell r="BF112">
            <v>5000</v>
          </cell>
          <cell r="BG112">
            <v>5000</v>
          </cell>
          <cell r="BH112">
            <v>5000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5000</v>
          </cell>
          <cell r="BP112" t="str">
            <v>Y</v>
          </cell>
          <cell r="BQ112">
            <v>2</v>
          </cell>
          <cell r="BR112" t="str">
            <v>Y</v>
          </cell>
          <cell r="BS112">
            <v>0</v>
          </cell>
          <cell r="BT112" t="str">
            <v>Done</v>
          </cell>
          <cell r="BU112">
            <v>0</v>
          </cell>
          <cell r="BV112">
            <v>2025</v>
          </cell>
        </row>
        <row r="113">
          <cell r="A113" t="str">
            <v>Chennai</v>
          </cell>
          <cell r="B113" t="str">
            <v>Chennai</v>
          </cell>
          <cell r="C113" t="str">
            <v>Mid Level</v>
          </cell>
          <cell r="D113" t="str">
            <v>Akbar Ibrahim</v>
          </cell>
          <cell r="E113" t="str">
            <v>-</v>
          </cell>
          <cell r="H113" t="str">
            <v>Ajithkumar G</v>
          </cell>
          <cell r="K113">
            <v>0</v>
          </cell>
          <cell r="L113" t="str">
            <v>Old</v>
          </cell>
          <cell r="M113">
            <v>45512</v>
          </cell>
          <cell r="N113">
            <v>3</v>
          </cell>
          <cell r="O113">
            <v>534</v>
          </cell>
          <cell r="P113">
            <v>45747</v>
          </cell>
          <cell r="Q113">
            <v>45877</v>
          </cell>
          <cell r="R113" t="str">
            <v>PLC-3908</v>
          </cell>
          <cell r="S113" t="str">
            <v>Collin Arvid Johnson</v>
          </cell>
          <cell r="T113" t="str">
            <v>Individual</v>
          </cell>
          <cell r="U113" t="str">
            <v>W2</v>
          </cell>
          <cell r="V113" t="str">
            <v>LTIMindtree</v>
          </cell>
          <cell r="W113">
            <v>55</v>
          </cell>
          <cell r="X113">
            <v>0</v>
          </cell>
          <cell r="Y113" t="str">
            <v>USD</v>
          </cell>
          <cell r="Z113">
            <v>70</v>
          </cell>
          <cell r="AA113">
            <v>0</v>
          </cell>
          <cell r="AB113">
            <v>0</v>
          </cell>
          <cell r="AC113">
            <v>0</v>
          </cell>
          <cell r="AD113">
            <v>45672</v>
          </cell>
          <cell r="AE113">
            <v>22</v>
          </cell>
          <cell r="AF113">
            <v>46022</v>
          </cell>
          <cell r="AG113">
            <v>63.249999999999993</v>
          </cell>
          <cell r="AH113">
            <v>0</v>
          </cell>
          <cell r="AI113">
            <v>63.249999999999993</v>
          </cell>
          <cell r="AJ113">
            <v>67.899999999999991</v>
          </cell>
          <cell r="AK113">
            <v>0</v>
          </cell>
          <cell r="AL113">
            <v>0</v>
          </cell>
          <cell r="AM113">
            <v>4.6499999999999986</v>
          </cell>
          <cell r="AN113">
            <v>0</v>
          </cell>
          <cell r="AO113">
            <v>4.6499999999999986</v>
          </cell>
          <cell r="AP113">
            <v>0</v>
          </cell>
          <cell r="AQ113">
            <v>4.6499999999999986</v>
          </cell>
          <cell r="AR113" t="str">
            <v>US_24261</v>
          </cell>
          <cell r="AS113">
            <v>0</v>
          </cell>
          <cell r="AT113">
            <v>168</v>
          </cell>
          <cell r="AU113">
            <v>168</v>
          </cell>
          <cell r="AV113">
            <v>0</v>
          </cell>
          <cell r="AW113">
            <v>781.19999999999982</v>
          </cell>
          <cell r="AX113">
            <v>781.19999999999982</v>
          </cell>
          <cell r="AY113">
            <v>781.19999999999982</v>
          </cell>
          <cell r="AZ113">
            <v>33.333333333333329</v>
          </cell>
          <cell r="BA113">
            <v>7.4399999999999977</v>
          </cell>
          <cell r="BB113">
            <v>1249.9199999999996</v>
          </cell>
          <cell r="BD113">
            <v>781.19999999999982</v>
          </cell>
          <cell r="BF113">
            <v>781.19999999999982</v>
          </cell>
          <cell r="BG113">
            <v>11760</v>
          </cell>
          <cell r="BH113">
            <v>11407.199999999999</v>
          </cell>
          <cell r="BI113">
            <v>9240</v>
          </cell>
          <cell r="BJ113">
            <v>8.25</v>
          </cell>
          <cell r="BK113">
            <v>0</v>
          </cell>
          <cell r="BL113">
            <v>1386</v>
          </cell>
          <cell r="BM113">
            <v>10626</v>
          </cell>
          <cell r="BN113">
            <v>8.25</v>
          </cell>
          <cell r="BO113">
            <v>781.19999999999891</v>
          </cell>
          <cell r="BP113" t="str">
            <v>Y</v>
          </cell>
          <cell r="BQ113">
            <v>1</v>
          </cell>
          <cell r="BR113" t="str">
            <v>Y</v>
          </cell>
          <cell r="BS113">
            <v>1249.9199999999996</v>
          </cell>
          <cell r="BT113" t="str">
            <v>Done</v>
          </cell>
          <cell r="BU113">
            <v>168</v>
          </cell>
          <cell r="BV113">
            <v>2024</v>
          </cell>
        </row>
        <row r="114">
          <cell r="A114" t="str">
            <v>Chennai</v>
          </cell>
          <cell r="B114" t="str">
            <v>Chennai</v>
          </cell>
          <cell r="C114" t="str">
            <v>Mid Level</v>
          </cell>
          <cell r="D114" t="str">
            <v>Akbar Ibrahim</v>
          </cell>
          <cell r="E114" t="str">
            <v>-</v>
          </cell>
          <cell r="H114" t="str">
            <v>Ajithkumar G</v>
          </cell>
          <cell r="K114">
            <v>0</v>
          </cell>
          <cell r="L114" t="str">
            <v>Old</v>
          </cell>
          <cell r="M114">
            <v>45512</v>
          </cell>
          <cell r="N114">
            <v>3</v>
          </cell>
          <cell r="O114">
            <v>534</v>
          </cell>
          <cell r="P114">
            <v>45747</v>
          </cell>
          <cell r="Q114">
            <v>45877</v>
          </cell>
          <cell r="R114" t="str">
            <v>PLC-3908</v>
          </cell>
          <cell r="S114" t="str">
            <v>Collin Arvid Johnson</v>
          </cell>
          <cell r="T114" t="str">
            <v>Individual</v>
          </cell>
          <cell r="U114" t="str">
            <v>W2</v>
          </cell>
          <cell r="V114" t="str">
            <v>LTIMindtree</v>
          </cell>
          <cell r="W114">
            <v>55</v>
          </cell>
          <cell r="X114">
            <v>0</v>
          </cell>
          <cell r="Y114" t="str">
            <v>USD</v>
          </cell>
          <cell r="Z114">
            <v>70</v>
          </cell>
          <cell r="AA114">
            <v>0</v>
          </cell>
          <cell r="AB114">
            <v>0</v>
          </cell>
          <cell r="AC114">
            <v>0</v>
          </cell>
          <cell r="AD114">
            <v>45703</v>
          </cell>
          <cell r="AE114">
            <v>20</v>
          </cell>
          <cell r="AF114">
            <v>46022</v>
          </cell>
          <cell r="AG114">
            <v>63.249999999999993</v>
          </cell>
          <cell r="AH114">
            <v>0</v>
          </cell>
          <cell r="AI114">
            <v>63.249999999999993</v>
          </cell>
          <cell r="AJ114">
            <v>67.899999999999991</v>
          </cell>
          <cell r="AK114">
            <v>0</v>
          </cell>
          <cell r="AL114">
            <v>0</v>
          </cell>
          <cell r="AM114">
            <v>4.6499999999999986</v>
          </cell>
          <cell r="AN114">
            <v>0</v>
          </cell>
          <cell r="AO114">
            <v>4.6499999999999986</v>
          </cell>
          <cell r="AP114">
            <v>0</v>
          </cell>
          <cell r="AQ114">
            <v>4.6499999999999986</v>
          </cell>
          <cell r="AR114" t="str">
            <v>US_24463</v>
          </cell>
          <cell r="AS114">
            <v>0</v>
          </cell>
          <cell r="AT114">
            <v>152</v>
          </cell>
          <cell r="AU114">
            <v>152</v>
          </cell>
          <cell r="AV114">
            <v>0</v>
          </cell>
          <cell r="AW114">
            <v>706.79999999999973</v>
          </cell>
          <cell r="AX114">
            <v>706.79999999999973</v>
          </cell>
          <cell r="AY114">
            <v>706.79999999999973</v>
          </cell>
          <cell r="AZ114">
            <v>33.333333333333329</v>
          </cell>
          <cell r="BA114">
            <v>7.4399999999999977</v>
          </cell>
          <cell r="BB114">
            <v>1130.8799999999997</v>
          </cell>
          <cell r="BD114">
            <v>706.79999999999973</v>
          </cell>
          <cell r="BF114">
            <v>706.79999999999973</v>
          </cell>
          <cell r="BG114">
            <v>10640</v>
          </cell>
          <cell r="BH114">
            <v>10320.799999999999</v>
          </cell>
          <cell r="BI114">
            <v>8360</v>
          </cell>
          <cell r="BJ114">
            <v>8.25</v>
          </cell>
          <cell r="BK114">
            <v>0</v>
          </cell>
          <cell r="BL114">
            <v>1254</v>
          </cell>
          <cell r="BM114">
            <v>9614</v>
          </cell>
          <cell r="BN114">
            <v>8.25</v>
          </cell>
          <cell r="BO114">
            <v>706.79999999999927</v>
          </cell>
          <cell r="BP114" t="str">
            <v>Y</v>
          </cell>
          <cell r="BQ114">
            <v>1</v>
          </cell>
          <cell r="BR114" t="str">
            <v>Y</v>
          </cell>
          <cell r="BS114">
            <v>1130.8799999999997</v>
          </cell>
          <cell r="BT114" t="str">
            <v>Done</v>
          </cell>
          <cell r="BU114">
            <v>152</v>
          </cell>
          <cell r="BV114">
            <v>2024</v>
          </cell>
        </row>
        <row r="115">
          <cell r="A115" t="str">
            <v>Chennai</v>
          </cell>
          <cell r="B115" t="str">
            <v>Chennai</v>
          </cell>
          <cell r="C115" t="str">
            <v>Mid Level</v>
          </cell>
          <cell r="D115" t="str">
            <v>Akbar Ibrahim</v>
          </cell>
          <cell r="E115" t="str">
            <v>-</v>
          </cell>
          <cell r="H115" t="str">
            <v>Ajithkumar G</v>
          </cell>
          <cell r="K115">
            <v>0</v>
          </cell>
          <cell r="L115" t="str">
            <v>Old</v>
          </cell>
          <cell r="M115">
            <v>45512</v>
          </cell>
          <cell r="N115">
            <v>3</v>
          </cell>
          <cell r="O115">
            <v>534</v>
          </cell>
          <cell r="P115">
            <v>45747</v>
          </cell>
          <cell r="Q115">
            <v>45877</v>
          </cell>
          <cell r="R115" t="str">
            <v>PLC-3908</v>
          </cell>
          <cell r="S115" t="str">
            <v>Collin Arvid Johnson</v>
          </cell>
          <cell r="T115" t="str">
            <v>Individual</v>
          </cell>
          <cell r="U115" t="str">
            <v>W2</v>
          </cell>
          <cell r="V115" t="str">
            <v>LTIMindtree</v>
          </cell>
          <cell r="W115">
            <v>55</v>
          </cell>
          <cell r="X115">
            <v>0</v>
          </cell>
          <cell r="Y115" t="str">
            <v>USD</v>
          </cell>
          <cell r="Z115">
            <v>70</v>
          </cell>
          <cell r="AA115">
            <v>0</v>
          </cell>
          <cell r="AB115">
            <v>0</v>
          </cell>
          <cell r="AC115">
            <v>0</v>
          </cell>
          <cell r="AD115">
            <v>45731</v>
          </cell>
          <cell r="AE115">
            <v>21</v>
          </cell>
          <cell r="AF115">
            <v>46022</v>
          </cell>
          <cell r="AG115">
            <v>63.249999999999993</v>
          </cell>
          <cell r="AH115">
            <v>0</v>
          </cell>
          <cell r="AI115">
            <v>63.249999999999993</v>
          </cell>
          <cell r="AJ115">
            <v>67.899999999999991</v>
          </cell>
          <cell r="AK115">
            <v>0</v>
          </cell>
          <cell r="AL115">
            <v>0</v>
          </cell>
          <cell r="AM115">
            <v>4.6499999999999986</v>
          </cell>
          <cell r="AN115">
            <v>0</v>
          </cell>
          <cell r="AO115">
            <v>4.6499999999999986</v>
          </cell>
          <cell r="AP115">
            <v>0</v>
          </cell>
          <cell r="AQ115">
            <v>4.6499999999999986</v>
          </cell>
          <cell r="AR115" t="str">
            <v>US_24651</v>
          </cell>
          <cell r="AS115">
            <v>0</v>
          </cell>
          <cell r="AT115">
            <v>168</v>
          </cell>
          <cell r="AU115">
            <v>168</v>
          </cell>
          <cell r="AV115">
            <v>0</v>
          </cell>
          <cell r="AW115">
            <v>781.19999999999982</v>
          </cell>
          <cell r="AX115">
            <v>781.19999999999982</v>
          </cell>
          <cell r="AY115">
            <v>781.19999999999982</v>
          </cell>
          <cell r="AZ115">
            <v>33.333333333333329</v>
          </cell>
          <cell r="BA115">
            <v>7.4399999999999977</v>
          </cell>
          <cell r="BB115">
            <v>1249.9199999999996</v>
          </cell>
          <cell r="BD115">
            <v>781.19999999999982</v>
          </cell>
          <cell r="BF115">
            <v>781.19999999999982</v>
          </cell>
          <cell r="BG115">
            <v>11760</v>
          </cell>
          <cell r="BH115">
            <v>11407.199999999999</v>
          </cell>
          <cell r="BI115">
            <v>9240</v>
          </cell>
          <cell r="BJ115">
            <v>8.25</v>
          </cell>
          <cell r="BK115">
            <v>0</v>
          </cell>
          <cell r="BL115">
            <v>1386</v>
          </cell>
          <cell r="BM115">
            <v>10626</v>
          </cell>
          <cell r="BN115">
            <v>8.25</v>
          </cell>
          <cell r="BO115">
            <v>781.19999999999891</v>
          </cell>
          <cell r="BP115" t="str">
            <v>Y</v>
          </cell>
          <cell r="BQ115">
            <v>1</v>
          </cell>
          <cell r="BR115" t="str">
            <v>Y</v>
          </cell>
          <cell r="BS115">
            <v>1249.9199999999996</v>
          </cell>
          <cell r="BT115" t="str">
            <v>Done</v>
          </cell>
          <cell r="BU115">
            <v>168</v>
          </cell>
          <cell r="BV115">
            <v>2024</v>
          </cell>
        </row>
        <row r="116">
          <cell r="A116" t="str">
            <v>Lucknow</v>
          </cell>
          <cell r="B116" t="str">
            <v>Titans</v>
          </cell>
          <cell r="C116" t="str">
            <v>Mid Level</v>
          </cell>
          <cell r="D116" t="str">
            <v>Aditya Yadav</v>
          </cell>
          <cell r="E116" t="str">
            <v>-</v>
          </cell>
          <cell r="H116" t="str">
            <v>Santosh Singh</v>
          </cell>
          <cell r="J116" t="str">
            <v>ACH</v>
          </cell>
          <cell r="L116" t="str">
            <v>New</v>
          </cell>
          <cell r="M116">
            <v>45691</v>
          </cell>
          <cell r="N116">
            <v>1</v>
          </cell>
          <cell r="O116">
            <v>355</v>
          </cell>
          <cell r="P116">
            <v>45730</v>
          </cell>
          <cell r="Q116">
            <v>46056</v>
          </cell>
          <cell r="R116" t="str">
            <v>PLC-4112</v>
          </cell>
          <cell r="S116" t="str">
            <v>Craig Kindel</v>
          </cell>
          <cell r="T116" t="str">
            <v>Individual</v>
          </cell>
          <cell r="U116">
            <v>1099</v>
          </cell>
          <cell r="V116" t="str">
            <v>Microland</v>
          </cell>
          <cell r="W116">
            <v>40</v>
          </cell>
          <cell r="X116">
            <v>0</v>
          </cell>
          <cell r="Y116" t="str">
            <v>USD</v>
          </cell>
          <cell r="Z116">
            <v>52</v>
          </cell>
          <cell r="AA116">
            <v>0</v>
          </cell>
          <cell r="AB116">
            <v>0</v>
          </cell>
          <cell r="AC116">
            <v>0</v>
          </cell>
          <cell r="AD116">
            <v>45703</v>
          </cell>
          <cell r="AE116">
            <v>20</v>
          </cell>
          <cell r="AF116">
            <v>46022</v>
          </cell>
          <cell r="AG116">
            <v>42.800000000000004</v>
          </cell>
          <cell r="AH116">
            <v>0</v>
          </cell>
          <cell r="AI116">
            <v>42.800000000000004</v>
          </cell>
          <cell r="AJ116">
            <v>52</v>
          </cell>
          <cell r="AK116">
            <v>0</v>
          </cell>
          <cell r="AL116">
            <v>0</v>
          </cell>
          <cell r="AM116">
            <v>9.1999999999999957</v>
          </cell>
          <cell r="AN116">
            <v>0</v>
          </cell>
          <cell r="AO116">
            <v>9.1999999999999957</v>
          </cell>
          <cell r="AP116">
            <v>0</v>
          </cell>
          <cell r="AQ116">
            <v>9.1999999999999957</v>
          </cell>
          <cell r="AR116" t="str">
            <v>US_24350</v>
          </cell>
          <cell r="AS116">
            <v>0</v>
          </cell>
          <cell r="AT116">
            <v>160</v>
          </cell>
          <cell r="AU116">
            <v>160</v>
          </cell>
          <cell r="AV116">
            <v>0</v>
          </cell>
          <cell r="AW116">
            <v>1471.9999999999993</v>
          </cell>
          <cell r="AX116">
            <v>1457.2799999999993</v>
          </cell>
          <cell r="AY116">
            <v>1471.9999999999993</v>
          </cell>
          <cell r="AZ116">
            <v>57.142857142857139</v>
          </cell>
          <cell r="BA116">
            <v>11.039999999999996</v>
          </cell>
          <cell r="BB116">
            <v>1766.3999999999992</v>
          </cell>
          <cell r="BF116">
            <v>1457.2799999999993</v>
          </cell>
          <cell r="BG116">
            <v>8320</v>
          </cell>
          <cell r="BH116">
            <v>8320</v>
          </cell>
          <cell r="BI116">
            <v>6400</v>
          </cell>
          <cell r="BJ116">
            <v>2.8000000000000003</v>
          </cell>
          <cell r="BK116">
            <v>0</v>
          </cell>
          <cell r="BL116">
            <v>448.00000000000006</v>
          </cell>
          <cell r="BM116">
            <v>6848</v>
          </cell>
          <cell r="BN116">
            <v>2.8000000000000003</v>
          </cell>
          <cell r="BO116">
            <v>1472</v>
          </cell>
          <cell r="BP116" t="str">
            <v>Y</v>
          </cell>
          <cell r="BQ116">
            <v>1</v>
          </cell>
          <cell r="BR116" t="str">
            <v>Y</v>
          </cell>
          <cell r="BS116">
            <v>1766.3999999999992</v>
          </cell>
          <cell r="BT116" t="str">
            <v>Done</v>
          </cell>
          <cell r="BU116">
            <v>160</v>
          </cell>
          <cell r="BV116">
            <v>2025</v>
          </cell>
        </row>
        <row r="117">
          <cell r="A117" t="str">
            <v>Lucknow</v>
          </cell>
          <cell r="B117" t="str">
            <v>Titans</v>
          </cell>
          <cell r="C117" t="str">
            <v>Mid Level</v>
          </cell>
          <cell r="D117" t="str">
            <v>Aditya Yadav</v>
          </cell>
          <cell r="E117" t="str">
            <v>-</v>
          </cell>
          <cell r="H117" t="str">
            <v>Santosh Singh</v>
          </cell>
          <cell r="J117" t="str">
            <v>ACH</v>
          </cell>
          <cell r="L117" t="str">
            <v>New</v>
          </cell>
          <cell r="M117">
            <v>45691</v>
          </cell>
          <cell r="N117">
            <v>1</v>
          </cell>
          <cell r="O117">
            <v>355</v>
          </cell>
          <cell r="P117">
            <v>45730</v>
          </cell>
          <cell r="Q117">
            <v>46056</v>
          </cell>
          <cell r="R117" t="str">
            <v>PLC-4112</v>
          </cell>
          <cell r="S117" t="str">
            <v>Craig Kindel</v>
          </cell>
          <cell r="T117" t="str">
            <v>Individual</v>
          </cell>
          <cell r="U117">
            <v>1099</v>
          </cell>
          <cell r="V117" t="str">
            <v>Microland</v>
          </cell>
          <cell r="W117">
            <v>40</v>
          </cell>
          <cell r="X117">
            <v>0</v>
          </cell>
          <cell r="Y117" t="str">
            <v>USD</v>
          </cell>
          <cell r="Z117">
            <v>52</v>
          </cell>
          <cell r="AA117">
            <v>0</v>
          </cell>
          <cell r="AB117">
            <v>0</v>
          </cell>
          <cell r="AC117">
            <v>0</v>
          </cell>
          <cell r="AD117">
            <v>45731</v>
          </cell>
          <cell r="AE117">
            <v>10</v>
          </cell>
          <cell r="AF117">
            <v>46022</v>
          </cell>
          <cell r="AG117">
            <v>42.800000000000004</v>
          </cell>
          <cell r="AH117">
            <v>0</v>
          </cell>
          <cell r="AI117">
            <v>42.800000000000004</v>
          </cell>
          <cell r="AJ117">
            <v>52</v>
          </cell>
          <cell r="AK117">
            <v>0</v>
          </cell>
          <cell r="AL117">
            <v>0</v>
          </cell>
          <cell r="AM117">
            <v>9.1999999999999957</v>
          </cell>
          <cell r="AN117">
            <v>0</v>
          </cell>
          <cell r="AO117">
            <v>9.1999999999999957</v>
          </cell>
          <cell r="AP117">
            <v>0</v>
          </cell>
          <cell r="AQ117">
            <v>9.1999999999999957</v>
          </cell>
          <cell r="AR117" t="str">
            <v>US_24527</v>
          </cell>
          <cell r="AS117">
            <v>0</v>
          </cell>
          <cell r="AT117">
            <v>24</v>
          </cell>
          <cell r="AU117">
            <v>24</v>
          </cell>
          <cell r="AV117">
            <v>0</v>
          </cell>
          <cell r="AW117">
            <v>220.7999999999999</v>
          </cell>
          <cell r="AX117">
            <v>218.5919999999999</v>
          </cell>
          <cell r="AY117">
            <v>220.7999999999999</v>
          </cell>
          <cell r="AZ117">
            <v>57.142857142857139</v>
          </cell>
          <cell r="BA117">
            <v>11.039999999999996</v>
          </cell>
          <cell r="BB117">
            <v>264.95999999999992</v>
          </cell>
          <cell r="BF117">
            <v>218.5919999999999</v>
          </cell>
          <cell r="BG117">
            <v>1248</v>
          </cell>
          <cell r="BH117">
            <v>1248</v>
          </cell>
          <cell r="BI117">
            <v>960</v>
          </cell>
          <cell r="BJ117">
            <v>2.8000000000000003</v>
          </cell>
          <cell r="BK117">
            <v>0</v>
          </cell>
          <cell r="BL117">
            <v>67.2</v>
          </cell>
          <cell r="BM117">
            <v>1027.2</v>
          </cell>
          <cell r="BN117">
            <v>2.8000000000000003</v>
          </cell>
          <cell r="BO117">
            <v>220.8</v>
          </cell>
          <cell r="BP117" t="str">
            <v>Y</v>
          </cell>
          <cell r="BQ117">
            <v>1</v>
          </cell>
          <cell r="BR117" t="str">
            <v>Y</v>
          </cell>
          <cell r="BS117">
            <v>264.95999999999992</v>
          </cell>
          <cell r="BT117" t="str">
            <v>Done</v>
          </cell>
          <cell r="BU117">
            <v>24</v>
          </cell>
          <cell r="BV117">
            <v>2025</v>
          </cell>
        </row>
        <row r="118">
          <cell r="A118" t="str">
            <v>Lucknow</v>
          </cell>
          <cell r="B118" t="str">
            <v>Mavericks</v>
          </cell>
          <cell r="C118" t="str">
            <v>Mid Level</v>
          </cell>
          <cell r="D118" t="str">
            <v>Rohit Gupta</v>
          </cell>
          <cell r="E118" t="str">
            <v>Kashif Nabi</v>
          </cell>
          <cell r="H118" t="str">
            <v>Purnima Mishra</v>
          </cell>
          <cell r="J118" t="str">
            <v>ACH</v>
          </cell>
          <cell r="K118">
            <v>0</v>
          </cell>
          <cell r="L118" t="str">
            <v>Old</v>
          </cell>
          <cell r="M118">
            <v>45418</v>
          </cell>
          <cell r="N118">
            <v>2</v>
          </cell>
          <cell r="O118">
            <v>628</v>
          </cell>
          <cell r="P118">
            <v>45706</v>
          </cell>
          <cell r="Q118">
            <v>45783</v>
          </cell>
          <cell r="R118" t="str">
            <v>PLC-3754</v>
          </cell>
          <cell r="S118" t="str">
            <v>Daniel Denton</v>
          </cell>
          <cell r="T118" t="str">
            <v>Individual</v>
          </cell>
          <cell r="U118">
            <v>1099</v>
          </cell>
          <cell r="V118" t="str">
            <v>Xceedence</v>
          </cell>
          <cell r="W118">
            <v>18</v>
          </cell>
          <cell r="X118">
            <v>27</v>
          </cell>
          <cell r="Y118" t="str">
            <v>USD</v>
          </cell>
          <cell r="Z118">
            <v>24</v>
          </cell>
          <cell r="AA118">
            <v>36</v>
          </cell>
          <cell r="AB118">
            <v>0</v>
          </cell>
          <cell r="AC118">
            <v>0</v>
          </cell>
          <cell r="AD118">
            <v>45672</v>
          </cell>
          <cell r="AE118">
            <v>22</v>
          </cell>
          <cell r="AF118">
            <v>46022</v>
          </cell>
          <cell r="AG118">
            <v>19.260000000000002</v>
          </cell>
          <cell r="AH118">
            <v>28.89</v>
          </cell>
          <cell r="AI118">
            <v>19.260000000000002</v>
          </cell>
          <cell r="AJ118">
            <v>24</v>
          </cell>
          <cell r="AK118">
            <v>36</v>
          </cell>
          <cell r="AL118">
            <v>7.1099999999999994</v>
          </cell>
          <cell r="AM118">
            <v>4.7399999999999984</v>
          </cell>
          <cell r="AN118">
            <v>7.1099999999999994</v>
          </cell>
          <cell r="AO118">
            <v>4.7399999999999984</v>
          </cell>
          <cell r="AP118">
            <v>7.1099999999999994</v>
          </cell>
          <cell r="AQ118">
            <v>4.7399999999999984</v>
          </cell>
          <cell r="AR118" t="str">
            <v>US_24230</v>
          </cell>
          <cell r="AS118">
            <v>0</v>
          </cell>
          <cell r="AT118">
            <v>154.96</v>
          </cell>
          <cell r="AU118">
            <v>154.96</v>
          </cell>
          <cell r="AV118">
            <v>0</v>
          </cell>
          <cell r="AW118">
            <v>734.51039999999978</v>
          </cell>
          <cell r="AX118">
            <v>727.16529599999978</v>
          </cell>
          <cell r="AY118">
            <v>734.51039999999978</v>
          </cell>
          <cell r="AZ118">
            <v>60</v>
          </cell>
          <cell r="BA118">
            <v>10.427999999999997</v>
          </cell>
          <cell r="BB118">
            <v>1615.9228799999996</v>
          </cell>
          <cell r="BC118">
            <v>38.28125</v>
          </cell>
          <cell r="BD118">
            <v>734.51039999999978</v>
          </cell>
          <cell r="BE118">
            <v>587.60831999999982</v>
          </cell>
          <cell r="BF118">
            <v>727.16529599999978</v>
          </cell>
          <cell r="BG118">
            <v>3719.04</v>
          </cell>
          <cell r="BH118">
            <v>3719.04</v>
          </cell>
          <cell r="BI118">
            <v>2789.28</v>
          </cell>
          <cell r="BJ118">
            <v>1.2600000000000002</v>
          </cell>
          <cell r="BK118">
            <v>0</v>
          </cell>
          <cell r="BL118">
            <v>195.24960000000004</v>
          </cell>
          <cell r="BM118">
            <v>2984.5296000000003</v>
          </cell>
          <cell r="BN118">
            <v>1.2600000000000002</v>
          </cell>
          <cell r="BO118">
            <v>734.51039999999966</v>
          </cell>
          <cell r="BP118" t="str">
            <v>Y</v>
          </cell>
          <cell r="BQ118">
            <v>1</v>
          </cell>
          <cell r="BR118" t="str">
            <v>Y</v>
          </cell>
          <cell r="BS118">
            <v>1615.9228799999996</v>
          </cell>
          <cell r="BT118" t="str">
            <v>Done</v>
          </cell>
          <cell r="BU118">
            <v>154.96</v>
          </cell>
          <cell r="BV118">
            <v>2024</v>
          </cell>
        </row>
        <row r="119">
          <cell r="A119" t="str">
            <v>Lucknow</v>
          </cell>
          <cell r="B119" t="str">
            <v>Mavericks</v>
          </cell>
          <cell r="C119" t="str">
            <v>Mid Level</v>
          </cell>
          <cell r="D119" t="str">
            <v>Rohit Gupta</v>
          </cell>
          <cell r="E119" t="str">
            <v>Kashif Nabi</v>
          </cell>
          <cell r="H119" t="str">
            <v>Purnima Mishra</v>
          </cell>
          <cell r="J119" t="str">
            <v>ACH</v>
          </cell>
          <cell r="K119">
            <v>0</v>
          </cell>
          <cell r="L119" t="str">
            <v>Old</v>
          </cell>
          <cell r="M119">
            <v>45418</v>
          </cell>
          <cell r="N119">
            <v>2</v>
          </cell>
          <cell r="O119">
            <v>628</v>
          </cell>
          <cell r="P119">
            <v>45706</v>
          </cell>
          <cell r="Q119">
            <v>45783</v>
          </cell>
          <cell r="R119" t="str">
            <v>PLC-3754</v>
          </cell>
          <cell r="S119" t="str">
            <v>Daniel Denton</v>
          </cell>
          <cell r="T119" t="str">
            <v>Individual</v>
          </cell>
          <cell r="U119">
            <v>1099</v>
          </cell>
          <cell r="V119" t="str">
            <v>Xceedence</v>
          </cell>
          <cell r="W119">
            <v>18</v>
          </cell>
          <cell r="X119">
            <v>27</v>
          </cell>
          <cell r="Y119" t="str">
            <v>USD</v>
          </cell>
          <cell r="Z119">
            <v>24</v>
          </cell>
          <cell r="AA119">
            <v>36</v>
          </cell>
          <cell r="AB119">
            <v>0</v>
          </cell>
          <cell r="AC119">
            <v>0</v>
          </cell>
          <cell r="AD119">
            <v>45703</v>
          </cell>
          <cell r="AE119">
            <v>10</v>
          </cell>
          <cell r="AF119">
            <v>46022</v>
          </cell>
          <cell r="AG119">
            <v>19.260000000000002</v>
          </cell>
          <cell r="AH119">
            <v>28.89</v>
          </cell>
          <cell r="AI119">
            <v>19.260000000000002</v>
          </cell>
          <cell r="AJ119">
            <v>24</v>
          </cell>
          <cell r="AK119">
            <v>36</v>
          </cell>
          <cell r="AL119">
            <v>7.1099999999999994</v>
          </cell>
          <cell r="AM119">
            <v>4.7399999999999984</v>
          </cell>
          <cell r="AN119">
            <v>7.1099999999999994</v>
          </cell>
          <cell r="AO119">
            <v>4.7399999999999984</v>
          </cell>
          <cell r="AP119">
            <v>7.1099999999999994</v>
          </cell>
          <cell r="AQ119">
            <v>4.7399999999999984</v>
          </cell>
          <cell r="AR119" t="str">
            <v>US_24437</v>
          </cell>
          <cell r="AS119">
            <v>0</v>
          </cell>
          <cell r="AT119">
            <v>64.37</v>
          </cell>
          <cell r="AU119">
            <v>64.37</v>
          </cell>
          <cell r="AV119">
            <v>0</v>
          </cell>
          <cell r="AW119">
            <v>305.11379999999991</v>
          </cell>
          <cell r="AX119">
            <v>302.06266199999993</v>
          </cell>
          <cell r="AY119">
            <v>305.11379999999991</v>
          </cell>
          <cell r="AZ119">
            <v>60</v>
          </cell>
          <cell r="BA119">
            <v>10.427999999999997</v>
          </cell>
          <cell r="BB119">
            <v>671.25035999999989</v>
          </cell>
          <cell r="BC119">
            <v>38.28125</v>
          </cell>
          <cell r="BD119">
            <v>305.11379999999991</v>
          </cell>
          <cell r="BE119">
            <v>244.09103999999991</v>
          </cell>
          <cell r="BF119">
            <v>302.06266199999993</v>
          </cell>
          <cell r="BG119">
            <v>1544.88</v>
          </cell>
          <cell r="BH119">
            <v>1544.88</v>
          </cell>
          <cell r="BI119">
            <v>1158.6600000000001</v>
          </cell>
          <cell r="BJ119">
            <v>1.2600000000000002</v>
          </cell>
          <cell r="BK119">
            <v>0</v>
          </cell>
          <cell r="BL119">
            <v>81.106200000000015</v>
          </cell>
          <cell r="BM119">
            <v>1239.7662</v>
          </cell>
          <cell r="BN119">
            <v>1.2600000000000002</v>
          </cell>
          <cell r="BO119">
            <v>305.11380000000003</v>
          </cell>
          <cell r="BP119" t="str">
            <v>Y</v>
          </cell>
          <cell r="BQ119">
            <v>1</v>
          </cell>
          <cell r="BR119" t="str">
            <v>Y</v>
          </cell>
          <cell r="BS119">
            <v>671.25035999999989</v>
          </cell>
          <cell r="BT119" t="str">
            <v>Done</v>
          </cell>
          <cell r="BU119">
            <v>64.37</v>
          </cell>
          <cell r="BV119">
            <v>2024</v>
          </cell>
        </row>
        <row r="120">
          <cell r="A120" t="str">
            <v>Lucknow</v>
          </cell>
          <cell r="B120" t="str">
            <v>Titans</v>
          </cell>
          <cell r="C120" t="str">
            <v>Mid Level</v>
          </cell>
          <cell r="D120" t="str">
            <v>Abhishek Yadav</v>
          </cell>
          <cell r="E120" t="str">
            <v>-</v>
          </cell>
          <cell r="H120" t="str">
            <v>Manish Kumar Dhiman</v>
          </cell>
          <cell r="L120" t="str">
            <v>New</v>
          </cell>
          <cell r="M120">
            <v>45691</v>
          </cell>
          <cell r="N120">
            <v>1</v>
          </cell>
          <cell r="O120">
            <v>355</v>
          </cell>
          <cell r="P120">
            <v>45883</v>
          </cell>
          <cell r="Q120">
            <v>46056</v>
          </cell>
          <cell r="R120" t="str">
            <v>PLC-4091</v>
          </cell>
          <cell r="S120" t="str">
            <v>David Francis Schnedar</v>
          </cell>
          <cell r="T120" t="str">
            <v>Individual</v>
          </cell>
          <cell r="U120" t="str">
            <v>W2</v>
          </cell>
          <cell r="V120" t="str">
            <v>Genpact</v>
          </cell>
          <cell r="W120">
            <v>43</v>
          </cell>
          <cell r="X120">
            <v>64.5</v>
          </cell>
          <cell r="Y120" t="str">
            <v>USD</v>
          </cell>
          <cell r="Z120">
            <v>65</v>
          </cell>
          <cell r="AA120">
            <v>97.5</v>
          </cell>
          <cell r="AB120">
            <v>0</v>
          </cell>
          <cell r="AC120">
            <v>0</v>
          </cell>
          <cell r="AD120">
            <v>45703</v>
          </cell>
          <cell r="AE120">
            <v>20</v>
          </cell>
          <cell r="AF120">
            <v>46022</v>
          </cell>
          <cell r="AG120">
            <v>49.449999999999996</v>
          </cell>
          <cell r="AH120">
            <v>74.174999999999997</v>
          </cell>
          <cell r="AI120">
            <v>49.449999999999996</v>
          </cell>
          <cell r="AJ120">
            <v>65</v>
          </cell>
          <cell r="AK120">
            <v>97.5</v>
          </cell>
          <cell r="AL120">
            <v>23.325000000000003</v>
          </cell>
          <cell r="AM120">
            <v>15.550000000000004</v>
          </cell>
          <cell r="AN120">
            <v>23.325000000000003</v>
          </cell>
          <cell r="AO120">
            <v>15.550000000000004</v>
          </cell>
          <cell r="AP120">
            <v>20</v>
          </cell>
          <cell r="AQ120">
            <v>15.550000000000004</v>
          </cell>
          <cell r="AR120" t="str">
            <v>US_24351</v>
          </cell>
          <cell r="AS120">
            <v>0</v>
          </cell>
          <cell r="AT120">
            <v>151</v>
          </cell>
          <cell r="AU120">
            <v>151</v>
          </cell>
          <cell r="AV120">
            <v>0</v>
          </cell>
          <cell r="AW120">
            <v>2348.0500000000006</v>
          </cell>
          <cell r="AX120">
            <v>2348.0500000000006</v>
          </cell>
          <cell r="AY120">
            <v>2348.0500000000006</v>
          </cell>
          <cell r="AZ120">
            <v>87.5</v>
          </cell>
          <cell r="BA120">
            <v>24.88000000000001</v>
          </cell>
          <cell r="BB120">
            <v>3756.8800000000015</v>
          </cell>
          <cell r="BC120">
            <v>102</v>
          </cell>
          <cell r="BD120">
            <v>2348.0500000000006</v>
          </cell>
          <cell r="BE120">
            <v>3756.880000000001</v>
          </cell>
          <cell r="BF120">
            <v>2348.0500000000006</v>
          </cell>
          <cell r="BG120">
            <v>9815</v>
          </cell>
          <cell r="BH120">
            <v>9815</v>
          </cell>
          <cell r="BI120">
            <v>6493</v>
          </cell>
          <cell r="BJ120">
            <v>6.45</v>
          </cell>
          <cell r="BK120">
            <v>0</v>
          </cell>
          <cell r="BL120">
            <v>973.95</v>
          </cell>
          <cell r="BM120">
            <v>7466.95</v>
          </cell>
          <cell r="BN120">
            <v>6.45</v>
          </cell>
          <cell r="BO120">
            <v>2348.0500000000002</v>
          </cell>
          <cell r="BP120" t="str">
            <v>Y</v>
          </cell>
          <cell r="BQ120">
            <v>1</v>
          </cell>
          <cell r="BR120" t="str">
            <v>Y</v>
          </cell>
          <cell r="BS120">
            <v>3756.8800000000015</v>
          </cell>
          <cell r="BT120" t="str">
            <v>Done</v>
          </cell>
          <cell r="BU120">
            <v>151</v>
          </cell>
          <cell r="BV120">
            <v>2025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Abhishek Yadav</v>
          </cell>
          <cell r="E121" t="str">
            <v>-</v>
          </cell>
          <cell r="H121" t="str">
            <v>Manish Kumar Dhiman</v>
          </cell>
          <cell r="L121" t="str">
            <v>New</v>
          </cell>
          <cell r="M121">
            <v>45691</v>
          </cell>
          <cell r="N121">
            <v>1</v>
          </cell>
          <cell r="O121">
            <v>355</v>
          </cell>
          <cell r="P121">
            <v>45883</v>
          </cell>
          <cell r="Q121">
            <v>46056</v>
          </cell>
          <cell r="R121" t="str">
            <v>PLC-4091</v>
          </cell>
          <cell r="S121" t="str">
            <v>David Francis Schnedar</v>
          </cell>
          <cell r="T121" t="str">
            <v>Individual</v>
          </cell>
          <cell r="U121" t="str">
            <v>W2</v>
          </cell>
          <cell r="V121" t="str">
            <v>Genpact</v>
          </cell>
          <cell r="W121">
            <v>43</v>
          </cell>
          <cell r="X121">
            <v>64.5</v>
          </cell>
          <cell r="Y121" t="str">
            <v>USD</v>
          </cell>
          <cell r="Z121">
            <v>65</v>
          </cell>
          <cell r="AA121">
            <v>97.5</v>
          </cell>
          <cell r="AB121">
            <v>0</v>
          </cell>
          <cell r="AC121">
            <v>0</v>
          </cell>
          <cell r="AD121">
            <v>45731</v>
          </cell>
          <cell r="AE121">
            <v>21</v>
          </cell>
          <cell r="AF121">
            <v>46022</v>
          </cell>
          <cell r="AG121">
            <v>49.449999999999996</v>
          </cell>
          <cell r="AH121">
            <v>74.174999999999997</v>
          </cell>
          <cell r="AI121">
            <v>49.449999999999996</v>
          </cell>
          <cell r="AJ121">
            <v>65</v>
          </cell>
          <cell r="AK121">
            <v>97.5</v>
          </cell>
          <cell r="AL121">
            <v>23.325000000000003</v>
          </cell>
          <cell r="AM121">
            <v>15.550000000000004</v>
          </cell>
          <cell r="AN121">
            <v>23.325000000000003</v>
          </cell>
          <cell r="AO121">
            <v>15.550000000000004</v>
          </cell>
          <cell r="AP121">
            <v>20</v>
          </cell>
          <cell r="AQ121">
            <v>15.550000000000004</v>
          </cell>
          <cell r="AR121" t="str">
            <v>US_24548</v>
          </cell>
          <cell r="AS121">
            <v>0</v>
          </cell>
          <cell r="AT121">
            <v>167</v>
          </cell>
          <cell r="AU121">
            <v>167</v>
          </cell>
          <cell r="AV121">
            <v>0</v>
          </cell>
          <cell r="AW121">
            <v>2596.8500000000008</v>
          </cell>
          <cell r="AX121">
            <v>2596.8500000000008</v>
          </cell>
          <cell r="AY121">
            <v>2596.8500000000008</v>
          </cell>
          <cell r="AZ121">
            <v>87.5</v>
          </cell>
          <cell r="BA121">
            <v>24.88000000000001</v>
          </cell>
          <cell r="BB121">
            <v>4154.9600000000019</v>
          </cell>
          <cell r="BC121">
            <v>102</v>
          </cell>
          <cell r="BD121">
            <v>2596.8500000000008</v>
          </cell>
          <cell r="BE121">
            <v>4154.9600000000009</v>
          </cell>
          <cell r="BF121">
            <v>2596.8500000000008</v>
          </cell>
          <cell r="BG121">
            <v>10855</v>
          </cell>
          <cell r="BH121">
            <v>10855</v>
          </cell>
          <cell r="BI121">
            <v>7181</v>
          </cell>
          <cell r="BJ121">
            <v>6.45</v>
          </cell>
          <cell r="BK121">
            <v>0</v>
          </cell>
          <cell r="BL121">
            <v>1077.1500000000001</v>
          </cell>
          <cell r="BM121">
            <v>8258.15</v>
          </cell>
          <cell r="BN121">
            <v>6.45</v>
          </cell>
          <cell r="BO121">
            <v>2596.85</v>
          </cell>
          <cell r="BP121" t="str">
            <v>Y</v>
          </cell>
          <cell r="BQ121">
            <v>1</v>
          </cell>
          <cell r="BR121" t="str">
            <v>Y</v>
          </cell>
          <cell r="BS121">
            <v>4154.9600000000019</v>
          </cell>
          <cell r="BT121" t="str">
            <v>Done</v>
          </cell>
          <cell r="BU121">
            <v>167</v>
          </cell>
          <cell r="BV121">
            <v>2025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Abhishek Yadav</v>
          </cell>
          <cell r="E122" t="str">
            <v>-</v>
          </cell>
          <cell r="H122" t="str">
            <v>Manish Kumar Dhiman</v>
          </cell>
          <cell r="L122" t="str">
            <v>New</v>
          </cell>
          <cell r="M122">
            <v>45691</v>
          </cell>
          <cell r="N122">
            <v>1</v>
          </cell>
          <cell r="O122">
            <v>355</v>
          </cell>
          <cell r="P122">
            <v>45883</v>
          </cell>
          <cell r="Q122">
            <v>46056</v>
          </cell>
          <cell r="R122" t="str">
            <v>PLC-4091</v>
          </cell>
          <cell r="S122" t="str">
            <v>David Francis Schnedar</v>
          </cell>
          <cell r="T122" t="str">
            <v>Individual</v>
          </cell>
          <cell r="U122" t="str">
            <v>W2</v>
          </cell>
          <cell r="V122" t="str">
            <v>Genpact</v>
          </cell>
          <cell r="W122">
            <v>43</v>
          </cell>
          <cell r="X122">
            <v>64.5</v>
          </cell>
          <cell r="Y122" t="str">
            <v>USD</v>
          </cell>
          <cell r="Z122">
            <v>65</v>
          </cell>
          <cell r="AA122">
            <v>97.5</v>
          </cell>
          <cell r="AB122">
            <v>0</v>
          </cell>
          <cell r="AC122">
            <v>0</v>
          </cell>
          <cell r="AD122">
            <v>45762</v>
          </cell>
          <cell r="AE122">
            <v>22</v>
          </cell>
          <cell r="AF122">
            <v>46022</v>
          </cell>
          <cell r="AG122">
            <v>49.449999999999996</v>
          </cell>
          <cell r="AH122">
            <v>74.174999999999997</v>
          </cell>
          <cell r="AI122">
            <v>49.449999999999996</v>
          </cell>
          <cell r="AJ122">
            <v>65</v>
          </cell>
          <cell r="AK122">
            <v>97.5</v>
          </cell>
          <cell r="AL122">
            <v>23.325000000000003</v>
          </cell>
          <cell r="AM122">
            <v>15.550000000000004</v>
          </cell>
          <cell r="AN122">
            <v>23.325000000000003</v>
          </cell>
          <cell r="AO122">
            <v>15.550000000000004</v>
          </cell>
          <cell r="AP122">
            <v>20</v>
          </cell>
          <cell r="AQ122">
            <v>15.550000000000004</v>
          </cell>
          <cell r="AR122" t="str">
            <v>US_24765</v>
          </cell>
          <cell r="AS122">
            <v>0</v>
          </cell>
          <cell r="AT122">
            <v>171</v>
          </cell>
          <cell r="AU122">
            <v>171</v>
          </cell>
          <cell r="AV122">
            <v>0</v>
          </cell>
          <cell r="AW122">
            <v>2659.0500000000006</v>
          </cell>
          <cell r="AX122">
            <v>2659.0500000000006</v>
          </cell>
          <cell r="AY122">
            <v>2659.0500000000006</v>
          </cell>
          <cell r="AZ122">
            <v>87.5</v>
          </cell>
          <cell r="BA122">
            <v>24.88000000000001</v>
          </cell>
          <cell r="BB122">
            <v>4254.4800000000014</v>
          </cell>
          <cell r="BC122">
            <v>102</v>
          </cell>
          <cell r="BD122">
            <v>2659.0500000000006</v>
          </cell>
          <cell r="BE122">
            <v>4254.4800000000014</v>
          </cell>
          <cell r="BF122">
            <v>2659.0500000000006</v>
          </cell>
          <cell r="BG122">
            <v>11115</v>
          </cell>
          <cell r="BH122">
            <v>11115</v>
          </cell>
          <cell r="BI122">
            <v>7353</v>
          </cell>
          <cell r="BJ122">
            <v>6.45</v>
          </cell>
          <cell r="BK122">
            <v>0</v>
          </cell>
          <cell r="BL122">
            <v>1102.95</v>
          </cell>
          <cell r="BM122">
            <v>8455.9500000000007</v>
          </cell>
          <cell r="BN122">
            <v>6.45</v>
          </cell>
          <cell r="BO122">
            <v>2659.05</v>
          </cell>
          <cell r="BP122" t="str">
            <v>Y</v>
          </cell>
          <cell r="BQ122">
            <v>2</v>
          </cell>
          <cell r="BR122" t="str">
            <v>Y</v>
          </cell>
          <cell r="BS122">
            <v>4254.4800000000014</v>
          </cell>
          <cell r="BT122" t="str">
            <v>Done</v>
          </cell>
          <cell r="BU122">
            <v>171</v>
          </cell>
          <cell r="BV122">
            <v>2025</v>
          </cell>
        </row>
        <row r="123">
          <cell r="A123" t="str">
            <v>Lucknow</v>
          </cell>
          <cell r="B123" t="str">
            <v>Vantedge</v>
          </cell>
          <cell r="C123" t="str">
            <v>Senior</v>
          </cell>
          <cell r="D123" t="str">
            <v>Anshul Kumar</v>
          </cell>
          <cell r="E123" t="str">
            <v>Dev Srivastava</v>
          </cell>
          <cell r="H123" t="str">
            <v>Anshul Kumar</v>
          </cell>
          <cell r="L123" t="str">
            <v>New</v>
          </cell>
          <cell r="M123">
            <v>45740</v>
          </cell>
          <cell r="N123">
            <v>1</v>
          </cell>
          <cell r="O123">
            <v>306</v>
          </cell>
          <cell r="P123" t="str">
            <v>-</v>
          </cell>
          <cell r="Q123">
            <v>46105</v>
          </cell>
          <cell r="R123" t="str">
            <v>PLC-4187</v>
          </cell>
          <cell r="S123" t="str">
            <v>David Jaime Illescas</v>
          </cell>
          <cell r="T123" t="str">
            <v>Individual</v>
          </cell>
          <cell r="U123" t="str">
            <v>FTE</v>
          </cell>
          <cell r="V123" t="str">
            <v>ACL Digital</v>
          </cell>
          <cell r="W123">
            <v>0</v>
          </cell>
          <cell r="X123">
            <v>0</v>
          </cell>
          <cell r="Y123" t="str">
            <v>USD</v>
          </cell>
          <cell r="Z123">
            <v>39600</v>
          </cell>
          <cell r="AA123">
            <v>0</v>
          </cell>
          <cell r="AB123">
            <v>0</v>
          </cell>
          <cell r="AC123">
            <v>0</v>
          </cell>
          <cell r="AD123">
            <v>45731</v>
          </cell>
          <cell r="AE123">
            <v>1</v>
          </cell>
          <cell r="AF123">
            <v>46022</v>
          </cell>
          <cell r="AG123">
            <v>0</v>
          </cell>
          <cell r="AH123">
            <v>0</v>
          </cell>
          <cell r="AI123">
            <v>0</v>
          </cell>
          <cell r="AJ123">
            <v>39600</v>
          </cell>
          <cell r="AK123">
            <v>0</v>
          </cell>
          <cell r="AL123">
            <v>0</v>
          </cell>
          <cell r="AM123">
            <v>39600</v>
          </cell>
          <cell r="AN123">
            <v>0</v>
          </cell>
          <cell r="AO123">
            <v>39600</v>
          </cell>
          <cell r="AP123">
            <v>0</v>
          </cell>
          <cell r="AQ123">
            <v>39600</v>
          </cell>
          <cell r="AR123" t="str">
            <v>US_24709</v>
          </cell>
          <cell r="AS123">
            <v>0</v>
          </cell>
          <cell r="AT123">
            <v>1</v>
          </cell>
          <cell r="AU123">
            <v>1</v>
          </cell>
          <cell r="AV123">
            <v>0</v>
          </cell>
          <cell r="AW123">
            <v>39600</v>
          </cell>
          <cell r="AX123">
            <v>39600</v>
          </cell>
          <cell r="AY123">
            <v>39600</v>
          </cell>
          <cell r="AZ123">
            <v>192</v>
          </cell>
          <cell r="BA123">
            <v>63360</v>
          </cell>
          <cell r="BB123">
            <v>63360</v>
          </cell>
          <cell r="BC123">
            <v>100</v>
          </cell>
          <cell r="BD123">
            <v>39600</v>
          </cell>
          <cell r="BE123">
            <v>63360</v>
          </cell>
          <cell r="BF123">
            <v>39600</v>
          </cell>
          <cell r="BG123">
            <v>39600</v>
          </cell>
          <cell r="BH123">
            <v>39600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39600</v>
          </cell>
          <cell r="BP123" t="str">
            <v>Y</v>
          </cell>
          <cell r="BQ123">
            <v>1</v>
          </cell>
          <cell r="BR123" t="str">
            <v>Y</v>
          </cell>
          <cell r="BS123">
            <v>63360</v>
          </cell>
          <cell r="BT123" t="str">
            <v>Done</v>
          </cell>
          <cell r="BU123">
            <v>0</v>
          </cell>
          <cell r="BV123">
            <v>2025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Aditya Yadav</v>
          </cell>
          <cell r="E124" t="str">
            <v>-</v>
          </cell>
          <cell r="H124" t="str">
            <v>Santosh Singh</v>
          </cell>
          <cell r="L124" t="str">
            <v>New</v>
          </cell>
          <cell r="M124">
            <v>45733</v>
          </cell>
          <cell r="N124">
            <v>1</v>
          </cell>
          <cell r="O124">
            <v>313</v>
          </cell>
          <cell r="P124" t="str">
            <v>-</v>
          </cell>
          <cell r="Q124">
            <v>46098</v>
          </cell>
          <cell r="R124" t="str">
            <v>PLC-4181</v>
          </cell>
          <cell r="S124" t="str">
            <v>David Muhanad Kassis</v>
          </cell>
          <cell r="T124" t="str">
            <v>Individual</v>
          </cell>
          <cell r="U124" t="str">
            <v>FTE</v>
          </cell>
          <cell r="V124" t="str">
            <v>LTTS</v>
          </cell>
          <cell r="W124">
            <v>0</v>
          </cell>
          <cell r="X124">
            <v>0</v>
          </cell>
          <cell r="Y124" t="str">
            <v>USD</v>
          </cell>
          <cell r="Z124">
            <v>5864</v>
          </cell>
          <cell r="AA124">
            <v>0</v>
          </cell>
          <cell r="AB124">
            <v>0</v>
          </cell>
          <cell r="AC124">
            <v>0</v>
          </cell>
          <cell r="AD124">
            <v>45731</v>
          </cell>
          <cell r="AE124">
            <v>1</v>
          </cell>
          <cell r="AF124">
            <v>46022</v>
          </cell>
          <cell r="AG124">
            <v>0</v>
          </cell>
          <cell r="AH124">
            <v>0</v>
          </cell>
          <cell r="AI124">
            <v>0</v>
          </cell>
          <cell r="AJ124">
            <v>5864</v>
          </cell>
          <cell r="AK124">
            <v>0</v>
          </cell>
          <cell r="AL124">
            <v>0</v>
          </cell>
          <cell r="AM124">
            <v>5864</v>
          </cell>
          <cell r="AN124">
            <v>0</v>
          </cell>
          <cell r="AO124">
            <v>5864</v>
          </cell>
          <cell r="AP124">
            <v>0</v>
          </cell>
          <cell r="AQ124">
            <v>5864</v>
          </cell>
          <cell r="AR124" t="str">
            <v>US_24531</v>
          </cell>
          <cell r="AS124">
            <v>0</v>
          </cell>
          <cell r="AT124">
            <v>1</v>
          </cell>
          <cell r="AU124">
            <v>1</v>
          </cell>
          <cell r="AV124">
            <v>0</v>
          </cell>
          <cell r="AW124">
            <v>5864</v>
          </cell>
          <cell r="AX124">
            <v>5864</v>
          </cell>
          <cell r="AY124">
            <v>5864</v>
          </cell>
          <cell r="AZ124">
            <v>57.142857142857139</v>
          </cell>
          <cell r="BA124">
            <v>7036.8</v>
          </cell>
          <cell r="BB124">
            <v>7036.8</v>
          </cell>
          <cell r="BF124">
            <v>5864</v>
          </cell>
          <cell r="BG124">
            <v>5864</v>
          </cell>
          <cell r="BH124">
            <v>5864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5864</v>
          </cell>
          <cell r="BP124" t="str">
            <v>Y</v>
          </cell>
          <cell r="BQ124">
            <v>1</v>
          </cell>
          <cell r="BR124" t="str">
            <v>Y</v>
          </cell>
          <cell r="BS124">
            <v>7036.8</v>
          </cell>
          <cell r="BT124" t="str">
            <v>Done</v>
          </cell>
          <cell r="BU124">
            <v>0</v>
          </cell>
          <cell r="BV124">
            <v>2025</v>
          </cell>
        </row>
        <row r="125">
          <cell r="A125" t="str">
            <v>Lucknow</v>
          </cell>
          <cell r="B125" t="str">
            <v>Vantedge</v>
          </cell>
          <cell r="C125" t="str">
            <v>Senior</v>
          </cell>
          <cell r="D125" t="str">
            <v>Anshul Kumar</v>
          </cell>
          <cell r="E125" t="str">
            <v>-</v>
          </cell>
          <cell r="H125" t="str">
            <v>Anshul Kumar</v>
          </cell>
          <cell r="K125" t="str">
            <v>Priyansh Khare</v>
          </cell>
          <cell r="L125" t="str">
            <v>New</v>
          </cell>
          <cell r="M125">
            <v>45659</v>
          </cell>
          <cell r="N125">
            <v>1</v>
          </cell>
          <cell r="O125">
            <v>387</v>
          </cell>
          <cell r="P125" t="str">
            <v>-</v>
          </cell>
          <cell r="Q125">
            <v>46024</v>
          </cell>
          <cell r="R125" t="str">
            <v>PLC-4086</v>
          </cell>
          <cell r="S125" t="str">
            <v>David Mussan-Levy</v>
          </cell>
          <cell r="T125" t="str">
            <v>Split</v>
          </cell>
          <cell r="U125" t="str">
            <v>FTE</v>
          </cell>
          <cell r="V125" t="str">
            <v>Visionet</v>
          </cell>
          <cell r="W125">
            <v>0</v>
          </cell>
          <cell r="X125">
            <v>0</v>
          </cell>
          <cell r="Y125" t="str">
            <v>USD</v>
          </cell>
          <cell r="Z125">
            <v>30000</v>
          </cell>
          <cell r="AA125">
            <v>0</v>
          </cell>
          <cell r="AB125">
            <v>0</v>
          </cell>
          <cell r="AC125">
            <v>0</v>
          </cell>
          <cell r="AD125">
            <v>45672</v>
          </cell>
          <cell r="AE125">
            <v>1</v>
          </cell>
          <cell r="AF125">
            <v>46022</v>
          </cell>
          <cell r="AG125">
            <v>0</v>
          </cell>
          <cell r="AH125">
            <v>0</v>
          </cell>
          <cell r="AI125">
            <v>0</v>
          </cell>
          <cell r="AJ125">
            <v>30000</v>
          </cell>
          <cell r="AK125">
            <v>0</v>
          </cell>
          <cell r="AL125">
            <v>0</v>
          </cell>
          <cell r="AM125">
            <v>30000</v>
          </cell>
          <cell r="AN125">
            <v>0</v>
          </cell>
          <cell r="AO125">
            <v>15000</v>
          </cell>
          <cell r="AP125">
            <v>0</v>
          </cell>
          <cell r="AQ125">
            <v>15000</v>
          </cell>
          <cell r="AR125" t="str">
            <v>US_24337</v>
          </cell>
          <cell r="AS125">
            <v>0</v>
          </cell>
          <cell r="AT125">
            <v>1</v>
          </cell>
          <cell r="AU125">
            <v>1</v>
          </cell>
          <cell r="AV125">
            <v>0</v>
          </cell>
          <cell r="AW125">
            <v>15000</v>
          </cell>
          <cell r="AX125">
            <v>15000</v>
          </cell>
          <cell r="AY125">
            <v>15000</v>
          </cell>
          <cell r="AZ125">
            <v>192</v>
          </cell>
          <cell r="BA125">
            <v>24000</v>
          </cell>
          <cell r="BB125">
            <v>24000</v>
          </cell>
          <cell r="BC125">
            <v>100</v>
          </cell>
          <cell r="BD125">
            <v>15000</v>
          </cell>
          <cell r="BE125">
            <v>24000</v>
          </cell>
          <cell r="BF125">
            <v>15000</v>
          </cell>
          <cell r="BG125">
            <v>15000</v>
          </cell>
          <cell r="BH125">
            <v>15000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15000</v>
          </cell>
          <cell r="BP125" t="str">
            <v>Y</v>
          </cell>
          <cell r="BQ125">
            <v>1</v>
          </cell>
          <cell r="BR125" t="str">
            <v>Y</v>
          </cell>
          <cell r="BS125">
            <v>24000</v>
          </cell>
          <cell r="BT125" t="str">
            <v>Done</v>
          </cell>
          <cell r="BU125">
            <v>0</v>
          </cell>
          <cell r="BV125">
            <v>2025</v>
          </cell>
        </row>
        <row r="126">
          <cell r="A126" t="str">
            <v>Lucknow</v>
          </cell>
          <cell r="B126" t="str">
            <v>Vantedge</v>
          </cell>
          <cell r="C126" t="str">
            <v>Senior</v>
          </cell>
          <cell r="D126" t="str">
            <v>Raunak Tripathi</v>
          </cell>
          <cell r="E126" t="str">
            <v>-</v>
          </cell>
          <cell r="H126" t="str">
            <v>Anshul Kumar</v>
          </cell>
          <cell r="K126" t="str">
            <v>Priyansh Khare</v>
          </cell>
          <cell r="L126" t="str">
            <v>New</v>
          </cell>
          <cell r="M126">
            <v>45659</v>
          </cell>
          <cell r="N126">
            <v>1</v>
          </cell>
          <cell r="O126">
            <v>387</v>
          </cell>
          <cell r="P126" t="str">
            <v>-</v>
          </cell>
          <cell r="Q126">
            <v>46024</v>
          </cell>
          <cell r="R126" t="str">
            <v>PLC-4086</v>
          </cell>
          <cell r="S126" t="str">
            <v>David Mussan-Levy</v>
          </cell>
          <cell r="T126" t="str">
            <v>Split</v>
          </cell>
          <cell r="U126" t="str">
            <v>FTE</v>
          </cell>
          <cell r="V126" t="str">
            <v>Visionet</v>
          </cell>
          <cell r="W126">
            <v>0</v>
          </cell>
          <cell r="X126">
            <v>0</v>
          </cell>
          <cell r="Y126" t="str">
            <v>USD</v>
          </cell>
          <cell r="Z126">
            <v>30000</v>
          </cell>
          <cell r="AA126">
            <v>0</v>
          </cell>
          <cell r="AB126">
            <v>0</v>
          </cell>
          <cell r="AC126">
            <v>0</v>
          </cell>
          <cell r="AD126">
            <v>45672</v>
          </cell>
          <cell r="AE126">
            <v>1</v>
          </cell>
          <cell r="AF126">
            <v>46022</v>
          </cell>
          <cell r="AG126">
            <v>0</v>
          </cell>
          <cell r="AH126">
            <v>0</v>
          </cell>
          <cell r="AI126">
            <v>0</v>
          </cell>
          <cell r="AJ126">
            <v>30000</v>
          </cell>
          <cell r="AK126">
            <v>0</v>
          </cell>
          <cell r="AL126">
            <v>0</v>
          </cell>
          <cell r="AM126">
            <v>30000</v>
          </cell>
          <cell r="AN126">
            <v>0</v>
          </cell>
          <cell r="AO126">
            <v>15000</v>
          </cell>
          <cell r="AP126">
            <v>0</v>
          </cell>
          <cell r="AQ126">
            <v>15000</v>
          </cell>
          <cell r="AR126" t="str">
            <v>US_24337</v>
          </cell>
          <cell r="AS126">
            <v>0</v>
          </cell>
          <cell r="AT126">
            <v>1</v>
          </cell>
          <cell r="AU126">
            <v>1</v>
          </cell>
          <cell r="AV126">
            <v>0</v>
          </cell>
          <cell r="AW126">
            <v>15000</v>
          </cell>
          <cell r="AX126">
            <v>15000</v>
          </cell>
          <cell r="AY126">
            <v>15000</v>
          </cell>
          <cell r="AZ126">
            <v>192</v>
          </cell>
          <cell r="BA126">
            <v>24000</v>
          </cell>
          <cell r="BB126">
            <v>24000</v>
          </cell>
          <cell r="BF126">
            <v>15000</v>
          </cell>
          <cell r="BG126">
            <v>15000</v>
          </cell>
          <cell r="BH126">
            <v>15000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15000</v>
          </cell>
          <cell r="BP126" t="str">
            <v>Y</v>
          </cell>
          <cell r="BQ126">
            <v>1</v>
          </cell>
          <cell r="BR126" t="str">
            <v>Y</v>
          </cell>
          <cell r="BS126">
            <v>24000</v>
          </cell>
          <cell r="BT126" t="str">
            <v>Done</v>
          </cell>
          <cell r="BU126">
            <v>0</v>
          </cell>
          <cell r="BV126">
            <v>2025</v>
          </cell>
        </row>
        <row r="127">
          <cell r="A127" t="str">
            <v>Chennai</v>
          </cell>
          <cell r="B127" t="str">
            <v>Chennai</v>
          </cell>
          <cell r="C127" t="str">
            <v>Mid Level</v>
          </cell>
          <cell r="D127" t="str">
            <v>Akbar Ibrahim</v>
          </cell>
          <cell r="E127" t="str">
            <v>-</v>
          </cell>
          <cell r="H127" t="str">
            <v>Archana K</v>
          </cell>
          <cell r="K127" t="str">
            <v>-</v>
          </cell>
          <cell r="L127" t="str">
            <v>New</v>
          </cell>
          <cell r="M127">
            <v>45698</v>
          </cell>
          <cell r="N127">
            <v>1</v>
          </cell>
          <cell r="O127">
            <v>348</v>
          </cell>
          <cell r="P127" t="str">
            <v>-</v>
          </cell>
          <cell r="Q127">
            <v>46063</v>
          </cell>
          <cell r="R127" t="str">
            <v>PLC-4146</v>
          </cell>
          <cell r="S127" t="str">
            <v>David Richter</v>
          </cell>
          <cell r="T127" t="str">
            <v>Split</v>
          </cell>
          <cell r="U127" t="str">
            <v>FTE</v>
          </cell>
          <cell r="V127" t="str">
            <v>Relevante</v>
          </cell>
          <cell r="W127">
            <v>0</v>
          </cell>
          <cell r="X127">
            <v>0</v>
          </cell>
          <cell r="Y127" t="str">
            <v>USD</v>
          </cell>
          <cell r="Z127">
            <v>4200</v>
          </cell>
          <cell r="AA127">
            <v>0</v>
          </cell>
          <cell r="AB127">
            <v>0</v>
          </cell>
          <cell r="AC127">
            <v>0</v>
          </cell>
          <cell r="AD127">
            <v>45703</v>
          </cell>
          <cell r="AE127">
            <v>1</v>
          </cell>
          <cell r="AF127">
            <v>46022</v>
          </cell>
          <cell r="AG127">
            <v>0</v>
          </cell>
          <cell r="AH127">
            <v>0</v>
          </cell>
          <cell r="AI127">
            <v>0</v>
          </cell>
          <cell r="AJ127">
            <v>4200</v>
          </cell>
          <cell r="AK127">
            <v>0</v>
          </cell>
          <cell r="AL127">
            <v>0</v>
          </cell>
          <cell r="AM127">
            <v>4200</v>
          </cell>
          <cell r="AN127">
            <v>0</v>
          </cell>
          <cell r="AO127">
            <v>2100</v>
          </cell>
          <cell r="AP127">
            <v>0</v>
          </cell>
          <cell r="AQ127">
            <v>2100</v>
          </cell>
          <cell r="AR127" t="str">
            <v>US_24321</v>
          </cell>
          <cell r="AS127">
            <v>0</v>
          </cell>
          <cell r="AT127">
            <v>1</v>
          </cell>
          <cell r="AU127">
            <v>1</v>
          </cell>
          <cell r="AV127">
            <v>0</v>
          </cell>
          <cell r="AW127">
            <v>2100</v>
          </cell>
          <cell r="AX127">
            <v>2100</v>
          </cell>
          <cell r="AY127">
            <v>2100</v>
          </cell>
          <cell r="AZ127">
            <v>0</v>
          </cell>
          <cell r="BA127">
            <v>0</v>
          </cell>
          <cell r="BB127">
            <v>0</v>
          </cell>
          <cell r="BC127">
            <v>191</v>
          </cell>
          <cell r="BD127">
            <v>2100</v>
          </cell>
          <cell r="BE127">
            <v>3360</v>
          </cell>
          <cell r="BF127">
            <v>2100</v>
          </cell>
          <cell r="BG127">
            <v>2100</v>
          </cell>
          <cell r="BH127">
            <v>2100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2100</v>
          </cell>
          <cell r="BP127" t="str">
            <v>Y</v>
          </cell>
          <cell r="BQ127">
            <v>1</v>
          </cell>
          <cell r="BR127" t="str">
            <v>Y</v>
          </cell>
          <cell r="BS127">
            <v>0</v>
          </cell>
          <cell r="BT127" t="str">
            <v>Done</v>
          </cell>
          <cell r="BU127">
            <v>0</v>
          </cell>
          <cell r="BV127">
            <v>2025</v>
          </cell>
        </row>
        <row r="128">
          <cell r="A128" t="str">
            <v>Chennai</v>
          </cell>
          <cell r="B128" t="str">
            <v>Chennai</v>
          </cell>
          <cell r="C128" t="str">
            <v>Mid Level</v>
          </cell>
          <cell r="D128" t="str">
            <v>Vinoth L</v>
          </cell>
          <cell r="E128" t="str">
            <v>-</v>
          </cell>
          <cell r="H128" t="str">
            <v>Archana K</v>
          </cell>
          <cell r="K128" t="str">
            <v>-</v>
          </cell>
          <cell r="L128" t="str">
            <v>New</v>
          </cell>
          <cell r="M128">
            <v>45698</v>
          </cell>
          <cell r="N128">
            <v>1</v>
          </cell>
          <cell r="O128">
            <v>348</v>
          </cell>
          <cell r="P128" t="str">
            <v>-</v>
          </cell>
          <cell r="Q128">
            <v>46063</v>
          </cell>
          <cell r="R128" t="str">
            <v>PLC-4146</v>
          </cell>
          <cell r="S128" t="str">
            <v>David Richter</v>
          </cell>
          <cell r="T128" t="str">
            <v>Split</v>
          </cell>
          <cell r="U128" t="str">
            <v>FTE</v>
          </cell>
          <cell r="V128" t="str">
            <v>Relevante</v>
          </cell>
          <cell r="W128">
            <v>0</v>
          </cell>
          <cell r="X128">
            <v>0</v>
          </cell>
          <cell r="Y128" t="str">
            <v>USD</v>
          </cell>
          <cell r="Z128">
            <v>4200</v>
          </cell>
          <cell r="AA128">
            <v>0</v>
          </cell>
          <cell r="AB128">
            <v>0</v>
          </cell>
          <cell r="AC128">
            <v>0</v>
          </cell>
          <cell r="AD128">
            <v>45703</v>
          </cell>
          <cell r="AE128">
            <v>1</v>
          </cell>
          <cell r="AF128">
            <v>46022</v>
          </cell>
          <cell r="AG128">
            <v>0</v>
          </cell>
          <cell r="AH128">
            <v>0</v>
          </cell>
          <cell r="AI128">
            <v>0</v>
          </cell>
          <cell r="AJ128">
            <v>4200</v>
          </cell>
          <cell r="AK128">
            <v>0</v>
          </cell>
          <cell r="AL128">
            <v>0</v>
          </cell>
          <cell r="AM128">
            <v>4200</v>
          </cell>
          <cell r="AN128">
            <v>0</v>
          </cell>
          <cell r="AO128">
            <v>2100</v>
          </cell>
          <cell r="AP128">
            <v>0</v>
          </cell>
          <cell r="AQ128">
            <v>2100</v>
          </cell>
          <cell r="AR128" t="str">
            <v>US_24321</v>
          </cell>
          <cell r="AS128">
            <v>0</v>
          </cell>
          <cell r="AT128">
            <v>1</v>
          </cell>
          <cell r="AU128">
            <v>1</v>
          </cell>
          <cell r="AV128">
            <v>0</v>
          </cell>
          <cell r="AW128">
            <v>2100</v>
          </cell>
          <cell r="AX128">
            <v>2100</v>
          </cell>
          <cell r="AY128">
            <v>2100</v>
          </cell>
          <cell r="AZ128">
            <v>0</v>
          </cell>
          <cell r="BA128">
            <v>0</v>
          </cell>
          <cell r="BB128">
            <v>0</v>
          </cell>
          <cell r="BC128">
            <v>67</v>
          </cell>
          <cell r="BD128">
            <v>2100</v>
          </cell>
          <cell r="BE128">
            <v>2520</v>
          </cell>
          <cell r="BF128">
            <v>2100</v>
          </cell>
          <cell r="BG128">
            <v>2100</v>
          </cell>
          <cell r="BH128">
            <v>2100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2100</v>
          </cell>
          <cell r="BP128" t="str">
            <v>Y</v>
          </cell>
          <cell r="BQ128">
            <v>1</v>
          </cell>
          <cell r="BR128" t="str">
            <v>Y</v>
          </cell>
          <cell r="BS128">
            <v>0</v>
          </cell>
          <cell r="BT128" t="str">
            <v>Done</v>
          </cell>
          <cell r="BU128">
            <v>0</v>
          </cell>
          <cell r="BV128">
            <v>2025</v>
          </cell>
        </row>
        <row r="129">
          <cell r="A129" t="str">
            <v>Lucknow</v>
          </cell>
          <cell r="B129" t="str">
            <v>Vantedge</v>
          </cell>
          <cell r="C129" t="str">
            <v>Senior</v>
          </cell>
          <cell r="D129" t="str">
            <v>Umar Mujahid Husain</v>
          </cell>
          <cell r="E129" t="str">
            <v>Dev Srivastava</v>
          </cell>
          <cell r="H129" t="str">
            <v>Umar Mujahid Husain</v>
          </cell>
          <cell r="K129" t="str">
            <v>Nida Khan</v>
          </cell>
          <cell r="L129" t="str">
            <v>New</v>
          </cell>
          <cell r="M129">
            <v>45734</v>
          </cell>
          <cell r="N129">
            <v>1</v>
          </cell>
          <cell r="O129">
            <v>312</v>
          </cell>
          <cell r="P129" t="str">
            <v>-</v>
          </cell>
          <cell r="Q129">
            <v>46099</v>
          </cell>
          <cell r="R129" t="str">
            <v>PLC-4191</v>
          </cell>
          <cell r="S129" t="str">
            <v>David Smith</v>
          </cell>
          <cell r="T129" t="str">
            <v>Individual</v>
          </cell>
          <cell r="U129" t="str">
            <v>FTE</v>
          </cell>
          <cell r="V129" t="str">
            <v>PocketFM</v>
          </cell>
          <cell r="W129">
            <v>0</v>
          </cell>
          <cell r="X129">
            <v>0</v>
          </cell>
          <cell r="Y129" t="str">
            <v>USD</v>
          </cell>
          <cell r="Z129">
            <v>43200</v>
          </cell>
          <cell r="AA129">
            <v>0</v>
          </cell>
          <cell r="AB129">
            <v>0</v>
          </cell>
          <cell r="AC129">
            <v>0</v>
          </cell>
          <cell r="AD129">
            <v>45731</v>
          </cell>
          <cell r="AE129">
            <v>1</v>
          </cell>
          <cell r="AF129">
            <v>46022</v>
          </cell>
          <cell r="AG129">
            <v>0</v>
          </cell>
          <cell r="AH129">
            <v>0</v>
          </cell>
          <cell r="AI129">
            <v>0</v>
          </cell>
          <cell r="AJ129">
            <v>43200</v>
          </cell>
          <cell r="AK129">
            <v>0</v>
          </cell>
          <cell r="AL129">
            <v>0</v>
          </cell>
          <cell r="AM129">
            <v>43200</v>
          </cell>
          <cell r="AN129">
            <v>0</v>
          </cell>
          <cell r="AO129">
            <v>43200</v>
          </cell>
          <cell r="AP129">
            <v>0</v>
          </cell>
          <cell r="AQ129">
            <v>43200</v>
          </cell>
          <cell r="AR129" t="str">
            <v>US_24716</v>
          </cell>
          <cell r="AS129">
            <v>0</v>
          </cell>
          <cell r="AT129">
            <v>1</v>
          </cell>
          <cell r="AU129">
            <v>1</v>
          </cell>
          <cell r="AV129">
            <v>0</v>
          </cell>
          <cell r="AW129">
            <v>43200</v>
          </cell>
          <cell r="AX129">
            <v>43200</v>
          </cell>
          <cell r="AY129">
            <v>43200</v>
          </cell>
          <cell r="AZ129">
            <v>122</v>
          </cell>
          <cell r="BA129">
            <v>69120</v>
          </cell>
          <cell r="BB129">
            <v>69120</v>
          </cell>
          <cell r="BC129">
            <v>59</v>
          </cell>
          <cell r="BD129">
            <v>43200</v>
          </cell>
          <cell r="BE129">
            <v>34560</v>
          </cell>
          <cell r="BF129">
            <v>43200</v>
          </cell>
          <cell r="BG129">
            <v>43200</v>
          </cell>
          <cell r="BH129">
            <v>43200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43200</v>
          </cell>
          <cell r="BP129" t="str">
            <v>Y</v>
          </cell>
          <cell r="BQ129">
            <v>1</v>
          </cell>
          <cell r="BR129" t="str">
            <v>Y</v>
          </cell>
          <cell r="BS129">
            <v>69120</v>
          </cell>
          <cell r="BT129" t="str">
            <v>Done</v>
          </cell>
          <cell r="BU129">
            <v>0</v>
          </cell>
          <cell r="BV129">
            <v>2025</v>
          </cell>
        </row>
        <row r="130">
          <cell r="A130" t="str">
            <v>Lucknow</v>
          </cell>
          <cell r="B130" t="str">
            <v>RPO</v>
          </cell>
          <cell r="C130" t="str">
            <v>Mid Level</v>
          </cell>
          <cell r="D130" t="str">
            <v>Ankit Pandey</v>
          </cell>
          <cell r="E130" t="str">
            <v>-</v>
          </cell>
          <cell r="H130" t="str">
            <v>Sagar Chandani</v>
          </cell>
          <cell r="K130" t="str">
            <v>N.A</v>
          </cell>
          <cell r="L130" t="str">
            <v>New</v>
          </cell>
          <cell r="M130">
            <v>45705</v>
          </cell>
          <cell r="N130">
            <v>1</v>
          </cell>
          <cell r="O130">
            <v>341</v>
          </cell>
          <cell r="P130" t="str">
            <v>-</v>
          </cell>
          <cell r="Q130">
            <v>46070</v>
          </cell>
          <cell r="R130" t="str">
            <v>PLC-4144</v>
          </cell>
          <cell r="S130" t="str">
            <v>Deana Brennan</v>
          </cell>
          <cell r="T130" t="str">
            <v>Individual</v>
          </cell>
          <cell r="U130" t="str">
            <v>RPO</v>
          </cell>
          <cell r="V130" t="str">
            <v>GPC RPO</v>
          </cell>
          <cell r="W130">
            <v>0</v>
          </cell>
          <cell r="X130">
            <v>0</v>
          </cell>
          <cell r="Y130" t="str">
            <v>USD</v>
          </cell>
          <cell r="Z130">
            <v>3000</v>
          </cell>
          <cell r="AA130">
            <v>0</v>
          </cell>
          <cell r="AB130">
            <v>0</v>
          </cell>
          <cell r="AC130">
            <v>0</v>
          </cell>
          <cell r="AD130">
            <v>45703</v>
          </cell>
          <cell r="AE130">
            <v>10</v>
          </cell>
          <cell r="AF130">
            <v>46022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3000</v>
          </cell>
          <cell r="AN130">
            <v>0</v>
          </cell>
          <cell r="AO130">
            <v>3000</v>
          </cell>
          <cell r="AP130">
            <v>0</v>
          </cell>
          <cell r="AQ130">
            <v>0</v>
          </cell>
          <cell r="AR130" t="str">
            <v>US_24397</v>
          </cell>
          <cell r="AS130">
            <v>0</v>
          </cell>
          <cell r="AT130">
            <v>1</v>
          </cell>
          <cell r="AU130">
            <v>1</v>
          </cell>
          <cell r="AV130">
            <v>0</v>
          </cell>
          <cell r="AW130">
            <v>3000</v>
          </cell>
          <cell r="AX130">
            <v>3000</v>
          </cell>
          <cell r="AY130">
            <v>3000</v>
          </cell>
          <cell r="AZ130">
            <v>116.3</v>
          </cell>
          <cell r="BA130">
            <v>0</v>
          </cell>
          <cell r="BB130">
            <v>0</v>
          </cell>
          <cell r="BF130">
            <v>3000</v>
          </cell>
          <cell r="BG130">
            <v>3000</v>
          </cell>
          <cell r="BH130">
            <v>3000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3000</v>
          </cell>
          <cell r="BP130" t="str">
            <v>Y</v>
          </cell>
          <cell r="BQ130">
            <v>1</v>
          </cell>
          <cell r="BR130" t="str">
            <v>Y</v>
          </cell>
          <cell r="BS130">
            <v>0</v>
          </cell>
          <cell r="BT130" t="str">
            <v>Done</v>
          </cell>
          <cell r="BU130">
            <v>0</v>
          </cell>
          <cell r="BV130">
            <v>2025</v>
          </cell>
        </row>
        <row r="131">
          <cell r="A131" t="str">
            <v>Chennai</v>
          </cell>
          <cell r="B131" t="str">
            <v>Chennai</v>
          </cell>
          <cell r="C131" t="str">
            <v>Mid Level</v>
          </cell>
          <cell r="D131" t="str">
            <v>Vinoth L</v>
          </cell>
          <cell r="E131" t="str">
            <v>-</v>
          </cell>
          <cell r="H131" t="str">
            <v>Gayathri.J</v>
          </cell>
          <cell r="K131">
            <v>0</v>
          </cell>
          <cell r="L131" t="str">
            <v>Old</v>
          </cell>
          <cell r="M131">
            <v>45516</v>
          </cell>
          <cell r="N131">
            <v>3</v>
          </cell>
          <cell r="O131">
            <v>530</v>
          </cell>
          <cell r="P131" t="str">
            <v>-</v>
          </cell>
          <cell r="Q131">
            <v>45881</v>
          </cell>
          <cell r="R131" t="str">
            <v>PLC-3917</v>
          </cell>
          <cell r="S131" t="str">
            <v>Deepa Sachin Patil</v>
          </cell>
          <cell r="T131" t="str">
            <v>Individual</v>
          </cell>
          <cell r="U131" t="str">
            <v>C2C</v>
          </cell>
          <cell r="V131" t="str">
            <v>Citius Tech</v>
          </cell>
          <cell r="W131">
            <v>53</v>
          </cell>
          <cell r="X131">
            <v>0</v>
          </cell>
          <cell r="Y131" t="str">
            <v>USD</v>
          </cell>
          <cell r="Z131">
            <v>60</v>
          </cell>
          <cell r="AA131">
            <v>0</v>
          </cell>
          <cell r="AB131">
            <v>0</v>
          </cell>
          <cell r="AC131">
            <v>0</v>
          </cell>
          <cell r="AD131">
            <v>45672</v>
          </cell>
          <cell r="AE131">
            <v>23</v>
          </cell>
          <cell r="AF131">
            <v>46022</v>
          </cell>
          <cell r="AG131">
            <v>53</v>
          </cell>
          <cell r="AH131">
            <v>0</v>
          </cell>
          <cell r="AI131">
            <v>53</v>
          </cell>
          <cell r="AJ131">
            <v>60</v>
          </cell>
          <cell r="AK131">
            <v>0</v>
          </cell>
          <cell r="AL131">
            <v>0</v>
          </cell>
          <cell r="AM131">
            <v>7</v>
          </cell>
          <cell r="AN131">
            <v>0</v>
          </cell>
          <cell r="AO131">
            <v>7</v>
          </cell>
          <cell r="AP131">
            <v>0</v>
          </cell>
          <cell r="AQ131">
            <v>7</v>
          </cell>
          <cell r="AR131" t="str">
            <v>US_24263</v>
          </cell>
          <cell r="AS131">
            <v>0</v>
          </cell>
          <cell r="AT131">
            <v>168</v>
          </cell>
          <cell r="AU131">
            <v>168</v>
          </cell>
          <cell r="AV131">
            <v>0</v>
          </cell>
          <cell r="AW131">
            <v>1176</v>
          </cell>
          <cell r="AX131">
            <v>1176</v>
          </cell>
          <cell r="AY131">
            <v>1176</v>
          </cell>
          <cell r="AZ131">
            <v>60</v>
          </cell>
          <cell r="BA131">
            <v>15.4</v>
          </cell>
          <cell r="BB131">
            <v>2587.2000000000003</v>
          </cell>
          <cell r="BC131">
            <v>53.225806451612897</v>
          </cell>
          <cell r="BD131">
            <v>1176</v>
          </cell>
          <cell r="BE131">
            <v>940.8</v>
          </cell>
          <cell r="BF131">
            <v>1176</v>
          </cell>
          <cell r="BG131">
            <v>10080</v>
          </cell>
          <cell r="BH131">
            <v>10080</v>
          </cell>
          <cell r="BI131">
            <v>8904</v>
          </cell>
          <cell r="BJ131">
            <v>0</v>
          </cell>
          <cell r="BK131">
            <v>0</v>
          </cell>
          <cell r="BL131">
            <v>0</v>
          </cell>
          <cell r="BM131">
            <v>8904</v>
          </cell>
          <cell r="BN131">
            <v>0</v>
          </cell>
          <cell r="BO131">
            <v>1176</v>
          </cell>
          <cell r="BP131" t="str">
            <v>Y</v>
          </cell>
          <cell r="BQ131">
            <v>1</v>
          </cell>
          <cell r="BR131" t="str">
            <v>N</v>
          </cell>
          <cell r="BS131">
            <v>2587.2000000000003</v>
          </cell>
          <cell r="BT131" t="str">
            <v>Done</v>
          </cell>
          <cell r="BU131">
            <v>168</v>
          </cell>
          <cell r="BV131">
            <v>2024</v>
          </cell>
        </row>
        <row r="132">
          <cell r="A132" t="str">
            <v>Chennai</v>
          </cell>
          <cell r="B132" t="str">
            <v>Chennai</v>
          </cell>
          <cell r="C132" t="str">
            <v>Mid Level</v>
          </cell>
          <cell r="D132" t="str">
            <v>Vinoth L</v>
          </cell>
          <cell r="E132" t="str">
            <v>-</v>
          </cell>
          <cell r="H132" t="str">
            <v>Gayathri.J</v>
          </cell>
          <cell r="K132">
            <v>0</v>
          </cell>
          <cell r="L132" t="str">
            <v>Old</v>
          </cell>
          <cell r="M132">
            <v>45516</v>
          </cell>
          <cell r="N132">
            <v>3</v>
          </cell>
          <cell r="O132">
            <v>530</v>
          </cell>
          <cell r="P132" t="str">
            <v>-</v>
          </cell>
          <cell r="Q132">
            <v>45881</v>
          </cell>
          <cell r="R132" t="str">
            <v>PLC-3917</v>
          </cell>
          <cell r="S132" t="str">
            <v>Deepa Sachin Patil</v>
          </cell>
          <cell r="T132" t="str">
            <v>Individual</v>
          </cell>
          <cell r="U132" t="str">
            <v>C2C</v>
          </cell>
          <cell r="V132" t="str">
            <v>Citius Tech</v>
          </cell>
          <cell r="W132">
            <v>53</v>
          </cell>
          <cell r="X132">
            <v>0</v>
          </cell>
          <cell r="Y132" t="str">
            <v>USD</v>
          </cell>
          <cell r="Z132">
            <v>60</v>
          </cell>
          <cell r="AA132">
            <v>0</v>
          </cell>
          <cell r="AB132">
            <v>0</v>
          </cell>
          <cell r="AC132">
            <v>0</v>
          </cell>
          <cell r="AD132">
            <v>45703</v>
          </cell>
          <cell r="AE132">
            <v>20</v>
          </cell>
          <cell r="AF132">
            <v>46022</v>
          </cell>
          <cell r="AG132">
            <v>53</v>
          </cell>
          <cell r="AH132">
            <v>0</v>
          </cell>
          <cell r="AI132">
            <v>53</v>
          </cell>
          <cell r="AJ132">
            <v>60</v>
          </cell>
          <cell r="AK132">
            <v>0</v>
          </cell>
          <cell r="AL132">
            <v>0</v>
          </cell>
          <cell r="AM132">
            <v>7</v>
          </cell>
          <cell r="AN132">
            <v>0</v>
          </cell>
          <cell r="AO132">
            <v>7</v>
          </cell>
          <cell r="AP132">
            <v>0</v>
          </cell>
          <cell r="AQ132">
            <v>7</v>
          </cell>
          <cell r="AR132" t="str">
            <v>US_24464</v>
          </cell>
          <cell r="AS132">
            <v>0</v>
          </cell>
          <cell r="AT132">
            <v>160</v>
          </cell>
          <cell r="AU132">
            <v>160</v>
          </cell>
          <cell r="AV132">
            <v>0</v>
          </cell>
          <cell r="AW132">
            <v>1120</v>
          </cell>
          <cell r="AX132">
            <v>1120</v>
          </cell>
          <cell r="AY132">
            <v>1120</v>
          </cell>
          <cell r="AZ132">
            <v>60</v>
          </cell>
          <cell r="BA132">
            <v>15.4</v>
          </cell>
          <cell r="BB132">
            <v>2464</v>
          </cell>
          <cell r="BC132">
            <v>53.225806451612897</v>
          </cell>
          <cell r="BD132">
            <v>1120</v>
          </cell>
          <cell r="BE132">
            <v>896</v>
          </cell>
          <cell r="BF132">
            <v>1120</v>
          </cell>
          <cell r="BG132">
            <v>9600</v>
          </cell>
          <cell r="BH132">
            <v>9600</v>
          </cell>
          <cell r="BI132">
            <v>8480</v>
          </cell>
          <cell r="BJ132">
            <v>0</v>
          </cell>
          <cell r="BK132">
            <v>0</v>
          </cell>
          <cell r="BL132">
            <v>0</v>
          </cell>
          <cell r="BM132">
            <v>8480</v>
          </cell>
          <cell r="BN132">
            <v>0</v>
          </cell>
          <cell r="BO132">
            <v>1120</v>
          </cell>
          <cell r="BP132" t="str">
            <v>Y</v>
          </cell>
          <cell r="BQ132">
            <v>1</v>
          </cell>
          <cell r="BR132" t="str">
            <v>N</v>
          </cell>
          <cell r="BS132">
            <v>2464</v>
          </cell>
          <cell r="BT132" t="str">
            <v>Done</v>
          </cell>
          <cell r="BU132">
            <v>160</v>
          </cell>
          <cell r="BV132">
            <v>2024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E133" t="str">
            <v>-</v>
          </cell>
          <cell r="H133" t="str">
            <v>Gayathri.J</v>
          </cell>
          <cell r="K133">
            <v>0</v>
          </cell>
          <cell r="L133" t="str">
            <v>Old</v>
          </cell>
          <cell r="M133">
            <v>45516</v>
          </cell>
          <cell r="N133">
            <v>3</v>
          </cell>
          <cell r="O133">
            <v>530</v>
          </cell>
          <cell r="P133" t="str">
            <v>-</v>
          </cell>
          <cell r="Q133">
            <v>45881</v>
          </cell>
          <cell r="R133" t="str">
            <v>PLC-3917</v>
          </cell>
          <cell r="S133" t="str">
            <v>Deepa Sachin Patil</v>
          </cell>
          <cell r="T133" t="str">
            <v>Individual</v>
          </cell>
          <cell r="U133" t="str">
            <v>C2C</v>
          </cell>
          <cell r="V133" t="str">
            <v>Citius Tech</v>
          </cell>
          <cell r="W133">
            <v>53</v>
          </cell>
          <cell r="X133">
            <v>0</v>
          </cell>
          <cell r="Y133" t="str">
            <v>USD</v>
          </cell>
          <cell r="Z133">
            <v>60</v>
          </cell>
          <cell r="AA133">
            <v>0</v>
          </cell>
          <cell r="AB133">
            <v>0</v>
          </cell>
          <cell r="AC133">
            <v>0</v>
          </cell>
          <cell r="AD133">
            <v>45731</v>
          </cell>
          <cell r="AE133">
            <v>21</v>
          </cell>
          <cell r="AF133">
            <v>46022</v>
          </cell>
          <cell r="AG133">
            <v>53</v>
          </cell>
          <cell r="AH133">
            <v>0</v>
          </cell>
          <cell r="AI133">
            <v>53</v>
          </cell>
          <cell r="AJ133">
            <v>60</v>
          </cell>
          <cell r="AK133">
            <v>0</v>
          </cell>
          <cell r="AL133">
            <v>0</v>
          </cell>
          <cell r="AM133">
            <v>7</v>
          </cell>
          <cell r="AN133">
            <v>0</v>
          </cell>
          <cell r="AO133">
            <v>7</v>
          </cell>
          <cell r="AP133">
            <v>0</v>
          </cell>
          <cell r="AQ133">
            <v>7</v>
          </cell>
          <cell r="AR133" t="str">
            <v>US_24652</v>
          </cell>
          <cell r="AS133">
            <v>0</v>
          </cell>
          <cell r="AT133">
            <v>160</v>
          </cell>
          <cell r="AU133">
            <v>160</v>
          </cell>
          <cell r="AV133">
            <v>0</v>
          </cell>
          <cell r="AW133">
            <v>1120</v>
          </cell>
          <cell r="AX133">
            <v>1120</v>
          </cell>
          <cell r="AY133">
            <v>1120</v>
          </cell>
          <cell r="AZ133">
            <v>60</v>
          </cell>
          <cell r="BA133">
            <v>15.4</v>
          </cell>
          <cell r="BB133">
            <v>2464</v>
          </cell>
          <cell r="BC133">
            <v>53.225806451612897</v>
          </cell>
          <cell r="BD133">
            <v>1120</v>
          </cell>
          <cell r="BE133">
            <v>896</v>
          </cell>
          <cell r="BF133">
            <v>1120</v>
          </cell>
          <cell r="BG133">
            <v>9600</v>
          </cell>
          <cell r="BH133">
            <v>9600</v>
          </cell>
          <cell r="BI133">
            <v>8480</v>
          </cell>
          <cell r="BJ133">
            <v>0</v>
          </cell>
          <cell r="BK133">
            <v>0</v>
          </cell>
          <cell r="BL133">
            <v>0</v>
          </cell>
          <cell r="BM133">
            <v>8480</v>
          </cell>
          <cell r="BN133">
            <v>0</v>
          </cell>
          <cell r="BO133">
            <v>1120</v>
          </cell>
          <cell r="BP133" t="str">
            <v>Y</v>
          </cell>
          <cell r="BQ133">
            <v>1</v>
          </cell>
          <cell r="BR133" t="str">
            <v>N</v>
          </cell>
          <cell r="BS133">
            <v>2464</v>
          </cell>
          <cell r="BT133" t="str">
            <v>Done</v>
          </cell>
          <cell r="BU133">
            <v>160</v>
          </cell>
          <cell r="BV133">
            <v>2024</v>
          </cell>
        </row>
        <row r="134">
          <cell r="A134" t="str">
            <v>Chennai</v>
          </cell>
          <cell r="B134" t="str">
            <v>Chennai</v>
          </cell>
          <cell r="C134" t="str">
            <v>Mid Level</v>
          </cell>
          <cell r="D134" t="str">
            <v>Vinoth L</v>
          </cell>
          <cell r="E134" t="str">
            <v>-</v>
          </cell>
          <cell r="H134" t="str">
            <v>Gayathri.J</v>
          </cell>
          <cell r="K134">
            <v>0</v>
          </cell>
          <cell r="L134" t="str">
            <v>Old</v>
          </cell>
          <cell r="M134">
            <v>45516</v>
          </cell>
          <cell r="N134">
            <v>3</v>
          </cell>
          <cell r="O134">
            <v>530</v>
          </cell>
          <cell r="P134" t="str">
            <v>-</v>
          </cell>
          <cell r="Q134">
            <v>45881</v>
          </cell>
          <cell r="R134" t="str">
            <v>PLC-3917</v>
          </cell>
          <cell r="S134" t="str">
            <v>Deepa Sachin Patil</v>
          </cell>
          <cell r="T134" t="str">
            <v>Individual</v>
          </cell>
          <cell r="U134" t="str">
            <v>C2C</v>
          </cell>
          <cell r="V134" t="str">
            <v>Citius Tech</v>
          </cell>
          <cell r="W134">
            <v>53</v>
          </cell>
          <cell r="X134">
            <v>0</v>
          </cell>
          <cell r="Y134" t="str">
            <v>USD</v>
          </cell>
          <cell r="Z134">
            <v>60</v>
          </cell>
          <cell r="AA134">
            <v>0</v>
          </cell>
          <cell r="AB134">
            <v>0</v>
          </cell>
          <cell r="AC134">
            <v>0</v>
          </cell>
          <cell r="AD134">
            <v>45762</v>
          </cell>
          <cell r="AE134">
            <v>22</v>
          </cell>
          <cell r="AF134">
            <v>46022</v>
          </cell>
          <cell r="AG134">
            <v>53</v>
          </cell>
          <cell r="AH134">
            <v>0</v>
          </cell>
          <cell r="AI134">
            <v>53</v>
          </cell>
          <cell r="AJ134">
            <v>60</v>
          </cell>
          <cell r="AK134">
            <v>0</v>
          </cell>
          <cell r="AL134">
            <v>0</v>
          </cell>
          <cell r="AM134">
            <v>7</v>
          </cell>
          <cell r="AN134">
            <v>0</v>
          </cell>
          <cell r="AO134">
            <v>7</v>
          </cell>
          <cell r="AP134">
            <v>0</v>
          </cell>
          <cell r="AQ134">
            <v>7</v>
          </cell>
          <cell r="AR134" t="str">
            <v>US_24858</v>
          </cell>
          <cell r="AS134">
            <v>0</v>
          </cell>
          <cell r="AT134">
            <v>176</v>
          </cell>
          <cell r="AU134">
            <v>176</v>
          </cell>
          <cell r="AV134">
            <v>0</v>
          </cell>
          <cell r="AW134">
            <v>1232</v>
          </cell>
          <cell r="AX134">
            <v>1232</v>
          </cell>
          <cell r="AY134">
            <v>1232</v>
          </cell>
          <cell r="AZ134">
            <v>60</v>
          </cell>
          <cell r="BA134">
            <v>15.4</v>
          </cell>
          <cell r="BB134">
            <v>2710.4</v>
          </cell>
          <cell r="BC134">
            <v>53.225806451612897</v>
          </cell>
          <cell r="BD134">
            <v>1232</v>
          </cell>
          <cell r="BE134">
            <v>985.6</v>
          </cell>
          <cell r="BF134">
            <v>1232</v>
          </cell>
          <cell r="BG134">
            <v>10560</v>
          </cell>
          <cell r="BH134">
            <v>10560</v>
          </cell>
          <cell r="BI134">
            <v>9328</v>
          </cell>
          <cell r="BJ134">
            <v>0</v>
          </cell>
          <cell r="BK134">
            <v>0</v>
          </cell>
          <cell r="BL134">
            <v>0</v>
          </cell>
          <cell r="BM134">
            <v>9328</v>
          </cell>
          <cell r="BN134">
            <v>0</v>
          </cell>
          <cell r="BO134">
            <v>1232</v>
          </cell>
          <cell r="BP134" t="str">
            <v>Y</v>
          </cell>
          <cell r="BQ134">
            <v>2</v>
          </cell>
          <cell r="BR134" t="str">
            <v>Y</v>
          </cell>
          <cell r="BS134">
            <v>2710.4</v>
          </cell>
          <cell r="BT134" t="str">
            <v>Done</v>
          </cell>
          <cell r="BU134">
            <v>176</v>
          </cell>
          <cell r="BV134">
            <v>2024</v>
          </cell>
        </row>
        <row r="135">
          <cell r="A135" t="str">
            <v>Lucknow</v>
          </cell>
          <cell r="B135" t="str">
            <v>Mavericks</v>
          </cell>
          <cell r="C135" t="str">
            <v>Mid Level</v>
          </cell>
          <cell r="D135" t="str">
            <v>Mohammad Fakhrul</v>
          </cell>
          <cell r="E135" t="str">
            <v>-</v>
          </cell>
          <cell r="H135" t="str">
            <v>Pass Through</v>
          </cell>
          <cell r="K135">
            <v>0</v>
          </cell>
          <cell r="L135" t="str">
            <v>Old</v>
          </cell>
          <cell r="M135">
            <v>45581</v>
          </cell>
          <cell r="N135">
            <v>4</v>
          </cell>
          <cell r="O135">
            <v>465</v>
          </cell>
          <cell r="P135" t="str">
            <v>-</v>
          </cell>
          <cell r="Q135">
            <v>45946</v>
          </cell>
          <cell r="R135" t="str">
            <v>PLC-Passthrough</v>
          </cell>
          <cell r="S135" t="str">
            <v>Deepak Mohan</v>
          </cell>
          <cell r="T135" t="str">
            <v>Individual</v>
          </cell>
          <cell r="U135" t="str">
            <v>C2C</v>
          </cell>
          <cell r="V135" t="str">
            <v>Coforge</v>
          </cell>
          <cell r="W135">
            <v>116</v>
          </cell>
          <cell r="X135">
            <v>0</v>
          </cell>
          <cell r="Y135" t="str">
            <v>CAD</v>
          </cell>
          <cell r="Z135">
            <v>117</v>
          </cell>
          <cell r="AA135">
            <v>0</v>
          </cell>
          <cell r="AB135">
            <v>0</v>
          </cell>
          <cell r="AC135">
            <v>0</v>
          </cell>
          <cell r="AD135">
            <v>45672</v>
          </cell>
          <cell r="AE135">
            <v>23</v>
          </cell>
          <cell r="AF135">
            <v>46022</v>
          </cell>
          <cell r="AG135">
            <v>82.36</v>
          </cell>
          <cell r="AH135">
            <v>0</v>
          </cell>
          <cell r="AI135">
            <v>82.36</v>
          </cell>
          <cell r="AJ135">
            <v>83.07</v>
          </cell>
          <cell r="AK135">
            <v>0</v>
          </cell>
          <cell r="AL135">
            <v>0</v>
          </cell>
          <cell r="AM135">
            <v>0.70999999999999375</v>
          </cell>
          <cell r="AN135">
            <v>0</v>
          </cell>
          <cell r="AO135">
            <v>0.70999999999999375</v>
          </cell>
          <cell r="AP135">
            <v>0</v>
          </cell>
          <cell r="AQ135">
            <v>0.70999999999999375</v>
          </cell>
          <cell r="AR135" t="str">
            <v>CAD_1413</v>
          </cell>
          <cell r="AS135">
            <v>0</v>
          </cell>
          <cell r="AT135">
            <v>176</v>
          </cell>
          <cell r="AU135">
            <v>176</v>
          </cell>
          <cell r="AV135">
            <v>0</v>
          </cell>
          <cell r="AW135">
            <v>124.9599999999989</v>
          </cell>
          <cell r="AX135">
            <v>124.9599999999989</v>
          </cell>
          <cell r="AY135">
            <v>124.9599999999989</v>
          </cell>
          <cell r="AZ135">
            <v>0</v>
          </cell>
          <cell r="BA135">
            <v>0</v>
          </cell>
          <cell r="BB135">
            <v>0</v>
          </cell>
          <cell r="BD135">
            <v>124.9599999999989</v>
          </cell>
          <cell r="BF135">
            <v>124.9599999999989</v>
          </cell>
          <cell r="BG135">
            <v>20592</v>
          </cell>
          <cell r="BH135">
            <v>14620.32</v>
          </cell>
          <cell r="BI135">
            <v>15126.214400000001</v>
          </cell>
          <cell r="BJ135">
            <v>0</v>
          </cell>
          <cell r="BK135">
            <v>0</v>
          </cell>
          <cell r="BL135">
            <v>0</v>
          </cell>
          <cell r="BM135">
            <v>15126.214400000001</v>
          </cell>
          <cell r="BN135">
            <v>0</v>
          </cell>
          <cell r="BO135">
            <v>-505.89440000000104</v>
          </cell>
          <cell r="BP135" t="str">
            <v>Y</v>
          </cell>
          <cell r="BQ135">
            <v>1</v>
          </cell>
          <cell r="BR135" t="str">
            <v>Y</v>
          </cell>
          <cell r="BS135">
            <v>0</v>
          </cell>
          <cell r="BT135" t="str">
            <v>Done</v>
          </cell>
          <cell r="BU135">
            <v>176</v>
          </cell>
          <cell r="BV135">
            <v>2024</v>
          </cell>
        </row>
        <row r="136">
          <cell r="A136" t="str">
            <v>Lucknow</v>
          </cell>
          <cell r="B136" t="str">
            <v>Mavericks</v>
          </cell>
          <cell r="C136" t="str">
            <v>Mid Level</v>
          </cell>
          <cell r="D136" t="str">
            <v>Mohammad Fakhrul</v>
          </cell>
          <cell r="E136" t="str">
            <v>-</v>
          </cell>
          <cell r="H136" t="str">
            <v>Pass Through</v>
          </cell>
          <cell r="K136">
            <v>0</v>
          </cell>
          <cell r="L136" t="str">
            <v>Old</v>
          </cell>
          <cell r="M136">
            <v>45581</v>
          </cell>
          <cell r="N136">
            <v>4</v>
          </cell>
          <cell r="O136">
            <v>465</v>
          </cell>
          <cell r="P136" t="str">
            <v>-</v>
          </cell>
          <cell r="Q136">
            <v>45946</v>
          </cell>
          <cell r="R136" t="str">
            <v>PLC-Passthrough</v>
          </cell>
          <cell r="S136" t="str">
            <v>Deepak Mohan</v>
          </cell>
          <cell r="T136" t="str">
            <v>Individual</v>
          </cell>
          <cell r="U136" t="str">
            <v>C2C</v>
          </cell>
          <cell r="V136" t="str">
            <v>Coforge</v>
          </cell>
          <cell r="W136">
            <v>116</v>
          </cell>
          <cell r="X136">
            <v>0</v>
          </cell>
          <cell r="Y136" t="str">
            <v>CAD</v>
          </cell>
          <cell r="Z136">
            <v>117</v>
          </cell>
          <cell r="AA136">
            <v>0</v>
          </cell>
          <cell r="AB136">
            <v>0</v>
          </cell>
          <cell r="AC136">
            <v>0</v>
          </cell>
          <cell r="AD136">
            <v>45703</v>
          </cell>
          <cell r="AE136">
            <v>20</v>
          </cell>
          <cell r="AF136">
            <v>46022</v>
          </cell>
          <cell r="AG136">
            <v>82.36</v>
          </cell>
          <cell r="AH136">
            <v>0</v>
          </cell>
          <cell r="AI136">
            <v>82.36</v>
          </cell>
          <cell r="AJ136">
            <v>83.07</v>
          </cell>
          <cell r="AK136">
            <v>0</v>
          </cell>
          <cell r="AL136">
            <v>0</v>
          </cell>
          <cell r="AM136">
            <v>0.70999999999999375</v>
          </cell>
          <cell r="AN136">
            <v>0</v>
          </cell>
          <cell r="AO136">
            <v>0.70999999999999375</v>
          </cell>
          <cell r="AP136">
            <v>0</v>
          </cell>
          <cell r="AQ136">
            <v>0.70999999999999375</v>
          </cell>
          <cell r="AR136" t="str">
            <v>CAD_1438</v>
          </cell>
          <cell r="AS136">
            <v>0</v>
          </cell>
          <cell r="AT136">
            <v>144</v>
          </cell>
          <cell r="AU136">
            <v>144</v>
          </cell>
          <cell r="AV136">
            <v>0</v>
          </cell>
          <cell r="AW136">
            <v>102.2399999999991</v>
          </cell>
          <cell r="AX136">
            <v>102.2399999999991</v>
          </cell>
          <cell r="AY136">
            <v>102.2399999999991</v>
          </cell>
          <cell r="AZ136">
            <v>0</v>
          </cell>
          <cell r="BA136">
            <v>0</v>
          </cell>
          <cell r="BB136">
            <v>0</v>
          </cell>
          <cell r="BD136">
            <v>102.2399999999991</v>
          </cell>
          <cell r="BF136">
            <v>102.2399999999991</v>
          </cell>
          <cell r="BG136">
            <v>16848</v>
          </cell>
          <cell r="BH136">
            <v>11962.079999999998</v>
          </cell>
          <cell r="BI136">
            <v>12375.9936</v>
          </cell>
          <cell r="BJ136">
            <v>0</v>
          </cell>
          <cell r="BK136">
            <v>0</v>
          </cell>
          <cell r="BL136">
            <v>0</v>
          </cell>
          <cell r="BM136">
            <v>12375.9936</v>
          </cell>
          <cell r="BN136">
            <v>0</v>
          </cell>
          <cell r="BO136">
            <v>-413.91360000000168</v>
          </cell>
          <cell r="BP136" t="str">
            <v>Y</v>
          </cell>
          <cell r="BQ136">
            <v>1</v>
          </cell>
          <cell r="BR136" t="str">
            <v>Y</v>
          </cell>
          <cell r="BS136">
            <v>0</v>
          </cell>
          <cell r="BT136" t="str">
            <v>Done</v>
          </cell>
          <cell r="BU136">
            <v>144</v>
          </cell>
          <cell r="BV136">
            <v>2024</v>
          </cell>
        </row>
        <row r="137">
          <cell r="A137" t="str">
            <v>Lucknow</v>
          </cell>
          <cell r="B137" t="str">
            <v>Mavericks</v>
          </cell>
          <cell r="C137" t="str">
            <v>Mid Level</v>
          </cell>
          <cell r="D137" t="str">
            <v>Mohammad Fakhrul</v>
          </cell>
          <cell r="E137" t="str">
            <v>-</v>
          </cell>
          <cell r="H137" t="str">
            <v>Pass Through</v>
          </cell>
          <cell r="K137">
            <v>0</v>
          </cell>
          <cell r="L137" t="str">
            <v>Old</v>
          </cell>
          <cell r="M137">
            <v>45581</v>
          </cell>
          <cell r="N137">
            <v>4</v>
          </cell>
          <cell r="O137">
            <v>465</v>
          </cell>
          <cell r="P137" t="str">
            <v>-</v>
          </cell>
          <cell r="Q137">
            <v>45946</v>
          </cell>
          <cell r="R137" t="str">
            <v>PLC-Passthrough</v>
          </cell>
          <cell r="S137" t="str">
            <v>Deepak Mohan</v>
          </cell>
          <cell r="T137" t="str">
            <v>Individual</v>
          </cell>
          <cell r="U137" t="str">
            <v>C2C</v>
          </cell>
          <cell r="V137" t="str">
            <v>Coforge</v>
          </cell>
          <cell r="W137">
            <v>116</v>
          </cell>
          <cell r="X137">
            <v>0</v>
          </cell>
          <cell r="Y137" t="str">
            <v>CAD</v>
          </cell>
          <cell r="Z137">
            <v>117</v>
          </cell>
          <cell r="AA137">
            <v>0</v>
          </cell>
          <cell r="AB137">
            <v>0</v>
          </cell>
          <cell r="AC137">
            <v>0</v>
          </cell>
          <cell r="AD137">
            <v>45731</v>
          </cell>
          <cell r="AE137">
            <v>21</v>
          </cell>
          <cell r="AF137">
            <v>46022</v>
          </cell>
          <cell r="AG137">
            <v>82.36</v>
          </cell>
          <cell r="AH137">
            <v>0</v>
          </cell>
          <cell r="AI137">
            <v>82.36</v>
          </cell>
          <cell r="AJ137">
            <v>83.07</v>
          </cell>
          <cell r="AK137">
            <v>0</v>
          </cell>
          <cell r="AL137">
            <v>0</v>
          </cell>
          <cell r="AM137">
            <v>0.70999999999999375</v>
          </cell>
          <cell r="AN137">
            <v>0</v>
          </cell>
          <cell r="AO137">
            <v>0.70999999999999375</v>
          </cell>
          <cell r="AP137">
            <v>0</v>
          </cell>
          <cell r="AQ137">
            <v>0.70999999999999375</v>
          </cell>
          <cell r="AR137" t="str">
            <v>CAD_1463</v>
          </cell>
          <cell r="AS137">
            <v>0</v>
          </cell>
          <cell r="AT137">
            <v>168</v>
          </cell>
          <cell r="AU137">
            <v>168</v>
          </cell>
          <cell r="AV137">
            <v>0</v>
          </cell>
          <cell r="AW137">
            <v>119.27999999999895</v>
          </cell>
          <cell r="AX137">
            <v>119.27999999999895</v>
          </cell>
          <cell r="AY137">
            <v>119.27999999999895</v>
          </cell>
          <cell r="AZ137">
            <v>0</v>
          </cell>
          <cell r="BA137">
            <v>0</v>
          </cell>
          <cell r="BB137">
            <v>0</v>
          </cell>
          <cell r="BD137">
            <v>119.27999999999895</v>
          </cell>
          <cell r="BF137">
            <v>119.27999999999895</v>
          </cell>
          <cell r="BG137">
            <v>19656</v>
          </cell>
          <cell r="BH137">
            <v>13955.759999999998</v>
          </cell>
          <cell r="BI137">
            <v>14438.6592</v>
          </cell>
          <cell r="BJ137">
            <v>0</v>
          </cell>
          <cell r="BK137">
            <v>0</v>
          </cell>
          <cell r="BL137">
            <v>0</v>
          </cell>
          <cell r="BM137">
            <v>14438.6592</v>
          </cell>
          <cell r="BN137">
            <v>0</v>
          </cell>
          <cell r="BO137">
            <v>-482.89920000000166</v>
          </cell>
          <cell r="BP137" t="str">
            <v>Y</v>
          </cell>
          <cell r="BQ137">
            <v>1</v>
          </cell>
          <cell r="BR137" t="str">
            <v>Y</v>
          </cell>
          <cell r="BS137">
            <v>0</v>
          </cell>
          <cell r="BT137" t="str">
            <v>Done</v>
          </cell>
          <cell r="BU137">
            <v>168</v>
          </cell>
          <cell r="BV137">
            <v>2024</v>
          </cell>
        </row>
        <row r="138">
          <cell r="A138" t="str">
            <v>Lucknow</v>
          </cell>
          <cell r="B138" t="str">
            <v>Mavericks</v>
          </cell>
          <cell r="C138" t="str">
            <v>Mid Level</v>
          </cell>
          <cell r="D138" t="str">
            <v>Mohammad Fakhrul</v>
          </cell>
          <cell r="E138" t="str">
            <v>-</v>
          </cell>
          <cell r="H138" t="str">
            <v>Pass Through</v>
          </cell>
          <cell r="K138">
            <v>0</v>
          </cell>
          <cell r="L138" t="str">
            <v>Old</v>
          </cell>
          <cell r="M138">
            <v>45581</v>
          </cell>
          <cell r="N138">
            <v>4</v>
          </cell>
          <cell r="O138">
            <v>465</v>
          </cell>
          <cell r="P138" t="str">
            <v>-</v>
          </cell>
          <cell r="Q138">
            <v>45946</v>
          </cell>
          <cell r="R138" t="str">
            <v>PLC-Passthrough</v>
          </cell>
          <cell r="S138" t="str">
            <v>Deepak Mohan</v>
          </cell>
          <cell r="T138" t="str">
            <v>Individual</v>
          </cell>
          <cell r="U138" t="str">
            <v>C2C</v>
          </cell>
          <cell r="V138" t="str">
            <v>Coforge</v>
          </cell>
          <cell r="W138">
            <v>116</v>
          </cell>
          <cell r="X138">
            <v>0</v>
          </cell>
          <cell r="Y138" t="str">
            <v>CAD</v>
          </cell>
          <cell r="Z138">
            <v>117</v>
          </cell>
          <cell r="AA138">
            <v>0</v>
          </cell>
          <cell r="AB138">
            <v>0</v>
          </cell>
          <cell r="AC138">
            <v>0</v>
          </cell>
          <cell r="AD138">
            <v>45762</v>
          </cell>
          <cell r="AE138">
            <v>22</v>
          </cell>
          <cell r="AF138">
            <v>46022</v>
          </cell>
          <cell r="AG138">
            <v>82.36</v>
          </cell>
          <cell r="AH138">
            <v>0</v>
          </cell>
          <cell r="AI138">
            <v>82.36</v>
          </cell>
          <cell r="AJ138">
            <v>83.07</v>
          </cell>
          <cell r="AK138">
            <v>0</v>
          </cell>
          <cell r="AL138">
            <v>0</v>
          </cell>
          <cell r="AM138">
            <v>0.70999999999999375</v>
          </cell>
          <cell r="AN138">
            <v>0</v>
          </cell>
          <cell r="AO138">
            <v>0.70999999999999375</v>
          </cell>
          <cell r="AP138">
            <v>0</v>
          </cell>
          <cell r="AQ138">
            <v>0.70999999999999375</v>
          </cell>
          <cell r="AR138" t="str">
            <v>CAD_1487</v>
          </cell>
          <cell r="AS138">
            <v>0</v>
          </cell>
          <cell r="AT138">
            <v>168</v>
          </cell>
          <cell r="AU138">
            <v>168</v>
          </cell>
          <cell r="AV138">
            <v>0</v>
          </cell>
          <cell r="AW138">
            <v>119.27999999999895</v>
          </cell>
          <cell r="AX138">
            <v>119.27999999999895</v>
          </cell>
          <cell r="AY138">
            <v>119.27999999999895</v>
          </cell>
          <cell r="AZ138">
            <v>0</v>
          </cell>
          <cell r="BA138">
            <v>0</v>
          </cell>
          <cell r="BB138">
            <v>0</v>
          </cell>
          <cell r="BD138">
            <v>119.27999999999895</v>
          </cell>
          <cell r="BF138">
            <v>119.27999999999895</v>
          </cell>
          <cell r="BG138">
            <v>19656</v>
          </cell>
          <cell r="BH138">
            <v>13955.759999999998</v>
          </cell>
          <cell r="BI138">
            <v>14438.6592</v>
          </cell>
          <cell r="BJ138">
            <v>0</v>
          </cell>
          <cell r="BK138">
            <v>0</v>
          </cell>
          <cell r="BL138">
            <v>0</v>
          </cell>
          <cell r="BM138">
            <v>14438.6592</v>
          </cell>
          <cell r="BN138">
            <v>0</v>
          </cell>
          <cell r="BO138">
            <v>-482.89920000000166</v>
          </cell>
          <cell r="BP138" t="str">
            <v>Y</v>
          </cell>
          <cell r="BQ138">
            <v>2</v>
          </cell>
          <cell r="BR138" t="str">
            <v>Y</v>
          </cell>
          <cell r="BS138">
            <v>0</v>
          </cell>
          <cell r="BT138" t="str">
            <v>Done</v>
          </cell>
          <cell r="BU138">
            <v>168</v>
          </cell>
          <cell r="BV138">
            <v>2024</v>
          </cell>
        </row>
        <row r="139">
          <cell r="A139" t="str">
            <v>Lucknow</v>
          </cell>
          <cell r="B139" t="str">
            <v>Trust</v>
          </cell>
          <cell r="C139" t="str">
            <v>Mid Level</v>
          </cell>
          <cell r="D139" t="str">
            <v>Harsh Agarwal</v>
          </cell>
          <cell r="E139" t="str">
            <v>Jitendra Rao</v>
          </cell>
          <cell r="F139" t="str">
            <v>Jitendra Rao</v>
          </cell>
          <cell r="H139" t="str">
            <v>Mahendra Rao</v>
          </cell>
          <cell r="K139">
            <v>0</v>
          </cell>
          <cell r="L139" t="str">
            <v>Old</v>
          </cell>
          <cell r="M139">
            <v>45356</v>
          </cell>
          <cell r="N139">
            <v>1</v>
          </cell>
          <cell r="O139">
            <v>690</v>
          </cell>
          <cell r="P139">
            <v>45848</v>
          </cell>
          <cell r="Q139">
            <v>45721</v>
          </cell>
          <cell r="R139" t="str">
            <v>PLC-3622</v>
          </cell>
          <cell r="S139" t="str">
            <v>Deepak Srichand Manglani</v>
          </cell>
          <cell r="T139" t="str">
            <v>Split</v>
          </cell>
          <cell r="U139" t="str">
            <v>C2C</v>
          </cell>
          <cell r="V139" t="str">
            <v>Birlasoft</v>
          </cell>
          <cell r="W139">
            <v>55</v>
          </cell>
          <cell r="X139">
            <v>0</v>
          </cell>
          <cell r="Y139" t="str">
            <v>USD</v>
          </cell>
          <cell r="Z139">
            <v>64</v>
          </cell>
          <cell r="AA139">
            <v>40</v>
          </cell>
          <cell r="AB139">
            <v>0</v>
          </cell>
          <cell r="AC139">
            <v>2</v>
          </cell>
          <cell r="AD139">
            <v>45672</v>
          </cell>
          <cell r="AE139">
            <v>22</v>
          </cell>
          <cell r="AF139">
            <v>46022</v>
          </cell>
          <cell r="AG139">
            <v>55</v>
          </cell>
          <cell r="AH139">
            <v>0</v>
          </cell>
          <cell r="AI139">
            <v>57</v>
          </cell>
          <cell r="AJ139">
            <v>64</v>
          </cell>
          <cell r="AK139">
            <v>40</v>
          </cell>
          <cell r="AL139">
            <v>40</v>
          </cell>
          <cell r="AM139">
            <v>7</v>
          </cell>
          <cell r="AN139">
            <v>20</v>
          </cell>
          <cell r="AO139">
            <v>3.5</v>
          </cell>
          <cell r="AP139">
            <v>20</v>
          </cell>
          <cell r="AQ139">
            <v>3.5</v>
          </cell>
          <cell r="AR139" t="str">
            <v>US_24172</v>
          </cell>
          <cell r="AS139">
            <v>0</v>
          </cell>
          <cell r="AT139">
            <v>176</v>
          </cell>
          <cell r="AU139">
            <v>176</v>
          </cell>
          <cell r="AV139">
            <v>0</v>
          </cell>
          <cell r="AW139">
            <v>616</v>
          </cell>
          <cell r="AX139">
            <v>616</v>
          </cell>
          <cell r="AY139">
            <v>616</v>
          </cell>
          <cell r="AZ139">
            <v>0</v>
          </cell>
          <cell r="BA139">
            <v>0</v>
          </cell>
          <cell r="BB139">
            <v>0</v>
          </cell>
          <cell r="BD139">
            <v>616</v>
          </cell>
          <cell r="BF139">
            <v>616</v>
          </cell>
          <cell r="BG139">
            <v>5632</v>
          </cell>
          <cell r="BH139">
            <v>5632</v>
          </cell>
          <cell r="BI139">
            <v>4840</v>
          </cell>
          <cell r="BJ139">
            <v>0</v>
          </cell>
          <cell r="BK139">
            <v>176</v>
          </cell>
          <cell r="BL139">
            <v>0</v>
          </cell>
          <cell r="BM139">
            <v>5016</v>
          </cell>
          <cell r="BN139">
            <v>2</v>
          </cell>
          <cell r="BO139">
            <v>616</v>
          </cell>
          <cell r="BP139" t="str">
            <v>Y</v>
          </cell>
          <cell r="BQ139">
            <v>1</v>
          </cell>
          <cell r="BR139" t="str">
            <v>N</v>
          </cell>
          <cell r="BS139">
            <v>0</v>
          </cell>
          <cell r="BT139" t="str">
            <v>Done</v>
          </cell>
          <cell r="BU139">
            <v>176</v>
          </cell>
          <cell r="BV139">
            <v>2024</v>
          </cell>
        </row>
        <row r="140">
          <cell r="A140" t="str">
            <v>Lucknow</v>
          </cell>
          <cell r="B140" t="str">
            <v>Trust</v>
          </cell>
          <cell r="C140" t="str">
            <v>Mid Level</v>
          </cell>
          <cell r="D140" t="str">
            <v>Jitendra Kumar Rao</v>
          </cell>
          <cell r="E140" t="str">
            <v>Harsh Agrawal</v>
          </cell>
          <cell r="F140" t="str">
            <v>Harsh Agrawal</v>
          </cell>
          <cell r="H140" t="str">
            <v>Mahendra Rao</v>
          </cell>
          <cell r="K140">
            <v>0</v>
          </cell>
          <cell r="L140" t="str">
            <v>Old</v>
          </cell>
          <cell r="M140">
            <v>45356</v>
          </cell>
          <cell r="N140">
            <v>1</v>
          </cell>
          <cell r="O140">
            <v>690</v>
          </cell>
          <cell r="P140">
            <v>45848</v>
          </cell>
          <cell r="Q140">
            <v>45721</v>
          </cell>
          <cell r="R140" t="str">
            <v>PLC-3622</v>
          </cell>
          <cell r="S140" t="str">
            <v>Deepak Srichand Manglani</v>
          </cell>
          <cell r="T140" t="str">
            <v>Split</v>
          </cell>
          <cell r="U140" t="str">
            <v>C2C</v>
          </cell>
          <cell r="V140" t="str">
            <v>Birlasoft</v>
          </cell>
          <cell r="W140">
            <v>55</v>
          </cell>
          <cell r="X140">
            <v>0</v>
          </cell>
          <cell r="Y140" t="str">
            <v>USD</v>
          </cell>
          <cell r="Z140">
            <v>64</v>
          </cell>
          <cell r="AA140">
            <v>40</v>
          </cell>
          <cell r="AB140">
            <v>0</v>
          </cell>
          <cell r="AC140">
            <v>2</v>
          </cell>
          <cell r="AD140">
            <v>45672</v>
          </cell>
          <cell r="AE140">
            <v>22</v>
          </cell>
          <cell r="AF140">
            <v>46022</v>
          </cell>
          <cell r="AG140">
            <v>55</v>
          </cell>
          <cell r="AH140">
            <v>0</v>
          </cell>
          <cell r="AI140">
            <v>57</v>
          </cell>
          <cell r="AJ140">
            <v>64</v>
          </cell>
          <cell r="AK140">
            <v>40</v>
          </cell>
          <cell r="AL140">
            <v>40</v>
          </cell>
          <cell r="AM140">
            <v>7</v>
          </cell>
          <cell r="AN140">
            <v>20</v>
          </cell>
          <cell r="AO140">
            <v>3.5</v>
          </cell>
          <cell r="AP140">
            <v>20</v>
          </cell>
          <cell r="AQ140">
            <v>3.5</v>
          </cell>
          <cell r="AR140" t="str">
            <v>US_24172</v>
          </cell>
          <cell r="AS140">
            <v>0</v>
          </cell>
          <cell r="AT140">
            <v>176</v>
          </cell>
          <cell r="AU140">
            <v>176</v>
          </cell>
          <cell r="AV140">
            <v>0</v>
          </cell>
          <cell r="AW140">
            <v>616</v>
          </cell>
          <cell r="AX140">
            <v>616</v>
          </cell>
          <cell r="AY140">
            <v>616</v>
          </cell>
          <cell r="AZ140">
            <v>0</v>
          </cell>
          <cell r="BA140">
            <v>0</v>
          </cell>
          <cell r="BB140">
            <v>0</v>
          </cell>
          <cell r="BD140">
            <v>616</v>
          </cell>
          <cell r="BF140">
            <v>616</v>
          </cell>
          <cell r="BG140">
            <v>5632</v>
          </cell>
          <cell r="BH140">
            <v>5632</v>
          </cell>
          <cell r="BI140">
            <v>4840</v>
          </cell>
          <cell r="BJ140">
            <v>0</v>
          </cell>
          <cell r="BK140">
            <v>176</v>
          </cell>
          <cell r="BL140">
            <v>0</v>
          </cell>
          <cell r="BM140">
            <v>5016</v>
          </cell>
          <cell r="BN140">
            <v>2</v>
          </cell>
          <cell r="BO140">
            <v>616</v>
          </cell>
          <cell r="BP140" t="str">
            <v>Y</v>
          </cell>
          <cell r="BQ140">
            <v>1</v>
          </cell>
          <cell r="BR140" t="str">
            <v>N</v>
          </cell>
          <cell r="BS140">
            <v>0</v>
          </cell>
          <cell r="BT140" t="str">
            <v>Done</v>
          </cell>
          <cell r="BU140">
            <v>176</v>
          </cell>
          <cell r="BV140">
            <v>2024</v>
          </cell>
        </row>
        <row r="141">
          <cell r="A141" t="str">
            <v>Lucknow</v>
          </cell>
          <cell r="B141" t="str">
            <v>Trust</v>
          </cell>
          <cell r="C141" t="str">
            <v>Mid Level</v>
          </cell>
          <cell r="D141" t="str">
            <v>Harsh Agarwal</v>
          </cell>
          <cell r="E141" t="str">
            <v>Jitendra Rao</v>
          </cell>
          <cell r="F141" t="str">
            <v>Jitendra Rao</v>
          </cell>
          <cell r="H141" t="str">
            <v>Mahendra Rao</v>
          </cell>
          <cell r="K141">
            <v>0</v>
          </cell>
          <cell r="L141" t="str">
            <v>Old</v>
          </cell>
          <cell r="M141">
            <v>45356</v>
          </cell>
          <cell r="N141">
            <v>1</v>
          </cell>
          <cell r="O141">
            <v>690</v>
          </cell>
          <cell r="P141">
            <v>45848</v>
          </cell>
          <cell r="Q141">
            <v>45721</v>
          </cell>
          <cell r="R141" t="str">
            <v>PLC-3622</v>
          </cell>
          <cell r="S141" t="str">
            <v>Deepak Srichand Manglani</v>
          </cell>
          <cell r="T141" t="str">
            <v>Split</v>
          </cell>
          <cell r="U141" t="str">
            <v>C2C</v>
          </cell>
          <cell r="V141" t="str">
            <v>Birlasoft</v>
          </cell>
          <cell r="W141">
            <v>55</v>
          </cell>
          <cell r="X141">
            <v>0</v>
          </cell>
          <cell r="Y141" t="str">
            <v>USD</v>
          </cell>
          <cell r="Z141">
            <v>64</v>
          </cell>
          <cell r="AA141">
            <v>40</v>
          </cell>
          <cell r="AB141">
            <v>0</v>
          </cell>
          <cell r="AC141">
            <v>2</v>
          </cell>
          <cell r="AD141">
            <v>45703</v>
          </cell>
          <cell r="AE141">
            <v>20</v>
          </cell>
          <cell r="AF141">
            <v>46022</v>
          </cell>
          <cell r="AG141">
            <v>55</v>
          </cell>
          <cell r="AH141">
            <v>0</v>
          </cell>
          <cell r="AI141">
            <v>57</v>
          </cell>
          <cell r="AJ141">
            <v>64</v>
          </cell>
          <cell r="AK141">
            <v>40</v>
          </cell>
          <cell r="AL141">
            <v>40</v>
          </cell>
          <cell r="AM141">
            <v>7</v>
          </cell>
          <cell r="AN141">
            <v>20</v>
          </cell>
          <cell r="AO141">
            <v>3.5</v>
          </cell>
          <cell r="AP141">
            <v>20</v>
          </cell>
          <cell r="AQ141">
            <v>3.5</v>
          </cell>
          <cell r="AR141" t="str">
            <v>US_24381</v>
          </cell>
          <cell r="AS141">
            <v>0</v>
          </cell>
          <cell r="AT141">
            <v>160</v>
          </cell>
          <cell r="AU141">
            <v>160</v>
          </cell>
          <cell r="AV141">
            <v>0</v>
          </cell>
          <cell r="AW141">
            <v>560</v>
          </cell>
          <cell r="AX141">
            <v>560</v>
          </cell>
          <cell r="AY141">
            <v>560</v>
          </cell>
          <cell r="AZ141">
            <v>0</v>
          </cell>
          <cell r="BA141">
            <v>0</v>
          </cell>
          <cell r="BB141">
            <v>0</v>
          </cell>
          <cell r="BD141">
            <v>560</v>
          </cell>
          <cell r="BF141">
            <v>560</v>
          </cell>
          <cell r="BG141">
            <v>5120</v>
          </cell>
          <cell r="BH141">
            <v>5120</v>
          </cell>
          <cell r="BI141">
            <v>4400</v>
          </cell>
          <cell r="BJ141">
            <v>0</v>
          </cell>
          <cell r="BK141">
            <v>160</v>
          </cell>
          <cell r="BL141">
            <v>0</v>
          </cell>
          <cell r="BM141">
            <v>4560</v>
          </cell>
          <cell r="BN141">
            <v>2</v>
          </cell>
          <cell r="BO141">
            <v>560</v>
          </cell>
          <cell r="BP141" t="str">
            <v>Y</v>
          </cell>
          <cell r="BQ141">
            <v>1</v>
          </cell>
          <cell r="BR141" t="str">
            <v>N</v>
          </cell>
          <cell r="BS141">
            <v>0</v>
          </cell>
          <cell r="BT141" t="str">
            <v>Done</v>
          </cell>
          <cell r="BU141">
            <v>160</v>
          </cell>
          <cell r="BV141">
            <v>2024</v>
          </cell>
        </row>
        <row r="142">
          <cell r="A142" t="str">
            <v>Lucknow</v>
          </cell>
          <cell r="B142" t="str">
            <v>Trust</v>
          </cell>
          <cell r="C142" t="str">
            <v>Mid Level</v>
          </cell>
          <cell r="D142" t="str">
            <v>Jitendra Kumar Rao</v>
          </cell>
          <cell r="E142" t="str">
            <v>Harsh Agrawal</v>
          </cell>
          <cell r="F142" t="str">
            <v>Harsh Agrawal</v>
          </cell>
          <cell r="H142" t="str">
            <v>Mahendra Rao</v>
          </cell>
          <cell r="K142">
            <v>0</v>
          </cell>
          <cell r="L142" t="str">
            <v>Old</v>
          </cell>
          <cell r="M142">
            <v>45356</v>
          </cell>
          <cell r="N142">
            <v>1</v>
          </cell>
          <cell r="O142">
            <v>690</v>
          </cell>
          <cell r="P142">
            <v>45848</v>
          </cell>
          <cell r="Q142">
            <v>45721</v>
          </cell>
          <cell r="R142" t="str">
            <v>PLC-3622</v>
          </cell>
          <cell r="S142" t="str">
            <v>Deepak Srichand Manglani</v>
          </cell>
          <cell r="T142" t="str">
            <v>Split</v>
          </cell>
          <cell r="U142" t="str">
            <v>C2C</v>
          </cell>
          <cell r="V142" t="str">
            <v>Birlasoft</v>
          </cell>
          <cell r="W142">
            <v>55</v>
          </cell>
          <cell r="X142">
            <v>0</v>
          </cell>
          <cell r="Y142" t="str">
            <v>USD</v>
          </cell>
          <cell r="Z142">
            <v>64</v>
          </cell>
          <cell r="AA142">
            <v>40</v>
          </cell>
          <cell r="AB142">
            <v>0</v>
          </cell>
          <cell r="AC142">
            <v>2</v>
          </cell>
          <cell r="AD142">
            <v>45703</v>
          </cell>
          <cell r="AE142">
            <v>20</v>
          </cell>
          <cell r="AF142">
            <v>46022</v>
          </cell>
          <cell r="AG142">
            <v>55</v>
          </cell>
          <cell r="AH142">
            <v>0</v>
          </cell>
          <cell r="AI142">
            <v>57</v>
          </cell>
          <cell r="AJ142">
            <v>64</v>
          </cell>
          <cell r="AK142">
            <v>40</v>
          </cell>
          <cell r="AL142">
            <v>40</v>
          </cell>
          <cell r="AM142">
            <v>7</v>
          </cell>
          <cell r="AN142">
            <v>20</v>
          </cell>
          <cell r="AO142">
            <v>3.5</v>
          </cell>
          <cell r="AP142">
            <v>20</v>
          </cell>
          <cell r="AQ142">
            <v>3.5</v>
          </cell>
          <cell r="AR142" t="str">
            <v>US_24381</v>
          </cell>
          <cell r="AS142">
            <v>0</v>
          </cell>
          <cell r="AT142">
            <v>160</v>
          </cell>
          <cell r="AU142">
            <v>160</v>
          </cell>
          <cell r="AV142">
            <v>0</v>
          </cell>
          <cell r="AW142">
            <v>560</v>
          </cell>
          <cell r="AX142">
            <v>560</v>
          </cell>
          <cell r="AY142">
            <v>560</v>
          </cell>
          <cell r="AZ142">
            <v>0</v>
          </cell>
          <cell r="BA142">
            <v>0</v>
          </cell>
          <cell r="BB142">
            <v>0</v>
          </cell>
          <cell r="BD142">
            <v>560</v>
          </cell>
          <cell r="BF142">
            <v>560</v>
          </cell>
          <cell r="BG142">
            <v>5120</v>
          </cell>
          <cell r="BH142">
            <v>5120</v>
          </cell>
          <cell r="BI142">
            <v>4400</v>
          </cell>
          <cell r="BJ142">
            <v>0</v>
          </cell>
          <cell r="BK142">
            <v>160</v>
          </cell>
          <cell r="BL142">
            <v>0</v>
          </cell>
          <cell r="BM142">
            <v>4560</v>
          </cell>
          <cell r="BN142">
            <v>2</v>
          </cell>
          <cell r="BO142">
            <v>560</v>
          </cell>
          <cell r="BP142" t="str">
            <v>Y</v>
          </cell>
          <cell r="BQ142">
            <v>1</v>
          </cell>
          <cell r="BR142" t="str">
            <v>N</v>
          </cell>
          <cell r="BS142">
            <v>0</v>
          </cell>
          <cell r="BT142" t="str">
            <v>Done</v>
          </cell>
          <cell r="BU142">
            <v>160</v>
          </cell>
          <cell r="BV142">
            <v>2024</v>
          </cell>
        </row>
        <row r="143">
          <cell r="A143" t="str">
            <v>Lucknow</v>
          </cell>
          <cell r="B143" t="str">
            <v>Trust</v>
          </cell>
          <cell r="C143" t="str">
            <v>Mid Level</v>
          </cell>
          <cell r="D143" t="str">
            <v>Harsh Agarwal</v>
          </cell>
          <cell r="E143" t="str">
            <v>Jitendra Rao</v>
          </cell>
          <cell r="F143" t="str">
            <v>Jitendra Rao</v>
          </cell>
          <cell r="H143" t="str">
            <v>Mahendra Rao</v>
          </cell>
          <cell r="K143">
            <v>0</v>
          </cell>
          <cell r="L143" t="str">
            <v>Old</v>
          </cell>
          <cell r="M143">
            <v>45356</v>
          </cell>
          <cell r="N143">
            <v>1</v>
          </cell>
          <cell r="O143">
            <v>690</v>
          </cell>
          <cell r="P143">
            <v>45848</v>
          </cell>
          <cell r="Q143">
            <v>45721</v>
          </cell>
          <cell r="R143" t="str">
            <v>PLC-3622</v>
          </cell>
          <cell r="S143" t="str">
            <v>Deepak Srichand Manglani</v>
          </cell>
          <cell r="T143" t="str">
            <v>Split</v>
          </cell>
          <cell r="U143" t="str">
            <v>C2C</v>
          </cell>
          <cell r="V143" t="str">
            <v>Birlasoft</v>
          </cell>
          <cell r="W143">
            <v>55</v>
          </cell>
          <cell r="X143">
            <v>0</v>
          </cell>
          <cell r="Y143" t="str">
            <v>USD</v>
          </cell>
          <cell r="Z143">
            <v>64</v>
          </cell>
          <cell r="AA143">
            <v>40</v>
          </cell>
          <cell r="AB143">
            <v>0</v>
          </cell>
          <cell r="AC143">
            <v>2</v>
          </cell>
          <cell r="AD143">
            <v>45731</v>
          </cell>
          <cell r="AE143">
            <v>21</v>
          </cell>
          <cell r="AF143">
            <v>46022</v>
          </cell>
          <cell r="AG143">
            <v>55</v>
          </cell>
          <cell r="AH143">
            <v>0</v>
          </cell>
          <cell r="AI143">
            <v>57</v>
          </cell>
          <cell r="AJ143">
            <v>64</v>
          </cell>
          <cell r="AK143">
            <v>40</v>
          </cell>
          <cell r="AL143">
            <v>40</v>
          </cell>
          <cell r="AM143">
            <v>7</v>
          </cell>
          <cell r="AN143">
            <v>20</v>
          </cell>
          <cell r="AO143">
            <v>3.5</v>
          </cell>
          <cell r="AP143">
            <v>20</v>
          </cell>
          <cell r="AQ143">
            <v>3.5</v>
          </cell>
          <cell r="AR143" t="str">
            <v>US_24577</v>
          </cell>
          <cell r="AS143">
            <v>0</v>
          </cell>
          <cell r="AT143">
            <v>168</v>
          </cell>
          <cell r="AU143">
            <v>168</v>
          </cell>
          <cell r="AV143">
            <v>0</v>
          </cell>
          <cell r="AW143">
            <v>588</v>
          </cell>
          <cell r="AX143">
            <v>588</v>
          </cell>
          <cell r="AY143">
            <v>588</v>
          </cell>
          <cell r="AZ143">
            <v>0</v>
          </cell>
          <cell r="BA143">
            <v>0</v>
          </cell>
          <cell r="BB143">
            <v>0</v>
          </cell>
          <cell r="BD143">
            <v>0</v>
          </cell>
          <cell r="BF143">
            <v>0</v>
          </cell>
          <cell r="BG143">
            <v>5376</v>
          </cell>
          <cell r="BH143">
            <v>5376</v>
          </cell>
          <cell r="BI143">
            <v>4620</v>
          </cell>
          <cell r="BJ143">
            <v>0</v>
          </cell>
          <cell r="BK143">
            <v>168</v>
          </cell>
          <cell r="BL143">
            <v>0</v>
          </cell>
          <cell r="BM143">
            <v>4788</v>
          </cell>
          <cell r="BN143">
            <v>2</v>
          </cell>
          <cell r="BO143">
            <v>588</v>
          </cell>
          <cell r="BP143" t="str">
            <v>Y</v>
          </cell>
          <cell r="BQ143">
            <v>1</v>
          </cell>
          <cell r="BR143" t="str">
            <v>N</v>
          </cell>
          <cell r="BS143">
            <v>0</v>
          </cell>
          <cell r="BT143" t="str">
            <v>Done</v>
          </cell>
          <cell r="BU143">
            <v>168</v>
          </cell>
          <cell r="BV143">
            <v>2024</v>
          </cell>
        </row>
        <row r="144">
          <cell r="A144" t="str">
            <v>Lucknow</v>
          </cell>
          <cell r="B144" t="str">
            <v>Trust</v>
          </cell>
          <cell r="C144" t="str">
            <v>Mid Level</v>
          </cell>
          <cell r="D144" t="str">
            <v>Jitendra Kumar Rao</v>
          </cell>
          <cell r="E144" t="str">
            <v>Harsh Agrawal</v>
          </cell>
          <cell r="F144" t="str">
            <v>Harsh Agrawal</v>
          </cell>
          <cell r="H144" t="str">
            <v>Mahendra Rao</v>
          </cell>
          <cell r="K144">
            <v>0</v>
          </cell>
          <cell r="L144" t="str">
            <v>Old</v>
          </cell>
          <cell r="M144">
            <v>45356</v>
          </cell>
          <cell r="N144">
            <v>1</v>
          </cell>
          <cell r="O144">
            <v>690</v>
          </cell>
          <cell r="P144">
            <v>45848</v>
          </cell>
          <cell r="Q144">
            <v>45721</v>
          </cell>
          <cell r="R144" t="str">
            <v>PLC-3622</v>
          </cell>
          <cell r="S144" t="str">
            <v>Deepak Srichand Manglani</v>
          </cell>
          <cell r="T144" t="str">
            <v>Split</v>
          </cell>
          <cell r="U144" t="str">
            <v>C2C</v>
          </cell>
          <cell r="V144" t="str">
            <v>Birlasoft</v>
          </cell>
          <cell r="W144">
            <v>55</v>
          </cell>
          <cell r="X144">
            <v>0</v>
          </cell>
          <cell r="Y144" t="str">
            <v>USD</v>
          </cell>
          <cell r="Z144">
            <v>64</v>
          </cell>
          <cell r="AA144">
            <v>40</v>
          </cell>
          <cell r="AB144">
            <v>0</v>
          </cell>
          <cell r="AC144">
            <v>2</v>
          </cell>
          <cell r="AD144">
            <v>45731</v>
          </cell>
          <cell r="AE144">
            <v>21</v>
          </cell>
          <cell r="AF144">
            <v>46022</v>
          </cell>
          <cell r="AG144">
            <v>55</v>
          </cell>
          <cell r="AH144">
            <v>0</v>
          </cell>
          <cell r="AI144">
            <v>57</v>
          </cell>
          <cell r="AJ144">
            <v>64</v>
          </cell>
          <cell r="AK144">
            <v>40</v>
          </cell>
          <cell r="AL144">
            <v>40</v>
          </cell>
          <cell r="AM144">
            <v>7</v>
          </cell>
          <cell r="AN144">
            <v>20</v>
          </cell>
          <cell r="AO144">
            <v>3.5</v>
          </cell>
          <cell r="AP144">
            <v>20</v>
          </cell>
          <cell r="AQ144">
            <v>3.5</v>
          </cell>
          <cell r="AR144" t="str">
            <v>US_24577</v>
          </cell>
          <cell r="AS144">
            <v>0</v>
          </cell>
          <cell r="AT144">
            <v>168</v>
          </cell>
          <cell r="AU144">
            <v>168</v>
          </cell>
          <cell r="AV144">
            <v>0</v>
          </cell>
          <cell r="AW144">
            <v>588</v>
          </cell>
          <cell r="AX144">
            <v>588</v>
          </cell>
          <cell r="AY144">
            <v>588</v>
          </cell>
          <cell r="AZ144">
            <v>0</v>
          </cell>
          <cell r="BA144">
            <v>0</v>
          </cell>
          <cell r="BB144">
            <v>0</v>
          </cell>
          <cell r="BD144">
            <v>0</v>
          </cell>
          <cell r="BF144">
            <v>0</v>
          </cell>
          <cell r="BG144">
            <v>5376</v>
          </cell>
          <cell r="BH144">
            <v>5376</v>
          </cell>
          <cell r="BI144">
            <v>4620</v>
          </cell>
          <cell r="BJ144">
            <v>0</v>
          </cell>
          <cell r="BK144">
            <v>168</v>
          </cell>
          <cell r="BL144">
            <v>0</v>
          </cell>
          <cell r="BM144">
            <v>4788</v>
          </cell>
          <cell r="BN144">
            <v>2</v>
          </cell>
          <cell r="BO144">
            <v>588</v>
          </cell>
          <cell r="BP144" t="str">
            <v>Y</v>
          </cell>
          <cell r="BQ144">
            <v>1</v>
          </cell>
          <cell r="BR144" t="str">
            <v>N</v>
          </cell>
          <cell r="BS144">
            <v>0</v>
          </cell>
          <cell r="BT144" t="str">
            <v>Done</v>
          </cell>
          <cell r="BU144">
            <v>168</v>
          </cell>
          <cell r="BV144">
            <v>2024</v>
          </cell>
        </row>
        <row r="145">
          <cell r="A145" t="str">
            <v>Lucknow</v>
          </cell>
          <cell r="B145" t="str">
            <v>Trust</v>
          </cell>
          <cell r="C145" t="str">
            <v>Mid Level</v>
          </cell>
          <cell r="D145" t="str">
            <v>Harsh Agarwal</v>
          </cell>
          <cell r="E145" t="str">
            <v>Jitendra Rao</v>
          </cell>
          <cell r="F145" t="str">
            <v>Jitendra Rao</v>
          </cell>
          <cell r="H145" t="str">
            <v>Mahendra Rao</v>
          </cell>
          <cell r="K145">
            <v>0</v>
          </cell>
          <cell r="L145" t="str">
            <v>Old</v>
          </cell>
          <cell r="M145">
            <v>45356</v>
          </cell>
          <cell r="N145">
            <v>1</v>
          </cell>
          <cell r="O145">
            <v>690</v>
          </cell>
          <cell r="P145">
            <v>45848</v>
          </cell>
          <cell r="Q145">
            <v>45721</v>
          </cell>
          <cell r="R145" t="str">
            <v>PLC-3622</v>
          </cell>
          <cell r="S145" t="str">
            <v>Deepak Srichand Manglani</v>
          </cell>
          <cell r="T145" t="str">
            <v>Split</v>
          </cell>
          <cell r="U145" t="str">
            <v>C2C</v>
          </cell>
          <cell r="V145" t="str">
            <v>Birlasoft</v>
          </cell>
          <cell r="W145">
            <v>55</v>
          </cell>
          <cell r="X145">
            <v>0</v>
          </cell>
          <cell r="Y145" t="str">
            <v>USD</v>
          </cell>
          <cell r="Z145">
            <v>64</v>
          </cell>
          <cell r="AA145">
            <v>40</v>
          </cell>
          <cell r="AB145">
            <v>0</v>
          </cell>
          <cell r="AC145">
            <v>2</v>
          </cell>
          <cell r="AD145">
            <v>45762</v>
          </cell>
          <cell r="AE145">
            <v>22</v>
          </cell>
          <cell r="AF145">
            <v>46022</v>
          </cell>
          <cell r="AG145">
            <v>55</v>
          </cell>
          <cell r="AH145">
            <v>0</v>
          </cell>
          <cell r="AI145">
            <v>57</v>
          </cell>
          <cell r="AJ145">
            <v>64</v>
          </cell>
          <cell r="AK145">
            <v>40</v>
          </cell>
          <cell r="AL145">
            <v>40</v>
          </cell>
          <cell r="AM145">
            <v>7</v>
          </cell>
          <cell r="AN145">
            <v>20</v>
          </cell>
          <cell r="AO145">
            <v>3.5</v>
          </cell>
          <cell r="AP145">
            <v>20</v>
          </cell>
          <cell r="AQ145">
            <v>3.5</v>
          </cell>
          <cell r="AR145" t="str">
            <v>US_24792</v>
          </cell>
          <cell r="AS145">
            <v>0</v>
          </cell>
          <cell r="AT145">
            <v>176</v>
          </cell>
          <cell r="AU145">
            <v>176</v>
          </cell>
          <cell r="AV145">
            <v>0</v>
          </cell>
          <cell r="AW145">
            <v>616</v>
          </cell>
          <cell r="AX145">
            <v>616</v>
          </cell>
          <cell r="AY145">
            <v>616</v>
          </cell>
          <cell r="AZ145">
            <v>0</v>
          </cell>
          <cell r="BA145">
            <v>0</v>
          </cell>
          <cell r="BB145">
            <v>0</v>
          </cell>
          <cell r="BD145">
            <v>0</v>
          </cell>
          <cell r="BF145">
            <v>0</v>
          </cell>
          <cell r="BG145">
            <v>5632</v>
          </cell>
          <cell r="BH145">
            <v>5632</v>
          </cell>
          <cell r="BI145">
            <v>4840</v>
          </cell>
          <cell r="BJ145">
            <v>0</v>
          </cell>
          <cell r="BK145">
            <v>176</v>
          </cell>
          <cell r="BL145">
            <v>0</v>
          </cell>
          <cell r="BM145">
            <v>5016</v>
          </cell>
          <cell r="BN145">
            <v>2</v>
          </cell>
          <cell r="BO145">
            <v>616</v>
          </cell>
          <cell r="BP145" t="str">
            <v>Y</v>
          </cell>
          <cell r="BQ145">
            <v>2</v>
          </cell>
          <cell r="BR145" t="str">
            <v>N</v>
          </cell>
          <cell r="BS145">
            <v>0</v>
          </cell>
          <cell r="BT145" t="str">
            <v>Done</v>
          </cell>
          <cell r="BU145">
            <v>176</v>
          </cell>
          <cell r="BV145">
            <v>2024</v>
          </cell>
        </row>
        <row r="146">
          <cell r="A146" t="str">
            <v>Lucknow</v>
          </cell>
          <cell r="B146" t="str">
            <v>Trust</v>
          </cell>
          <cell r="C146" t="str">
            <v>Mid Level</v>
          </cell>
          <cell r="D146" t="str">
            <v>Jitendra Kumar Rao</v>
          </cell>
          <cell r="E146" t="str">
            <v>Harsh Agrawal</v>
          </cell>
          <cell r="F146" t="str">
            <v>Harsh Agrawal</v>
          </cell>
          <cell r="H146" t="str">
            <v>Mahendra Rao</v>
          </cell>
          <cell r="K146">
            <v>0</v>
          </cell>
          <cell r="L146" t="str">
            <v>Old</v>
          </cell>
          <cell r="M146">
            <v>45356</v>
          </cell>
          <cell r="N146">
            <v>1</v>
          </cell>
          <cell r="O146">
            <v>690</v>
          </cell>
          <cell r="P146">
            <v>45848</v>
          </cell>
          <cell r="Q146">
            <v>45721</v>
          </cell>
          <cell r="R146" t="str">
            <v>PLC-3622</v>
          </cell>
          <cell r="S146" t="str">
            <v>Deepak Srichand Manglani</v>
          </cell>
          <cell r="T146" t="str">
            <v>Split</v>
          </cell>
          <cell r="U146" t="str">
            <v>C2C</v>
          </cell>
          <cell r="V146" t="str">
            <v>Birlasoft</v>
          </cell>
          <cell r="W146">
            <v>55</v>
          </cell>
          <cell r="X146">
            <v>0</v>
          </cell>
          <cell r="Y146" t="str">
            <v>USD</v>
          </cell>
          <cell r="Z146">
            <v>64</v>
          </cell>
          <cell r="AA146">
            <v>40</v>
          </cell>
          <cell r="AB146">
            <v>0</v>
          </cell>
          <cell r="AC146">
            <v>2</v>
          </cell>
          <cell r="AD146">
            <v>45762</v>
          </cell>
          <cell r="AE146">
            <v>22</v>
          </cell>
          <cell r="AF146">
            <v>46022</v>
          </cell>
          <cell r="AG146">
            <v>55</v>
          </cell>
          <cell r="AH146">
            <v>0</v>
          </cell>
          <cell r="AI146">
            <v>57</v>
          </cell>
          <cell r="AJ146">
            <v>64</v>
          </cell>
          <cell r="AK146">
            <v>40</v>
          </cell>
          <cell r="AL146">
            <v>40</v>
          </cell>
          <cell r="AM146">
            <v>7</v>
          </cell>
          <cell r="AN146">
            <v>20</v>
          </cell>
          <cell r="AO146">
            <v>3.5</v>
          </cell>
          <cell r="AP146">
            <v>20</v>
          </cell>
          <cell r="AQ146">
            <v>3.5</v>
          </cell>
          <cell r="AR146" t="str">
            <v>US_24792</v>
          </cell>
          <cell r="AS146">
            <v>0</v>
          </cell>
          <cell r="AT146">
            <v>176</v>
          </cell>
          <cell r="AU146">
            <v>176</v>
          </cell>
          <cell r="AV146">
            <v>0</v>
          </cell>
          <cell r="AW146">
            <v>616</v>
          </cell>
          <cell r="AX146">
            <v>616</v>
          </cell>
          <cell r="AY146">
            <v>616</v>
          </cell>
          <cell r="AZ146">
            <v>0</v>
          </cell>
          <cell r="BA146">
            <v>0</v>
          </cell>
          <cell r="BB146">
            <v>0</v>
          </cell>
          <cell r="BD146">
            <v>0</v>
          </cell>
          <cell r="BF146">
            <v>0</v>
          </cell>
          <cell r="BG146">
            <v>5632</v>
          </cell>
          <cell r="BH146">
            <v>5632</v>
          </cell>
          <cell r="BI146">
            <v>4840</v>
          </cell>
          <cell r="BJ146">
            <v>0</v>
          </cell>
          <cell r="BK146">
            <v>176</v>
          </cell>
          <cell r="BL146">
            <v>0</v>
          </cell>
          <cell r="BM146">
            <v>5016</v>
          </cell>
          <cell r="BN146">
            <v>2</v>
          </cell>
          <cell r="BO146">
            <v>616</v>
          </cell>
          <cell r="BP146" t="str">
            <v>Y</v>
          </cell>
          <cell r="BQ146">
            <v>2</v>
          </cell>
          <cell r="BR146" t="str">
            <v>N</v>
          </cell>
          <cell r="BS146">
            <v>0</v>
          </cell>
          <cell r="BT146" t="str">
            <v>Done</v>
          </cell>
          <cell r="BU146">
            <v>176</v>
          </cell>
          <cell r="BV146">
            <v>2024</v>
          </cell>
        </row>
        <row r="147">
          <cell r="A147" t="str">
            <v>Lucknow</v>
          </cell>
          <cell r="B147" t="str">
            <v>Healthcare</v>
          </cell>
          <cell r="C147" t="str">
            <v>Mid Level</v>
          </cell>
          <cell r="D147" t="str">
            <v>Abhishek Singh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Anuj Kumar</v>
          </cell>
          <cell r="J147" t="str">
            <v>ACH</v>
          </cell>
          <cell r="K147" t="str">
            <v>-</v>
          </cell>
          <cell r="L147" t="str">
            <v>New</v>
          </cell>
          <cell r="M147">
            <v>45775</v>
          </cell>
          <cell r="N147">
            <v>2</v>
          </cell>
          <cell r="O147">
            <v>271</v>
          </cell>
          <cell r="P147">
            <v>45821</v>
          </cell>
          <cell r="Q147">
            <v>46140</v>
          </cell>
          <cell r="S147" t="str">
            <v>Delia Reynolds</v>
          </cell>
          <cell r="T147" t="str">
            <v>Individual</v>
          </cell>
          <cell r="U147" t="str">
            <v>W2</v>
          </cell>
          <cell r="V147" t="str">
            <v>Hallmark</v>
          </cell>
          <cell r="W147">
            <v>63.89</v>
          </cell>
          <cell r="X147">
            <v>0</v>
          </cell>
          <cell r="Y147" t="str">
            <v>USD</v>
          </cell>
          <cell r="Z147">
            <v>85</v>
          </cell>
          <cell r="AA147">
            <v>0</v>
          </cell>
          <cell r="AB147">
            <v>0</v>
          </cell>
          <cell r="AC147">
            <v>0</v>
          </cell>
          <cell r="AD147">
            <v>45762</v>
          </cell>
          <cell r="AE147">
            <v>3</v>
          </cell>
          <cell r="AF147">
            <v>46022</v>
          </cell>
          <cell r="AG147">
            <v>73.473500000000001</v>
          </cell>
          <cell r="AH147">
            <v>0</v>
          </cell>
          <cell r="AI147">
            <v>73.473500000000001</v>
          </cell>
          <cell r="AJ147">
            <v>85</v>
          </cell>
          <cell r="AK147">
            <v>0</v>
          </cell>
          <cell r="AL147">
            <v>0</v>
          </cell>
          <cell r="AM147">
            <v>11.526499999999999</v>
          </cell>
          <cell r="AN147">
            <v>0</v>
          </cell>
          <cell r="AO147">
            <v>11.526499999999999</v>
          </cell>
          <cell r="AP147">
            <v>0</v>
          </cell>
          <cell r="AQ147">
            <v>11.526499999999999</v>
          </cell>
          <cell r="AU147">
            <v>24</v>
          </cell>
          <cell r="AY147">
            <v>276.63599999999997</v>
          </cell>
          <cell r="AZ147">
            <v>0</v>
          </cell>
          <cell r="BA147">
            <v>0</v>
          </cell>
          <cell r="BH147">
            <v>2040</v>
          </cell>
          <cell r="BI147">
            <v>1533.3600000000001</v>
          </cell>
          <cell r="BJ147">
            <v>9.583499999999999</v>
          </cell>
          <cell r="BK147">
            <v>0</v>
          </cell>
          <cell r="BL147">
            <v>230.00399999999996</v>
          </cell>
          <cell r="BM147">
            <v>1763.364</v>
          </cell>
          <cell r="BN147">
            <v>9.583499999999999</v>
          </cell>
          <cell r="BO147">
            <v>276.63599999999991</v>
          </cell>
          <cell r="BQ147">
            <v>2</v>
          </cell>
          <cell r="BR147" t="str">
            <v>Y</v>
          </cell>
          <cell r="BS147">
            <v>0</v>
          </cell>
          <cell r="BT147" t="str">
            <v>Pending</v>
          </cell>
          <cell r="BU147">
            <v>0</v>
          </cell>
          <cell r="BV147">
            <v>2025</v>
          </cell>
        </row>
        <row r="148">
          <cell r="A148" t="str">
            <v>Noida</v>
          </cell>
          <cell r="B148" t="str">
            <v>Noida IT</v>
          </cell>
          <cell r="C148" t="str">
            <v>Mid Level</v>
          </cell>
          <cell r="D148" t="str">
            <v>Abdul Rahman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Abdul Rahman</v>
          </cell>
          <cell r="L148" t="str">
            <v>New</v>
          </cell>
          <cell r="M148">
            <v>45750</v>
          </cell>
          <cell r="N148">
            <v>2</v>
          </cell>
          <cell r="O148">
            <v>296</v>
          </cell>
          <cell r="P148" t="str">
            <v>-</v>
          </cell>
          <cell r="Q148">
            <v>46115</v>
          </cell>
          <cell r="S148" t="str">
            <v>Desmond Ejimbo Amadigwe</v>
          </cell>
          <cell r="T148" t="str">
            <v>Individual</v>
          </cell>
          <cell r="U148" t="str">
            <v>FTE</v>
          </cell>
          <cell r="V148" t="str">
            <v>LTIMindtree</v>
          </cell>
          <cell r="W148">
            <v>0</v>
          </cell>
          <cell r="X148">
            <v>0</v>
          </cell>
          <cell r="Y148" t="str">
            <v>USD</v>
          </cell>
          <cell r="Z148">
            <v>3500</v>
          </cell>
          <cell r="AA148">
            <v>0</v>
          </cell>
          <cell r="AB148">
            <v>0</v>
          </cell>
          <cell r="AC148">
            <v>0</v>
          </cell>
          <cell r="AD148">
            <v>45762</v>
          </cell>
          <cell r="AE148">
            <v>1</v>
          </cell>
          <cell r="AF148">
            <v>46022</v>
          </cell>
          <cell r="AG148">
            <v>0</v>
          </cell>
          <cell r="AH148">
            <v>0</v>
          </cell>
          <cell r="AI148">
            <v>0</v>
          </cell>
          <cell r="AJ148">
            <v>3395</v>
          </cell>
          <cell r="AK148">
            <v>0</v>
          </cell>
          <cell r="AL148">
            <v>0</v>
          </cell>
          <cell r="AM148">
            <v>3395</v>
          </cell>
          <cell r="AN148">
            <v>0</v>
          </cell>
          <cell r="AO148">
            <v>3395</v>
          </cell>
          <cell r="AP148">
            <v>0</v>
          </cell>
          <cell r="AQ148">
            <v>3395</v>
          </cell>
          <cell r="AR148" t="str">
            <v>US_24750</v>
          </cell>
          <cell r="AS148">
            <v>0</v>
          </cell>
          <cell r="AT148">
            <v>1</v>
          </cell>
          <cell r="AU148">
            <v>1</v>
          </cell>
          <cell r="AV148">
            <v>0</v>
          </cell>
          <cell r="AW148">
            <v>3395</v>
          </cell>
          <cell r="AX148">
            <v>3395</v>
          </cell>
          <cell r="AY148">
            <v>3395</v>
          </cell>
          <cell r="AZ148">
            <v>0</v>
          </cell>
          <cell r="BA148">
            <v>0</v>
          </cell>
          <cell r="BB148">
            <v>0</v>
          </cell>
          <cell r="BC148">
            <v>48</v>
          </cell>
          <cell r="BD148">
            <v>3395</v>
          </cell>
          <cell r="BE148">
            <v>2716</v>
          </cell>
          <cell r="BF148">
            <v>3395</v>
          </cell>
          <cell r="BG148">
            <v>3500</v>
          </cell>
          <cell r="BH148">
            <v>3395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3395</v>
          </cell>
          <cell r="BP148" t="str">
            <v>Y</v>
          </cell>
          <cell r="BQ148">
            <v>2</v>
          </cell>
          <cell r="BR148" t="str">
            <v>Y</v>
          </cell>
          <cell r="BS148">
            <v>0</v>
          </cell>
          <cell r="BT148" t="str">
            <v>Done</v>
          </cell>
          <cell r="BU148">
            <v>0</v>
          </cell>
          <cell r="BV148">
            <v>2025</v>
          </cell>
        </row>
        <row r="149">
          <cell r="A149" t="str">
            <v>Lucknow</v>
          </cell>
          <cell r="B149" t="str">
            <v>Titans</v>
          </cell>
          <cell r="C149" t="str">
            <v>Mid Level</v>
          </cell>
          <cell r="D149" t="str">
            <v>Nitin Saxena</v>
          </cell>
          <cell r="E149" t="str">
            <v>Nitin Saxena</v>
          </cell>
          <cell r="H149" t="str">
            <v>Aviral Shukla</v>
          </cell>
          <cell r="K149">
            <v>0</v>
          </cell>
          <cell r="L149" t="str">
            <v>Old</v>
          </cell>
          <cell r="M149">
            <v>45448</v>
          </cell>
          <cell r="N149">
            <v>2</v>
          </cell>
          <cell r="O149">
            <v>598</v>
          </cell>
          <cell r="P149">
            <v>46022</v>
          </cell>
          <cell r="Q149">
            <v>45813</v>
          </cell>
          <cell r="R149" t="str">
            <v>PLC-3815</v>
          </cell>
          <cell r="S149" t="str">
            <v>Deva Praneeth</v>
          </cell>
          <cell r="T149" t="str">
            <v>Individual</v>
          </cell>
          <cell r="U149" t="str">
            <v>C2C</v>
          </cell>
          <cell r="V149" t="str">
            <v>Genpact</v>
          </cell>
          <cell r="W149">
            <v>78</v>
          </cell>
          <cell r="X149">
            <v>0</v>
          </cell>
          <cell r="Y149" t="str">
            <v>CAD</v>
          </cell>
          <cell r="Z149">
            <v>100</v>
          </cell>
          <cell r="AA149">
            <v>0</v>
          </cell>
          <cell r="AB149">
            <v>0</v>
          </cell>
          <cell r="AC149">
            <v>0</v>
          </cell>
          <cell r="AD149">
            <v>45672</v>
          </cell>
          <cell r="AE149">
            <v>23</v>
          </cell>
          <cell r="AF149">
            <v>46022</v>
          </cell>
          <cell r="AG149">
            <v>55.379999999999995</v>
          </cell>
          <cell r="AH149">
            <v>0</v>
          </cell>
          <cell r="AI149">
            <v>55.379999999999995</v>
          </cell>
          <cell r="AJ149">
            <v>71</v>
          </cell>
          <cell r="AK149">
            <v>0</v>
          </cell>
          <cell r="AL149">
            <v>0</v>
          </cell>
          <cell r="AM149">
            <v>15.620000000000005</v>
          </cell>
          <cell r="AN149">
            <v>0</v>
          </cell>
          <cell r="AO149">
            <v>15.620000000000005</v>
          </cell>
          <cell r="AP149">
            <v>0</v>
          </cell>
          <cell r="AQ149">
            <v>15.620000000000005</v>
          </cell>
          <cell r="AR149" t="str">
            <v>CAD_1406</v>
          </cell>
          <cell r="AS149">
            <v>0</v>
          </cell>
          <cell r="AT149">
            <v>176</v>
          </cell>
          <cell r="AU149">
            <v>176</v>
          </cell>
          <cell r="AV149">
            <v>0</v>
          </cell>
          <cell r="AW149">
            <v>2749.1200000000008</v>
          </cell>
          <cell r="AX149">
            <v>2749.1200000000008</v>
          </cell>
          <cell r="AY149">
            <v>2749.1200000000008</v>
          </cell>
          <cell r="AZ149">
            <v>28.571428571428569</v>
          </cell>
          <cell r="BA149">
            <v>24.992000000000008</v>
          </cell>
          <cell r="BB149">
            <v>4398.5920000000015</v>
          </cell>
          <cell r="BC149">
            <v>63</v>
          </cell>
          <cell r="BD149">
            <v>2749.1200000000008</v>
          </cell>
          <cell r="BE149">
            <v>3298.9440000000009</v>
          </cell>
          <cell r="BF149">
            <v>2749.1200000000008</v>
          </cell>
          <cell r="BG149">
            <v>17600</v>
          </cell>
          <cell r="BH149">
            <v>12496</v>
          </cell>
          <cell r="BI149">
            <v>10171.075199999999</v>
          </cell>
          <cell r="BJ149">
            <v>0</v>
          </cell>
          <cell r="BK149">
            <v>0</v>
          </cell>
          <cell r="BL149">
            <v>0</v>
          </cell>
          <cell r="BM149">
            <v>10171.075199999999</v>
          </cell>
          <cell r="BN149">
            <v>0</v>
          </cell>
          <cell r="BO149">
            <v>2324.9248000000007</v>
          </cell>
          <cell r="BP149" t="str">
            <v>Y</v>
          </cell>
          <cell r="BQ149">
            <v>1</v>
          </cell>
          <cell r="BR149" t="str">
            <v>N</v>
          </cell>
          <cell r="BS149">
            <v>4398.5920000000015</v>
          </cell>
          <cell r="BT149" t="str">
            <v>Done</v>
          </cell>
          <cell r="BU149">
            <v>176</v>
          </cell>
          <cell r="BV149">
            <v>2024</v>
          </cell>
        </row>
        <row r="150">
          <cell r="A150" t="str">
            <v>Lucknow</v>
          </cell>
          <cell r="B150" t="str">
            <v>Titans</v>
          </cell>
          <cell r="C150" t="str">
            <v>Mid Level</v>
          </cell>
          <cell r="D150" t="str">
            <v>Nitin Saxena</v>
          </cell>
          <cell r="E150" t="str">
            <v>Nitin Saxena</v>
          </cell>
          <cell r="H150" t="str">
            <v>Aviral Shukla</v>
          </cell>
          <cell r="K150">
            <v>0</v>
          </cell>
          <cell r="L150" t="str">
            <v>Old</v>
          </cell>
          <cell r="M150">
            <v>45448</v>
          </cell>
          <cell r="N150">
            <v>2</v>
          </cell>
          <cell r="O150">
            <v>598</v>
          </cell>
          <cell r="P150">
            <v>46022</v>
          </cell>
          <cell r="Q150">
            <v>45813</v>
          </cell>
          <cell r="R150" t="str">
            <v>PLC-3815</v>
          </cell>
          <cell r="S150" t="str">
            <v>Deva Praneeth</v>
          </cell>
          <cell r="T150" t="str">
            <v>Individual</v>
          </cell>
          <cell r="U150" t="str">
            <v>C2C</v>
          </cell>
          <cell r="V150" t="str">
            <v>Genpact</v>
          </cell>
          <cell r="W150">
            <v>78</v>
          </cell>
          <cell r="X150">
            <v>0</v>
          </cell>
          <cell r="Y150" t="str">
            <v>CAD</v>
          </cell>
          <cell r="Z150">
            <v>100</v>
          </cell>
          <cell r="AA150">
            <v>0</v>
          </cell>
          <cell r="AB150">
            <v>0</v>
          </cell>
          <cell r="AC150">
            <v>0</v>
          </cell>
          <cell r="AD150">
            <v>45703</v>
          </cell>
          <cell r="AE150">
            <v>20</v>
          </cell>
          <cell r="AF150">
            <v>46022</v>
          </cell>
          <cell r="AG150">
            <v>55.379999999999995</v>
          </cell>
          <cell r="AH150">
            <v>0</v>
          </cell>
          <cell r="AI150">
            <v>55.379999999999995</v>
          </cell>
          <cell r="AJ150">
            <v>71</v>
          </cell>
          <cell r="AK150">
            <v>0</v>
          </cell>
          <cell r="AL150">
            <v>0</v>
          </cell>
          <cell r="AM150">
            <v>15.620000000000005</v>
          </cell>
          <cell r="AN150">
            <v>0</v>
          </cell>
          <cell r="AO150">
            <v>15.620000000000005</v>
          </cell>
          <cell r="AP150">
            <v>0</v>
          </cell>
          <cell r="AQ150">
            <v>15.620000000000005</v>
          </cell>
          <cell r="AR150" t="str">
            <v>CAD_1432</v>
          </cell>
          <cell r="AS150">
            <v>0</v>
          </cell>
          <cell r="AT150">
            <v>152</v>
          </cell>
          <cell r="AU150">
            <v>152</v>
          </cell>
          <cell r="AV150">
            <v>0</v>
          </cell>
          <cell r="AW150">
            <v>2374.2400000000007</v>
          </cell>
          <cell r="AX150">
            <v>2374.2400000000007</v>
          </cell>
          <cell r="AY150">
            <v>2374.2400000000007</v>
          </cell>
          <cell r="AZ150">
            <v>28.571428571428569</v>
          </cell>
          <cell r="BA150">
            <v>24.992000000000008</v>
          </cell>
          <cell r="BB150">
            <v>3798.784000000001</v>
          </cell>
          <cell r="BC150">
            <v>63</v>
          </cell>
          <cell r="BD150">
            <v>2374.2400000000007</v>
          </cell>
          <cell r="BE150">
            <v>2849.0880000000011</v>
          </cell>
          <cell r="BF150">
            <v>2374.2400000000007</v>
          </cell>
          <cell r="BG150">
            <v>15200</v>
          </cell>
          <cell r="BH150">
            <v>10792</v>
          </cell>
          <cell r="BI150">
            <v>8784.1103999999996</v>
          </cell>
          <cell r="BJ150">
            <v>0</v>
          </cell>
          <cell r="BK150">
            <v>0</v>
          </cell>
          <cell r="BL150">
            <v>0</v>
          </cell>
          <cell r="BM150">
            <v>8784.1103999999996</v>
          </cell>
          <cell r="BN150">
            <v>0</v>
          </cell>
          <cell r="BO150">
            <v>2007.8896000000004</v>
          </cell>
          <cell r="BP150" t="str">
            <v>Y</v>
          </cell>
          <cell r="BQ150">
            <v>1</v>
          </cell>
          <cell r="BR150" t="str">
            <v>N</v>
          </cell>
          <cell r="BS150">
            <v>3798.784000000001</v>
          </cell>
          <cell r="BT150" t="str">
            <v>Done</v>
          </cell>
          <cell r="BU150">
            <v>152</v>
          </cell>
          <cell r="BV150">
            <v>2024</v>
          </cell>
        </row>
        <row r="151">
          <cell r="A151" t="str">
            <v>Lucknow</v>
          </cell>
          <cell r="B151" t="str">
            <v>Titans</v>
          </cell>
          <cell r="C151" t="str">
            <v>Mid Level</v>
          </cell>
          <cell r="D151" t="str">
            <v>Nitin Saxena</v>
          </cell>
          <cell r="E151" t="str">
            <v>Nitin Saxena</v>
          </cell>
          <cell r="H151" t="str">
            <v>Aviral Shukla</v>
          </cell>
          <cell r="K151">
            <v>0</v>
          </cell>
          <cell r="L151" t="str">
            <v>Old</v>
          </cell>
          <cell r="M151">
            <v>45448</v>
          </cell>
          <cell r="N151">
            <v>2</v>
          </cell>
          <cell r="O151">
            <v>598</v>
          </cell>
          <cell r="P151">
            <v>46022</v>
          </cell>
          <cell r="Q151">
            <v>45813</v>
          </cell>
          <cell r="R151" t="str">
            <v>PLC-3815</v>
          </cell>
          <cell r="S151" t="str">
            <v>Deva Praneeth</v>
          </cell>
          <cell r="T151" t="str">
            <v>Individual</v>
          </cell>
          <cell r="U151" t="str">
            <v>C2C</v>
          </cell>
          <cell r="V151" t="str">
            <v>Genpact</v>
          </cell>
          <cell r="W151">
            <v>78</v>
          </cell>
          <cell r="X151">
            <v>0</v>
          </cell>
          <cell r="Y151" t="str">
            <v>CAD</v>
          </cell>
          <cell r="Z151">
            <v>100</v>
          </cell>
          <cell r="AA151">
            <v>0</v>
          </cell>
          <cell r="AB151">
            <v>0</v>
          </cell>
          <cell r="AC151">
            <v>0</v>
          </cell>
          <cell r="AD151">
            <v>45731</v>
          </cell>
          <cell r="AE151">
            <v>21</v>
          </cell>
          <cell r="AF151">
            <v>46022</v>
          </cell>
          <cell r="AG151">
            <v>55.379999999999995</v>
          </cell>
          <cell r="AH151">
            <v>0</v>
          </cell>
          <cell r="AI151">
            <v>55.379999999999995</v>
          </cell>
          <cell r="AJ151">
            <v>71</v>
          </cell>
          <cell r="AK151">
            <v>0</v>
          </cell>
          <cell r="AL151">
            <v>0</v>
          </cell>
          <cell r="AM151">
            <v>15.620000000000005</v>
          </cell>
          <cell r="AN151">
            <v>0</v>
          </cell>
          <cell r="AO151">
            <v>15.620000000000005</v>
          </cell>
          <cell r="AP151">
            <v>0</v>
          </cell>
          <cell r="AQ151">
            <v>15.620000000000005</v>
          </cell>
          <cell r="AR151" t="str">
            <v>CAD_1457</v>
          </cell>
          <cell r="AS151">
            <v>0</v>
          </cell>
          <cell r="AT151">
            <v>168</v>
          </cell>
          <cell r="AU151">
            <v>168</v>
          </cell>
          <cell r="AV151">
            <v>0</v>
          </cell>
          <cell r="AW151">
            <v>2624.1600000000008</v>
          </cell>
          <cell r="AX151">
            <v>2624.1600000000008</v>
          </cell>
          <cell r="AY151">
            <v>2624.1600000000008</v>
          </cell>
          <cell r="AZ151">
            <v>28.571428571428569</v>
          </cell>
          <cell r="BA151">
            <v>24.992000000000008</v>
          </cell>
          <cell r="BB151">
            <v>4198.6560000000018</v>
          </cell>
          <cell r="BC151">
            <v>63</v>
          </cell>
          <cell r="BD151">
            <v>2624.1600000000008</v>
          </cell>
          <cell r="BE151">
            <v>3148.9920000000006</v>
          </cell>
          <cell r="BF151">
            <v>2624.1600000000008</v>
          </cell>
          <cell r="BG151">
            <v>16800</v>
          </cell>
          <cell r="BH151">
            <v>11928</v>
          </cell>
          <cell r="BI151">
            <v>9708.7536</v>
          </cell>
          <cell r="BJ151">
            <v>0</v>
          </cell>
          <cell r="BK151">
            <v>0</v>
          </cell>
          <cell r="BL151">
            <v>0</v>
          </cell>
          <cell r="BM151">
            <v>9708.7536</v>
          </cell>
          <cell r="BN151">
            <v>0</v>
          </cell>
          <cell r="BO151">
            <v>2219.2464</v>
          </cell>
          <cell r="BP151" t="str">
            <v>Y</v>
          </cell>
          <cell r="BQ151">
            <v>1</v>
          </cell>
          <cell r="BR151" t="str">
            <v>N</v>
          </cell>
          <cell r="BS151">
            <v>4198.6560000000018</v>
          </cell>
          <cell r="BT151" t="str">
            <v>Done</v>
          </cell>
          <cell r="BU151">
            <v>168</v>
          </cell>
          <cell r="BV151">
            <v>2024</v>
          </cell>
        </row>
        <row r="152">
          <cell r="A152" t="str">
            <v>Lucknow</v>
          </cell>
          <cell r="B152" t="str">
            <v>Titans</v>
          </cell>
          <cell r="C152" t="str">
            <v>Mid Level</v>
          </cell>
          <cell r="D152" t="str">
            <v>Nitin Saxena</v>
          </cell>
          <cell r="E152" t="str">
            <v>Nitin Saxena</v>
          </cell>
          <cell r="H152" t="str">
            <v>Aviral Shukla</v>
          </cell>
          <cell r="K152">
            <v>0</v>
          </cell>
          <cell r="L152" t="str">
            <v>Old</v>
          </cell>
          <cell r="M152">
            <v>45448</v>
          </cell>
          <cell r="N152">
            <v>2</v>
          </cell>
          <cell r="O152">
            <v>598</v>
          </cell>
          <cell r="P152">
            <v>46022</v>
          </cell>
          <cell r="Q152">
            <v>45813</v>
          </cell>
          <cell r="R152" t="str">
            <v>PLC-3815</v>
          </cell>
          <cell r="S152" t="str">
            <v>Deva Praneeth</v>
          </cell>
          <cell r="T152" t="str">
            <v>Individual</v>
          </cell>
          <cell r="U152" t="str">
            <v>C2C</v>
          </cell>
          <cell r="V152" t="str">
            <v>Genpact</v>
          </cell>
          <cell r="W152">
            <v>78</v>
          </cell>
          <cell r="X152">
            <v>0</v>
          </cell>
          <cell r="Y152" t="str">
            <v>CAD</v>
          </cell>
          <cell r="Z152">
            <v>100</v>
          </cell>
          <cell r="AA152">
            <v>0</v>
          </cell>
          <cell r="AB152">
            <v>0</v>
          </cell>
          <cell r="AC152">
            <v>0</v>
          </cell>
          <cell r="AD152">
            <v>45762</v>
          </cell>
          <cell r="AE152">
            <v>22</v>
          </cell>
          <cell r="AF152">
            <v>46022</v>
          </cell>
          <cell r="AG152">
            <v>55.379999999999995</v>
          </cell>
          <cell r="AH152">
            <v>0</v>
          </cell>
          <cell r="AI152">
            <v>55.379999999999995</v>
          </cell>
          <cell r="AJ152">
            <v>71</v>
          </cell>
          <cell r="AK152">
            <v>0</v>
          </cell>
          <cell r="AL152">
            <v>0</v>
          </cell>
          <cell r="AM152">
            <v>15.620000000000005</v>
          </cell>
          <cell r="AN152">
            <v>0</v>
          </cell>
          <cell r="AO152">
            <v>15.620000000000005</v>
          </cell>
          <cell r="AP152">
            <v>0</v>
          </cell>
          <cell r="AQ152">
            <v>15.620000000000005</v>
          </cell>
          <cell r="AR152" t="str">
            <v>CAD_1482</v>
          </cell>
          <cell r="AS152">
            <v>0</v>
          </cell>
          <cell r="AT152">
            <v>168</v>
          </cell>
          <cell r="AU152">
            <v>168</v>
          </cell>
          <cell r="AV152">
            <v>0</v>
          </cell>
          <cell r="AW152">
            <v>2624.1600000000008</v>
          </cell>
          <cell r="AX152">
            <v>2624.1600000000008</v>
          </cell>
          <cell r="AY152">
            <v>2624.1600000000008</v>
          </cell>
          <cell r="AZ152">
            <v>28.571428571428569</v>
          </cell>
          <cell r="BA152">
            <v>24.992000000000008</v>
          </cell>
          <cell r="BB152">
            <v>4198.6560000000018</v>
          </cell>
          <cell r="BC152">
            <v>63</v>
          </cell>
          <cell r="BD152">
            <v>2624.1600000000008</v>
          </cell>
          <cell r="BE152">
            <v>3148.9920000000006</v>
          </cell>
          <cell r="BF152">
            <v>2624.1600000000008</v>
          </cell>
          <cell r="BG152">
            <v>16800</v>
          </cell>
          <cell r="BH152">
            <v>11928</v>
          </cell>
          <cell r="BI152">
            <v>9708.7536</v>
          </cell>
          <cell r="BJ152">
            <v>0</v>
          </cell>
          <cell r="BK152">
            <v>0</v>
          </cell>
          <cell r="BL152">
            <v>0</v>
          </cell>
          <cell r="BM152">
            <v>9708.7536</v>
          </cell>
          <cell r="BN152">
            <v>0</v>
          </cell>
          <cell r="BO152">
            <v>2219.2464</v>
          </cell>
          <cell r="BP152" t="str">
            <v>Y</v>
          </cell>
          <cell r="BQ152">
            <v>2</v>
          </cell>
          <cell r="BR152" t="str">
            <v>Y</v>
          </cell>
          <cell r="BS152">
            <v>4198.6560000000018</v>
          </cell>
          <cell r="BT152" t="str">
            <v>Done</v>
          </cell>
          <cell r="BU152">
            <v>168</v>
          </cell>
          <cell r="BV152">
            <v>2024</v>
          </cell>
        </row>
        <row r="153">
          <cell r="A153" t="str">
            <v>Lucknow</v>
          </cell>
          <cell r="B153" t="str">
            <v>Titans</v>
          </cell>
          <cell r="C153" t="str">
            <v>Mid Level</v>
          </cell>
          <cell r="D153" t="str">
            <v>Nitin Saxena</v>
          </cell>
          <cell r="E153" t="str">
            <v>Nitin Saxena</v>
          </cell>
          <cell r="F153" t="str">
            <v>-</v>
          </cell>
          <cell r="H153" t="str">
            <v>Tushar Bisht</v>
          </cell>
          <cell r="J153" t="str">
            <v>ACH</v>
          </cell>
          <cell r="K153">
            <v>0</v>
          </cell>
          <cell r="L153" t="str">
            <v>Old</v>
          </cell>
          <cell r="M153">
            <v>45540</v>
          </cell>
          <cell r="N153">
            <v>3</v>
          </cell>
          <cell r="O153">
            <v>506</v>
          </cell>
          <cell r="P153">
            <v>45879</v>
          </cell>
          <cell r="Q153">
            <v>45905</v>
          </cell>
          <cell r="R153" t="str">
            <v>PLC-3964</v>
          </cell>
          <cell r="S153" t="str">
            <v>Devon Lee Ellison</v>
          </cell>
          <cell r="T153" t="str">
            <v>Individual</v>
          </cell>
          <cell r="U153">
            <v>1099</v>
          </cell>
          <cell r="V153" t="str">
            <v>Genpact</v>
          </cell>
          <cell r="W153">
            <v>35</v>
          </cell>
          <cell r="X153">
            <v>52.5</v>
          </cell>
          <cell r="Y153" t="str">
            <v>USD</v>
          </cell>
          <cell r="Z153">
            <v>45</v>
          </cell>
          <cell r="AA153">
            <v>67.5</v>
          </cell>
          <cell r="AB153">
            <v>0</v>
          </cell>
          <cell r="AC153">
            <v>0</v>
          </cell>
          <cell r="AD153">
            <v>45672</v>
          </cell>
          <cell r="AE153">
            <v>22</v>
          </cell>
          <cell r="AF153">
            <v>46022</v>
          </cell>
          <cell r="AG153">
            <v>37.450000000000003</v>
          </cell>
          <cell r="AH153">
            <v>56.175000000000004</v>
          </cell>
          <cell r="AI153">
            <v>37.450000000000003</v>
          </cell>
          <cell r="AJ153">
            <v>45</v>
          </cell>
          <cell r="AK153">
            <v>67.5</v>
          </cell>
          <cell r="AL153">
            <v>11.324999999999996</v>
          </cell>
          <cell r="AM153">
            <v>7.5499999999999972</v>
          </cell>
          <cell r="AN153">
            <v>11.324999999999996</v>
          </cell>
          <cell r="AO153">
            <v>7.5499999999999972</v>
          </cell>
          <cell r="AP153">
            <v>11.324999999999996</v>
          </cell>
          <cell r="AQ153">
            <v>7.5499999999999972</v>
          </cell>
          <cell r="AR153" t="str">
            <v>US_24273</v>
          </cell>
          <cell r="AS153">
            <v>0</v>
          </cell>
          <cell r="AT153">
            <v>184</v>
          </cell>
          <cell r="AU153">
            <v>184</v>
          </cell>
          <cell r="AV153">
            <v>0</v>
          </cell>
          <cell r="AW153">
            <v>1389.1999999999994</v>
          </cell>
          <cell r="AX153">
            <v>1375.3079999999993</v>
          </cell>
          <cell r="AY153">
            <v>1389.1999999999994</v>
          </cell>
          <cell r="AZ153">
            <v>0</v>
          </cell>
          <cell r="BA153">
            <v>0</v>
          </cell>
          <cell r="BB153">
            <v>0</v>
          </cell>
          <cell r="BC153">
            <v>63</v>
          </cell>
          <cell r="BD153">
            <v>1389.1999999999994</v>
          </cell>
          <cell r="BE153">
            <v>1667.0399999999991</v>
          </cell>
          <cell r="BF153">
            <v>1375.3079999999993</v>
          </cell>
          <cell r="BG153">
            <v>8280</v>
          </cell>
          <cell r="BH153">
            <v>8280</v>
          </cell>
          <cell r="BI153">
            <v>6440</v>
          </cell>
          <cell r="BJ153">
            <v>2.4500000000000002</v>
          </cell>
          <cell r="BK153">
            <v>0</v>
          </cell>
          <cell r="BL153">
            <v>450.8</v>
          </cell>
          <cell r="BM153">
            <v>6890.8</v>
          </cell>
          <cell r="BN153">
            <v>2.4500000000000002</v>
          </cell>
          <cell r="BO153">
            <v>1389.2</v>
          </cell>
          <cell r="BP153" t="str">
            <v>Y</v>
          </cell>
          <cell r="BQ153">
            <v>1</v>
          </cell>
          <cell r="BR153" t="str">
            <v>N</v>
          </cell>
          <cell r="BS153">
            <v>0</v>
          </cell>
          <cell r="BT153" t="str">
            <v>Done</v>
          </cell>
          <cell r="BU153">
            <v>184</v>
          </cell>
          <cell r="BV153">
            <v>2024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Nitin Saxena</v>
          </cell>
          <cell r="E154" t="str">
            <v>Nitin Saxena</v>
          </cell>
          <cell r="F154" t="str">
            <v>-</v>
          </cell>
          <cell r="H154" t="str">
            <v>Tushar Bisht</v>
          </cell>
          <cell r="J154" t="str">
            <v>ACH</v>
          </cell>
          <cell r="K154">
            <v>0</v>
          </cell>
          <cell r="L154" t="str">
            <v>Old</v>
          </cell>
          <cell r="M154">
            <v>45540</v>
          </cell>
          <cell r="N154">
            <v>3</v>
          </cell>
          <cell r="O154">
            <v>506</v>
          </cell>
          <cell r="P154">
            <v>45879</v>
          </cell>
          <cell r="Q154">
            <v>45905</v>
          </cell>
          <cell r="R154" t="str">
            <v>PLC-3964</v>
          </cell>
          <cell r="S154" t="str">
            <v>Devon Lee Ellison</v>
          </cell>
          <cell r="T154" t="str">
            <v>Individual</v>
          </cell>
          <cell r="U154">
            <v>1099</v>
          </cell>
          <cell r="V154" t="str">
            <v>Genpact</v>
          </cell>
          <cell r="W154">
            <v>35</v>
          </cell>
          <cell r="X154">
            <v>52.5</v>
          </cell>
          <cell r="Y154" t="str">
            <v>USD</v>
          </cell>
          <cell r="Z154">
            <v>45</v>
          </cell>
          <cell r="AA154">
            <v>67.5</v>
          </cell>
          <cell r="AB154">
            <v>0</v>
          </cell>
          <cell r="AC154">
            <v>0</v>
          </cell>
          <cell r="AD154">
            <v>45703</v>
          </cell>
          <cell r="AE154">
            <v>20</v>
          </cell>
          <cell r="AF154">
            <v>46022</v>
          </cell>
          <cell r="AG154">
            <v>37.450000000000003</v>
          </cell>
          <cell r="AH154">
            <v>56.175000000000004</v>
          </cell>
          <cell r="AI154">
            <v>37.450000000000003</v>
          </cell>
          <cell r="AJ154">
            <v>45</v>
          </cell>
          <cell r="AK154">
            <v>67.5</v>
          </cell>
          <cell r="AL154">
            <v>11.324999999999996</v>
          </cell>
          <cell r="AM154">
            <v>7.5499999999999972</v>
          </cell>
          <cell r="AN154">
            <v>11.324999999999996</v>
          </cell>
          <cell r="AO154">
            <v>7.5499999999999972</v>
          </cell>
          <cell r="AP154">
            <v>11.324999999999996</v>
          </cell>
          <cell r="AQ154">
            <v>7.5499999999999972</v>
          </cell>
          <cell r="AR154" t="str">
            <v>US_24473</v>
          </cell>
          <cell r="AS154">
            <v>0</v>
          </cell>
          <cell r="AT154">
            <v>160</v>
          </cell>
          <cell r="AU154">
            <v>160</v>
          </cell>
          <cell r="AV154">
            <v>0</v>
          </cell>
          <cell r="AW154">
            <v>1207.9999999999995</v>
          </cell>
          <cell r="AX154">
            <v>1195.9199999999996</v>
          </cell>
          <cell r="AY154">
            <v>1207.9999999999995</v>
          </cell>
          <cell r="AZ154">
            <v>0</v>
          </cell>
          <cell r="BA154">
            <v>0</v>
          </cell>
          <cell r="BB154">
            <v>0</v>
          </cell>
          <cell r="BC154">
            <v>63</v>
          </cell>
          <cell r="BD154">
            <v>1207.9999999999995</v>
          </cell>
          <cell r="BE154">
            <v>1449.5999999999995</v>
          </cell>
          <cell r="BF154">
            <v>1195.9199999999996</v>
          </cell>
          <cell r="BG154">
            <v>7200</v>
          </cell>
          <cell r="BH154">
            <v>7200</v>
          </cell>
          <cell r="BI154">
            <v>5600</v>
          </cell>
          <cell r="BJ154">
            <v>2.4500000000000002</v>
          </cell>
          <cell r="BK154">
            <v>0</v>
          </cell>
          <cell r="BL154">
            <v>392</v>
          </cell>
          <cell r="BM154">
            <v>5992</v>
          </cell>
          <cell r="BN154">
            <v>2.4500000000000002</v>
          </cell>
          <cell r="BO154">
            <v>1208</v>
          </cell>
          <cell r="BP154" t="str">
            <v>Y</v>
          </cell>
          <cell r="BQ154">
            <v>1</v>
          </cell>
          <cell r="BR154" t="str">
            <v>N</v>
          </cell>
          <cell r="BS154">
            <v>0</v>
          </cell>
          <cell r="BT154" t="str">
            <v>Done</v>
          </cell>
          <cell r="BU154">
            <v>160</v>
          </cell>
          <cell r="BV154">
            <v>2024</v>
          </cell>
        </row>
        <row r="155">
          <cell r="A155" t="str">
            <v>Lucknow</v>
          </cell>
          <cell r="B155" t="str">
            <v>Titans</v>
          </cell>
          <cell r="C155" t="str">
            <v>Mid Level</v>
          </cell>
          <cell r="D155" t="str">
            <v>Nitin Saxena</v>
          </cell>
          <cell r="E155" t="str">
            <v>Nitin Saxena</v>
          </cell>
          <cell r="F155" t="str">
            <v>-</v>
          </cell>
          <cell r="H155" t="str">
            <v>Tushar Bisht</v>
          </cell>
          <cell r="J155" t="str">
            <v>ACH</v>
          </cell>
          <cell r="K155">
            <v>0</v>
          </cell>
          <cell r="L155" t="str">
            <v>Old</v>
          </cell>
          <cell r="M155">
            <v>45540</v>
          </cell>
          <cell r="N155">
            <v>3</v>
          </cell>
          <cell r="O155">
            <v>506</v>
          </cell>
          <cell r="P155">
            <v>45879</v>
          </cell>
          <cell r="Q155">
            <v>45905</v>
          </cell>
          <cell r="R155" t="str">
            <v>PLC-3964</v>
          </cell>
          <cell r="S155" t="str">
            <v>Devon Lee Ellison</v>
          </cell>
          <cell r="T155" t="str">
            <v>Individual</v>
          </cell>
          <cell r="U155">
            <v>1099</v>
          </cell>
          <cell r="V155" t="str">
            <v>Genpact</v>
          </cell>
          <cell r="W155">
            <v>35</v>
          </cell>
          <cell r="X155">
            <v>52.5</v>
          </cell>
          <cell r="Y155" t="str">
            <v>USD</v>
          </cell>
          <cell r="Z155">
            <v>45</v>
          </cell>
          <cell r="AA155">
            <v>67.5</v>
          </cell>
          <cell r="AB155">
            <v>0</v>
          </cell>
          <cell r="AC155">
            <v>0</v>
          </cell>
          <cell r="AD155">
            <v>45731</v>
          </cell>
          <cell r="AE155">
            <v>21</v>
          </cell>
          <cell r="AF155">
            <v>46022</v>
          </cell>
          <cell r="AG155">
            <v>37.450000000000003</v>
          </cell>
          <cell r="AH155">
            <v>56.175000000000004</v>
          </cell>
          <cell r="AI155">
            <v>37.450000000000003</v>
          </cell>
          <cell r="AJ155">
            <v>45</v>
          </cell>
          <cell r="AK155">
            <v>67.5</v>
          </cell>
          <cell r="AL155">
            <v>11.324999999999996</v>
          </cell>
          <cell r="AM155">
            <v>7.5499999999999972</v>
          </cell>
          <cell r="AN155">
            <v>11.324999999999996</v>
          </cell>
          <cell r="AO155">
            <v>7.5499999999999972</v>
          </cell>
          <cell r="AP155">
            <v>11.324999999999996</v>
          </cell>
          <cell r="AQ155">
            <v>7.5499999999999972</v>
          </cell>
          <cell r="AR155" t="str">
            <v>US_24659</v>
          </cell>
          <cell r="AS155">
            <v>0</v>
          </cell>
          <cell r="AT155">
            <v>168</v>
          </cell>
          <cell r="AU155">
            <v>168</v>
          </cell>
          <cell r="AV155">
            <v>0</v>
          </cell>
          <cell r="AW155">
            <v>1268.3999999999996</v>
          </cell>
          <cell r="AX155">
            <v>1255.7159999999997</v>
          </cell>
          <cell r="AY155">
            <v>1268.3999999999996</v>
          </cell>
          <cell r="AZ155">
            <v>0</v>
          </cell>
          <cell r="BA155">
            <v>0</v>
          </cell>
          <cell r="BB155">
            <v>0</v>
          </cell>
          <cell r="BC155">
            <v>63</v>
          </cell>
          <cell r="BD155">
            <v>1268.3999999999996</v>
          </cell>
          <cell r="BE155">
            <v>1522.0799999999995</v>
          </cell>
          <cell r="BF155">
            <v>1255.7159999999997</v>
          </cell>
          <cell r="BG155">
            <v>7560</v>
          </cell>
          <cell r="BH155">
            <v>7560</v>
          </cell>
          <cell r="BI155">
            <v>5880</v>
          </cell>
          <cell r="BJ155">
            <v>2.4500000000000002</v>
          </cell>
          <cell r="BK155">
            <v>0</v>
          </cell>
          <cell r="BL155">
            <v>411.6</v>
          </cell>
          <cell r="BM155">
            <v>6291.6</v>
          </cell>
          <cell r="BN155">
            <v>2.4500000000000002</v>
          </cell>
          <cell r="BO155">
            <v>1268.4000000000001</v>
          </cell>
          <cell r="BP155" t="str">
            <v>Y</v>
          </cell>
          <cell r="BQ155">
            <v>1</v>
          </cell>
          <cell r="BR155" t="str">
            <v>N</v>
          </cell>
          <cell r="BS155">
            <v>0</v>
          </cell>
          <cell r="BT155" t="str">
            <v>Done</v>
          </cell>
          <cell r="BU155">
            <v>168</v>
          </cell>
          <cell r="BV155">
            <v>2024</v>
          </cell>
        </row>
        <row r="156">
          <cell r="A156" t="str">
            <v>Lucknow</v>
          </cell>
          <cell r="B156" t="str">
            <v>Titans</v>
          </cell>
          <cell r="C156" t="str">
            <v>Mid Level</v>
          </cell>
          <cell r="D156" t="str">
            <v>Nitin Saxena</v>
          </cell>
          <cell r="E156" t="str">
            <v>Nitin Saxena</v>
          </cell>
          <cell r="F156" t="str">
            <v>-</v>
          </cell>
          <cell r="H156" t="str">
            <v>Tushar Bisht</v>
          </cell>
          <cell r="J156" t="str">
            <v>ACH</v>
          </cell>
          <cell r="K156">
            <v>0</v>
          </cell>
          <cell r="L156" t="str">
            <v>Old</v>
          </cell>
          <cell r="M156">
            <v>45540</v>
          </cell>
          <cell r="N156">
            <v>3</v>
          </cell>
          <cell r="O156">
            <v>506</v>
          </cell>
          <cell r="P156">
            <v>45879</v>
          </cell>
          <cell r="Q156">
            <v>45905</v>
          </cell>
          <cell r="R156" t="str">
            <v>PLC-3964</v>
          </cell>
          <cell r="S156" t="str">
            <v>Devon Lee Ellison</v>
          </cell>
          <cell r="T156" t="str">
            <v>Individual</v>
          </cell>
          <cell r="U156">
            <v>1099</v>
          </cell>
          <cell r="V156" t="str">
            <v>Genpact</v>
          </cell>
          <cell r="W156">
            <v>35</v>
          </cell>
          <cell r="X156">
            <v>52.5</v>
          </cell>
          <cell r="Y156" t="str">
            <v>USD</v>
          </cell>
          <cell r="Z156">
            <v>45</v>
          </cell>
          <cell r="AA156">
            <v>67.5</v>
          </cell>
          <cell r="AB156">
            <v>0</v>
          </cell>
          <cell r="AC156">
            <v>0</v>
          </cell>
          <cell r="AD156">
            <v>45762</v>
          </cell>
          <cell r="AE156">
            <v>22</v>
          </cell>
          <cell r="AF156">
            <v>46022</v>
          </cell>
          <cell r="AG156">
            <v>37.450000000000003</v>
          </cell>
          <cell r="AH156">
            <v>56.175000000000004</v>
          </cell>
          <cell r="AI156">
            <v>37.450000000000003</v>
          </cell>
          <cell r="AJ156">
            <v>45</v>
          </cell>
          <cell r="AK156">
            <v>67.5</v>
          </cell>
          <cell r="AL156">
            <v>11.324999999999996</v>
          </cell>
          <cell r="AM156">
            <v>7.5499999999999972</v>
          </cell>
          <cell r="AN156">
            <v>11.324999999999996</v>
          </cell>
          <cell r="AO156">
            <v>7.5499999999999972</v>
          </cell>
          <cell r="AP156">
            <v>11.324999999999996</v>
          </cell>
          <cell r="AQ156">
            <v>7.5499999999999972</v>
          </cell>
          <cell r="AR156" t="str">
            <v>US_24864</v>
          </cell>
          <cell r="AS156">
            <v>0</v>
          </cell>
          <cell r="AT156">
            <v>176</v>
          </cell>
          <cell r="AU156">
            <v>176</v>
          </cell>
          <cell r="AV156">
            <v>0</v>
          </cell>
          <cell r="AW156">
            <v>1328.7999999999995</v>
          </cell>
          <cell r="AX156">
            <v>1315.5119999999995</v>
          </cell>
          <cell r="AY156">
            <v>1328.7999999999995</v>
          </cell>
          <cell r="AZ156">
            <v>0</v>
          </cell>
          <cell r="BA156">
            <v>0</v>
          </cell>
          <cell r="BB156">
            <v>0</v>
          </cell>
          <cell r="BC156">
            <v>63</v>
          </cell>
          <cell r="BD156">
            <v>1328.7999999999995</v>
          </cell>
          <cell r="BE156">
            <v>1594.5599999999995</v>
          </cell>
          <cell r="BF156">
            <v>1315.5119999999995</v>
          </cell>
          <cell r="BG156">
            <v>7920</v>
          </cell>
          <cell r="BH156">
            <v>7920</v>
          </cell>
          <cell r="BI156">
            <v>6160</v>
          </cell>
          <cell r="BJ156">
            <v>2.4500000000000002</v>
          </cell>
          <cell r="BK156">
            <v>0</v>
          </cell>
          <cell r="BL156">
            <v>431.20000000000005</v>
          </cell>
          <cell r="BM156">
            <v>6591.2</v>
          </cell>
          <cell r="BN156">
            <v>2.4500000000000002</v>
          </cell>
          <cell r="BO156">
            <v>1328.8</v>
          </cell>
          <cell r="BP156" t="str">
            <v>Y</v>
          </cell>
          <cell r="BQ156">
            <v>2</v>
          </cell>
          <cell r="BR156" t="str">
            <v>N</v>
          </cell>
          <cell r="BS156">
            <v>0</v>
          </cell>
          <cell r="BT156" t="str">
            <v>Done</v>
          </cell>
          <cell r="BU156">
            <v>176</v>
          </cell>
          <cell r="BV156">
            <v>2024</v>
          </cell>
        </row>
        <row r="157">
          <cell r="A157" t="str">
            <v>Lucknow</v>
          </cell>
          <cell r="B157" t="str">
            <v>Trust</v>
          </cell>
          <cell r="C157" t="str">
            <v>Mid Level</v>
          </cell>
          <cell r="D157" t="str">
            <v>Harsh Agarwal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Sana Zohra</v>
          </cell>
          <cell r="J157" t="str">
            <v>ACH</v>
          </cell>
          <cell r="K157" t="str">
            <v>-</v>
          </cell>
          <cell r="L157" t="str">
            <v>New</v>
          </cell>
          <cell r="M157">
            <v>45762</v>
          </cell>
          <cell r="N157">
            <v>2</v>
          </cell>
          <cell r="O157">
            <v>284</v>
          </cell>
          <cell r="P157">
            <v>45863</v>
          </cell>
          <cell r="Q157">
            <v>46127</v>
          </cell>
          <cell r="R157" t="str">
            <v>PLC-4192</v>
          </cell>
          <cell r="S157" t="str">
            <v>Douglas Campbell</v>
          </cell>
          <cell r="T157" t="str">
            <v>Individual</v>
          </cell>
          <cell r="U157" t="str">
            <v>C2C</v>
          </cell>
          <cell r="V157" t="str">
            <v>Global Logic</v>
          </cell>
          <cell r="W157">
            <v>75</v>
          </cell>
          <cell r="X157">
            <v>0</v>
          </cell>
          <cell r="Y157" t="str">
            <v>USD</v>
          </cell>
          <cell r="Z157">
            <v>85</v>
          </cell>
          <cell r="AA157">
            <v>0</v>
          </cell>
          <cell r="AB157">
            <v>0</v>
          </cell>
          <cell r="AC157">
            <v>0</v>
          </cell>
          <cell r="AD157">
            <v>45762</v>
          </cell>
          <cell r="AE157">
            <v>12</v>
          </cell>
          <cell r="AF157">
            <v>46022</v>
          </cell>
          <cell r="AG157">
            <v>75</v>
          </cell>
          <cell r="AH157">
            <v>0</v>
          </cell>
          <cell r="AI157">
            <v>75</v>
          </cell>
          <cell r="AJ157">
            <v>85</v>
          </cell>
          <cell r="AK157">
            <v>0</v>
          </cell>
          <cell r="AL157">
            <v>0</v>
          </cell>
          <cell r="AM157">
            <v>10</v>
          </cell>
          <cell r="AN157">
            <v>0</v>
          </cell>
          <cell r="AO157">
            <v>10</v>
          </cell>
          <cell r="AP157">
            <v>0</v>
          </cell>
          <cell r="AQ157">
            <v>10</v>
          </cell>
          <cell r="AR157" t="str">
            <v>US_24945</v>
          </cell>
          <cell r="AS157">
            <v>0</v>
          </cell>
          <cell r="AT157">
            <v>88</v>
          </cell>
          <cell r="AU157">
            <v>88</v>
          </cell>
          <cell r="AV157">
            <v>0</v>
          </cell>
          <cell r="AW157">
            <v>880</v>
          </cell>
          <cell r="AX157">
            <v>871.2</v>
          </cell>
          <cell r="AY157">
            <v>880</v>
          </cell>
          <cell r="AZ157">
            <v>58.333333333333336</v>
          </cell>
          <cell r="BA157">
            <v>12</v>
          </cell>
          <cell r="BB157">
            <v>1056</v>
          </cell>
          <cell r="BC157">
            <v>42</v>
          </cell>
          <cell r="BD157">
            <v>880</v>
          </cell>
          <cell r="BE157">
            <v>704</v>
          </cell>
          <cell r="BF157">
            <v>871.2</v>
          </cell>
          <cell r="BG157">
            <v>7480</v>
          </cell>
          <cell r="BH157">
            <v>7480</v>
          </cell>
          <cell r="BI157">
            <v>6600</v>
          </cell>
          <cell r="BJ157">
            <v>0</v>
          </cell>
          <cell r="BK157">
            <v>0</v>
          </cell>
          <cell r="BL157">
            <v>0</v>
          </cell>
          <cell r="BM157">
            <v>6600</v>
          </cell>
          <cell r="BN157">
            <v>0</v>
          </cell>
          <cell r="BO157">
            <v>880</v>
          </cell>
          <cell r="BP157" t="str">
            <v>Y</v>
          </cell>
          <cell r="BQ157">
            <v>2</v>
          </cell>
          <cell r="BR157" t="str">
            <v>Y</v>
          </cell>
          <cell r="BS157">
            <v>1056</v>
          </cell>
          <cell r="BT157" t="str">
            <v>Done</v>
          </cell>
          <cell r="BU157">
            <v>88</v>
          </cell>
          <cell r="BV157">
            <v>2025</v>
          </cell>
        </row>
        <row r="158">
          <cell r="A158" t="str">
            <v>Chennai</v>
          </cell>
          <cell r="B158" t="str">
            <v>Chennai</v>
          </cell>
          <cell r="C158" t="str">
            <v>Mid Level</v>
          </cell>
          <cell r="D158" t="str">
            <v>Akbar Ibrahim</v>
          </cell>
          <cell r="E158" t="str">
            <v>Vinoth L</v>
          </cell>
          <cell r="H158" t="str">
            <v>Priyanga S</v>
          </cell>
          <cell r="K158">
            <v>0</v>
          </cell>
          <cell r="L158" t="str">
            <v>Old</v>
          </cell>
          <cell r="M158">
            <v>45456</v>
          </cell>
          <cell r="N158">
            <v>2</v>
          </cell>
          <cell r="O158">
            <v>590</v>
          </cell>
          <cell r="P158">
            <v>45821</v>
          </cell>
          <cell r="Q158">
            <v>45821</v>
          </cell>
          <cell r="R158" t="str">
            <v>PLC-3780</v>
          </cell>
          <cell r="S158" t="str">
            <v>Edwin Pacheco</v>
          </cell>
          <cell r="T158" t="str">
            <v>Split</v>
          </cell>
          <cell r="U158" t="str">
            <v>W2</v>
          </cell>
          <cell r="V158" t="str">
            <v>LTIMindtree</v>
          </cell>
          <cell r="W158">
            <v>60</v>
          </cell>
          <cell r="X158">
            <v>0</v>
          </cell>
          <cell r="Y158" t="str">
            <v>USD</v>
          </cell>
          <cell r="Z158">
            <v>80</v>
          </cell>
          <cell r="AA158">
            <v>0</v>
          </cell>
          <cell r="AB158">
            <v>0</v>
          </cell>
          <cell r="AC158">
            <v>0</v>
          </cell>
          <cell r="AD158">
            <v>45672</v>
          </cell>
          <cell r="AE158">
            <v>22</v>
          </cell>
          <cell r="AF158">
            <v>46022</v>
          </cell>
          <cell r="AG158">
            <v>69</v>
          </cell>
          <cell r="AH158">
            <v>0</v>
          </cell>
          <cell r="AI158">
            <v>69</v>
          </cell>
          <cell r="AJ158">
            <v>77.599999999999994</v>
          </cell>
          <cell r="AK158">
            <v>0</v>
          </cell>
          <cell r="AL158">
            <v>0</v>
          </cell>
          <cell r="AM158">
            <v>8.5999999999999943</v>
          </cell>
          <cell r="AN158">
            <v>0</v>
          </cell>
          <cell r="AO158">
            <v>4.2999999999999972</v>
          </cell>
          <cell r="AP158">
            <v>0</v>
          </cell>
          <cell r="AQ158">
            <v>4.2999999999999972</v>
          </cell>
          <cell r="AR158" t="str">
            <v>US_24238</v>
          </cell>
          <cell r="AS158">
            <v>0</v>
          </cell>
          <cell r="AT158">
            <v>168</v>
          </cell>
          <cell r="AU158">
            <v>168</v>
          </cell>
          <cell r="AV158">
            <v>0</v>
          </cell>
          <cell r="AW158">
            <v>722.39999999999952</v>
          </cell>
          <cell r="AX158">
            <v>722.39999999999952</v>
          </cell>
          <cell r="AY158">
            <v>722.39999999999952</v>
          </cell>
          <cell r="AZ158">
            <v>33.333333333333329</v>
          </cell>
          <cell r="BA158">
            <v>6.8799999999999955</v>
          </cell>
          <cell r="BB158">
            <v>1155.8399999999992</v>
          </cell>
          <cell r="BD158">
            <v>722.39999999999952</v>
          </cell>
          <cell r="BF158">
            <v>722.39999999999952</v>
          </cell>
          <cell r="BG158">
            <v>6720</v>
          </cell>
          <cell r="BH158">
            <v>6518.4</v>
          </cell>
          <cell r="BI158">
            <v>5040</v>
          </cell>
          <cell r="BJ158">
            <v>9</v>
          </cell>
          <cell r="BK158">
            <v>0</v>
          </cell>
          <cell r="BL158">
            <v>1512</v>
          </cell>
          <cell r="BM158">
            <v>6552</v>
          </cell>
          <cell r="BN158">
            <v>9</v>
          </cell>
          <cell r="BO158">
            <v>-33.600000000000364</v>
          </cell>
          <cell r="BP158" t="str">
            <v>Y</v>
          </cell>
          <cell r="BQ158">
            <v>1</v>
          </cell>
          <cell r="BR158" t="str">
            <v>N</v>
          </cell>
          <cell r="BS158">
            <v>1155.8399999999992</v>
          </cell>
          <cell r="BT158" t="str">
            <v>Done</v>
          </cell>
          <cell r="BU158">
            <v>168</v>
          </cell>
          <cell r="BV158">
            <v>2024</v>
          </cell>
        </row>
        <row r="159">
          <cell r="A159" t="str">
            <v>Chennai</v>
          </cell>
          <cell r="B159" t="str">
            <v>Chennai</v>
          </cell>
          <cell r="C159" t="str">
            <v>Mid Level</v>
          </cell>
          <cell r="D159" t="str">
            <v>Vinoth L</v>
          </cell>
          <cell r="E159" t="str">
            <v>Akbar Ibrahim</v>
          </cell>
          <cell r="H159" t="str">
            <v>Priyanga S</v>
          </cell>
          <cell r="K159">
            <v>0</v>
          </cell>
          <cell r="L159" t="str">
            <v>Old</v>
          </cell>
          <cell r="M159">
            <v>45456</v>
          </cell>
          <cell r="N159">
            <v>2</v>
          </cell>
          <cell r="O159">
            <v>590</v>
          </cell>
          <cell r="P159">
            <v>45821</v>
          </cell>
          <cell r="Q159">
            <v>45821</v>
          </cell>
          <cell r="R159" t="str">
            <v>PLC-3780</v>
          </cell>
          <cell r="S159" t="str">
            <v>Edwin Pacheco</v>
          </cell>
          <cell r="T159" t="str">
            <v>Split</v>
          </cell>
          <cell r="U159" t="str">
            <v>W2</v>
          </cell>
          <cell r="V159" t="str">
            <v>LTIMindtree</v>
          </cell>
          <cell r="W159">
            <v>60</v>
          </cell>
          <cell r="X159">
            <v>0</v>
          </cell>
          <cell r="Y159" t="str">
            <v>USD</v>
          </cell>
          <cell r="Z159">
            <v>80</v>
          </cell>
          <cell r="AA159">
            <v>0</v>
          </cell>
          <cell r="AB159">
            <v>0</v>
          </cell>
          <cell r="AC159">
            <v>0</v>
          </cell>
          <cell r="AD159">
            <v>45672</v>
          </cell>
          <cell r="AE159">
            <v>22</v>
          </cell>
          <cell r="AF159">
            <v>46022</v>
          </cell>
          <cell r="AG159">
            <v>69</v>
          </cell>
          <cell r="AH159">
            <v>0</v>
          </cell>
          <cell r="AI159">
            <v>69</v>
          </cell>
          <cell r="AJ159">
            <v>77.599999999999994</v>
          </cell>
          <cell r="AK159">
            <v>0</v>
          </cell>
          <cell r="AL159">
            <v>0</v>
          </cell>
          <cell r="AM159">
            <v>8.5999999999999943</v>
          </cell>
          <cell r="AN159">
            <v>0</v>
          </cell>
          <cell r="AO159">
            <v>4.2999999999999972</v>
          </cell>
          <cell r="AP159">
            <v>0</v>
          </cell>
          <cell r="AQ159">
            <v>4.2999999999999972</v>
          </cell>
          <cell r="AR159" t="str">
            <v>US_24238</v>
          </cell>
          <cell r="AS159">
            <v>0</v>
          </cell>
          <cell r="AT159">
            <v>168</v>
          </cell>
          <cell r="AU159">
            <v>168</v>
          </cell>
          <cell r="AV159">
            <v>0</v>
          </cell>
          <cell r="AW159">
            <v>722.39999999999952</v>
          </cell>
          <cell r="AX159">
            <v>722.39999999999952</v>
          </cell>
          <cell r="AY159">
            <v>722.39999999999952</v>
          </cell>
          <cell r="AZ159">
            <v>33.333333333333329</v>
          </cell>
          <cell r="BA159">
            <v>6.8799999999999955</v>
          </cell>
          <cell r="BB159">
            <v>1155.8399999999992</v>
          </cell>
          <cell r="BC159">
            <v>53.225806451612897</v>
          </cell>
          <cell r="BD159">
            <v>722.39999999999952</v>
          </cell>
          <cell r="BE159">
            <v>577.91999999999962</v>
          </cell>
          <cell r="BF159">
            <v>722.39999999999952</v>
          </cell>
          <cell r="BG159">
            <v>6720</v>
          </cell>
          <cell r="BH159">
            <v>6518.4</v>
          </cell>
          <cell r="BI159">
            <v>5040</v>
          </cell>
          <cell r="BJ159">
            <v>9</v>
          </cell>
          <cell r="BK159">
            <v>0</v>
          </cell>
          <cell r="BL159">
            <v>1512</v>
          </cell>
          <cell r="BM159">
            <v>6552</v>
          </cell>
          <cell r="BN159">
            <v>9</v>
          </cell>
          <cell r="BO159">
            <v>-33.600000000000364</v>
          </cell>
          <cell r="BP159" t="str">
            <v>Y</v>
          </cell>
          <cell r="BQ159">
            <v>1</v>
          </cell>
          <cell r="BR159" t="str">
            <v>N</v>
          </cell>
          <cell r="BS159">
            <v>1155.8399999999992</v>
          </cell>
          <cell r="BT159" t="str">
            <v>Done</v>
          </cell>
          <cell r="BU159">
            <v>168</v>
          </cell>
          <cell r="BV159">
            <v>2024</v>
          </cell>
        </row>
        <row r="160">
          <cell r="A160" t="str">
            <v>Chennai</v>
          </cell>
          <cell r="B160" t="str">
            <v>Chennai</v>
          </cell>
          <cell r="C160" t="str">
            <v>Mid Level</v>
          </cell>
          <cell r="D160" t="str">
            <v>Akbar Ibrahim</v>
          </cell>
          <cell r="E160" t="str">
            <v>Vinoth L</v>
          </cell>
          <cell r="H160" t="str">
            <v>Priyanga S</v>
          </cell>
          <cell r="K160">
            <v>0</v>
          </cell>
          <cell r="L160" t="str">
            <v>Old</v>
          </cell>
          <cell r="M160">
            <v>45456</v>
          </cell>
          <cell r="N160">
            <v>2</v>
          </cell>
          <cell r="O160">
            <v>590</v>
          </cell>
          <cell r="P160">
            <v>45821</v>
          </cell>
          <cell r="Q160">
            <v>45821</v>
          </cell>
          <cell r="R160" t="str">
            <v>PLC-3780</v>
          </cell>
          <cell r="S160" t="str">
            <v>Edwin Pacheco</v>
          </cell>
          <cell r="T160" t="str">
            <v>Split</v>
          </cell>
          <cell r="U160" t="str">
            <v>W2</v>
          </cell>
          <cell r="V160" t="str">
            <v>LTIMindtree</v>
          </cell>
          <cell r="W160">
            <v>60</v>
          </cell>
          <cell r="X160">
            <v>0</v>
          </cell>
          <cell r="Y160" t="str">
            <v>USD</v>
          </cell>
          <cell r="Z160">
            <v>80</v>
          </cell>
          <cell r="AA160">
            <v>0</v>
          </cell>
          <cell r="AB160">
            <v>0</v>
          </cell>
          <cell r="AC160">
            <v>0</v>
          </cell>
          <cell r="AD160">
            <v>45703</v>
          </cell>
          <cell r="AE160">
            <v>20</v>
          </cell>
          <cell r="AF160">
            <v>46022</v>
          </cell>
          <cell r="AG160">
            <v>69</v>
          </cell>
          <cell r="AH160">
            <v>0</v>
          </cell>
          <cell r="AI160">
            <v>69</v>
          </cell>
          <cell r="AJ160">
            <v>77.599999999999994</v>
          </cell>
          <cell r="AK160">
            <v>0</v>
          </cell>
          <cell r="AL160">
            <v>0</v>
          </cell>
          <cell r="AM160">
            <v>8.5999999999999943</v>
          </cell>
          <cell r="AN160">
            <v>0</v>
          </cell>
          <cell r="AO160">
            <v>4.2999999999999972</v>
          </cell>
          <cell r="AP160">
            <v>0</v>
          </cell>
          <cell r="AQ160">
            <v>4.2999999999999972</v>
          </cell>
          <cell r="AR160" t="str">
            <v>US_24444</v>
          </cell>
          <cell r="AS160">
            <v>0</v>
          </cell>
          <cell r="AT160">
            <v>152</v>
          </cell>
          <cell r="AU160">
            <v>152</v>
          </cell>
          <cell r="AV160">
            <v>0</v>
          </cell>
          <cell r="AW160">
            <v>653.59999999999957</v>
          </cell>
          <cell r="AX160">
            <v>653.59999999999957</v>
          </cell>
          <cell r="AY160">
            <v>653.59999999999957</v>
          </cell>
          <cell r="AZ160">
            <v>33.333333333333329</v>
          </cell>
          <cell r="BA160">
            <v>6.8799999999999955</v>
          </cell>
          <cell r="BB160">
            <v>1045.7599999999993</v>
          </cell>
          <cell r="BD160">
            <v>653.59999999999957</v>
          </cell>
          <cell r="BF160">
            <v>653.59999999999957</v>
          </cell>
          <cell r="BG160">
            <v>6080</v>
          </cell>
          <cell r="BH160">
            <v>5897.5999999999995</v>
          </cell>
          <cell r="BI160">
            <v>4560</v>
          </cell>
          <cell r="BJ160">
            <v>9</v>
          </cell>
          <cell r="BK160">
            <v>0</v>
          </cell>
          <cell r="BL160">
            <v>1368</v>
          </cell>
          <cell r="BM160">
            <v>5928</v>
          </cell>
          <cell r="BN160">
            <v>9</v>
          </cell>
          <cell r="BO160">
            <v>-30.400000000000546</v>
          </cell>
          <cell r="BP160" t="str">
            <v>Y</v>
          </cell>
          <cell r="BQ160">
            <v>1</v>
          </cell>
          <cell r="BR160" t="str">
            <v>N</v>
          </cell>
          <cell r="BS160">
            <v>1045.7599999999993</v>
          </cell>
          <cell r="BT160" t="str">
            <v>Done</v>
          </cell>
          <cell r="BU160">
            <v>152</v>
          </cell>
          <cell r="BV160">
            <v>2024</v>
          </cell>
        </row>
        <row r="161">
          <cell r="A161" t="str">
            <v>Chennai</v>
          </cell>
          <cell r="B161" t="str">
            <v>Chennai</v>
          </cell>
          <cell r="C161" t="str">
            <v>Mid Level</v>
          </cell>
          <cell r="D161" t="str">
            <v>Vinoth L</v>
          </cell>
          <cell r="E161" t="str">
            <v>Akbar Ibrahim</v>
          </cell>
          <cell r="H161" t="str">
            <v>Priyanga S</v>
          </cell>
          <cell r="K161">
            <v>0</v>
          </cell>
          <cell r="L161" t="str">
            <v>Old</v>
          </cell>
          <cell r="M161">
            <v>45456</v>
          </cell>
          <cell r="N161">
            <v>2</v>
          </cell>
          <cell r="O161">
            <v>590</v>
          </cell>
          <cell r="P161">
            <v>45821</v>
          </cell>
          <cell r="Q161">
            <v>45821</v>
          </cell>
          <cell r="R161" t="str">
            <v>PLC-3780</v>
          </cell>
          <cell r="S161" t="str">
            <v>Edwin Pacheco</v>
          </cell>
          <cell r="T161" t="str">
            <v>Split</v>
          </cell>
          <cell r="U161" t="str">
            <v>W2</v>
          </cell>
          <cell r="V161" t="str">
            <v>LTIMindtree</v>
          </cell>
          <cell r="W161">
            <v>60</v>
          </cell>
          <cell r="X161">
            <v>0</v>
          </cell>
          <cell r="Y161" t="str">
            <v>USD</v>
          </cell>
          <cell r="Z161">
            <v>80</v>
          </cell>
          <cell r="AA161">
            <v>0</v>
          </cell>
          <cell r="AB161">
            <v>0</v>
          </cell>
          <cell r="AC161">
            <v>0</v>
          </cell>
          <cell r="AD161">
            <v>45703</v>
          </cell>
          <cell r="AE161">
            <v>20</v>
          </cell>
          <cell r="AF161">
            <v>46022</v>
          </cell>
          <cell r="AG161">
            <v>69</v>
          </cell>
          <cell r="AH161">
            <v>0</v>
          </cell>
          <cell r="AI161">
            <v>69</v>
          </cell>
          <cell r="AJ161">
            <v>77.599999999999994</v>
          </cell>
          <cell r="AK161">
            <v>0</v>
          </cell>
          <cell r="AL161">
            <v>0</v>
          </cell>
          <cell r="AM161">
            <v>8.5999999999999943</v>
          </cell>
          <cell r="AN161">
            <v>0</v>
          </cell>
          <cell r="AO161">
            <v>4.2999999999999972</v>
          </cell>
          <cell r="AP161">
            <v>0</v>
          </cell>
          <cell r="AQ161">
            <v>4.2999999999999972</v>
          </cell>
          <cell r="AR161" t="str">
            <v>US_24444</v>
          </cell>
          <cell r="AS161">
            <v>0</v>
          </cell>
          <cell r="AT161">
            <v>152</v>
          </cell>
          <cell r="AU161">
            <v>152</v>
          </cell>
          <cell r="AV161">
            <v>0</v>
          </cell>
          <cell r="AW161">
            <v>653.59999999999957</v>
          </cell>
          <cell r="AX161">
            <v>653.59999999999957</v>
          </cell>
          <cell r="AY161">
            <v>653.59999999999957</v>
          </cell>
          <cell r="AZ161">
            <v>33.333333333333329</v>
          </cell>
          <cell r="BA161">
            <v>6.8799999999999955</v>
          </cell>
          <cell r="BB161">
            <v>1045.7599999999993</v>
          </cell>
          <cell r="BC161">
            <v>53.225806451612897</v>
          </cell>
          <cell r="BD161">
            <v>653.59999999999957</v>
          </cell>
          <cell r="BE161">
            <v>522.87999999999965</v>
          </cell>
          <cell r="BF161">
            <v>653.59999999999957</v>
          </cell>
          <cell r="BG161">
            <v>6080</v>
          </cell>
          <cell r="BH161">
            <v>5897.5999999999995</v>
          </cell>
          <cell r="BI161">
            <v>4560</v>
          </cell>
          <cell r="BJ161">
            <v>9</v>
          </cell>
          <cell r="BK161">
            <v>0</v>
          </cell>
          <cell r="BL161">
            <v>1368</v>
          </cell>
          <cell r="BM161">
            <v>5928</v>
          </cell>
          <cell r="BN161">
            <v>9</v>
          </cell>
          <cell r="BO161">
            <v>-30.400000000000546</v>
          </cell>
          <cell r="BP161" t="str">
            <v>Y</v>
          </cell>
          <cell r="BQ161">
            <v>1</v>
          </cell>
          <cell r="BR161" t="str">
            <v>N</v>
          </cell>
          <cell r="BS161">
            <v>1045.7599999999993</v>
          </cell>
          <cell r="BT161" t="str">
            <v>Done</v>
          </cell>
          <cell r="BU161">
            <v>152</v>
          </cell>
          <cell r="BV161">
            <v>2024</v>
          </cell>
        </row>
        <row r="162">
          <cell r="A162" t="str">
            <v>Chennai</v>
          </cell>
          <cell r="B162" t="str">
            <v>Chennai</v>
          </cell>
          <cell r="C162" t="str">
            <v>Mid Level</v>
          </cell>
          <cell r="D162" t="str">
            <v>Akbar Ibrahim</v>
          </cell>
          <cell r="E162" t="str">
            <v>Vinoth L</v>
          </cell>
          <cell r="H162" t="str">
            <v>Priyanga S</v>
          </cell>
          <cell r="K162">
            <v>0</v>
          </cell>
          <cell r="L162" t="str">
            <v>Old</v>
          </cell>
          <cell r="M162">
            <v>45456</v>
          </cell>
          <cell r="N162">
            <v>2</v>
          </cell>
          <cell r="O162">
            <v>590</v>
          </cell>
          <cell r="P162">
            <v>45821</v>
          </cell>
          <cell r="Q162">
            <v>45821</v>
          </cell>
          <cell r="R162" t="str">
            <v>PLC-3780</v>
          </cell>
          <cell r="S162" t="str">
            <v>Edwin Pacheco</v>
          </cell>
          <cell r="T162" t="str">
            <v>Split</v>
          </cell>
          <cell r="U162" t="str">
            <v>W2</v>
          </cell>
          <cell r="V162" t="str">
            <v>LTIMindtree</v>
          </cell>
          <cell r="W162">
            <v>60</v>
          </cell>
          <cell r="X162">
            <v>0</v>
          </cell>
          <cell r="Y162" t="str">
            <v>USD</v>
          </cell>
          <cell r="Z162">
            <v>80</v>
          </cell>
          <cell r="AA162">
            <v>0</v>
          </cell>
          <cell r="AB162">
            <v>0</v>
          </cell>
          <cell r="AC162">
            <v>0</v>
          </cell>
          <cell r="AD162">
            <v>45731</v>
          </cell>
          <cell r="AE162">
            <v>21</v>
          </cell>
          <cell r="AF162">
            <v>46022</v>
          </cell>
          <cell r="AG162">
            <v>69</v>
          </cell>
          <cell r="AH162">
            <v>0</v>
          </cell>
          <cell r="AI162">
            <v>69</v>
          </cell>
          <cell r="AJ162">
            <v>77.599999999999994</v>
          </cell>
          <cell r="AK162">
            <v>0</v>
          </cell>
          <cell r="AL162">
            <v>0</v>
          </cell>
          <cell r="AM162">
            <v>8.5999999999999943</v>
          </cell>
          <cell r="AN162">
            <v>0</v>
          </cell>
          <cell r="AO162">
            <v>4.2999999999999972</v>
          </cell>
          <cell r="AP162">
            <v>0</v>
          </cell>
          <cell r="AQ162">
            <v>4.2999999999999972</v>
          </cell>
          <cell r="AR162" t="str">
            <v>US_24633</v>
          </cell>
          <cell r="AS162">
            <v>0</v>
          </cell>
          <cell r="AT162">
            <v>168</v>
          </cell>
          <cell r="AU162">
            <v>168</v>
          </cell>
          <cell r="AV162">
            <v>0</v>
          </cell>
          <cell r="AW162">
            <v>722.39999999999952</v>
          </cell>
          <cell r="AX162">
            <v>722.39999999999952</v>
          </cell>
          <cell r="AY162">
            <v>722.39999999999952</v>
          </cell>
          <cell r="AZ162">
            <v>33.333333333333329</v>
          </cell>
          <cell r="BA162">
            <v>6.8799999999999955</v>
          </cell>
          <cell r="BB162">
            <v>1155.8399999999992</v>
          </cell>
          <cell r="BD162">
            <v>722.39999999999952</v>
          </cell>
          <cell r="BF162">
            <v>722.39999999999952</v>
          </cell>
          <cell r="BG162">
            <v>6720</v>
          </cell>
          <cell r="BH162">
            <v>6518.4</v>
          </cell>
          <cell r="BI162">
            <v>5040</v>
          </cell>
          <cell r="BJ162">
            <v>9</v>
          </cell>
          <cell r="BK162">
            <v>0</v>
          </cell>
          <cell r="BL162">
            <v>1512</v>
          </cell>
          <cell r="BM162">
            <v>6552</v>
          </cell>
          <cell r="BN162">
            <v>9</v>
          </cell>
          <cell r="BO162">
            <v>-33.600000000000364</v>
          </cell>
          <cell r="BP162" t="str">
            <v>Y</v>
          </cell>
          <cell r="BQ162">
            <v>1</v>
          </cell>
          <cell r="BR162" t="str">
            <v>N</v>
          </cell>
          <cell r="BS162">
            <v>1155.8399999999992</v>
          </cell>
          <cell r="BT162" t="str">
            <v>Done</v>
          </cell>
          <cell r="BU162">
            <v>168</v>
          </cell>
          <cell r="BV162">
            <v>2024</v>
          </cell>
        </row>
        <row r="163">
          <cell r="A163" t="str">
            <v>Chennai</v>
          </cell>
          <cell r="B163" t="str">
            <v>Chennai</v>
          </cell>
          <cell r="C163" t="str">
            <v>Mid Level</v>
          </cell>
          <cell r="D163" t="str">
            <v>Vinoth L</v>
          </cell>
          <cell r="E163" t="str">
            <v>Akbar Ibrahim</v>
          </cell>
          <cell r="H163" t="str">
            <v>Priyanga S</v>
          </cell>
          <cell r="K163">
            <v>0</v>
          </cell>
          <cell r="L163" t="str">
            <v>Old</v>
          </cell>
          <cell r="M163">
            <v>45456</v>
          </cell>
          <cell r="N163">
            <v>2</v>
          </cell>
          <cell r="O163">
            <v>590</v>
          </cell>
          <cell r="P163">
            <v>45821</v>
          </cell>
          <cell r="Q163">
            <v>45821</v>
          </cell>
          <cell r="R163" t="str">
            <v>PLC-3780</v>
          </cell>
          <cell r="S163" t="str">
            <v>Edwin Pacheco</v>
          </cell>
          <cell r="T163" t="str">
            <v>Split</v>
          </cell>
          <cell r="U163" t="str">
            <v>W2</v>
          </cell>
          <cell r="V163" t="str">
            <v>LTIMindtree</v>
          </cell>
          <cell r="W163">
            <v>60</v>
          </cell>
          <cell r="X163">
            <v>0</v>
          </cell>
          <cell r="Y163" t="str">
            <v>USD</v>
          </cell>
          <cell r="Z163">
            <v>80</v>
          </cell>
          <cell r="AA163">
            <v>0</v>
          </cell>
          <cell r="AB163">
            <v>0</v>
          </cell>
          <cell r="AC163">
            <v>0</v>
          </cell>
          <cell r="AD163">
            <v>45731</v>
          </cell>
          <cell r="AE163">
            <v>21</v>
          </cell>
          <cell r="AF163">
            <v>46022</v>
          </cell>
          <cell r="AG163">
            <v>69</v>
          </cell>
          <cell r="AH163">
            <v>0</v>
          </cell>
          <cell r="AI163">
            <v>69</v>
          </cell>
          <cell r="AJ163">
            <v>77.599999999999994</v>
          </cell>
          <cell r="AK163">
            <v>0</v>
          </cell>
          <cell r="AL163">
            <v>0</v>
          </cell>
          <cell r="AM163">
            <v>8.5999999999999943</v>
          </cell>
          <cell r="AN163">
            <v>0</v>
          </cell>
          <cell r="AO163">
            <v>4.2999999999999972</v>
          </cell>
          <cell r="AP163">
            <v>0</v>
          </cell>
          <cell r="AQ163">
            <v>4.2999999999999972</v>
          </cell>
          <cell r="AR163" t="str">
            <v>US_24633</v>
          </cell>
          <cell r="AS163">
            <v>0</v>
          </cell>
          <cell r="AT163">
            <v>168</v>
          </cell>
          <cell r="AU163">
            <v>168</v>
          </cell>
          <cell r="AV163">
            <v>0</v>
          </cell>
          <cell r="AW163">
            <v>722.39999999999952</v>
          </cell>
          <cell r="AX163">
            <v>722.39999999999952</v>
          </cell>
          <cell r="AY163">
            <v>722.39999999999952</v>
          </cell>
          <cell r="AZ163">
            <v>33.333333333333329</v>
          </cell>
          <cell r="BA163">
            <v>6.8799999999999955</v>
          </cell>
          <cell r="BB163">
            <v>1155.8399999999992</v>
          </cell>
          <cell r="BC163">
            <v>53.225806451612897</v>
          </cell>
          <cell r="BD163">
            <v>722.39999999999952</v>
          </cell>
          <cell r="BE163">
            <v>577.91999999999962</v>
          </cell>
          <cell r="BF163">
            <v>722.39999999999952</v>
          </cell>
          <cell r="BG163">
            <v>6720</v>
          </cell>
          <cell r="BH163">
            <v>6518.4</v>
          </cell>
          <cell r="BI163">
            <v>5040</v>
          </cell>
          <cell r="BJ163">
            <v>9</v>
          </cell>
          <cell r="BK163">
            <v>0</v>
          </cell>
          <cell r="BL163">
            <v>1512</v>
          </cell>
          <cell r="BM163">
            <v>6552</v>
          </cell>
          <cell r="BN163">
            <v>9</v>
          </cell>
          <cell r="BO163">
            <v>-33.600000000000364</v>
          </cell>
          <cell r="BP163" t="str">
            <v>Y</v>
          </cell>
          <cell r="BQ163">
            <v>1</v>
          </cell>
          <cell r="BR163" t="str">
            <v>N</v>
          </cell>
          <cell r="BS163">
            <v>1155.8399999999992</v>
          </cell>
          <cell r="BT163" t="str">
            <v>Done</v>
          </cell>
          <cell r="BU163">
            <v>168</v>
          </cell>
          <cell r="BV163">
            <v>2024</v>
          </cell>
        </row>
        <row r="164">
          <cell r="A164" t="str">
            <v>Chennai</v>
          </cell>
          <cell r="B164" t="str">
            <v>Chennai</v>
          </cell>
          <cell r="C164" t="str">
            <v>Mid Level</v>
          </cell>
          <cell r="D164" t="str">
            <v>Akbar Ibrahim</v>
          </cell>
          <cell r="E164" t="str">
            <v>Vinoth L</v>
          </cell>
          <cell r="H164" t="str">
            <v>Priyanga S</v>
          </cell>
          <cell r="K164">
            <v>0</v>
          </cell>
          <cell r="L164" t="str">
            <v>Old</v>
          </cell>
          <cell r="M164">
            <v>45456</v>
          </cell>
          <cell r="N164">
            <v>2</v>
          </cell>
          <cell r="O164">
            <v>590</v>
          </cell>
          <cell r="P164">
            <v>45821</v>
          </cell>
          <cell r="Q164">
            <v>45821</v>
          </cell>
          <cell r="R164" t="str">
            <v>PLC-3780</v>
          </cell>
          <cell r="S164" t="str">
            <v>Edwin Pacheco</v>
          </cell>
          <cell r="T164" t="str">
            <v>Split</v>
          </cell>
          <cell r="U164" t="str">
            <v>W2</v>
          </cell>
          <cell r="V164" t="str">
            <v>LTIMindtree</v>
          </cell>
          <cell r="W164">
            <v>60</v>
          </cell>
          <cell r="X164">
            <v>0</v>
          </cell>
          <cell r="Y164" t="str">
            <v>USD</v>
          </cell>
          <cell r="Z164">
            <v>80</v>
          </cell>
          <cell r="AA164">
            <v>0</v>
          </cell>
          <cell r="AB164">
            <v>0</v>
          </cell>
          <cell r="AC164">
            <v>0</v>
          </cell>
          <cell r="AD164">
            <v>45762</v>
          </cell>
          <cell r="AE164">
            <v>22</v>
          </cell>
          <cell r="AF164">
            <v>46022</v>
          </cell>
          <cell r="AG164">
            <v>69</v>
          </cell>
          <cell r="AH164">
            <v>0</v>
          </cell>
          <cell r="AI164">
            <v>69</v>
          </cell>
          <cell r="AJ164">
            <v>77.599999999999994</v>
          </cell>
          <cell r="AK164">
            <v>0</v>
          </cell>
          <cell r="AL164">
            <v>0</v>
          </cell>
          <cell r="AM164">
            <v>8.5999999999999943</v>
          </cell>
          <cell r="AN164">
            <v>0</v>
          </cell>
          <cell r="AO164">
            <v>4.2999999999999972</v>
          </cell>
          <cell r="AP164">
            <v>0</v>
          </cell>
          <cell r="AQ164">
            <v>4.2999999999999972</v>
          </cell>
          <cell r="AR164" t="str">
            <v>US_24841</v>
          </cell>
          <cell r="AS164">
            <v>0</v>
          </cell>
          <cell r="AT164">
            <v>176</v>
          </cell>
          <cell r="AU164">
            <v>176</v>
          </cell>
          <cell r="AV164">
            <v>0</v>
          </cell>
          <cell r="AW164">
            <v>756.7999999999995</v>
          </cell>
          <cell r="AX164">
            <v>756.7999999999995</v>
          </cell>
          <cell r="AY164">
            <v>756.7999999999995</v>
          </cell>
          <cell r="AZ164">
            <v>33.333333333333329</v>
          </cell>
          <cell r="BA164">
            <v>6.8799999999999955</v>
          </cell>
          <cell r="BB164">
            <v>1210.8799999999992</v>
          </cell>
          <cell r="BD164">
            <v>756.7999999999995</v>
          </cell>
          <cell r="BF164">
            <v>756.7999999999995</v>
          </cell>
          <cell r="BG164">
            <v>7040</v>
          </cell>
          <cell r="BH164">
            <v>6828.7999999999993</v>
          </cell>
          <cell r="BI164">
            <v>5280</v>
          </cell>
          <cell r="BJ164">
            <v>9</v>
          </cell>
          <cell r="BK164">
            <v>0</v>
          </cell>
          <cell r="BL164">
            <v>1584</v>
          </cell>
          <cell r="BM164">
            <v>6864</v>
          </cell>
          <cell r="BN164">
            <v>9</v>
          </cell>
          <cell r="BO164">
            <v>-35.200000000000728</v>
          </cell>
          <cell r="BP164" t="str">
            <v>Y</v>
          </cell>
          <cell r="BQ164">
            <v>2</v>
          </cell>
          <cell r="BR164" t="str">
            <v>N</v>
          </cell>
          <cell r="BS164">
            <v>1210.8799999999992</v>
          </cell>
          <cell r="BT164" t="str">
            <v>Done</v>
          </cell>
          <cell r="BU164">
            <v>176</v>
          </cell>
          <cell r="BV164">
            <v>2024</v>
          </cell>
        </row>
        <row r="165">
          <cell r="A165" t="str">
            <v>Chennai</v>
          </cell>
          <cell r="B165" t="str">
            <v>Chennai</v>
          </cell>
          <cell r="C165" t="str">
            <v>Mid Level</v>
          </cell>
          <cell r="D165" t="str">
            <v>Vinoth L</v>
          </cell>
          <cell r="E165" t="str">
            <v>Akbar Ibrahim</v>
          </cell>
          <cell r="H165" t="str">
            <v>Priyanga S</v>
          </cell>
          <cell r="K165">
            <v>0</v>
          </cell>
          <cell r="L165" t="str">
            <v>Old</v>
          </cell>
          <cell r="M165">
            <v>45456</v>
          </cell>
          <cell r="N165">
            <v>2</v>
          </cell>
          <cell r="O165">
            <v>590</v>
          </cell>
          <cell r="P165">
            <v>45821</v>
          </cell>
          <cell r="Q165">
            <v>45821</v>
          </cell>
          <cell r="R165" t="str">
            <v>PLC-3780</v>
          </cell>
          <cell r="S165" t="str">
            <v>Edwin Pacheco</v>
          </cell>
          <cell r="T165" t="str">
            <v>Split</v>
          </cell>
          <cell r="U165" t="str">
            <v>W2</v>
          </cell>
          <cell r="V165" t="str">
            <v>LTIMindtree</v>
          </cell>
          <cell r="W165">
            <v>60</v>
          </cell>
          <cell r="X165">
            <v>0</v>
          </cell>
          <cell r="Y165" t="str">
            <v>USD</v>
          </cell>
          <cell r="Z165">
            <v>80</v>
          </cell>
          <cell r="AA165">
            <v>0</v>
          </cell>
          <cell r="AB165">
            <v>0</v>
          </cell>
          <cell r="AC165">
            <v>0</v>
          </cell>
          <cell r="AD165">
            <v>45762</v>
          </cell>
          <cell r="AE165">
            <v>22</v>
          </cell>
          <cell r="AF165">
            <v>46022</v>
          </cell>
          <cell r="AG165">
            <v>69</v>
          </cell>
          <cell r="AH165">
            <v>0</v>
          </cell>
          <cell r="AI165">
            <v>69</v>
          </cell>
          <cell r="AJ165">
            <v>77.599999999999994</v>
          </cell>
          <cell r="AK165">
            <v>0</v>
          </cell>
          <cell r="AL165">
            <v>0</v>
          </cell>
          <cell r="AM165">
            <v>8.5999999999999943</v>
          </cell>
          <cell r="AN165">
            <v>0</v>
          </cell>
          <cell r="AO165">
            <v>4.2999999999999972</v>
          </cell>
          <cell r="AP165">
            <v>0</v>
          </cell>
          <cell r="AQ165">
            <v>4.2999999999999972</v>
          </cell>
          <cell r="AR165" t="str">
            <v>US_24841</v>
          </cell>
          <cell r="AS165">
            <v>0</v>
          </cell>
          <cell r="AT165">
            <v>176</v>
          </cell>
          <cell r="AU165">
            <v>176</v>
          </cell>
          <cell r="AV165">
            <v>0</v>
          </cell>
          <cell r="AW165">
            <v>756.7999999999995</v>
          </cell>
          <cell r="AX165">
            <v>756.7999999999995</v>
          </cell>
          <cell r="AY165">
            <v>756.7999999999995</v>
          </cell>
          <cell r="AZ165">
            <v>33.333333333333329</v>
          </cell>
          <cell r="BA165">
            <v>6.8799999999999955</v>
          </cell>
          <cell r="BB165">
            <v>1210.8799999999992</v>
          </cell>
          <cell r="BC165">
            <v>53.225806451612897</v>
          </cell>
          <cell r="BD165">
            <v>756.7999999999995</v>
          </cell>
          <cell r="BE165">
            <v>605.4399999999996</v>
          </cell>
          <cell r="BF165">
            <v>756.7999999999995</v>
          </cell>
          <cell r="BG165">
            <v>7040</v>
          </cell>
          <cell r="BH165">
            <v>6828.7999999999993</v>
          </cell>
          <cell r="BI165">
            <v>5280</v>
          </cell>
          <cell r="BJ165">
            <v>9</v>
          </cell>
          <cell r="BK165">
            <v>0</v>
          </cell>
          <cell r="BL165">
            <v>1584</v>
          </cell>
          <cell r="BM165">
            <v>6864</v>
          </cell>
          <cell r="BN165">
            <v>9</v>
          </cell>
          <cell r="BO165">
            <v>-35.200000000000728</v>
          </cell>
          <cell r="BP165" t="str">
            <v>Y</v>
          </cell>
          <cell r="BQ165">
            <v>2</v>
          </cell>
          <cell r="BR165" t="str">
            <v>N</v>
          </cell>
          <cell r="BS165">
            <v>1210.8799999999992</v>
          </cell>
          <cell r="BT165" t="str">
            <v>Done</v>
          </cell>
          <cell r="BU165">
            <v>176</v>
          </cell>
          <cell r="BV165">
            <v>2024</v>
          </cell>
        </row>
        <row r="166">
          <cell r="A166" t="str">
            <v>Lucknow</v>
          </cell>
          <cell r="B166" t="str">
            <v>Healthcare</v>
          </cell>
          <cell r="C166" t="str">
            <v>Mid Level</v>
          </cell>
          <cell r="D166" t="str">
            <v>Ranveer Kumar</v>
          </cell>
          <cell r="E166" t="str">
            <v>-</v>
          </cell>
          <cell r="H166" t="str">
            <v>Anurag Tripathi</v>
          </cell>
          <cell r="J166" t="str">
            <v>ACH</v>
          </cell>
          <cell r="K166">
            <v>0</v>
          </cell>
          <cell r="L166" t="str">
            <v>Old</v>
          </cell>
          <cell r="M166">
            <v>45607</v>
          </cell>
          <cell r="N166">
            <v>4</v>
          </cell>
          <cell r="O166">
            <v>439</v>
          </cell>
          <cell r="P166">
            <v>45696</v>
          </cell>
          <cell r="Q166">
            <v>45972</v>
          </cell>
          <cell r="S166" t="str">
            <v>Elizabeth Baez</v>
          </cell>
          <cell r="T166" t="str">
            <v>Individual</v>
          </cell>
          <cell r="U166" t="str">
            <v>W2</v>
          </cell>
          <cell r="V166" t="str">
            <v>Hallmark</v>
          </cell>
          <cell r="W166">
            <v>64</v>
          </cell>
          <cell r="X166">
            <v>25.17</v>
          </cell>
          <cell r="Y166" t="str">
            <v>USD</v>
          </cell>
          <cell r="Z166">
            <v>85</v>
          </cell>
          <cell r="AA166">
            <v>127.5</v>
          </cell>
          <cell r="AB166">
            <v>0</v>
          </cell>
          <cell r="AC166">
            <v>0</v>
          </cell>
          <cell r="AD166">
            <v>45672</v>
          </cell>
          <cell r="AE166">
            <v>22</v>
          </cell>
          <cell r="AF166">
            <v>46022</v>
          </cell>
          <cell r="AG166">
            <v>73.599999999999994</v>
          </cell>
          <cell r="AH166">
            <v>28.945499999999999</v>
          </cell>
          <cell r="AI166">
            <v>73.599999999999994</v>
          </cell>
          <cell r="AJ166">
            <v>85</v>
          </cell>
          <cell r="AK166">
            <v>127.5</v>
          </cell>
          <cell r="AL166">
            <v>98.554500000000004</v>
          </cell>
          <cell r="AM166">
            <v>11.400000000000006</v>
          </cell>
          <cell r="AN166">
            <v>98.554500000000004</v>
          </cell>
          <cell r="AO166">
            <v>11.400000000000006</v>
          </cell>
          <cell r="AP166">
            <v>20</v>
          </cell>
          <cell r="AQ166">
            <v>11.400000000000006</v>
          </cell>
          <cell r="AU166">
            <v>176</v>
          </cell>
          <cell r="AY166">
            <v>2006.400000000001</v>
          </cell>
          <cell r="AZ166">
            <v>0</v>
          </cell>
          <cell r="BA166">
            <v>0</v>
          </cell>
          <cell r="BH166">
            <v>14960</v>
          </cell>
          <cell r="BI166">
            <v>11264</v>
          </cell>
          <cell r="BJ166">
            <v>9.6</v>
          </cell>
          <cell r="BK166">
            <v>0</v>
          </cell>
          <cell r="BL166">
            <v>1689.6</v>
          </cell>
          <cell r="BM166">
            <v>12953.6</v>
          </cell>
          <cell r="BN166">
            <v>9.6</v>
          </cell>
          <cell r="BO166">
            <v>2006.4</v>
          </cell>
          <cell r="BQ166">
            <v>1</v>
          </cell>
          <cell r="BR166" t="str">
            <v>N</v>
          </cell>
          <cell r="BS166">
            <v>0</v>
          </cell>
          <cell r="BT166" t="str">
            <v>Pending</v>
          </cell>
          <cell r="BU166">
            <v>0</v>
          </cell>
          <cell r="BV166">
            <v>2024</v>
          </cell>
        </row>
        <row r="167">
          <cell r="A167" t="str">
            <v>Lucknow</v>
          </cell>
          <cell r="B167" t="str">
            <v>Healthcare</v>
          </cell>
          <cell r="C167" t="str">
            <v>Mid Level</v>
          </cell>
          <cell r="D167" t="str">
            <v>Ranveer Kumar</v>
          </cell>
          <cell r="E167" t="str">
            <v>-</v>
          </cell>
          <cell r="H167" t="str">
            <v>Uttam Chandra</v>
          </cell>
          <cell r="L167" t="str">
            <v>New</v>
          </cell>
          <cell r="M167">
            <v>45704</v>
          </cell>
          <cell r="N167">
            <v>1</v>
          </cell>
          <cell r="O167">
            <v>342</v>
          </cell>
          <cell r="P167">
            <v>45780</v>
          </cell>
          <cell r="Q167">
            <v>46069</v>
          </cell>
          <cell r="S167" t="str">
            <v>Elizabeth Baez-2</v>
          </cell>
          <cell r="T167" t="str">
            <v>Individual</v>
          </cell>
          <cell r="U167" t="str">
            <v>W2</v>
          </cell>
          <cell r="V167" t="str">
            <v>Prime Healthcare</v>
          </cell>
          <cell r="W167">
            <v>64</v>
          </cell>
          <cell r="X167">
            <v>0</v>
          </cell>
          <cell r="Y167" t="str">
            <v>USD</v>
          </cell>
          <cell r="Z167">
            <v>85</v>
          </cell>
          <cell r="AA167">
            <v>0</v>
          </cell>
          <cell r="AB167">
            <v>0</v>
          </cell>
          <cell r="AC167">
            <v>0</v>
          </cell>
          <cell r="AD167">
            <v>45703</v>
          </cell>
          <cell r="AE167">
            <v>10</v>
          </cell>
          <cell r="AF167">
            <v>46022</v>
          </cell>
          <cell r="AG167">
            <v>73.599999999999994</v>
          </cell>
          <cell r="AH167">
            <v>0</v>
          </cell>
          <cell r="AI167">
            <v>73.599999999999994</v>
          </cell>
          <cell r="AJ167">
            <v>85</v>
          </cell>
          <cell r="AK167">
            <v>0</v>
          </cell>
          <cell r="AL167">
            <v>0</v>
          </cell>
          <cell r="AM167">
            <v>11.400000000000006</v>
          </cell>
          <cell r="AN167">
            <v>0</v>
          </cell>
          <cell r="AO167">
            <v>11.400000000000006</v>
          </cell>
          <cell r="AP167">
            <v>0</v>
          </cell>
          <cell r="AQ167">
            <v>11.400000000000006</v>
          </cell>
          <cell r="AU167">
            <v>80</v>
          </cell>
          <cell r="AY167">
            <v>912.00000000000045</v>
          </cell>
          <cell r="AZ167">
            <v>0</v>
          </cell>
          <cell r="BA167">
            <v>0</v>
          </cell>
          <cell r="BH167">
            <v>6800</v>
          </cell>
          <cell r="BI167">
            <v>5120</v>
          </cell>
          <cell r="BJ167">
            <v>9.6</v>
          </cell>
          <cell r="BK167">
            <v>0</v>
          </cell>
          <cell r="BL167">
            <v>768</v>
          </cell>
          <cell r="BM167">
            <v>5888</v>
          </cell>
          <cell r="BN167">
            <v>9.6</v>
          </cell>
          <cell r="BO167">
            <v>912</v>
          </cell>
          <cell r="BQ167">
            <v>1</v>
          </cell>
          <cell r="BR167" t="str">
            <v>Y</v>
          </cell>
          <cell r="BS167">
            <v>0</v>
          </cell>
          <cell r="BT167" t="str">
            <v>Pending</v>
          </cell>
          <cell r="BU167">
            <v>0</v>
          </cell>
          <cell r="BV167">
            <v>2025</v>
          </cell>
        </row>
        <row r="168">
          <cell r="A168" t="str">
            <v>Lucknow</v>
          </cell>
          <cell r="B168" t="str">
            <v>Healthcare</v>
          </cell>
          <cell r="C168" t="str">
            <v>Mid Level</v>
          </cell>
          <cell r="D168" t="str">
            <v>Ranveer Kumar</v>
          </cell>
          <cell r="E168" t="str">
            <v>-</v>
          </cell>
          <cell r="H168" t="str">
            <v>Uttam Chandra</v>
          </cell>
          <cell r="L168" t="str">
            <v>New</v>
          </cell>
          <cell r="M168">
            <v>45704</v>
          </cell>
          <cell r="N168">
            <v>1</v>
          </cell>
          <cell r="O168">
            <v>342</v>
          </cell>
          <cell r="P168">
            <v>45780</v>
          </cell>
          <cell r="Q168">
            <v>46069</v>
          </cell>
          <cell r="S168" t="str">
            <v>Elizabeth Baez-2</v>
          </cell>
          <cell r="T168" t="str">
            <v>Individual</v>
          </cell>
          <cell r="U168" t="str">
            <v>W2</v>
          </cell>
          <cell r="V168" t="str">
            <v>Prime Healthcare</v>
          </cell>
          <cell r="W168">
            <v>64</v>
          </cell>
          <cell r="X168">
            <v>0</v>
          </cell>
          <cell r="Y168" t="str">
            <v>USD</v>
          </cell>
          <cell r="Z168">
            <v>85</v>
          </cell>
          <cell r="AA168">
            <v>0</v>
          </cell>
          <cell r="AB168">
            <v>0</v>
          </cell>
          <cell r="AC168">
            <v>0</v>
          </cell>
          <cell r="AD168">
            <v>45731</v>
          </cell>
          <cell r="AE168">
            <v>21</v>
          </cell>
          <cell r="AF168">
            <v>46022</v>
          </cell>
          <cell r="AG168">
            <v>73.599999999999994</v>
          </cell>
          <cell r="AH168">
            <v>0</v>
          </cell>
          <cell r="AI168">
            <v>73.599999999999994</v>
          </cell>
          <cell r="AJ168">
            <v>85</v>
          </cell>
          <cell r="AK168">
            <v>0</v>
          </cell>
          <cell r="AL168">
            <v>0</v>
          </cell>
          <cell r="AM168">
            <v>11.400000000000006</v>
          </cell>
          <cell r="AN168">
            <v>0</v>
          </cell>
          <cell r="AO168">
            <v>11.400000000000006</v>
          </cell>
          <cell r="AP168">
            <v>0</v>
          </cell>
          <cell r="AQ168">
            <v>11.400000000000006</v>
          </cell>
          <cell r="AU168">
            <v>168</v>
          </cell>
          <cell r="AY168">
            <v>1915.200000000001</v>
          </cell>
          <cell r="AZ168">
            <v>0</v>
          </cell>
          <cell r="BA168">
            <v>0</v>
          </cell>
          <cell r="BH168">
            <v>14280</v>
          </cell>
          <cell r="BI168">
            <v>10752</v>
          </cell>
          <cell r="BJ168">
            <v>9.6</v>
          </cell>
          <cell r="BK168">
            <v>0</v>
          </cell>
          <cell r="BL168">
            <v>1612.8</v>
          </cell>
          <cell r="BM168">
            <v>12364.8</v>
          </cell>
          <cell r="BN168">
            <v>9.6</v>
          </cell>
          <cell r="BO168">
            <v>1915.2</v>
          </cell>
          <cell r="BQ168">
            <v>1</v>
          </cell>
          <cell r="BR168" t="str">
            <v>Y</v>
          </cell>
          <cell r="BS168">
            <v>0</v>
          </cell>
          <cell r="BT168" t="str">
            <v>Pending</v>
          </cell>
          <cell r="BU168">
            <v>0</v>
          </cell>
          <cell r="BV168">
            <v>2025</v>
          </cell>
        </row>
        <row r="169">
          <cell r="A169" t="str">
            <v>Lucknow</v>
          </cell>
          <cell r="B169" t="str">
            <v>Healthcare</v>
          </cell>
          <cell r="C169" t="str">
            <v>Mid Level</v>
          </cell>
          <cell r="D169" t="str">
            <v>Ranveer Kumar</v>
          </cell>
          <cell r="E169" t="str">
            <v>-</v>
          </cell>
          <cell r="H169" t="str">
            <v>Uttam Chandra</v>
          </cell>
          <cell r="L169" t="str">
            <v>New</v>
          </cell>
          <cell r="M169">
            <v>45704</v>
          </cell>
          <cell r="N169">
            <v>1</v>
          </cell>
          <cell r="O169">
            <v>342</v>
          </cell>
          <cell r="P169">
            <v>45780</v>
          </cell>
          <cell r="Q169">
            <v>46069</v>
          </cell>
          <cell r="S169" t="str">
            <v>Elizabeth Baez-2</v>
          </cell>
          <cell r="T169" t="str">
            <v>Individual</v>
          </cell>
          <cell r="U169" t="str">
            <v>W2</v>
          </cell>
          <cell r="V169" t="str">
            <v>Prime Healthcare</v>
          </cell>
          <cell r="W169">
            <v>64</v>
          </cell>
          <cell r="X169">
            <v>0</v>
          </cell>
          <cell r="Y169" t="str">
            <v>USD</v>
          </cell>
          <cell r="Z169">
            <v>85</v>
          </cell>
          <cell r="AA169">
            <v>0</v>
          </cell>
          <cell r="AB169">
            <v>0</v>
          </cell>
          <cell r="AC169">
            <v>0</v>
          </cell>
          <cell r="AD169">
            <v>45762</v>
          </cell>
          <cell r="AE169">
            <v>22</v>
          </cell>
          <cell r="AF169">
            <v>46022</v>
          </cell>
          <cell r="AG169">
            <v>73.599999999999994</v>
          </cell>
          <cell r="AH169">
            <v>0</v>
          </cell>
          <cell r="AI169">
            <v>73.599999999999994</v>
          </cell>
          <cell r="AJ169">
            <v>85</v>
          </cell>
          <cell r="AK169">
            <v>0</v>
          </cell>
          <cell r="AL169">
            <v>0</v>
          </cell>
          <cell r="AM169">
            <v>11.400000000000006</v>
          </cell>
          <cell r="AN169">
            <v>0</v>
          </cell>
          <cell r="AO169">
            <v>11.400000000000006</v>
          </cell>
          <cell r="AP169">
            <v>0</v>
          </cell>
          <cell r="AQ169">
            <v>11.400000000000006</v>
          </cell>
          <cell r="AU169">
            <v>176</v>
          </cell>
          <cell r="AY169">
            <v>2006.400000000001</v>
          </cell>
          <cell r="AZ169">
            <v>0</v>
          </cell>
          <cell r="BA169">
            <v>0</v>
          </cell>
          <cell r="BH169">
            <v>14960</v>
          </cell>
          <cell r="BI169">
            <v>11264</v>
          </cell>
          <cell r="BJ169">
            <v>9.6</v>
          </cell>
          <cell r="BK169">
            <v>0</v>
          </cell>
          <cell r="BL169">
            <v>1689.6</v>
          </cell>
          <cell r="BM169">
            <v>12953.6</v>
          </cell>
          <cell r="BN169">
            <v>9.6</v>
          </cell>
          <cell r="BO169">
            <v>2006.4</v>
          </cell>
          <cell r="BQ169">
            <v>2</v>
          </cell>
          <cell r="BR169" t="str">
            <v>N</v>
          </cell>
          <cell r="BS169">
            <v>0</v>
          </cell>
          <cell r="BT169" t="str">
            <v>Pending</v>
          </cell>
          <cell r="BU169">
            <v>0</v>
          </cell>
          <cell r="BV169">
            <v>2025</v>
          </cell>
        </row>
        <row r="170">
          <cell r="A170" t="str">
            <v>Lucknow</v>
          </cell>
          <cell r="B170" t="str">
            <v>Healthcare</v>
          </cell>
          <cell r="C170" t="str">
            <v>Mid Level</v>
          </cell>
          <cell r="D170" t="str">
            <v>Abhishek Singh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Anuj Kumar</v>
          </cell>
          <cell r="L170" t="str">
            <v>New</v>
          </cell>
          <cell r="M170">
            <v>45768</v>
          </cell>
          <cell r="N170">
            <v>2</v>
          </cell>
          <cell r="O170">
            <v>278</v>
          </cell>
          <cell r="P170" t="str">
            <v>-</v>
          </cell>
          <cell r="Q170">
            <v>46133</v>
          </cell>
          <cell r="S170" t="str">
            <v>Elliott El-Amin</v>
          </cell>
          <cell r="T170" t="str">
            <v>Individual</v>
          </cell>
          <cell r="U170" t="str">
            <v>FTE</v>
          </cell>
          <cell r="V170" t="str">
            <v>CBREX</v>
          </cell>
          <cell r="W170">
            <v>0</v>
          </cell>
          <cell r="X170">
            <v>0</v>
          </cell>
          <cell r="Y170" t="str">
            <v>USD</v>
          </cell>
          <cell r="Z170">
            <v>3500</v>
          </cell>
          <cell r="AA170">
            <v>0</v>
          </cell>
          <cell r="AB170">
            <v>0</v>
          </cell>
          <cell r="AC170">
            <v>0</v>
          </cell>
          <cell r="AD170">
            <v>45762</v>
          </cell>
          <cell r="AE170">
            <v>1</v>
          </cell>
          <cell r="AF170">
            <v>46022</v>
          </cell>
          <cell r="AG170">
            <v>0</v>
          </cell>
          <cell r="AH170">
            <v>0</v>
          </cell>
          <cell r="AI170">
            <v>0</v>
          </cell>
          <cell r="AJ170">
            <v>3500</v>
          </cell>
          <cell r="AK170">
            <v>0</v>
          </cell>
          <cell r="AL170">
            <v>0</v>
          </cell>
          <cell r="AM170">
            <v>3500</v>
          </cell>
          <cell r="AN170">
            <v>0</v>
          </cell>
          <cell r="AO170">
            <v>3500</v>
          </cell>
          <cell r="AP170">
            <v>0</v>
          </cell>
          <cell r="AQ170">
            <v>3500</v>
          </cell>
          <cell r="AR170" t="str">
            <v>US_24934</v>
          </cell>
          <cell r="AS170">
            <v>0</v>
          </cell>
          <cell r="AT170">
            <v>1</v>
          </cell>
          <cell r="AU170">
            <v>1</v>
          </cell>
          <cell r="AV170">
            <v>0</v>
          </cell>
          <cell r="AW170">
            <v>3500</v>
          </cell>
          <cell r="AX170">
            <v>3500</v>
          </cell>
          <cell r="AY170">
            <v>3500</v>
          </cell>
          <cell r="AZ170">
            <v>0</v>
          </cell>
          <cell r="BA170">
            <v>0</v>
          </cell>
          <cell r="BB170">
            <v>0</v>
          </cell>
          <cell r="BF170">
            <v>3500</v>
          </cell>
          <cell r="BG170">
            <v>3500</v>
          </cell>
          <cell r="BH170">
            <v>3500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3500</v>
          </cell>
          <cell r="BP170" t="str">
            <v>Y</v>
          </cell>
          <cell r="BQ170">
            <v>2</v>
          </cell>
          <cell r="BR170" t="str">
            <v>Y</v>
          </cell>
          <cell r="BS170">
            <v>0</v>
          </cell>
          <cell r="BT170" t="str">
            <v>Done</v>
          </cell>
          <cell r="BU170">
            <v>0</v>
          </cell>
          <cell r="BV170">
            <v>2025</v>
          </cell>
        </row>
        <row r="171">
          <cell r="A171" t="str">
            <v>Lucknow</v>
          </cell>
          <cell r="B171" t="str">
            <v>Titans</v>
          </cell>
          <cell r="C171" t="str">
            <v>Mid Level</v>
          </cell>
          <cell r="D171" t="str">
            <v>Nitin Saxena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Hamza Ali</v>
          </cell>
          <cell r="J171" t="str">
            <v>ACH</v>
          </cell>
          <cell r="K171" t="str">
            <v>-</v>
          </cell>
          <cell r="L171" t="str">
            <v>New</v>
          </cell>
          <cell r="M171">
            <v>45763</v>
          </cell>
          <cell r="N171">
            <v>2</v>
          </cell>
          <cell r="O171">
            <v>283</v>
          </cell>
          <cell r="P171">
            <v>46006</v>
          </cell>
          <cell r="Q171">
            <v>46128</v>
          </cell>
          <cell r="R171" t="str">
            <v>PLC-4220</v>
          </cell>
          <cell r="S171" t="str">
            <v>Eric K</v>
          </cell>
          <cell r="T171" t="str">
            <v>Individual</v>
          </cell>
          <cell r="U171">
            <v>1099</v>
          </cell>
          <cell r="V171" t="str">
            <v>Genpact</v>
          </cell>
          <cell r="W171">
            <v>21</v>
          </cell>
          <cell r="X171">
            <v>0</v>
          </cell>
          <cell r="Y171" t="str">
            <v>USD</v>
          </cell>
          <cell r="Z171">
            <v>28</v>
          </cell>
          <cell r="AA171">
            <v>0</v>
          </cell>
          <cell r="AB171">
            <v>0</v>
          </cell>
          <cell r="AC171">
            <v>0</v>
          </cell>
          <cell r="AD171">
            <v>45762</v>
          </cell>
          <cell r="AE171">
            <v>11</v>
          </cell>
          <cell r="AF171">
            <v>46022</v>
          </cell>
          <cell r="AG171">
            <v>22.470000000000002</v>
          </cell>
          <cell r="AH171">
            <v>0</v>
          </cell>
          <cell r="AI171">
            <v>22.470000000000002</v>
          </cell>
          <cell r="AJ171">
            <v>28</v>
          </cell>
          <cell r="AK171">
            <v>0</v>
          </cell>
          <cell r="AL171">
            <v>0</v>
          </cell>
          <cell r="AM171">
            <v>5.5299999999999976</v>
          </cell>
          <cell r="AN171">
            <v>0</v>
          </cell>
          <cell r="AO171">
            <v>5.5299999999999976</v>
          </cell>
          <cell r="AP171">
            <v>0</v>
          </cell>
          <cell r="AQ171">
            <v>5.5299999999999976</v>
          </cell>
          <cell r="AR171" t="str">
            <v>US_24947</v>
          </cell>
          <cell r="AS171">
            <v>0</v>
          </cell>
          <cell r="AT171">
            <v>88</v>
          </cell>
          <cell r="AU171">
            <v>88</v>
          </cell>
          <cell r="AV171">
            <v>0</v>
          </cell>
          <cell r="AW171">
            <v>486.63999999999976</v>
          </cell>
          <cell r="AX171">
            <v>481.77359999999976</v>
          </cell>
          <cell r="AY171">
            <v>486.63999999999976</v>
          </cell>
          <cell r="AZ171">
            <v>250</v>
          </cell>
          <cell r="BA171">
            <v>8.8479999999999954</v>
          </cell>
          <cell r="BB171">
            <v>778.62399999999957</v>
          </cell>
          <cell r="BC171">
            <v>46</v>
          </cell>
          <cell r="BD171">
            <v>486.63999999999976</v>
          </cell>
          <cell r="BE171">
            <v>389.31199999999984</v>
          </cell>
          <cell r="BF171">
            <v>481.77359999999976</v>
          </cell>
          <cell r="BG171">
            <v>2464</v>
          </cell>
          <cell r="BH171">
            <v>2464</v>
          </cell>
          <cell r="BI171">
            <v>1848</v>
          </cell>
          <cell r="BJ171">
            <v>1.4700000000000002</v>
          </cell>
          <cell r="BK171">
            <v>0</v>
          </cell>
          <cell r="BL171">
            <v>129.36000000000001</v>
          </cell>
          <cell r="BM171">
            <v>1977.3600000000001</v>
          </cell>
          <cell r="BN171">
            <v>1.4700000000000002</v>
          </cell>
          <cell r="BO171">
            <v>486.64</v>
          </cell>
          <cell r="BP171" t="str">
            <v>Y</v>
          </cell>
          <cell r="BQ171">
            <v>2</v>
          </cell>
          <cell r="BR171" t="str">
            <v>Y</v>
          </cell>
          <cell r="BS171">
            <v>778.62399999999957</v>
          </cell>
          <cell r="BT171" t="str">
            <v>Done</v>
          </cell>
          <cell r="BU171">
            <v>88</v>
          </cell>
          <cell r="BV171">
            <v>2025</v>
          </cell>
        </row>
        <row r="172">
          <cell r="A172" t="str">
            <v>Lucknow</v>
          </cell>
          <cell r="B172" t="str">
            <v>Healthcare</v>
          </cell>
          <cell r="C172" t="str">
            <v>Mid Level</v>
          </cell>
          <cell r="D172" t="str">
            <v>Ranveer Kumar</v>
          </cell>
          <cell r="E172" t="str">
            <v>-</v>
          </cell>
          <cell r="F172" t="str">
            <v>-</v>
          </cell>
          <cell r="G172" t="str">
            <v>-</v>
          </cell>
          <cell r="H172" t="str">
            <v>Ananya Agarwal</v>
          </cell>
          <cell r="L172" t="str">
            <v>New</v>
          </cell>
          <cell r="M172">
            <v>45754</v>
          </cell>
          <cell r="N172">
            <v>2</v>
          </cell>
          <cell r="O172">
            <v>292</v>
          </cell>
          <cell r="P172" t="str">
            <v>-</v>
          </cell>
          <cell r="Q172">
            <v>46119</v>
          </cell>
          <cell r="S172" t="str">
            <v>Erika Blanco</v>
          </cell>
          <cell r="T172" t="str">
            <v>Individual</v>
          </cell>
          <cell r="U172" t="str">
            <v>FTE</v>
          </cell>
          <cell r="V172" t="str">
            <v>CBREX</v>
          </cell>
          <cell r="W172">
            <v>0</v>
          </cell>
          <cell r="X172">
            <v>0</v>
          </cell>
          <cell r="Y172" t="str">
            <v>USD</v>
          </cell>
          <cell r="Z172">
            <v>3250</v>
          </cell>
          <cell r="AA172">
            <v>0</v>
          </cell>
          <cell r="AB172">
            <v>0</v>
          </cell>
          <cell r="AC172">
            <v>0</v>
          </cell>
          <cell r="AD172">
            <v>45762</v>
          </cell>
          <cell r="AE172">
            <v>1</v>
          </cell>
          <cell r="AF172">
            <v>46022</v>
          </cell>
          <cell r="AG172">
            <v>0</v>
          </cell>
          <cell r="AH172">
            <v>0</v>
          </cell>
          <cell r="AI172">
            <v>0</v>
          </cell>
          <cell r="AJ172">
            <v>3250</v>
          </cell>
          <cell r="AK172">
            <v>0</v>
          </cell>
          <cell r="AL172">
            <v>0</v>
          </cell>
          <cell r="AM172">
            <v>3250</v>
          </cell>
          <cell r="AN172">
            <v>0</v>
          </cell>
          <cell r="AO172">
            <v>3250</v>
          </cell>
          <cell r="AP172">
            <v>0</v>
          </cell>
          <cell r="AQ172">
            <v>3250</v>
          </cell>
          <cell r="AR172" t="str">
            <v>US_24737</v>
          </cell>
          <cell r="AS172">
            <v>0</v>
          </cell>
          <cell r="AT172">
            <v>1</v>
          </cell>
          <cell r="AU172">
            <v>1</v>
          </cell>
          <cell r="AV172">
            <v>0</v>
          </cell>
          <cell r="AW172">
            <v>3250</v>
          </cell>
          <cell r="AX172">
            <v>3250</v>
          </cell>
          <cell r="AY172">
            <v>3250</v>
          </cell>
          <cell r="AZ172">
            <v>0</v>
          </cell>
          <cell r="BA172">
            <v>0</v>
          </cell>
          <cell r="BB172">
            <v>0</v>
          </cell>
          <cell r="BF172">
            <v>3250</v>
          </cell>
          <cell r="BG172">
            <v>3250</v>
          </cell>
          <cell r="BH172">
            <v>3250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3250</v>
          </cell>
          <cell r="BP172" t="str">
            <v>Y</v>
          </cell>
          <cell r="BQ172">
            <v>2</v>
          </cell>
          <cell r="BR172" t="str">
            <v>Y</v>
          </cell>
          <cell r="BS172">
            <v>0</v>
          </cell>
          <cell r="BT172" t="str">
            <v>Done</v>
          </cell>
          <cell r="BU172">
            <v>0</v>
          </cell>
          <cell r="BV172">
            <v>2025</v>
          </cell>
        </row>
        <row r="173">
          <cell r="A173" t="str">
            <v>Lucknow</v>
          </cell>
          <cell r="B173" t="str">
            <v>Mavericks</v>
          </cell>
          <cell r="C173" t="str">
            <v>Mid Level</v>
          </cell>
          <cell r="D173" t="str">
            <v>Kashif Nabi</v>
          </cell>
          <cell r="E173" t="str">
            <v>-</v>
          </cell>
          <cell r="H173" t="str">
            <v>Purnima Mishra</v>
          </cell>
          <cell r="J173" t="str">
            <v>ACH</v>
          </cell>
          <cell r="K173">
            <v>0</v>
          </cell>
          <cell r="L173" t="str">
            <v>Old</v>
          </cell>
          <cell r="M173">
            <v>45483</v>
          </cell>
          <cell r="N173">
            <v>3</v>
          </cell>
          <cell r="O173">
            <v>563</v>
          </cell>
          <cell r="P173">
            <v>45688</v>
          </cell>
          <cell r="Q173">
            <v>45848</v>
          </cell>
          <cell r="R173" t="str">
            <v>PLC-3848</v>
          </cell>
          <cell r="S173" t="str">
            <v>Faraz Siddiqui</v>
          </cell>
          <cell r="T173" t="str">
            <v>Individual</v>
          </cell>
          <cell r="U173">
            <v>1099</v>
          </cell>
          <cell r="V173" t="str">
            <v>GRI</v>
          </cell>
          <cell r="W173">
            <v>74</v>
          </cell>
          <cell r="X173">
            <v>0</v>
          </cell>
          <cell r="Y173" t="str">
            <v>USD</v>
          </cell>
          <cell r="Z173">
            <v>84</v>
          </cell>
          <cell r="AA173">
            <v>0</v>
          </cell>
          <cell r="AB173">
            <v>0</v>
          </cell>
          <cell r="AC173">
            <v>0</v>
          </cell>
          <cell r="AD173">
            <v>45672</v>
          </cell>
          <cell r="AE173">
            <v>22</v>
          </cell>
          <cell r="AF173">
            <v>46022</v>
          </cell>
          <cell r="AG173">
            <v>79.180000000000007</v>
          </cell>
          <cell r="AH173">
            <v>0</v>
          </cell>
          <cell r="AI173">
            <v>79.180000000000007</v>
          </cell>
          <cell r="AJ173">
            <v>82.000799999999998</v>
          </cell>
          <cell r="AK173">
            <v>0</v>
          </cell>
          <cell r="AL173">
            <v>0</v>
          </cell>
          <cell r="AM173">
            <v>2.8207999999999913</v>
          </cell>
          <cell r="AN173">
            <v>0</v>
          </cell>
          <cell r="AO173">
            <v>2.8207999999999913</v>
          </cell>
          <cell r="AP173">
            <v>0</v>
          </cell>
          <cell r="AQ173">
            <v>2.8207999999999913</v>
          </cell>
          <cell r="AR173" t="str">
            <v>GRI047</v>
          </cell>
          <cell r="AS173">
            <v>0</v>
          </cell>
          <cell r="AT173">
            <v>184</v>
          </cell>
          <cell r="AU173">
            <v>184</v>
          </cell>
          <cell r="AV173">
            <v>0</v>
          </cell>
          <cell r="AW173">
            <v>519.0271999999984</v>
          </cell>
          <cell r="AX173">
            <v>513.83692799999847</v>
          </cell>
          <cell r="AY173">
            <v>519.0271999999984</v>
          </cell>
          <cell r="AZ173">
            <v>60</v>
          </cell>
          <cell r="BA173">
            <v>6.2057599999999811</v>
          </cell>
          <cell r="BB173">
            <v>1141.8598399999964</v>
          </cell>
          <cell r="BD173">
            <v>519.0271999999984</v>
          </cell>
          <cell r="BF173">
            <v>513.83692799999847</v>
          </cell>
          <cell r="BG173">
            <v>15456</v>
          </cell>
          <cell r="BH173">
            <v>15088.147199999999</v>
          </cell>
          <cell r="BI173">
            <v>13616</v>
          </cell>
          <cell r="BJ173">
            <v>5.1800000000000006</v>
          </cell>
          <cell r="BK173">
            <v>0</v>
          </cell>
          <cell r="BL173">
            <v>953.12000000000012</v>
          </cell>
          <cell r="BM173">
            <v>14569.12</v>
          </cell>
          <cell r="BN173">
            <v>5.1800000000000006</v>
          </cell>
          <cell r="BO173">
            <v>519.02719999999931</v>
          </cell>
          <cell r="BP173" t="str">
            <v>Y</v>
          </cell>
          <cell r="BQ173">
            <v>1</v>
          </cell>
          <cell r="BR173" t="str">
            <v>Y</v>
          </cell>
          <cell r="BS173">
            <v>1141.8598399999964</v>
          </cell>
          <cell r="BT173" t="str">
            <v>Done</v>
          </cell>
          <cell r="BU173">
            <v>184</v>
          </cell>
          <cell r="BV173">
            <v>2024</v>
          </cell>
        </row>
        <row r="174">
          <cell r="A174" t="str">
            <v>Lucknow</v>
          </cell>
          <cell r="B174" t="str">
            <v>Mavericks</v>
          </cell>
          <cell r="C174" t="str">
            <v>Mid Level</v>
          </cell>
          <cell r="D174" t="str">
            <v>Rohit Gupta</v>
          </cell>
          <cell r="E174" t="str">
            <v>Vivek Yadav</v>
          </cell>
          <cell r="H174" t="str">
            <v>Akhilesh Gupta</v>
          </cell>
          <cell r="K174">
            <v>0</v>
          </cell>
          <cell r="L174" t="str">
            <v>Old</v>
          </cell>
          <cell r="M174">
            <v>45546</v>
          </cell>
          <cell r="N174">
            <v>3</v>
          </cell>
          <cell r="O174">
            <v>500</v>
          </cell>
          <cell r="P174">
            <v>45702</v>
          </cell>
          <cell r="Q174">
            <v>45911</v>
          </cell>
          <cell r="R174" t="str">
            <v>PLC-3911</v>
          </cell>
          <cell r="S174" t="str">
            <v>Farhan Amer Mohammed</v>
          </cell>
          <cell r="T174" t="str">
            <v>Individual</v>
          </cell>
          <cell r="U174" t="str">
            <v>C2C</v>
          </cell>
          <cell r="V174" t="str">
            <v>Coforge</v>
          </cell>
          <cell r="W174">
            <v>62</v>
          </cell>
          <cell r="X174">
            <v>0</v>
          </cell>
          <cell r="Y174" t="str">
            <v>USD</v>
          </cell>
          <cell r="Z174">
            <v>72</v>
          </cell>
          <cell r="AA174">
            <v>0</v>
          </cell>
          <cell r="AB174">
            <v>0</v>
          </cell>
          <cell r="AC174">
            <v>0</v>
          </cell>
          <cell r="AD174">
            <v>45672</v>
          </cell>
          <cell r="AE174">
            <v>22</v>
          </cell>
          <cell r="AF174">
            <v>46022</v>
          </cell>
          <cell r="AG174">
            <v>62</v>
          </cell>
          <cell r="AH174">
            <v>0</v>
          </cell>
          <cell r="AI174">
            <v>62</v>
          </cell>
          <cell r="AJ174">
            <v>72</v>
          </cell>
          <cell r="AK174">
            <v>0</v>
          </cell>
          <cell r="AL174">
            <v>0</v>
          </cell>
          <cell r="AM174">
            <v>10</v>
          </cell>
          <cell r="AN174">
            <v>0</v>
          </cell>
          <cell r="AO174">
            <v>10</v>
          </cell>
          <cell r="AP174">
            <v>0</v>
          </cell>
          <cell r="AQ174">
            <v>10</v>
          </cell>
          <cell r="AR174" t="str">
            <v>CAD_1408</v>
          </cell>
          <cell r="AS174">
            <v>0</v>
          </cell>
          <cell r="AT174">
            <v>176</v>
          </cell>
          <cell r="AU174">
            <v>176</v>
          </cell>
          <cell r="AV174">
            <v>0</v>
          </cell>
          <cell r="AW174">
            <v>1760</v>
          </cell>
          <cell r="AX174">
            <v>1760</v>
          </cell>
          <cell r="AY174">
            <v>1760</v>
          </cell>
          <cell r="AZ174">
            <v>100</v>
          </cell>
          <cell r="BA174">
            <v>34</v>
          </cell>
          <cell r="BB174">
            <v>5984</v>
          </cell>
          <cell r="BC174">
            <v>38.28125</v>
          </cell>
          <cell r="BD174">
            <v>1760</v>
          </cell>
          <cell r="BE174">
            <v>1408</v>
          </cell>
          <cell r="BF174">
            <v>1760</v>
          </cell>
          <cell r="BG174">
            <v>12672</v>
          </cell>
          <cell r="BH174">
            <v>12672</v>
          </cell>
          <cell r="BI174">
            <v>10912</v>
          </cell>
          <cell r="BJ174">
            <v>0</v>
          </cell>
          <cell r="BK174">
            <v>0</v>
          </cell>
          <cell r="BL174">
            <v>0</v>
          </cell>
          <cell r="BM174">
            <v>10912</v>
          </cell>
          <cell r="BN174">
            <v>0</v>
          </cell>
          <cell r="BO174">
            <v>1760</v>
          </cell>
          <cell r="BP174" t="str">
            <v>Y</v>
          </cell>
          <cell r="BQ174">
            <v>1</v>
          </cell>
          <cell r="BR174" t="str">
            <v>Y</v>
          </cell>
          <cell r="BS174">
            <v>5984</v>
          </cell>
          <cell r="BT174" t="str">
            <v>Done</v>
          </cell>
          <cell r="BU174">
            <v>176</v>
          </cell>
          <cell r="BV174">
            <v>2024</v>
          </cell>
        </row>
        <row r="175">
          <cell r="A175" t="str">
            <v>Lucknow</v>
          </cell>
          <cell r="B175" t="str">
            <v>Mavericks</v>
          </cell>
          <cell r="C175" t="str">
            <v>Mid Level</v>
          </cell>
          <cell r="D175" t="str">
            <v>Rohit Gupta</v>
          </cell>
          <cell r="E175" t="str">
            <v>Vivek Yadav</v>
          </cell>
          <cell r="H175" t="str">
            <v>Akhilesh Gupta</v>
          </cell>
          <cell r="K175">
            <v>0</v>
          </cell>
          <cell r="L175" t="str">
            <v>Old</v>
          </cell>
          <cell r="M175">
            <v>45546</v>
          </cell>
          <cell r="N175">
            <v>3</v>
          </cell>
          <cell r="O175">
            <v>500</v>
          </cell>
          <cell r="P175">
            <v>45702</v>
          </cell>
          <cell r="Q175">
            <v>45911</v>
          </cell>
          <cell r="R175" t="str">
            <v>PLC-3911</v>
          </cell>
          <cell r="S175" t="str">
            <v>Farhan Amer Mohammed</v>
          </cell>
          <cell r="T175" t="str">
            <v>Individual</v>
          </cell>
          <cell r="U175" t="str">
            <v>C2C</v>
          </cell>
          <cell r="V175" t="str">
            <v>Coforge</v>
          </cell>
          <cell r="W175">
            <v>62</v>
          </cell>
          <cell r="X175">
            <v>0</v>
          </cell>
          <cell r="Y175" t="str">
            <v>USD</v>
          </cell>
          <cell r="Z175">
            <v>72</v>
          </cell>
          <cell r="AA175">
            <v>0</v>
          </cell>
          <cell r="AB175">
            <v>0</v>
          </cell>
          <cell r="AC175">
            <v>0</v>
          </cell>
          <cell r="AD175">
            <v>45703</v>
          </cell>
          <cell r="AE175">
            <v>9</v>
          </cell>
          <cell r="AF175">
            <v>46022</v>
          </cell>
          <cell r="AG175">
            <v>62</v>
          </cell>
          <cell r="AH175">
            <v>0</v>
          </cell>
          <cell r="AI175">
            <v>62</v>
          </cell>
          <cell r="AJ175">
            <v>72</v>
          </cell>
          <cell r="AK175">
            <v>0</v>
          </cell>
          <cell r="AL175">
            <v>0</v>
          </cell>
          <cell r="AM175">
            <v>10</v>
          </cell>
          <cell r="AN175">
            <v>0</v>
          </cell>
          <cell r="AO175">
            <v>10</v>
          </cell>
          <cell r="AP175">
            <v>0</v>
          </cell>
          <cell r="AQ175">
            <v>10</v>
          </cell>
          <cell r="AR175" t="str">
            <v>CAD_1434</v>
          </cell>
          <cell r="AS175">
            <v>0</v>
          </cell>
          <cell r="AT175">
            <v>80</v>
          </cell>
          <cell r="AU175">
            <v>80</v>
          </cell>
          <cell r="AV175">
            <v>0</v>
          </cell>
          <cell r="AW175">
            <v>800</v>
          </cell>
          <cell r="AX175">
            <v>800</v>
          </cell>
          <cell r="AY175">
            <v>800</v>
          </cell>
          <cell r="AZ175">
            <v>100</v>
          </cell>
          <cell r="BA175">
            <v>34</v>
          </cell>
          <cell r="BB175">
            <v>2720</v>
          </cell>
          <cell r="BC175">
            <v>38.28125</v>
          </cell>
          <cell r="BD175">
            <v>800</v>
          </cell>
          <cell r="BE175">
            <v>640</v>
          </cell>
          <cell r="BF175">
            <v>800</v>
          </cell>
          <cell r="BG175">
            <v>5760</v>
          </cell>
          <cell r="BH175">
            <v>5760</v>
          </cell>
          <cell r="BI175">
            <v>4960</v>
          </cell>
          <cell r="BJ175">
            <v>0</v>
          </cell>
          <cell r="BK175">
            <v>0</v>
          </cell>
          <cell r="BL175">
            <v>0</v>
          </cell>
          <cell r="BM175">
            <v>4960</v>
          </cell>
          <cell r="BN175">
            <v>0</v>
          </cell>
          <cell r="BO175">
            <v>800</v>
          </cell>
          <cell r="BP175" t="str">
            <v>Y</v>
          </cell>
          <cell r="BQ175">
            <v>1</v>
          </cell>
          <cell r="BR175" t="str">
            <v>Y</v>
          </cell>
          <cell r="BS175">
            <v>2720</v>
          </cell>
          <cell r="BT175" t="str">
            <v>Done</v>
          </cell>
          <cell r="BU175">
            <v>80</v>
          </cell>
          <cell r="BV175">
            <v>2024</v>
          </cell>
        </row>
        <row r="176">
          <cell r="A176" t="str">
            <v>Lucknow</v>
          </cell>
          <cell r="B176" t="str">
            <v>Trust</v>
          </cell>
          <cell r="C176" t="str">
            <v>Mid Level</v>
          </cell>
          <cell r="D176" t="str">
            <v>Bhanu Pratap Singh</v>
          </cell>
          <cell r="E176" t="str">
            <v>-</v>
          </cell>
          <cell r="H176" t="str">
            <v>Pass Through</v>
          </cell>
          <cell r="K176">
            <v>0</v>
          </cell>
          <cell r="L176" t="str">
            <v>Old</v>
          </cell>
          <cell r="M176">
            <v>45517</v>
          </cell>
          <cell r="N176">
            <v>3</v>
          </cell>
          <cell r="O176">
            <v>529</v>
          </cell>
          <cell r="P176">
            <v>45716</v>
          </cell>
          <cell r="Q176">
            <v>45882</v>
          </cell>
          <cell r="R176" t="str">
            <v>PLC-3926</v>
          </cell>
          <cell r="S176" t="str">
            <v>Fazil Das Basa</v>
          </cell>
          <cell r="T176" t="str">
            <v>Individual</v>
          </cell>
          <cell r="U176" t="str">
            <v>C2C</v>
          </cell>
          <cell r="V176" t="str">
            <v>Birlasoft</v>
          </cell>
          <cell r="W176">
            <v>80</v>
          </cell>
          <cell r="X176">
            <v>0</v>
          </cell>
          <cell r="Y176" t="str">
            <v>USD</v>
          </cell>
          <cell r="Z176">
            <v>81.5</v>
          </cell>
          <cell r="AA176">
            <v>0</v>
          </cell>
          <cell r="AB176">
            <v>0</v>
          </cell>
          <cell r="AC176">
            <v>0</v>
          </cell>
          <cell r="AD176">
            <v>45672</v>
          </cell>
          <cell r="AE176">
            <v>22</v>
          </cell>
          <cell r="AF176">
            <v>46022</v>
          </cell>
          <cell r="AG176">
            <v>80</v>
          </cell>
          <cell r="AH176">
            <v>0</v>
          </cell>
          <cell r="AI176">
            <v>80</v>
          </cell>
          <cell r="AJ176">
            <v>81.5</v>
          </cell>
          <cell r="AK176">
            <v>0</v>
          </cell>
          <cell r="AL176">
            <v>0</v>
          </cell>
          <cell r="AM176">
            <v>1.5</v>
          </cell>
          <cell r="AN176">
            <v>0</v>
          </cell>
          <cell r="AO176">
            <v>1.5</v>
          </cell>
          <cell r="AP176">
            <v>0</v>
          </cell>
          <cell r="AQ176">
            <v>1.5</v>
          </cell>
          <cell r="AR176" t="str">
            <v>US_24264</v>
          </cell>
          <cell r="AS176">
            <v>0</v>
          </cell>
          <cell r="AT176">
            <v>168</v>
          </cell>
          <cell r="AU176">
            <v>168</v>
          </cell>
          <cell r="AV176">
            <v>0</v>
          </cell>
          <cell r="AW176">
            <v>252</v>
          </cell>
          <cell r="AX176">
            <v>252</v>
          </cell>
          <cell r="AY176">
            <v>252</v>
          </cell>
          <cell r="AZ176">
            <v>0</v>
          </cell>
          <cell r="BA176">
            <v>0</v>
          </cell>
          <cell r="BB176">
            <v>0</v>
          </cell>
          <cell r="BD176">
            <v>252</v>
          </cell>
          <cell r="BF176">
            <v>252</v>
          </cell>
          <cell r="BG176">
            <v>13692</v>
          </cell>
          <cell r="BH176">
            <v>13692</v>
          </cell>
          <cell r="BI176">
            <v>13440</v>
          </cell>
          <cell r="BJ176">
            <v>0</v>
          </cell>
          <cell r="BK176">
            <v>0</v>
          </cell>
          <cell r="BL176">
            <v>0</v>
          </cell>
          <cell r="BM176">
            <v>13440</v>
          </cell>
          <cell r="BN176">
            <v>0</v>
          </cell>
          <cell r="BO176">
            <v>252</v>
          </cell>
          <cell r="BP176" t="str">
            <v>Y</v>
          </cell>
          <cell r="BQ176">
            <v>1</v>
          </cell>
          <cell r="BR176" t="str">
            <v>Y</v>
          </cell>
          <cell r="BS176">
            <v>0</v>
          </cell>
          <cell r="BT176" t="str">
            <v>Done</v>
          </cell>
          <cell r="BU176">
            <v>168</v>
          </cell>
          <cell r="BV176">
            <v>2024</v>
          </cell>
        </row>
        <row r="177">
          <cell r="A177" t="str">
            <v>Lucknow</v>
          </cell>
          <cell r="B177" t="str">
            <v>Trust</v>
          </cell>
          <cell r="C177" t="str">
            <v>Mid Level</v>
          </cell>
          <cell r="D177" t="str">
            <v>Bhanu Pratap Singh</v>
          </cell>
          <cell r="E177" t="str">
            <v>-</v>
          </cell>
          <cell r="H177" t="str">
            <v>Pass Through</v>
          </cell>
          <cell r="K177">
            <v>0</v>
          </cell>
          <cell r="L177" t="str">
            <v>Old</v>
          </cell>
          <cell r="M177">
            <v>45517</v>
          </cell>
          <cell r="N177">
            <v>3</v>
          </cell>
          <cell r="O177">
            <v>529</v>
          </cell>
          <cell r="P177">
            <v>45716</v>
          </cell>
          <cell r="Q177">
            <v>45882</v>
          </cell>
          <cell r="R177" t="str">
            <v>PLC-3926</v>
          </cell>
          <cell r="S177" t="str">
            <v>Fazil Das Basa</v>
          </cell>
          <cell r="T177" t="str">
            <v>Individual</v>
          </cell>
          <cell r="U177" t="str">
            <v>C2C</v>
          </cell>
          <cell r="V177" t="str">
            <v>Birlasoft</v>
          </cell>
          <cell r="W177">
            <v>80</v>
          </cell>
          <cell r="X177">
            <v>0</v>
          </cell>
          <cell r="Y177" t="str">
            <v>USD</v>
          </cell>
          <cell r="Z177">
            <v>81.5</v>
          </cell>
          <cell r="AA177">
            <v>0</v>
          </cell>
          <cell r="AB177">
            <v>0</v>
          </cell>
          <cell r="AC177">
            <v>0</v>
          </cell>
          <cell r="AD177">
            <v>45703</v>
          </cell>
          <cell r="AE177">
            <v>20</v>
          </cell>
          <cell r="AF177">
            <v>46022</v>
          </cell>
          <cell r="AG177">
            <v>80</v>
          </cell>
          <cell r="AH177">
            <v>0</v>
          </cell>
          <cell r="AI177">
            <v>80</v>
          </cell>
          <cell r="AJ177">
            <v>81.5</v>
          </cell>
          <cell r="AK177">
            <v>0</v>
          </cell>
          <cell r="AL177">
            <v>0</v>
          </cell>
          <cell r="AM177">
            <v>1.5</v>
          </cell>
          <cell r="AN177">
            <v>0</v>
          </cell>
          <cell r="AO177">
            <v>1.5</v>
          </cell>
          <cell r="AP177">
            <v>0</v>
          </cell>
          <cell r="AQ177">
            <v>1.5</v>
          </cell>
          <cell r="AR177" t="str">
            <v>US_24465</v>
          </cell>
          <cell r="AS177">
            <v>0</v>
          </cell>
          <cell r="AT177">
            <v>152</v>
          </cell>
          <cell r="AU177">
            <v>152</v>
          </cell>
          <cell r="AV177">
            <v>0</v>
          </cell>
          <cell r="AW177">
            <v>228</v>
          </cell>
          <cell r="AX177">
            <v>228</v>
          </cell>
          <cell r="AY177">
            <v>228</v>
          </cell>
          <cell r="AZ177">
            <v>0</v>
          </cell>
          <cell r="BA177">
            <v>0</v>
          </cell>
          <cell r="BB177">
            <v>0</v>
          </cell>
          <cell r="BD177">
            <v>228</v>
          </cell>
          <cell r="BF177">
            <v>228</v>
          </cell>
          <cell r="BG177">
            <v>12388</v>
          </cell>
          <cell r="BH177">
            <v>12388</v>
          </cell>
          <cell r="BI177">
            <v>12160</v>
          </cell>
          <cell r="BJ177">
            <v>0</v>
          </cell>
          <cell r="BK177">
            <v>0</v>
          </cell>
          <cell r="BL177">
            <v>0</v>
          </cell>
          <cell r="BM177">
            <v>12160</v>
          </cell>
          <cell r="BN177">
            <v>0</v>
          </cell>
          <cell r="BO177">
            <v>228</v>
          </cell>
          <cell r="BP177" t="str">
            <v>Y</v>
          </cell>
          <cell r="BQ177">
            <v>1</v>
          </cell>
          <cell r="BR177" t="str">
            <v>Y</v>
          </cell>
          <cell r="BS177">
            <v>0</v>
          </cell>
          <cell r="BT177" t="str">
            <v>Done</v>
          </cell>
          <cell r="BU177">
            <v>152</v>
          </cell>
          <cell r="BV177">
            <v>2024</v>
          </cell>
        </row>
        <row r="178">
          <cell r="A178" t="str">
            <v>Lucknow</v>
          </cell>
          <cell r="B178" t="str">
            <v>RPO</v>
          </cell>
          <cell r="C178" t="str">
            <v>Mid Level</v>
          </cell>
          <cell r="D178" t="str">
            <v>Ankit Pandey</v>
          </cell>
          <cell r="E178" t="str">
            <v>-</v>
          </cell>
          <cell r="H178" t="str">
            <v>Utkarsh Rastogi</v>
          </cell>
          <cell r="K178" t="str">
            <v>Bibhore Bhattacharya</v>
          </cell>
          <cell r="L178" t="str">
            <v>New</v>
          </cell>
          <cell r="M178">
            <v>45698</v>
          </cell>
          <cell r="N178">
            <v>1</v>
          </cell>
          <cell r="O178">
            <v>348</v>
          </cell>
          <cell r="P178" t="str">
            <v>-</v>
          </cell>
          <cell r="Q178">
            <v>46063</v>
          </cell>
          <cell r="R178" t="str">
            <v>PLC-4148</v>
          </cell>
          <cell r="S178" t="str">
            <v>Felipe Soares</v>
          </cell>
          <cell r="T178" t="str">
            <v>Individual</v>
          </cell>
          <cell r="U178" t="str">
            <v>RPO</v>
          </cell>
          <cell r="V178" t="str">
            <v>USAG</v>
          </cell>
          <cell r="W178">
            <v>0</v>
          </cell>
          <cell r="X178">
            <v>0</v>
          </cell>
          <cell r="Y178" t="str">
            <v>USD</v>
          </cell>
          <cell r="Z178">
            <v>3000</v>
          </cell>
          <cell r="AA178">
            <v>0</v>
          </cell>
          <cell r="AB178">
            <v>0</v>
          </cell>
          <cell r="AC178">
            <v>0</v>
          </cell>
          <cell r="AD178">
            <v>45703</v>
          </cell>
          <cell r="AE178">
            <v>15</v>
          </cell>
          <cell r="AF178">
            <v>46022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3000</v>
          </cell>
          <cell r="AN178">
            <v>0</v>
          </cell>
          <cell r="AO178">
            <v>3000</v>
          </cell>
          <cell r="AP178">
            <v>0</v>
          </cell>
          <cell r="AQ178">
            <v>0</v>
          </cell>
          <cell r="AR178" t="str">
            <v>US_24397</v>
          </cell>
          <cell r="AS178">
            <v>0</v>
          </cell>
          <cell r="AT178">
            <v>1</v>
          </cell>
          <cell r="AU178">
            <v>1</v>
          </cell>
          <cell r="AV178">
            <v>0</v>
          </cell>
          <cell r="AW178">
            <v>3000</v>
          </cell>
          <cell r="AX178">
            <v>3000</v>
          </cell>
          <cell r="AY178">
            <v>3000</v>
          </cell>
          <cell r="AZ178">
            <v>0</v>
          </cell>
          <cell r="BA178">
            <v>0</v>
          </cell>
          <cell r="BB178">
            <v>0</v>
          </cell>
          <cell r="BF178">
            <v>3000</v>
          </cell>
          <cell r="BG178">
            <v>3000</v>
          </cell>
          <cell r="BH178">
            <v>3000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3000</v>
          </cell>
          <cell r="BP178" t="str">
            <v>Y</v>
          </cell>
          <cell r="BQ178">
            <v>1</v>
          </cell>
          <cell r="BR178" t="str">
            <v>Y</v>
          </cell>
          <cell r="BS178">
            <v>0</v>
          </cell>
          <cell r="BT178" t="str">
            <v>Done</v>
          </cell>
          <cell r="BU178">
            <v>0</v>
          </cell>
          <cell r="BV178">
            <v>2025</v>
          </cell>
        </row>
        <row r="179">
          <cell r="A179" t="str">
            <v>Noida</v>
          </cell>
          <cell r="B179" t="str">
            <v>Healthcare</v>
          </cell>
          <cell r="C179" t="str">
            <v>Mid Level</v>
          </cell>
          <cell r="D179" t="str">
            <v>Shailesh Sharma</v>
          </cell>
          <cell r="E179" t="str">
            <v>-</v>
          </cell>
          <cell r="H179" t="str">
            <v>Shivam Chaurasia</v>
          </cell>
          <cell r="J179" t="str">
            <v>ACH</v>
          </cell>
          <cell r="K179">
            <v>0</v>
          </cell>
          <cell r="L179" t="str">
            <v>Old</v>
          </cell>
          <cell r="M179">
            <v>45628</v>
          </cell>
          <cell r="N179">
            <v>4</v>
          </cell>
          <cell r="O179">
            <v>418</v>
          </cell>
          <cell r="P179" t="str">
            <v>-</v>
          </cell>
          <cell r="Q179">
            <v>45993</v>
          </cell>
          <cell r="R179" t="str">
            <v>JPC - 11841</v>
          </cell>
          <cell r="S179" t="str">
            <v>Francesca Ortiz</v>
          </cell>
          <cell r="T179" t="str">
            <v>Individual</v>
          </cell>
          <cell r="U179" t="str">
            <v>W2</v>
          </cell>
          <cell r="V179" t="str">
            <v>CSU</v>
          </cell>
          <cell r="W179">
            <v>40</v>
          </cell>
          <cell r="X179">
            <v>60</v>
          </cell>
          <cell r="Y179" t="str">
            <v>USD</v>
          </cell>
          <cell r="Z179">
            <v>60</v>
          </cell>
          <cell r="AA179">
            <v>90</v>
          </cell>
          <cell r="AB179">
            <v>0</v>
          </cell>
          <cell r="AC179">
            <v>0</v>
          </cell>
          <cell r="AD179">
            <v>45672</v>
          </cell>
          <cell r="AE179">
            <v>23</v>
          </cell>
          <cell r="AF179">
            <v>46022</v>
          </cell>
          <cell r="AG179">
            <v>46</v>
          </cell>
          <cell r="AH179">
            <v>69</v>
          </cell>
          <cell r="AI179">
            <v>46</v>
          </cell>
          <cell r="AJ179">
            <v>56.4</v>
          </cell>
          <cell r="AK179">
            <v>85.5</v>
          </cell>
          <cell r="AL179">
            <v>16.5</v>
          </cell>
          <cell r="AM179">
            <v>10.399999999999999</v>
          </cell>
          <cell r="AN179">
            <v>16.5</v>
          </cell>
          <cell r="AO179">
            <v>10.399999999999999</v>
          </cell>
          <cell r="AP179">
            <v>16.5</v>
          </cell>
          <cell r="AQ179">
            <v>10.399999999999999</v>
          </cell>
          <cell r="AU179">
            <v>184</v>
          </cell>
          <cell r="AY179">
            <v>1913.5999999999997</v>
          </cell>
          <cell r="AZ179">
            <v>50</v>
          </cell>
          <cell r="BA179">
            <v>16.639999999999997</v>
          </cell>
          <cell r="BC179">
            <v>57.142857142857139</v>
          </cell>
          <cell r="BH179">
            <v>10377.6</v>
          </cell>
          <cell r="BI179">
            <v>7360</v>
          </cell>
          <cell r="BJ179">
            <v>6</v>
          </cell>
          <cell r="BK179">
            <v>0</v>
          </cell>
          <cell r="BL179">
            <v>1104</v>
          </cell>
          <cell r="BM179">
            <v>8464</v>
          </cell>
          <cell r="BN179">
            <v>6</v>
          </cell>
          <cell r="BO179">
            <v>1913.6000000000004</v>
          </cell>
          <cell r="BQ179">
            <v>1</v>
          </cell>
          <cell r="BR179" t="str">
            <v>Y</v>
          </cell>
          <cell r="BS179">
            <v>3061.7599999999993</v>
          </cell>
          <cell r="BT179" t="str">
            <v>Pending</v>
          </cell>
          <cell r="BU179">
            <v>0</v>
          </cell>
          <cell r="BV179">
            <v>2024</v>
          </cell>
        </row>
        <row r="180">
          <cell r="A180" t="str">
            <v>Noida</v>
          </cell>
          <cell r="B180" t="str">
            <v>Healthcare</v>
          </cell>
          <cell r="C180" t="str">
            <v>Mid Level</v>
          </cell>
          <cell r="D180" t="str">
            <v>Shailesh Sharma</v>
          </cell>
          <cell r="E180" t="str">
            <v>-</v>
          </cell>
          <cell r="H180" t="str">
            <v>Shivam Chaurasia</v>
          </cell>
          <cell r="J180" t="str">
            <v>ACH</v>
          </cell>
          <cell r="K180">
            <v>0</v>
          </cell>
          <cell r="L180" t="str">
            <v>Old</v>
          </cell>
          <cell r="M180">
            <v>45628</v>
          </cell>
          <cell r="N180">
            <v>4</v>
          </cell>
          <cell r="O180">
            <v>418</v>
          </cell>
          <cell r="P180" t="str">
            <v>-</v>
          </cell>
          <cell r="Q180">
            <v>45993</v>
          </cell>
          <cell r="R180" t="str">
            <v>JPC - 11841</v>
          </cell>
          <cell r="S180" t="str">
            <v>Francesca Ortiz</v>
          </cell>
          <cell r="T180" t="str">
            <v>Individual</v>
          </cell>
          <cell r="U180" t="str">
            <v>W2</v>
          </cell>
          <cell r="V180" t="str">
            <v>CSU</v>
          </cell>
          <cell r="W180">
            <v>40</v>
          </cell>
          <cell r="X180">
            <v>60</v>
          </cell>
          <cell r="Y180" t="str">
            <v>USD</v>
          </cell>
          <cell r="Z180">
            <v>60</v>
          </cell>
          <cell r="AA180">
            <v>90</v>
          </cell>
          <cell r="AB180">
            <v>0</v>
          </cell>
          <cell r="AC180">
            <v>0</v>
          </cell>
          <cell r="AD180">
            <v>45703</v>
          </cell>
          <cell r="AE180">
            <v>20</v>
          </cell>
          <cell r="AF180">
            <v>46022</v>
          </cell>
          <cell r="AG180">
            <v>46</v>
          </cell>
          <cell r="AH180">
            <v>69</v>
          </cell>
          <cell r="AI180">
            <v>46</v>
          </cell>
          <cell r="AJ180">
            <v>56.4</v>
          </cell>
          <cell r="AK180">
            <v>85.5</v>
          </cell>
          <cell r="AL180">
            <v>16.5</v>
          </cell>
          <cell r="AM180">
            <v>10.399999999999999</v>
          </cell>
          <cell r="AN180">
            <v>16.5</v>
          </cell>
          <cell r="AO180">
            <v>10.399999999999999</v>
          </cell>
          <cell r="AP180">
            <v>16.5</v>
          </cell>
          <cell r="AQ180">
            <v>10.399999999999999</v>
          </cell>
          <cell r="AU180">
            <v>160</v>
          </cell>
          <cell r="AY180">
            <v>1663.9999999999998</v>
          </cell>
          <cell r="AZ180">
            <v>50</v>
          </cell>
          <cell r="BA180">
            <v>16.639999999999997</v>
          </cell>
          <cell r="BC180">
            <v>57.142857142857139</v>
          </cell>
          <cell r="BH180">
            <v>9024</v>
          </cell>
          <cell r="BI180">
            <v>6400</v>
          </cell>
          <cell r="BJ180">
            <v>6</v>
          </cell>
          <cell r="BK180">
            <v>0</v>
          </cell>
          <cell r="BL180">
            <v>960</v>
          </cell>
          <cell r="BM180">
            <v>7360</v>
          </cell>
          <cell r="BN180">
            <v>6</v>
          </cell>
          <cell r="BO180">
            <v>1664</v>
          </cell>
          <cell r="BQ180">
            <v>1</v>
          </cell>
          <cell r="BR180" t="str">
            <v>Y</v>
          </cell>
          <cell r="BS180">
            <v>2662.3999999999996</v>
          </cell>
          <cell r="BT180" t="str">
            <v>Pending</v>
          </cell>
          <cell r="BU180">
            <v>0</v>
          </cell>
          <cell r="BV180">
            <v>2024</v>
          </cell>
        </row>
        <row r="181">
          <cell r="A181" t="str">
            <v>Noida</v>
          </cell>
          <cell r="B181" t="str">
            <v>Healthcare</v>
          </cell>
          <cell r="C181" t="str">
            <v>Mid Level</v>
          </cell>
          <cell r="D181" t="str">
            <v>Shailesh Sharma</v>
          </cell>
          <cell r="E181" t="str">
            <v>Shailesh Sharma</v>
          </cell>
          <cell r="H181" t="str">
            <v>Shivam Chaurasia</v>
          </cell>
          <cell r="L181" t="str">
            <v>New</v>
          </cell>
          <cell r="M181">
            <v>45718</v>
          </cell>
          <cell r="N181">
            <v>1</v>
          </cell>
          <cell r="O181">
            <v>328</v>
          </cell>
          <cell r="P181">
            <v>45989</v>
          </cell>
          <cell r="Q181">
            <v>46083</v>
          </cell>
          <cell r="R181" t="str">
            <v>JPC - 11841</v>
          </cell>
          <cell r="S181" t="str">
            <v>Francesca Ortiz-2</v>
          </cell>
          <cell r="T181" t="str">
            <v>Individual</v>
          </cell>
          <cell r="U181" t="str">
            <v>W2</v>
          </cell>
          <cell r="V181" t="str">
            <v>CSU</v>
          </cell>
          <cell r="W181">
            <v>46</v>
          </cell>
          <cell r="X181">
            <v>0</v>
          </cell>
          <cell r="Y181" t="str">
            <v>USD</v>
          </cell>
          <cell r="Z181">
            <v>60</v>
          </cell>
          <cell r="AA181">
            <v>0</v>
          </cell>
          <cell r="AB181">
            <v>0</v>
          </cell>
          <cell r="AC181">
            <v>0</v>
          </cell>
          <cell r="AD181">
            <v>45731</v>
          </cell>
          <cell r="AE181">
            <v>21</v>
          </cell>
          <cell r="AF181">
            <v>46022</v>
          </cell>
          <cell r="AG181">
            <v>52.9</v>
          </cell>
          <cell r="AH181">
            <v>0</v>
          </cell>
          <cell r="AI181">
            <v>52.9</v>
          </cell>
          <cell r="AJ181">
            <v>56.4</v>
          </cell>
          <cell r="AK181">
            <v>0</v>
          </cell>
          <cell r="AL181">
            <v>0</v>
          </cell>
          <cell r="AM181">
            <v>3.5</v>
          </cell>
          <cell r="AN181">
            <v>0</v>
          </cell>
          <cell r="AO181">
            <v>3.5</v>
          </cell>
          <cell r="AP181">
            <v>0</v>
          </cell>
          <cell r="AQ181">
            <v>3.5</v>
          </cell>
          <cell r="AU181">
            <v>168</v>
          </cell>
          <cell r="AY181">
            <v>588</v>
          </cell>
          <cell r="AZ181">
            <v>0</v>
          </cell>
          <cell r="BA181">
            <v>0</v>
          </cell>
          <cell r="BH181">
            <v>9475.1999999999989</v>
          </cell>
          <cell r="BI181">
            <v>7728</v>
          </cell>
          <cell r="BJ181">
            <v>6.8999999999999995</v>
          </cell>
          <cell r="BK181">
            <v>0</v>
          </cell>
          <cell r="BL181">
            <v>1159.1999999999998</v>
          </cell>
          <cell r="BM181">
            <v>8887.2000000000007</v>
          </cell>
          <cell r="BN181">
            <v>6.8999999999999995</v>
          </cell>
          <cell r="BO181">
            <v>587.99999999999909</v>
          </cell>
          <cell r="BQ181">
            <v>1</v>
          </cell>
          <cell r="BR181" t="str">
            <v>Y</v>
          </cell>
          <cell r="BS181">
            <v>0</v>
          </cell>
          <cell r="BT181" t="str">
            <v>Pending</v>
          </cell>
          <cell r="BU181">
            <v>0</v>
          </cell>
          <cell r="BV181">
            <v>2025</v>
          </cell>
        </row>
        <row r="182">
          <cell r="A182" t="str">
            <v>Noida</v>
          </cell>
          <cell r="B182" t="str">
            <v>Healthcare</v>
          </cell>
          <cell r="C182" t="str">
            <v>Mid Level</v>
          </cell>
          <cell r="D182" t="str">
            <v>Shailesh Sharma</v>
          </cell>
          <cell r="E182" t="str">
            <v>Shailesh Sharma</v>
          </cell>
          <cell r="H182" t="str">
            <v>Shivam Chaurasia</v>
          </cell>
          <cell r="L182" t="str">
            <v>New</v>
          </cell>
          <cell r="M182">
            <v>45718</v>
          </cell>
          <cell r="N182">
            <v>1</v>
          </cell>
          <cell r="O182">
            <v>328</v>
          </cell>
          <cell r="P182">
            <v>45989</v>
          </cell>
          <cell r="Q182">
            <v>46083</v>
          </cell>
          <cell r="R182" t="str">
            <v>JPC - 11841</v>
          </cell>
          <cell r="S182" t="str">
            <v>Francesca Ortiz-2</v>
          </cell>
          <cell r="T182" t="str">
            <v>Individual</v>
          </cell>
          <cell r="U182" t="str">
            <v>W2</v>
          </cell>
          <cell r="V182" t="str">
            <v>CSU</v>
          </cell>
          <cell r="W182">
            <v>46</v>
          </cell>
          <cell r="X182">
            <v>0</v>
          </cell>
          <cell r="Y182" t="str">
            <v>USD</v>
          </cell>
          <cell r="Z182">
            <v>60</v>
          </cell>
          <cell r="AA182">
            <v>0</v>
          </cell>
          <cell r="AB182">
            <v>0</v>
          </cell>
          <cell r="AC182">
            <v>0</v>
          </cell>
          <cell r="AD182">
            <v>45762</v>
          </cell>
          <cell r="AE182">
            <v>22</v>
          </cell>
          <cell r="AF182">
            <v>46022</v>
          </cell>
          <cell r="AG182">
            <v>52.9</v>
          </cell>
          <cell r="AH182">
            <v>0</v>
          </cell>
          <cell r="AI182">
            <v>52.9</v>
          </cell>
          <cell r="AJ182">
            <v>56.4</v>
          </cell>
          <cell r="AK182">
            <v>0</v>
          </cell>
          <cell r="AL182">
            <v>0</v>
          </cell>
          <cell r="AM182">
            <v>3.5</v>
          </cell>
          <cell r="AN182">
            <v>0</v>
          </cell>
          <cell r="AO182">
            <v>3.5</v>
          </cell>
          <cell r="AP182">
            <v>0</v>
          </cell>
          <cell r="AQ182">
            <v>3.5</v>
          </cell>
          <cell r="AU182">
            <v>176</v>
          </cell>
          <cell r="AY182">
            <v>616</v>
          </cell>
          <cell r="AZ182">
            <v>0</v>
          </cell>
          <cell r="BA182">
            <v>0</v>
          </cell>
          <cell r="BH182">
            <v>9926.4</v>
          </cell>
          <cell r="BI182">
            <v>8096</v>
          </cell>
          <cell r="BJ182">
            <v>6.8999999999999995</v>
          </cell>
          <cell r="BK182">
            <v>0</v>
          </cell>
          <cell r="BL182">
            <v>1214.3999999999999</v>
          </cell>
          <cell r="BM182">
            <v>9310.4</v>
          </cell>
          <cell r="BN182">
            <v>6.8999999999999995</v>
          </cell>
          <cell r="BO182">
            <v>615.99999999999977</v>
          </cell>
          <cell r="BQ182">
            <v>2</v>
          </cell>
          <cell r="BR182" t="str">
            <v>Y</v>
          </cell>
          <cell r="BS182">
            <v>0</v>
          </cell>
          <cell r="BT182" t="str">
            <v>Pending</v>
          </cell>
          <cell r="BU182">
            <v>0</v>
          </cell>
          <cell r="BV182">
            <v>2025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Harsh Agarwal</v>
          </cell>
          <cell r="E183" t="str">
            <v>Harsh Agrawal</v>
          </cell>
          <cell r="H183" t="str">
            <v>Virendra Vikram Singh</v>
          </cell>
          <cell r="J183" t="str">
            <v>ACH</v>
          </cell>
          <cell r="L183" t="str">
            <v>New</v>
          </cell>
          <cell r="M183">
            <v>45743</v>
          </cell>
          <cell r="N183">
            <v>1</v>
          </cell>
          <cell r="O183">
            <v>303</v>
          </cell>
          <cell r="P183">
            <v>45839</v>
          </cell>
          <cell r="Q183">
            <v>46108</v>
          </cell>
          <cell r="R183" t="str">
            <v>PLC-4159</v>
          </cell>
          <cell r="S183" t="str">
            <v>Frederic Pascal Denis Jubier</v>
          </cell>
          <cell r="T183" t="str">
            <v>Individual</v>
          </cell>
          <cell r="U183">
            <v>1099</v>
          </cell>
          <cell r="V183" t="str">
            <v>Birlasoft</v>
          </cell>
          <cell r="W183">
            <v>93</v>
          </cell>
          <cell r="X183">
            <v>140</v>
          </cell>
          <cell r="Y183" t="str">
            <v>USD</v>
          </cell>
          <cell r="Z183">
            <v>98</v>
          </cell>
          <cell r="AA183">
            <v>147</v>
          </cell>
          <cell r="AB183">
            <v>0</v>
          </cell>
          <cell r="AC183">
            <v>0</v>
          </cell>
          <cell r="AD183">
            <v>45731</v>
          </cell>
          <cell r="AE183">
            <v>3</v>
          </cell>
          <cell r="AF183">
            <v>46022</v>
          </cell>
          <cell r="AG183">
            <v>99.51</v>
          </cell>
          <cell r="AH183">
            <v>149.80000000000001</v>
          </cell>
          <cell r="AI183">
            <v>99.51</v>
          </cell>
          <cell r="AJ183">
            <v>98</v>
          </cell>
          <cell r="AK183">
            <v>147</v>
          </cell>
          <cell r="AL183">
            <v>-2.8000000000000114</v>
          </cell>
          <cell r="AM183">
            <v>-1.5100000000000051</v>
          </cell>
          <cell r="AN183">
            <v>-2.8000000000000114</v>
          </cell>
          <cell r="AO183">
            <v>-1.5100000000000051</v>
          </cell>
          <cell r="AP183">
            <v>-2.8000000000000114</v>
          </cell>
          <cell r="AQ183">
            <v>-1.5100000000000051</v>
          </cell>
          <cell r="AR183" t="str">
            <v>US_24710</v>
          </cell>
          <cell r="AS183">
            <v>0</v>
          </cell>
          <cell r="AT183">
            <v>24</v>
          </cell>
          <cell r="AU183">
            <v>24</v>
          </cell>
          <cell r="AV183">
            <v>0</v>
          </cell>
          <cell r="AW183">
            <v>-36.240000000000123</v>
          </cell>
          <cell r="AX183">
            <v>-35.877600000000122</v>
          </cell>
          <cell r="AY183">
            <v>-36.240000000000123</v>
          </cell>
          <cell r="AZ183">
            <v>85.714285714285708</v>
          </cell>
          <cell r="BA183">
            <v>-2.4160000000000084</v>
          </cell>
          <cell r="BB183">
            <v>-57.984000000000201</v>
          </cell>
          <cell r="BC183">
            <v>42</v>
          </cell>
          <cell r="BD183">
            <v>-36.240000000000123</v>
          </cell>
          <cell r="BE183">
            <v>0</v>
          </cell>
          <cell r="BF183">
            <v>-35.877600000000122</v>
          </cell>
          <cell r="BG183">
            <v>2352</v>
          </cell>
          <cell r="BH183">
            <v>2352</v>
          </cell>
          <cell r="BI183">
            <v>2232</v>
          </cell>
          <cell r="BJ183">
            <v>6.5100000000000007</v>
          </cell>
          <cell r="BK183">
            <v>0</v>
          </cell>
          <cell r="BL183">
            <v>156.24</v>
          </cell>
          <cell r="BM183">
            <v>2388.2399999999998</v>
          </cell>
          <cell r="BN183">
            <v>6.5100000000000007</v>
          </cell>
          <cell r="BO183">
            <v>-36.240000000000009</v>
          </cell>
          <cell r="BP183" t="str">
            <v>Y</v>
          </cell>
          <cell r="BQ183">
            <v>1</v>
          </cell>
          <cell r="BR183" t="str">
            <v>Y</v>
          </cell>
          <cell r="BS183">
            <v>-57.984000000000201</v>
          </cell>
          <cell r="BT183" t="str">
            <v>Done</v>
          </cell>
          <cell r="BU183">
            <v>24</v>
          </cell>
          <cell r="BV183">
            <v>2025</v>
          </cell>
        </row>
        <row r="184">
          <cell r="A184" t="str">
            <v>Lucknow</v>
          </cell>
          <cell r="B184" t="str">
            <v>Trust</v>
          </cell>
          <cell r="C184" t="str">
            <v>Mid Level</v>
          </cell>
          <cell r="D184" t="str">
            <v>Harsh Agarwal</v>
          </cell>
          <cell r="E184" t="str">
            <v>Harsh Agrawal</v>
          </cell>
          <cell r="H184" t="str">
            <v>Virendra Vikram Singh</v>
          </cell>
          <cell r="J184" t="str">
            <v>ACH</v>
          </cell>
          <cell r="L184" t="str">
            <v>New</v>
          </cell>
          <cell r="M184">
            <v>45743</v>
          </cell>
          <cell r="N184">
            <v>1</v>
          </cell>
          <cell r="O184">
            <v>303</v>
          </cell>
          <cell r="P184">
            <v>45839</v>
          </cell>
          <cell r="Q184">
            <v>46108</v>
          </cell>
          <cell r="R184" t="str">
            <v>PLC-4159</v>
          </cell>
          <cell r="S184" t="str">
            <v>Frederic Pascal Denis Jubier</v>
          </cell>
          <cell r="T184" t="str">
            <v>Individual</v>
          </cell>
          <cell r="U184">
            <v>1099</v>
          </cell>
          <cell r="V184" t="str">
            <v>Birlasoft</v>
          </cell>
          <cell r="W184">
            <v>93</v>
          </cell>
          <cell r="X184">
            <v>140</v>
          </cell>
          <cell r="Y184" t="str">
            <v>USD</v>
          </cell>
          <cell r="Z184">
            <v>98</v>
          </cell>
          <cell r="AA184">
            <v>147</v>
          </cell>
          <cell r="AB184">
            <v>0</v>
          </cell>
          <cell r="AC184">
            <v>0</v>
          </cell>
          <cell r="AD184">
            <v>45762</v>
          </cell>
          <cell r="AE184">
            <v>22</v>
          </cell>
          <cell r="AF184">
            <v>46022</v>
          </cell>
          <cell r="AG184">
            <v>99.51</v>
          </cell>
          <cell r="AH184">
            <v>149.80000000000001</v>
          </cell>
          <cell r="AI184">
            <v>99.51</v>
          </cell>
          <cell r="AJ184">
            <v>98</v>
          </cell>
          <cell r="AK184">
            <v>147</v>
          </cell>
          <cell r="AL184">
            <v>-2.8000000000000114</v>
          </cell>
          <cell r="AM184">
            <v>-1.5100000000000051</v>
          </cell>
          <cell r="AN184">
            <v>-2.8000000000000114</v>
          </cell>
          <cell r="AO184">
            <v>-1.5100000000000051</v>
          </cell>
          <cell r="AP184">
            <v>-2.8000000000000114</v>
          </cell>
          <cell r="AQ184">
            <v>-1.5100000000000051</v>
          </cell>
          <cell r="AR184" t="str">
            <v>US_24907</v>
          </cell>
          <cell r="AS184">
            <v>0</v>
          </cell>
          <cell r="AT184">
            <v>176</v>
          </cell>
          <cell r="AU184">
            <v>176</v>
          </cell>
          <cell r="AV184">
            <v>0</v>
          </cell>
          <cell r="AW184">
            <v>-265.7600000000009</v>
          </cell>
          <cell r="AX184">
            <v>-263.1024000000009</v>
          </cell>
          <cell r="AY184">
            <v>-265.7600000000009</v>
          </cell>
          <cell r="AZ184">
            <v>85.714285714285708</v>
          </cell>
          <cell r="BA184">
            <v>-2.4160000000000084</v>
          </cell>
          <cell r="BB184">
            <v>-425.21600000000149</v>
          </cell>
          <cell r="BC184">
            <v>42</v>
          </cell>
          <cell r="BD184">
            <v>-265.7600000000009</v>
          </cell>
          <cell r="BE184">
            <v>0</v>
          </cell>
          <cell r="BF184">
            <v>-263.1024000000009</v>
          </cell>
          <cell r="BG184">
            <v>17248</v>
          </cell>
          <cell r="BH184">
            <v>17248</v>
          </cell>
          <cell r="BI184">
            <v>16368</v>
          </cell>
          <cell r="BJ184">
            <v>6.5100000000000007</v>
          </cell>
          <cell r="BK184">
            <v>0</v>
          </cell>
          <cell r="BL184">
            <v>1145.7600000000002</v>
          </cell>
          <cell r="BM184">
            <v>17513.760000000002</v>
          </cell>
          <cell r="BN184">
            <v>6.5100000000000007</v>
          </cell>
          <cell r="BO184">
            <v>-265.76000000000022</v>
          </cell>
          <cell r="BP184" t="str">
            <v>Y</v>
          </cell>
          <cell r="BQ184">
            <v>2</v>
          </cell>
          <cell r="BR184" t="str">
            <v>Y</v>
          </cell>
          <cell r="BS184">
            <v>-425.21600000000149</v>
          </cell>
          <cell r="BT184" t="str">
            <v>Done</v>
          </cell>
          <cell r="BU184">
            <v>176</v>
          </cell>
          <cell r="BV184">
            <v>2025</v>
          </cell>
        </row>
        <row r="185">
          <cell r="A185" t="str">
            <v>Lucknow</v>
          </cell>
          <cell r="B185" t="str">
            <v>Pioneer</v>
          </cell>
          <cell r="C185" t="str">
            <v>Mid Level</v>
          </cell>
          <cell r="D185" t="str">
            <v>Lucky Jain</v>
          </cell>
          <cell r="E185" t="str">
            <v>Lucky Jain</v>
          </cell>
          <cell r="H185" t="str">
            <v>Mohammed Jaeem</v>
          </cell>
          <cell r="J185" t="str">
            <v>ACH</v>
          </cell>
          <cell r="K185">
            <v>0</v>
          </cell>
          <cell r="L185" t="str">
            <v>Old</v>
          </cell>
          <cell r="M185">
            <v>45418</v>
          </cell>
          <cell r="N185">
            <v>2</v>
          </cell>
          <cell r="O185">
            <v>628</v>
          </cell>
          <cell r="P185">
            <v>45695</v>
          </cell>
          <cell r="Q185">
            <v>45783</v>
          </cell>
          <cell r="R185" t="str">
            <v>PLC-3777</v>
          </cell>
          <cell r="S185" t="str">
            <v>Gopal Krishna Sriram</v>
          </cell>
          <cell r="T185" t="str">
            <v>Individual</v>
          </cell>
          <cell r="U185" t="str">
            <v>C2C</v>
          </cell>
          <cell r="V185" t="str">
            <v>Visionet</v>
          </cell>
          <cell r="W185">
            <v>113</v>
          </cell>
          <cell r="X185">
            <v>0</v>
          </cell>
          <cell r="Y185" t="str">
            <v>USD</v>
          </cell>
          <cell r="Z185">
            <v>120</v>
          </cell>
          <cell r="AA185">
            <v>0</v>
          </cell>
          <cell r="AB185">
            <v>0</v>
          </cell>
          <cell r="AC185">
            <v>0</v>
          </cell>
          <cell r="AD185">
            <v>45672</v>
          </cell>
          <cell r="AE185">
            <v>22</v>
          </cell>
          <cell r="AF185">
            <v>46022</v>
          </cell>
          <cell r="AG185">
            <v>113</v>
          </cell>
          <cell r="AH185">
            <v>0</v>
          </cell>
          <cell r="AI185">
            <v>113</v>
          </cell>
          <cell r="AJ185">
            <v>120</v>
          </cell>
          <cell r="AK185">
            <v>0</v>
          </cell>
          <cell r="AL185">
            <v>0</v>
          </cell>
          <cell r="AM185">
            <v>7</v>
          </cell>
          <cell r="AN185">
            <v>0</v>
          </cell>
          <cell r="AO185">
            <v>7</v>
          </cell>
          <cell r="AP185">
            <v>0</v>
          </cell>
          <cell r="AQ185">
            <v>7</v>
          </cell>
          <cell r="AR185" t="str">
            <v>US_24229</v>
          </cell>
          <cell r="AS185">
            <v>0</v>
          </cell>
          <cell r="AT185">
            <v>168</v>
          </cell>
          <cell r="AU185">
            <v>168</v>
          </cell>
          <cell r="AV185">
            <v>0</v>
          </cell>
          <cell r="AW185">
            <v>1176</v>
          </cell>
          <cell r="AX185">
            <v>1164.24</v>
          </cell>
          <cell r="AY185">
            <v>1176</v>
          </cell>
          <cell r="AZ185">
            <v>0</v>
          </cell>
          <cell r="BA185">
            <v>0</v>
          </cell>
          <cell r="BB185">
            <v>0</v>
          </cell>
          <cell r="BD185">
            <v>1176</v>
          </cell>
          <cell r="BF185">
            <v>1164.24</v>
          </cell>
          <cell r="BG185">
            <v>20160</v>
          </cell>
          <cell r="BH185">
            <v>20160</v>
          </cell>
          <cell r="BI185">
            <v>18984</v>
          </cell>
          <cell r="BJ185">
            <v>0</v>
          </cell>
          <cell r="BK185">
            <v>0</v>
          </cell>
          <cell r="BL185">
            <v>0</v>
          </cell>
          <cell r="BM185">
            <v>18984</v>
          </cell>
          <cell r="BN185">
            <v>0</v>
          </cell>
          <cell r="BO185">
            <v>1176</v>
          </cell>
          <cell r="BP185" t="str">
            <v>Y</v>
          </cell>
          <cell r="BQ185">
            <v>1</v>
          </cell>
          <cell r="BR185" t="str">
            <v>N</v>
          </cell>
          <cell r="BS185">
            <v>0</v>
          </cell>
          <cell r="BT185" t="str">
            <v>Done</v>
          </cell>
          <cell r="BU185">
            <v>168</v>
          </cell>
          <cell r="BV185">
            <v>2024</v>
          </cell>
        </row>
        <row r="186">
          <cell r="A186" t="str">
            <v>Lucknow</v>
          </cell>
          <cell r="B186" t="str">
            <v>Pioneer</v>
          </cell>
          <cell r="C186" t="str">
            <v>Mid Level</v>
          </cell>
          <cell r="D186" t="str">
            <v>Lucky Jain</v>
          </cell>
          <cell r="E186" t="str">
            <v>Lucky Jain</v>
          </cell>
          <cell r="H186" t="str">
            <v>Mohammed Jaeem</v>
          </cell>
          <cell r="J186" t="str">
            <v>ACH</v>
          </cell>
          <cell r="K186">
            <v>0</v>
          </cell>
          <cell r="L186" t="str">
            <v>Old</v>
          </cell>
          <cell r="M186">
            <v>45418</v>
          </cell>
          <cell r="N186">
            <v>2</v>
          </cell>
          <cell r="O186">
            <v>628</v>
          </cell>
          <cell r="P186">
            <v>45695</v>
          </cell>
          <cell r="Q186">
            <v>45783</v>
          </cell>
          <cell r="R186" t="str">
            <v>PLC-3777</v>
          </cell>
          <cell r="S186" t="str">
            <v>Gopal Krishna Sriram</v>
          </cell>
          <cell r="T186" t="str">
            <v>Individual</v>
          </cell>
          <cell r="U186" t="str">
            <v>C2C</v>
          </cell>
          <cell r="V186" t="str">
            <v>Visionet</v>
          </cell>
          <cell r="W186">
            <v>113</v>
          </cell>
          <cell r="X186">
            <v>0</v>
          </cell>
          <cell r="Y186" t="str">
            <v>USD</v>
          </cell>
          <cell r="Z186">
            <v>120</v>
          </cell>
          <cell r="AA186">
            <v>0</v>
          </cell>
          <cell r="AB186">
            <v>0</v>
          </cell>
          <cell r="AC186">
            <v>0</v>
          </cell>
          <cell r="AD186">
            <v>45703</v>
          </cell>
          <cell r="AE186">
            <v>5</v>
          </cell>
          <cell r="AF186">
            <v>46022</v>
          </cell>
          <cell r="AG186">
            <v>113</v>
          </cell>
          <cell r="AH186">
            <v>0</v>
          </cell>
          <cell r="AI186">
            <v>113</v>
          </cell>
          <cell r="AJ186">
            <v>120</v>
          </cell>
          <cell r="AK186">
            <v>0</v>
          </cell>
          <cell r="AL186">
            <v>0</v>
          </cell>
          <cell r="AM186">
            <v>7</v>
          </cell>
          <cell r="AN186">
            <v>0</v>
          </cell>
          <cell r="AO186">
            <v>7</v>
          </cell>
          <cell r="AP186">
            <v>0</v>
          </cell>
          <cell r="AQ186">
            <v>7</v>
          </cell>
          <cell r="AR186" t="str">
            <v>US_24436</v>
          </cell>
          <cell r="AS186">
            <v>0</v>
          </cell>
          <cell r="AT186">
            <v>40</v>
          </cell>
          <cell r="AU186">
            <v>40</v>
          </cell>
          <cell r="AV186">
            <v>0</v>
          </cell>
          <cell r="AW186">
            <v>280</v>
          </cell>
          <cell r="AX186">
            <v>277.2</v>
          </cell>
          <cell r="AY186">
            <v>280</v>
          </cell>
          <cell r="AZ186">
            <v>0</v>
          </cell>
          <cell r="BA186">
            <v>0</v>
          </cell>
          <cell r="BB186">
            <v>0</v>
          </cell>
          <cell r="BD186">
            <v>280</v>
          </cell>
          <cell r="BF186">
            <v>277.2</v>
          </cell>
          <cell r="BG186">
            <v>4800</v>
          </cell>
          <cell r="BH186">
            <v>4800</v>
          </cell>
          <cell r="BI186">
            <v>4520</v>
          </cell>
          <cell r="BJ186">
            <v>0</v>
          </cell>
          <cell r="BK186">
            <v>0</v>
          </cell>
          <cell r="BL186">
            <v>0</v>
          </cell>
          <cell r="BM186">
            <v>4520</v>
          </cell>
          <cell r="BN186">
            <v>0</v>
          </cell>
          <cell r="BO186">
            <v>280</v>
          </cell>
          <cell r="BP186" t="str">
            <v>Y</v>
          </cell>
          <cell r="BQ186">
            <v>1</v>
          </cell>
          <cell r="BR186" t="str">
            <v>N</v>
          </cell>
          <cell r="BS186">
            <v>0</v>
          </cell>
          <cell r="BT186" t="str">
            <v>Done</v>
          </cell>
          <cell r="BU186">
            <v>40</v>
          </cell>
          <cell r="BV186">
            <v>2024</v>
          </cell>
        </row>
        <row r="187">
          <cell r="A187" t="str">
            <v>Noida</v>
          </cell>
          <cell r="B187" t="str">
            <v>Noida IT</v>
          </cell>
          <cell r="C187" t="str">
            <v>Mid Level</v>
          </cell>
          <cell r="D187" t="str">
            <v>Akash Saxena</v>
          </cell>
          <cell r="E187" t="str">
            <v>-</v>
          </cell>
          <cell r="H187" t="str">
            <v>Pass Through</v>
          </cell>
          <cell r="K187">
            <v>0</v>
          </cell>
          <cell r="L187" t="str">
            <v>Old</v>
          </cell>
          <cell r="M187">
            <v>45568</v>
          </cell>
          <cell r="N187">
            <v>4</v>
          </cell>
          <cell r="O187">
            <v>478</v>
          </cell>
          <cell r="P187">
            <v>45793</v>
          </cell>
          <cell r="Q187">
            <v>45933</v>
          </cell>
          <cell r="R187" t="str">
            <v>PLC-Passthrough</v>
          </cell>
          <cell r="S187" t="str">
            <v>Gunasekar Rajendran</v>
          </cell>
          <cell r="T187" t="str">
            <v>Individual</v>
          </cell>
          <cell r="U187" t="str">
            <v>C2C</v>
          </cell>
          <cell r="V187" t="str">
            <v>Citius Tech</v>
          </cell>
          <cell r="W187">
            <v>117</v>
          </cell>
          <cell r="X187">
            <v>0</v>
          </cell>
          <cell r="Y187" t="str">
            <v>USD</v>
          </cell>
          <cell r="Z187">
            <v>119</v>
          </cell>
          <cell r="AA187">
            <v>0</v>
          </cell>
          <cell r="AB187">
            <v>0</v>
          </cell>
          <cell r="AC187">
            <v>0</v>
          </cell>
          <cell r="AD187">
            <v>45672</v>
          </cell>
          <cell r="AE187">
            <v>22</v>
          </cell>
          <cell r="AF187">
            <v>46022</v>
          </cell>
          <cell r="AG187">
            <v>117</v>
          </cell>
          <cell r="AH187">
            <v>0</v>
          </cell>
          <cell r="AI187">
            <v>117</v>
          </cell>
          <cell r="AJ187">
            <v>119</v>
          </cell>
          <cell r="AK187">
            <v>0</v>
          </cell>
          <cell r="AL187">
            <v>0</v>
          </cell>
          <cell r="AM187">
            <v>2</v>
          </cell>
          <cell r="AN187">
            <v>0</v>
          </cell>
          <cell r="AO187">
            <v>2</v>
          </cell>
          <cell r="AP187">
            <v>0</v>
          </cell>
          <cell r="AQ187">
            <v>2</v>
          </cell>
          <cell r="AR187" t="str">
            <v>US_24279</v>
          </cell>
          <cell r="AS187">
            <v>0</v>
          </cell>
          <cell r="AT187">
            <v>168</v>
          </cell>
          <cell r="AU187">
            <v>168</v>
          </cell>
          <cell r="AV187">
            <v>0</v>
          </cell>
          <cell r="AW187">
            <v>336</v>
          </cell>
          <cell r="AX187">
            <v>336</v>
          </cell>
          <cell r="AY187">
            <v>336</v>
          </cell>
          <cell r="AZ187">
            <v>0</v>
          </cell>
          <cell r="BA187">
            <v>0</v>
          </cell>
          <cell r="BB187">
            <v>0</v>
          </cell>
          <cell r="BD187">
            <v>336</v>
          </cell>
          <cell r="BF187">
            <v>336</v>
          </cell>
          <cell r="BG187">
            <v>19992</v>
          </cell>
          <cell r="BH187">
            <v>19992</v>
          </cell>
          <cell r="BI187">
            <v>19656</v>
          </cell>
          <cell r="BJ187">
            <v>0</v>
          </cell>
          <cell r="BK187">
            <v>0</v>
          </cell>
          <cell r="BL187">
            <v>0</v>
          </cell>
          <cell r="BM187">
            <v>19656</v>
          </cell>
          <cell r="BN187">
            <v>0</v>
          </cell>
          <cell r="BO187">
            <v>336</v>
          </cell>
          <cell r="BP187" t="str">
            <v>Y</v>
          </cell>
          <cell r="BQ187">
            <v>1</v>
          </cell>
          <cell r="BR187" t="str">
            <v>Y</v>
          </cell>
          <cell r="BS187">
            <v>0</v>
          </cell>
          <cell r="BT187" t="str">
            <v>Done</v>
          </cell>
          <cell r="BU187">
            <v>168</v>
          </cell>
          <cell r="BV187">
            <v>2024</v>
          </cell>
        </row>
        <row r="188">
          <cell r="A188" t="str">
            <v>Noida</v>
          </cell>
          <cell r="B188" t="str">
            <v>Noida IT</v>
          </cell>
          <cell r="C188" t="str">
            <v>Mid Level</v>
          </cell>
          <cell r="D188" t="str">
            <v>Akash Saxena</v>
          </cell>
          <cell r="E188" t="str">
            <v>-</v>
          </cell>
          <cell r="H188" t="str">
            <v>Pass Through</v>
          </cell>
          <cell r="K188">
            <v>0</v>
          </cell>
          <cell r="L188" t="str">
            <v>Old</v>
          </cell>
          <cell r="M188">
            <v>45568</v>
          </cell>
          <cell r="N188">
            <v>4</v>
          </cell>
          <cell r="O188">
            <v>478</v>
          </cell>
          <cell r="P188">
            <v>45793</v>
          </cell>
          <cell r="Q188">
            <v>45933</v>
          </cell>
          <cell r="R188" t="str">
            <v>PLC-Passthrough</v>
          </cell>
          <cell r="S188" t="str">
            <v>Gunasekar Rajendran</v>
          </cell>
          <cell r="T188" t="str">
            <v>Individual</v>
          </cell>
          <cell r="U188" t="str">
            <v>C2C</v>
          </cell>
          <cell r="V188" t="str">
            <v>Citius Tech</v>
          </cell>
          <cell r="W188">
            <v>117</v>
          </cell>
          <cell r="X188">
            <v>0</v>
          </cell>
          <cell r="Y188" t="str">
            <v>USD</v>
          </cell>
          <cell r="Z188">
            <v>119</v>
          </cell>
          <cell r="AA188">
            <v>0</v>
          </cell>
          <cell r="AB188">
            <v>0</v>
          </cell>
          <cell r="AC188">
            <v>0</v>
          </cell>
          <cell r="AD188">
            <v>45703</v>
          </cell>
          <cell r="AE188">
            <v>20</v>
          </cell>
          <cell r="AF188">
            <v>46022</v>
          </cell>
          <cell r="AG188">
            <v>117</v>
          </cell>
          <cell r="AH188">
            <v>0</v>
          </cell>
          <cell r="AI188">
            <v>117</v>
          </cell>
          <cell r="AJ188">
            <v>119</v>
          </cell>
          <cell r="AK188">
            <v>0</v>
          </cell>
          <cell r="AL188">
            <v>0</v>
          </cell>
          <cell r="AM188">
            <v>2</v>
          </cell>
          <cell r="AN188">
            <v>0</v>
          </cell>
          <cell r="AO188">
            <v>2</v>
          </cell>
          <cell r="AP188">
            <v>0</v>
          </cell>
          <cell r="AQ188">
            <v>2</v>
          </cell>
          <cell r="AR188" t="str">
            <v>US_24479</v>
          </cell>
          <cell r="AS188">
            <v>0</v>
          </cell>
          <cell r="AT188">
            <v>160</v>
          </cell>
          <cell r="AU188">
            <v>160</v>
          </cell>
          <cell r="AV188">
            <v>0</v>
          </cell>
          <cell r="AW188">
            <v>320</v>
          </cell>
          <cell r="AX188">
            <v>320</v>
          </cell>
          <cell r="AY188">
            <v>320</v>
          </cell>
          <cell r="AZ188">
            <v>0</v>
          </cell>
          <cell r="BA188">
            <v>0</v>
          </cell>
          <cell r="BB188">
            <v>0</v>
          </cell>
          <cell r="BD188">
            <v>320</v>
          </cell>
          <cell r="BF188">
            <v>320</v>
          </cell>
          <cell r="BG188">
            <v>19040</v>
          </cell>
          <cell r="BH188">
            <v>19040</v>
          </cell>
          <cell r="BI188">
            <v>18720</v>
          </cell>
          <cell r="BJ188">
            <v>0</v>
          </cell>
          <cell r="BK188">
            <v>0</v>
          </cell>
          <cell r="BL188">
            <v>0</v>
          </cell>
          <cell r="BM188">
            <v>18720</v>
          </cell>
          <cell r="BN188">
            <v>0</v>
          </cell>
          <cell r="BO188">
            <v>320</v>
          </cell>
          <cell r="BP188" t="str">
            <v>Y</v>
          </cell>
          <cell r="BQ188">
            <v>1</v>
          </cell>
          <cell r="BR188" t="str">
            <v>Y</v>
          </cell>
          <cell r="BS188">
            <v>0</v>
          </cell>
          <cell r="BT188" t="str">
            <v>Done</v>
          </cell>
          <cell r="BU188">
            <v>160</v>
          </cell>
          <cell r="BV188">
            <v>2024</v>
          </cell>
        </row>
        <row r="189">
          <cell r="A189" t="str">
            <v>Noida</v>
          </cell>
          <cell r="B189" t="str">
            <v>Noida IT</v>
          </cell>
          <cell r="C189" t="str">
            <v>Mid Level</v>
          </cell>
          <cell r="D189" t="str">
            <v>Akash Saxena</v>
          </cell>
          <cell r="E189" t="str">
            <v>-</v>
          </cell>
          <cell r="H189" t="str">
            <v>Pass Through</v>
          </cell>
          <cell r="K189">
            <v>0</v>
          </cell>
          <cell r="L189" t="str">
            <v>Old</v>
          </cell>
          <cell r="M189">
            <v>45568</v>
          </cell>
          <cell r="N189">
            <v>4</v>
          </cell>
          <cell r="O189">
            <v>478</v>
          </cell>
          <cell r="P189">
            <v>45793</v>
          </cell>
          <cell r="Q189">
            <v>45933</v>
          </cell>
          <cell r="R189" t="str">
            <v>PLC-Passthrough</v>
          </cell>
          <cell r="S189" t="str">
            <v>Gunasekar Rajendran</v>
          </cell>
          <cell r="T189" t="str">
            <v>Individual</v>
          </cell>
          <cell r="U189" t="str">
            <v>C2C</v>
          </cell>
          <cell r="V189" t="str">
            <v>Citius Tech</v>
          </cell>
          <cell r="W189">
            <v>117</v>
          </cell>
          <cell r="X189">
            <v>0</v>
          </cell>
          <cell r="Y189" t="str">
            <v>USD</v>
          </cell>
          <cell r="Z189">
            <v>119</v>
          </cell>
          <cell r="AA189">
            <v>0</v>
          </cell>
          <cell r="AB189">
            <v>0</v>
          </cell>
          <cell r="AC189">
            <v>0</v>
          </cell>
          <cell r="AD189">
            <v>45731</v>
          </cell>
          <cell r="AE189">
            <v>21</v>
          </cell>
          <cell r="AF189">
            <v>46022</v>
          </cell>
          <cell r="AG189">
            <v>117</v>
          </cell>
          <cell r="AH189">
            <v>0</v>
          </cell>
          <cell r="AI189">
            <v>117</v>
          </cell>
          <cell r="AJ189">
            <v>119</v>
          </cell>
          <cell r="AK189">
            <v>0</v>
          </cell>
          <cell r="AL189">
            <v>0</v>
          </cell>
          <cell r="AM189">
            <v>2</v>
          </cell>
          <cell r="AN189">
            <v>0</v>
          </cell>
          <cell r="AO189">
            <v>2</v>
          </cell>
          <cell r="AP189">
            <v>0</v>
          </cell>
          <cell r="AQ189">
            <v>2</v>
          </cell>
          <cell r="AR189" t="str">
            <v>US_24665</v>
          </cell>
          <cell r="AS189">
            <v>0</v>
          </cell>
          <cell r="AT189">
            <v>168</v>
          </cell>
          <cell r="AU189">
            <v>168</v>
          </cell>
          <cell r="AV189">
            <v>0</v>
          </cell>
          <cell r="AW189">
            <v>336</v>
          </cell>
          <cell r="AX189">
            <v>336</v>
          </cell>
          <cell r="AY189">
            <v>336</v>
          </cell>
          <cell r="AZ189">
            <v>0</v>
          </cell>
          <cell r="BA189">
            <v>0</v>
          </cell>
          <cell r="BB189">
            <v>0</v>
          </cell>
          <cell r="BD189">
            <v>336</v>
          </cell>
          <cell r="BF189">
            <v>336</v>
          </cell>
          <cell r="BG189">
            <v>19992</v>
          </cell>
          <cell r="BH189">
            <v>19992</v>
          </cell>
          <cell r="BI189">
            <v>19656</v>
          </cell>
          <cell r="BJ189">
            <v>0</v>
          </cell>
          <cell r="BK189">
            <v>0</v>
          </cell>
          <cell r="BL189">
            <v>0</v>
          </cell>
          <cell r="BM189">
            <v>19656</v>
          </cell>
          <cell r="BN189">
            <v>0</v>
          </cell>
          <cell r="BO189">
            <v>336</v>
          </cell>
          <cell r="BP189" t="str">
            <v>Y</v>
          </cell>
          <cell r="BQ189">
            <v>1</v>
          </cell>
          <cell r="BR189" t="str">
            <v>Y</v>
          </cell>
          <cell r="BS189">
            <v>0</v>
          </cell>
          <cell r="BT189" t="str">
            <v>Done</v>
          </cell>
          <cell r="BU189">
            <v>168</v>
          </cell>
          <cell r="BV189">
            <v>2024</v>
          </cell>
        </row>
        <row r="190">
          <cell r="A190" t="str">
            <v>Noida</v>
          </cell>
          <cell r="B190" t="str">
            <v>Noida IT</v>
          </cell>
          <cell r="C190" t="str">
            <v>Mid Level</v>
          </cell>
          <cell r="D190" t="str">
            <v>Akash Saxena</v>
          </cell>
          <cell r="E190" t="str">
            <v>-</v>
          </cell>
          <cell r="H190" t="str">
            <v>Pass Through</v>
          </cell>
          <cell r="K190">
            <v>0</v>
          </cell>
          <cell r="L190" t="str">
            <v>Old</v>
          </cell>
          <cell r="M190">
            <v>45568</v>
          </cell>
          <cell r="N190">
            <v>4</v>
          </cell>
          <cell r="O190">
            <v>478</v>
          </cell>
          <cell r="P190">
            <v>45793</v>
          </cell>
          <cell r="Q190">
            <v>45933</v>
          </cell>
          <cell r="R190" t="str">
            <v>PLC-Passthrough</v>
          </cell>
          <cell r="S190" t="str">
            <v>Gunasekar Rajendran</v>
          </cell>
          <cell r="T190" t="str">
            <v>Individual</v>
          </cell>
          <cell r="U190" t="str">
            <v>C2C</v>
          </cell>
          <cell r="V190" t="str">
            <v>Citius Tech</v>
          </cell>
          <cell r="W190">
            <v>117</v>
          </cell>
          <cell r="X190">
            <v>0</v>
          </cell>
          <cell r="Y190" t="str">
            <v>USD</v>
          </cell>
          <cell r="Z190">
            <v>119</v>
          </cell>
          <cell r="AA190">
            <v>0</v>
          </cell>
          <cell r="AB190">
            <v>0</v>
          </cell>
          <cell r="AC190">
            <v>0</v>
          </cell>
          <cell r="AD190">
            <v>45762</v>
          </cell>
          <cell r="AE190">
            <v>22</v>
          </cell>
          <cell r="AF190">
            <v>46022</v>
          </cell>
          <cell r="AG190">
            <v>117</v>
          </cell>
          <cell r="AH190">
            <v>0</v>
          </cell>
          <cell r="AI190">
            <v>117</v>
          </cell>
          <cell r="AJ190">
            <v>119</v>
          </cell>
          <cell r="AK190">
            <v>0</v>
          </cell>
          <cell r="AL190">
            <v>0</v>
          </cell>
          <cell r="AM190">
            <v>2</v>
          </cell>
          <cell r="AN190">
            <v>0</v>
          </cell>
          <cell r="AO190">
            <v>2</v>
          </cell>
          <cell r="AP190">
            <v>0</v>
          </cell>
          <cell r="AQ190">
            <v>2</v>
          </cell>
          <cell r="AR190" t="str">
            <v>US_24870</v>
          </cell>
          <cell r="AS190">
            <v>0</v>
          </cell>
          <cell r="AT190">
            <v>176</v>
          </cell>
          <cell r="AU190">
            <v>176</v>
          </cell>
          <cell r="AV190">
            <v>0</v>
          </cell>
          <cell r="AW190">
            <v>352</v>
          </cell>
          <cell r="AX190">
            <v>352</v>
          </cell>
          <cell r="AY190">
            <v>352</v>
          </cell>
          <cell r="AZ190">
            <v>0</v>
          </cell>
          <cell r="BA190">
            <v>0</v>
          </cell>
          <cell r="BB190">
            <v>0</v>
          </cell>
          <cell r="BD190">
            <v>352</v>
          </cell>
          <cell r="BF190">
            <v>352</v>
          </cell>
          <cell r="BG190">
            <v>20944</v>
          </cell>
          <cell r="BH190">
            <v>20944</v>
          </cell>
          <cell r="BI190">
            <v>20592</v>
          </cell>
          <cell r="BJ190">
            <v>0</v>
          </cell>
          <cell r="BK190">
            <v>0</v>
          </cell>
          <cell r="BL190">
            <v>0</v>
          </cell>
          <cell r="BM190">
            <v>20592</v>
          </cell>
          <cell r="BN190">
            <v>0</v>
          </cell>
          <cell r="BO190">
            <v>352</v>
          </cell>
          <cell r="BP190" t="str">
            <v>Y</v>
          </cell>
          <cell r="BQ190">
            <v>2</v>
          </cell>
          <cell r="BR190" t="str">
            <v>Y</v>
          </cell>
          <cell r="BS190">
            <v>0</v>
          </cell>
          <cell r="BT190" t="str">
            <v>Done</v>
          </cell>
          <cell r="BU190">
            <v>176</v>
          </cell>
          <cell r="BV190">
            <v>2024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Rohit Gupta</v>
          </cell>
          <cell r="E191" t="str">
            <v>-</v>
          </cell>
          <cell r="H191" t="str">
            <v>Abhishek Mishra_M</v>
          </cell>
          <cell r="K191">
            <v>0</v>
          </cell>
          <cell r="L191" t="str">
            <v>Old</v>
          </cell>
          <cell r="M191">
            <v>45644</v>
          </cell>
          <cell r="N191">
            <v>4</v>
          </cell>
          <cell r="O191">
            <v>402</v>
          </cell>
          <cell r="P191">
            <v>45714</v>
          </cell>
          <cell r="Q191">
            <v>46009</v>
          </cell>
          <cell r="R191" t="str">
            <v>PLC-4056</v>
          </cell>
          <cell r="S191" t="str">
            <v>Harikrishna Pathipati</v>
          </cell>
          <cell r="T191" t="str">
            <v>Individual</v>
          </cell>
          <cell r="U191" t="str">
            <v>C2C</v>
          </cell>
          <cell r="V191" t="str">
            <v>Coforge</v>
          </cell>
          <cell r="W191">
            <v>95</v>
          </cell>
          <cell r="X191">
            <v>0</v>
          </cell>
          <cell r="Y191" t="str">
            <v>USD</v>
          </cell>
          <cell r="Z191">
            <v>105</v>
          </cell>
          <cell r="AA191">
            <v>0</v>
          </cell>
          <cell r="AB191">
            <v>0</v>
          </cell>
          <cell r="AC191">
            <v>0</v>
          </cell>
          <cell r="AD191">
            <v>45672</v>
          </cell>
          <cell r="AE191">
            <v>22</v>
          </cell>
          <cell r="AF191">
            <v>46022</v>
          </cell>
          <cell r="AG191">
            <v>95</v>
          </cell>
          <cell r="AH191">
            <v>0</v>
          </cell>
          <cell r="AI191">
            <v>95</v>
          </cell>
          <cell r="AJ191">
            <v>105</v>
          </cell>
          <cell r="AK191">
            <v>0</v>
          </cell>
          <cell r="AL191">
            <v>0</v>
          </cell>
          <cell r="AM191">
            <v>10</v>
          </cell>
          <cell r="AN191">
            <v>0</v>
          </cell>
          <cell r="AO191">
            <v>10</v>
          </cell>
          <cell r="AP191">
            <v>0</v>
          </cell>
          <cell r="AQ191">
            <v>10</v>
          </cell>
          <cell r="AR191" t="str">
            <v>US_24316</v>
          </cell>
          <cell r="AS191">
            <v>0</v>
          </cell>
          <cell r="AT191">
            <v>168</v>
          </cell>
          <cell r="AU191">
            <v>168</v>
          </cell>
          <cell r="AV191">
            <v>0</v>
          </cell>
          <cell r="AW191">
            <v>1680</v>
          </cell>
          <cell r="AX191">
            <v>1680</v>
          </cell>
          <cell r="AY191">
            <v>1680</v>
          </cell>
          <cell r="AZ191">
            <v>28.571428571428569</v>
          </cell>
          <cell r="BA191">
            <v>16</v>
          </cell>
          <cell r="BB191">
            <v>2688</v>
          </cell>
          <cell r="BC191">
            <v>38.28125</v>
          </cell>
          <cell r="BD191">
            <v>1680</v>
          </cell>
          <cell r="BE191">
            <v>1344</v>
          </cell>
          <cell r="BF191">
            <v>1680</v>
          </cell>
          <cell r="BG191">
            <v>17640</v>
          </cell>
          <cell r="BH191">
            <v>17640</v>
          </cell>
          <cell r="BI191">
            <v>15960</v>
          </cell>
          <cell r="BJ191">
            <v>0</v>
          </cell>
          <cell r="BK191">
            <v>0</v>
          </cell>
          <cell r="BL191">
            <v>0</v>
          </cell>
          <cell r="BM191">
            <v>15960</v>
          </cell>
          <cell r="BN191">
            <v>0</v>
          </cell>
          <cell r="BO191">
            <v>1680</v>
          </cell>
          <cell r="BP191" t="str">
            <v>Y</v>
          </cell>
          <cell r="BQ191">
            <v>1</v>
          </cell>
          <cell r="BR191" t="str">
            <v>N</v>
          </cell>
          <cell r="BS191">
            <v>2688</v>
          </cell>
          <cell r="BT191" t="str">
            <v>Done</v>
          </cell>
          <cell r="BU191">
            <v>168</v>
          </cell>
          <cell r="BV191">
            <v>2024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Rohit Gupta</v>
          </cell>
          <cell r="E192" t="str">
            <v>-</v>
          </cell>
          <cell r="H192" t="str">
            <v>Abhishek Mishra_M</v>
          </cell>
          <cell r="K192">
            <v>0</v>
          </cell>
          <cell r="L192" t="str">
            <v>Old</v>
          </cell>
          <cell r="M192">
            <v>45644</v>
          </cell>
          <cell r="N192">
            <v>4</v>
          </cell>
          <cell r="O192">
            <v>402</v>
          </cell>
          <cell r="P192">
            <v>45714</v>
          </cell>
          <cell r="Q192">
            <v>46009</v>
          </cell>
          <cell r="R192" t="str">
            <v>PLC-4056</v>
          </cell>
          <cell r="S192" t="str">
            <v>Harikrishna Pathipati</v>
          </cell>
          <cell r="T192" t="str">
            <v>Individual</v>
          </cell>
          <cell r="U192" t="str">
            <v>C2C</v>
          </cell>
          <cell r="V192" t="str">
            <v>Coforge</v>
          </cell>
          <cell r="W192">
            <v>95</v>
          </cell>
          <cell r="X192">
            <v>0</v>
          </cell>
          <cell r="Y192" t="str">
            <v>USD</v>
          </cell>
          <cell r="Z192">
            <v>105</v>
          </cell>
          <cell r="AA192">
            <v>0</v>
          </cell>
          <cell r="AB192">
            <v>0</v>
          </cell>
          <cell r="AC192">
            <v>0</v>
          </cell>
          <cell r="AD192">
            <v>45703</v>
          </cell>
          <cell r="AE192">
            <v>20</v>
          </cell>
          <cell r="AF192">
            <v>46022</v>
          </cell>
          <cell r="AG192">
            <v>95</v>
          </cell>
          <cell r="AH192">
            <v>0</v>
          </cell>
          <cell r="AI192">
            <v>95</v>
          </cell>
          <cell r="AJ192">
            <v>105</v>
          </cell>
          <cell r="AK192">
            <v>0</v>
          </cell>
          <cell r="AL192">
            <v>0</v>
          </cell>
          <cell r="AM192">
            <v>10</v>
          </cell>
          <cell r="AN192">
            <v>0</v>
          </cell>
          <cell r="AO192">
            <v>10</v>
          </cell>
          <cell r="AP192">
            <v>0</v>
          </cell>
          <cell r="AQ192">
            <v>10</v>
          </cell>
          <cell r="AR192" t="str">
            <v>US_24512</v>
          </cell>
          <cell r="AS192">
            <v>0</v>
          </cell>
          <cell r="AT192">
            <v>136</v>
          </cell>
          <cell r="AU192">
            <v>136</v>
          </cell>
          <cell r="AV192">
            <v>0</v>
          </cell>
          <cell r="AW192">
            <v>1360</v>
          </cell>
          <cell r="AX192">
            <v>1360</v>
          </cell>
          <cell r="AY192">
            <v>1360</v>
          </cell>
          <cell r="AZ192">
            <v>28.571428571428569</v>
          </cell>
          <cell r="BA192">
            <v>16</v>
          </cell>
          <cell r="BB192">
            <v>2176</v>
          </cell>
          <cell r="BC192">
            <v>38.28125</v>
          </cell>
          <cell r="BD192">
            <v>1360</v>
          </cell>
          <cell r="BE192">
            <v>1088</v>
          </cell>
          <cell r="BF192">
            <v>1360</v>
          </cell>
          <cell r="BG192">
            <v>14280</v>
          </cell>
          <cell r="BH192">
            <v>14280</v>
          </cell>
          <cell r="BI192">
            <v>12920</v>
          </cell>
          <cell r="BJ192">
            <v>0</v>
          </cell>
          <cell r="BK192">
            <v>0</v>
          </cell>
          <cell r="BL192">
            <v>0</v>
          </cell>
          <cell r="BM192">
            <v>12920</v>
          </cell>
          <cell r="BN192">
            <v>0</v>
          </cell>
          <cell r="BO192">
            <v>1360</v>
          </cell>
          <cell r="BP192" t="str">
            <v>Y</v>
          </cell>
          <cell r="BQ192">
            <v>1</v>
          </cell>
          <cell r="BR192" t="str">
            <v>N</v>
          </cell>
          <cell r="BS192">
            <v>2176</v>
          </cell>
          <cell r="BT192" t="str">
            <v>Done</v>
          </cell>
          <cell r="BU192">
            <v>136</v>
          </cell>
          <cell r="BV192">
            <v>2024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H193" t="str">
            <v>Pass Through</v>
          </cell>
          <cell r="J193" t="str">
            <v>ACH</v>
          </cell>
          <cell r="K193">
            <v>0</v>
          </cell>
          <cell r="L193" t="str">
            <v>Old</v>
          </cell>
          <cell r="M193">
            <v>45519</v>
          </cell>
          <cell r="N193">
            <v>3</v>
          </cell>
          <cell r="O193">
            <v>527</v>
          </cell>
          <cell r="P193" t="str">
            <v>-</v>
          </cell>
          <cell r="Q193">
            <v>45884</v>
          </cell>
          <cell r="R193" t="str">
            <v>PLC-Passthrough</v>
          </cell>
          <cell r="S193" t="str">
            <v>Harinder Singh</v>
          </cell>
          <cell r="T193" t="str">
            <v>Individual</v>
          </cell>
          <cell r="U193" t="str">
            <v>C2C</v>
          </cell>
          <cell r="V193" t="str">
            <v>Coforge</v>
          </cell>
          <cell r="W193">
            <v>69</v>
          </cell>
          <cell r="X193">
            <v>0</v>
          </cell>
          <cell r="Y193" t="str">
            <v>USD</v>
          </cell>
          <cell r="Z193">
            <v>72</v>
          </cell>
          <cell r="AA193">
            <v>0</v>
          </cell>
          <cell r="AB193">
            <v>0</v>
          </cell>
          <cell r="AC193">
            <v>0</v>
          </cell>
          <cell r="AD193">
            <v>45672</v>
          </cell>
          <cell r="AE193">
            <v>23</v>
          </cell>
          <cell r="AF193">
            <v>46022</v>
          </cell>
          <cell r="AG193">
            <v>69</v>
          </cell>
          <cell r="AH193">
            <v>0</v>
          </cell>
          <cell r="AI193">
            <v>69</v>
          </cell>
          <cell r="AJ193">
            <v>72</v>
          </cell>
          <cell r="AK193">
            <v>0</v>
          </cell>
          <cell r="AL193">
            <v>0</v>
          </cell>
          <cell r="AM193">
            <v>3</v>
          </cell>
          <cell r="AN193">
            <v>0</v>
          </cell>
          <cell r="AO193">
            <v>3</v>
          </cell>
          <cell r="AP193">
            <v>0</v>
          </cell>
          <cell r="AQ193">
            <v>3</v>
          </cell>
          <cell r="AR193" t="str">
            <v>US_24267</v>
          </cell>
          <cell r="AS193">
            <v>0</v>
          </cell>
          <cell r="AT193">
            <v>160</v>
          </cell>
          <cell r="AU193">
            <v>160</v>
          </cell>
          <cell r="AV193">
            <v>0</v>
          </cell>
          <cell r="AW193">
            <v>480</v>
          </cell>
          <cell r="AX193">
            <v>475.2</v>
          </cell>
          <cell r="AY193">
            <v>480</v>
          </cell>
          <cell r="AZ193">
            <v>0</v>
          </cell>
          <cell r="BA193">
            <v>0</v>
          </cell>
          <cell r="BB193">
            <v>0</v>
          </cell>
          <cell r="BD193">
            <v>480</v>
          </cell>
          <cell r="BF193">
            <v>475.2</v>
          </cell>
          <cell r="BG193">
            <v>11520</v>
          </cell>
          <cell r="BH193">
            <v>11520</v>
          </cell>
          <cell r="BI193">
            <v>11040</v>
          </cell>
          <cell r="BJ193">
            <v>0</v>
          </cell>
          <cell r="BK193">
            <v>0</v>
          </cell>
          <cell r="BL193">
            <v>0</v>
          </cell>
          <cell r="BM193">
            <v>11040</v>
          </cell>
          <cell r="BN193">
            <v>0</v>
          </cell>
          <cell r="BO193">
            <v>480</v>
          </cell>
          <cell r="BP193" t="str">
            <v>Y</v>
          </cell>
          <cell r="BQ193">
            <v>1</v>
          </cell>
          <cell r="BR193" t="str">
            <v>Y</v>
          </cell>
          <cell r="BS193">
            <v>0</v>
          </cell>
          <cell r="BT193" t="str">
            <v>Done</v>
          </cell>
          <cell r="BU193">
            <v>160</v>
          </cell>
          <cell r="BV193">
            <v>2024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H194" t="str">
            <v>Pass Through</v>
          </cell>
          <cell r="J194" t="str">
            <v>ACH</v>
          </cell>
          <cell r="K194">
            <v>0</v>
          </cell>
          <cell r="L194" t="str">
            <v>Old</v>
          </cell>
          <cell r="M194">
            <v>45519</v>
          </cell>
          <cell r="N194">
            <v>3</v>
          </cell>
          <cell r="O194">
            <v>527</v>
          </cell>
          <cell r="P194" t="str">
            <v>-</v>
          </cell>
          <cell r="Q194">
            <v>45884</v>
          </cell>
          <cell r="R194" t="str">
            <v>PLC-Passthrough</v>
          </cell>
          <cell r="S194" t="str">
            <v>Harinder Singh</v>
          </cell>
          <cell r="T194" t="str">
            <v>Individual</v>
          </cell>
          <cell r="U194" t="str">
            <v>C2C</v>
          </cell>
          <cell r="V194" t="str">
            <v>Coforge</v>
          </cell>
          <cell r="W194">
            <v>69</v>
          </cell>
          <cell r="X194">
            <v>0</v>
          </cell>
          <cell r="Y194" t="str">
            <v>USD</v>
          </cell>
          <cell r="Z194">
            <v>72</v>
          </cell>
          <cell r="AA194">
            <v>0</v>
          </cell>
          <cell r="AB194">
            <v>0</v>
          </cell>
          <cell r="AC194">
            <v>0</v>
          </cell>
          <cell r="AD194">
            <v>45703</v>
          </cell>
          <cell r="AE194">
            <v>20</v>
          </cell>
          <cell r="AF194">
            <v>46022</v>
          </cell>
          <cell r="AG194">
            <v>69</v>
          </cell>
          <cell r="AH194">
            <v>0</v>
          </cell>
          <cell r="AI194">
            <v>69</v>
          </cell>
          <cell r="AJ194">
            <v>72</v>
          </cell>
          <cell r="AK194">
            <v>0</v>
          </cell>
          <cell r="AL194">
            <v>0</v>
          </cell>
          <cell r="AM194">
            <v>3</v>
          </cell>
          <cell r="AN194">
            <v>0</v>
          </cell>
          <cell r="AO194">
            <v>3</v>
          </cell>
          <cell r="AP194">
            <v>0</v>
          </cell>
          <cell r="AQ194">
            <v>3</v>
          </cell>
          <cell r="AR194" t="str">
            <v>US_24468</v>
          </cell>
          <cell r="AS194">
            <v>0</v>
          </cell>
          <cell r="AT194">
            <v>152</v>
          </cell>
          <cell r="AU194">
            <v>152</v>
          </cell>
          <cell r="AV194">
            <v>0</v>
          </cell>
          <cell r="AW194">
            <v>456</v>
          </cell>
          <cell r="AX194">
            <v>451.44</v>
          </cell>
          <cell r="AY194">
            <v>456</v>
          </cell>
          <cell r="AZ194">
            <v>0</v>
          </cell>
          <cell r="BA194">
            <v>0</v>
          </cell>
          <cell r="BB194">
            <v>0</v>
          </cell>
          <cell r="BD194">
            <v>456</v>
          </cell>
          <cell r="BF194">
            <v>451.44</v>
          </cell>
          <cell r="BG194">
            <v>10944</v>
          </cell>
          <cell r="BH194">
            <v>10944</v>
          </cell>
          <cell r="BI194">
            <v>10488</v>
          </cell>
          <cell r="BJ194">
            <v>0</v>
          </cell>
          <cell r="BK194">
            <v>0</v>
          </cell>
          <cell r="BL194">
            <v>0</v>
          </cell>
          <cell r="BM194">
            <v>10488</v>
          </cell>
          <cell r="BN194">
            <v>0</v>
          </cell>
          <cell r="BO194">
            <v>456</v>
          </cell>
          <cell r="BP194" t="str">
            <v>Y</v>
          </cell>
          <cell r="BQ194">
            <v>1</v>
          </cell>
          <cell r="BR194" t="str">
            <v>Y</v>
          </cell>
          <cell r="BS194">
            <v>0</v>
          </cell>
          <cell r="BT194" t="str">
            <v>Done</v>
          </cell>
          <cell r="BU194">
            <v>152</v>
          </cell>
          <cell r="BV194">
            <v>2024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H195" t="str">
            <v>Pass Through</v>
          </cell>
          <cell r="J195" t="str">
            <v>ACH</v>
          </cell>
          <cell r="K195">
            <v>0</v>
          </cell>
          <cell r="L195" t="str">
            <v>Old</v>
          </cell>
          <cell r="M195">
            <v>45519</v>
          </cell>
          <cell r="N195">
            <v>3</v>
          </cell>
          <cell r="O195">
            <v>527</v>
          </cell>
          <cell r="P195" t="str">
            <v>-</v>
          </cell>
          <cell r="Q195">
            <v>45884</v>
          </cell>
          <cell r="R195" t="str">
            <v>PLC-Passthrough</v>
          </cell>
          <cell r="S195" t="str">
            <v>Harinder Singh</v>
          </cell>
          <cell r="T195" t="str">
            <v>Individual</v>
          </cell>
          <cell r="U195" t="str">
            <v>C2C</v>
          </cell>
          <cell r="V195" t="str">
            <v>Coforge</v>
          </cell>
          <cell r="W195">
            <v>69</v>
          </cell>
          <cell r="X195">
            <v>0</v>
          </cell>
          <cell r="Y195" t="str">
            <v>USD</v>
          </cell>
          <cell r="Z195">
            <v>72</v>
          </cell>
          <cell r="AA195">
            <v>0</v>
          </cell>
          <cell r="AB195">
            <v>0</v>
          </cell>
          <cell r="AC195">
            <v>0</v>
          </cell>
          <cell r="AD195">
            <v>45731</v>
          </cell>
          <cell r="AE195">
            <v>21</v>
          </cell>
          <cell r="AF195">
            <v>46022</v>
          </cell>
          <cell r="AG195">
            <v>69</v>
          </cell>
          <cell r="AH195">
            <v>0</v>
          </cell>
          <cell r="AI195">
            <v>69</v>
          </cell>
          <cell r="AJ195">
            <v>72</v>
          </cell>
          <cell r="AK195">
            <v>0</v>
          </cell>
          <cell r="AL195">
            <v>0</v>
          </cell>
          <cell r="AM195">
            <v>3</v>
          </cell>
          <cell r="AN195">
            <v>0</v>
          </cell>
          <cell r="AO195">
            <v>3</v>
          </cell>
          <cell r="AP195">
            <v>0</v>
          </cell>
          <cell r="AQ195">
            <v>3</v>
          </cell>
          <cell r="AR195" t="str">
            <v>US_24655</v>
          </cell>
          <cell r="AS195">
            <v>0</v>
          </cell>
          <cell r="AT195">
            <v>168</v>
          </cell>
          <cell r="AU195">
            <v>168</v>
          </cell>
          <cell r="AV195">
            <v>0</v>
          </cell>
          <cell r="AW195">
            <v>504</v>
          </cell>
          <cell r="AX195">
            <v>498.96</v>
          </cell>
          <cell r="AY195">
            <v>504</v>
          </cell>
          <cell r="AZ195">
            <v>0</v>
          </cell>
          <cell r="BA195">
            <v>0</v>
          </cell>
          <cell r="BB195">
            <v>0</v>
          </cell>
          <cell r="BD195">
            <v>504</v>
          </cell>
          <cell r="BF195">
            <v>498.96</v>
          </cell>
          <cell r="BG195">
            <v>12096</v>
          </cell>
          <cell r="BH195">
            <v>12096</v>
          </cell>
          <cell r="BI195">
            <v>11592</v>
          </cell>
          <cell r="BJ195">
            <v>0</v>
          </cell>
          <cell r="BK195">
            <v>0</v>
          </cell>
          <cell r="BL195">
            <v>0</v>
          </cell>
          <cell r="BM195">
            <v>11592</v>
          </cell>
          <cell r="BN195">
            <v>0</v>
          </cell>
          <cell r="BO195">
            <v>504</v>
          </cell>
          <cell r="BP195" t="str">
            <v>Y</v>
          </cell>
          <cell r="BQ195">
            <v>1</v>
          </cell>
          <cell r="BR195" t="str">
            <v>Y</v>
          </cell>
          <cell r="BS195">
            <v>0</v>
          </cell>
          <cell r="BT195" t="str">
            <v>Done</v>
          </cell>
          <cell r="BU195">
            <v>168</v>
          </cell>
          <cell r="BV195">
            <v>2024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H196" t="str">
            <v>Pass Through</v>
          </cell>
          <cell r="J196" t="str">
            <v>ACH</v>
          </cell>
          <cell r="K196">
            <v>0</v>
          </cell>
          <cell r="L196" t="str">
            <v>Old</v>
          </cell>
          <cell r="M196">
            <v>45519</v>
          </cell>
          <cell r="N196">
            <v>3</v>
          </cell>
          <cell r="O196">
            <v>527</v>
          </cell>
          <cell r="P196" t="str">
            <v>-</v>
          </cell>
          <cell r="Q196">
            <v>45884</v>
          </cell>
          <cell r="R196" t="str">
            <v>PLC-Passthrough</v>
          </cell>
          <cell r="S196" t="str">
            <v>Harinder Singh</v>
          </cell>
          <cell r="T196" t="str">
            <v>Individual</v>
          </cell>
          <cell r="U196" t="str">
            <v>C2C</v>
          </cell>
          <cell r="V196" t="str">
            <v>Coforge</v>
          </cell>
          <cell r="W196">
            <v>69</v>
          </cell>
          <cell r="X196">
            <v>0</v>
          </cell>
          <cell r="Y196" t="str">
            <v>USD</v>
          </cell>
          <cell r="Z196">
            <v>72</v>
          </cell>
          <cell r="AA196">
            <v>0</v>
          </cell>
          <cell r="AB196">
            <v>0</v>
          </cell>
          <cell r="AC196">
            <v>0</v>
          </cell>
          <cell r="AD196">
            <v>45762</v>
          </cell>
          <cell r="AE196">
            <v>22</v>
          </cell>
          <cell r="AF196">
            <v>46022</v>
          </cell>
          <cell r="AG196">
            <v>69</v>
          </cell>
          <cell r="AH196">
            <v>0</v>
          </cell>
          <cell r="AI196">
            <v>69</v>
          </cell>
          <cell r="AJ196">
            <v>72</v>
          </cell>
          <cell r="AK196">
            <v>0</v>
          </cell>
          <cell r="AL196">
            <v>0</v>
          </cell>
          <cell r="AM196">
            <v>3</v>
          </cell>
          <cell r="AN196">
            <v>0</v>
          </cell>
          <cell r="AO196">
            <v>3</v>
          </cell>
          <cell r="AP196">
            <v>0</v>
          </cell>
          <cell r="AQ196">
            <v>3</v>
          </cell>
          <cell r="AR196" t="str">
            <v>US_24860</v>
          </cell>
          <cell r="AS196">
            <v>0</v>
          </cell>
          <cell r="AT196">
            <v>176</v>
          </cell>
          <cell r="AU196">
            <v>176</v>
          </cell>
          <cell r="AV196">
            <v>0</v>
          </cell>
          <cell r="AW196">
            <v>528</v>
          </cell>
          <cell r="AX196">
            <v>522.72</v>
          </cell>
          <cell r="AY196">
            <v>528</v>
          </cell>
          <cell r="AZ196">
            <v>0</v>
          </cell>
          <cell r="BA196">
            <v>0</v>
          </cell>
          <cell r="BB196">
            <v>0</v>
          </cell>
          <cell r="BD196">
            <v>528</v>
          </cell>
          <cell r="BF196">
            <v>522.72</v>
          </cell>
          <cell r="BG196">
            <v>12672</v>
          </cell>
          <cell r="BH196">
            <v>12672</v>
          </cell>
          <cell r="BI196">
            <v>12144</v>
          </cell>
          <cell r="BJ196">
            <v>0</v>
          </cell>
          <cell r="BK196">
            <v>0</v>
          </cell>
          <cell r="BL196">
            <v>0</v>
          </cell>
          <cell r="BM196">
            <v>12144</v>
          </cell>
          <cell r="BN196">
            <v>0</v>
          </cell>
          <cell r="BO196">
            <v>528</v>
          </cell>
          <cell r="BP196" t="str">
            <v>Y</v>
          </cell>
          <cell r="BQ196">
            <v>2</v>
          </cell>
          <cell r="BR196" t="str">
            <v>Y</v>
          </cell>
          <cell r="BS196">
            <v>0</v>
          </cell>
          <cell r="BT196" t="str">
            <v>Done</v>
          </cell>
          <cell r="BU196">
            <v>176</v>
          </cell>
          <cell r="BV196">
            <v>2024</v>
          </cell>
        </row>
        <row r="197">
          <cell r="A197" t="str">
            <v>Lucknow</v>
          </cell>
          <cell r="B197" t="str">
            <v>Americas</v>
          </cell>
          <cell r="C197" t="str">
            <v>Mid Level</v>
          </cell>
          <cell r="D197" t="str">
            <v>Rajesh Khanna</v>
          </cell>
          <cell r="E197" t="str">
            <v>-</v>
          </cell>
          <cell r="H197" t="str">
            <v>Rajesh Khanna</v>
          </cell>
          <cell r="L197" t="str">
            <v>New</v>
          </cell>
          <cell r="M197">
            <v>45712</v>
          </cell>
          <cell r="N197">
            <v>1</v>
          </cell>
          <cell r="O197">
            <v>334</v>
          </cell>
          <cell r="P197" t="str">
            <v>-</v>
          </cell>
          <cell r="Q197">
            <v>46077</v>
          </cell>
          <cell r="S197" t="str">
            <v>Haritha Kunam</v>
          </cell>
          <cell r="T197" t="str">
            <v>Individual</v>
          </cell>
          <cell r="U197" t="str">
            <v>C2C</v>
          </cell>
          <cell r="V197" t="str">
            <v>Fanatics - Offshore</v>
          </cell>
          <cell r="W197">
            <v>0</v>
          </cell>
          <cell r="X197">
            <v>0</v>
          </cell>
          <cell r="Y197" t="str">
            <v>USD</v>
          </cell>
          <cell r="Z197">
            <v>38</v>
          </cell>
          <cell r="AA197">
            <v>0</v>
          </cell>
          <cell r="AB197">
            <v>0</v>
          </cell>
          <cell r="AC197">
            <v>0</v>
          </cell>
          <cell r="AD197">
            <v>45703</v>
          </cell>
          <cell r="AE197">
            <v>5</v>
          </cell>
          <cell r="AF197">
            <v>46022</v>
          </cell>
          <cell r="AG197">
            <v>0</v>
          </cell>
          <cell r="AH197">
            <v>0</v>
          </cell>
          <cell r="AI197">
            <v>0</v>
          </cell>
          <cell r="AJ197">
            <v>38</v>
          </cell>
          <cell r="AK197">
            <v>0</v>
          </cell>
          <cell r="AL197">
            <v>0</v>
          </cell>
          <cell r="AM197">
            <v>20</v>
          </cell>
          <cell r="AN197">
            <v>0</v>
          </cell>
          <cell r="AO197">
            <v>20</v>
          </cell>
          <cell r="AP197">
            <v>0</v>
          </cell>
          <cell r="AQ197">
            <v>20</v>
          </cell>
          <cell r="AR197" t="str">
            <v>US_24345</v>
          </cell>
          <cell r="AS197">
            <v>0</v>
          </cell>
          <cell r="AT197">
            <v>45</v>
          </cell>
          <cell r="AU197">
            <v>45</v>
          </cell>
          <cell r="AV197">
            <v>0</v>
          </cell>
          <cell r="AW197">
            <v>900</v>
          </cell>
          <cell r="AX197">
            <v>900</v>
          </cell>
          <cell r="AY197">
            <v>900</v>
          </cell>
          <cell r="AZ197">
            <v>0</v>
          </cell>
          <cell r="BA197">
            <v>0</v>
          </cell>
          <cell r="BB197">
            <v>0</v>
          </cell>
          <cell r="BF197">
            <v>900</v>
          </cell>
          <cell r="BG197">
            <v>1710</v>
          </cell>
          <cell r="BH197">
            <v>1710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1710</v>
          </cell>
          <cell r="BP197" t="str">
            <v>Y</v>
          </cell>
          <cell r="BQ197">
            <v>1</v>
          </cell>
          <cell r="BR197" t="str">
            <v>Y</v>
          </cell>
          <cell r="BS197">
            <v>0</v>
          </cell>
          <cell r="BT197" t="str">
            <v>Done</v>
          </cell>
          <cell r="BU197">
            <v>45</v>
          </cell>
          <cell r="BV197">
            <v>2025</v>
          </cell>
        </row>
        <row r="198">
          <cell r="A198" t="str">
            <v>Lucknow</v>
          </cell>
          <cell r="B198" t="str">
            <v>Americas</v>
          </cell>
          <cell r="C198" t="str">
            <v>Mid Level</v>
          </cell>
          <cell r="D198" t="str">
            <v>Rajesh Khanna</v>
          </cell>
          <cell r="E198" t="str">
            <v>-</v>
          </cell>
          <cell r="H198" t="str">
            <v>Rajesh Khanna</v>
          </cell>
          <cell r="L198" t="str">
            <v>New</v>
          </cell>
          <cell r="M198">
            <v>45712</v>
          </cell>
          <cell r="N198">
            <v>1</v>
          </cell>
          <cell r="O198">
            <v>334</v>
          </cell>
          <cell r="P198" t="str">
            <v>-</v>
          </cell>
          <cell r="Q198">
            <v>46077</v>
          </cell>
          <cell r="S198" t="str">
            <v>Haritha Kunam</v>
          </cell>
          <cell r="T198" t="str">
            <v>Individual</v>
          </cell>
          <cell r="U198" t="str">
            <v>C2C</v>
          </cell>
          <cell r="V198" t="str">
            <v>Fanatics - Offshore</v>
          </cell>
          <cell r="W198">
            <v>0</v>
          </cell>
          <cell r="X198">
            <v>0</v>
          </cell>
          <cell r="Y198" t="str">
            <v>USD</v>
          </cell>
          <cell r="Z198">
            <v>38</v>
          </cell>
          <cell r="AA198">
            <v>0</v>
          </cell>
          <cell r="AB198">
            <v>0</v>
          </cell>
          <cell r="AC198">
            <v>0</v>
          </cell>
          <cell r="AD198">
            <v>45731</v>
          </cell>
          <cell r="AE198">
            <v>22</v>
          </cell>
          <cell r="AF198">
            <v>46022</v>
          </cell>
          <cell r="AG198">
            <v>0</v>
          </cell>
          <cell r="AH198">
            <v>0</v>
          </cell>
          <cell r="AI198">
            <v>0</v>
          </cell>
          <cell r="AJ198">
            <v>38</v>
          </cell>
          <cell r="AK198">
            <v>0</v>
          </cell>
          <cell r="AL198">
            <v>0</v>
          </cell>
          <cell r="AM198">
            <v>20</v>
          </cell>
          <cell r="AN198">
            <v>0</v>
          </cell>
          <cell r="AO198">
            <v>20</v>
          </cell>
          <cell r="AP198">
            <v>0</v>
          </cell>
          <cell r="AQ198">
            <v>20</v>
          </cell>
          <cell r="AR198" t="str">
            <v>US_24543</v>
          </cell>
          <cell r="AS198">
            <v>0</v>
          </cell>
          <cell r="AT198">
            <v>180</v>
          </cell>
          <cell r="AU198">
            <v>180</v>
          </cell>
          <cell r="AV198">
            <v>0</v>
          </cell>
          <cell r="AW198">
            <v>3600</v>
          </cell>
          <cell r="AX198">
            <v>3600</v>
          </cell>
          <cell r="AY198">
            <v>3600</v>
          </cell>
          <cell r="AZ198">
            <v>0</v>
          </cell>
          <cell r="BA198">
            <v>0</v>
          </cell>
          <cell r="BB198">
            <v>0</v>
          </cell>
          <cell r="BF198">
            <v>3600</v>
          </cell>
          <cell r="BG198">
            <v>6840</v>
          </cell>
          <cell r="BH198">
            <v>6840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6840</v>
          </cell>
          <cell r="BP198" t="str">
            <v>Y</v>
          </cell>
          <cell r="BQ198">
            <v>1</v>
          </cell>
          <cell r="BR198" t="str">
            <v>Y</v>
          </cell>
          <cell r="BS198">
            <v>0</v>
          </cell>
          <cell r="BT198" t="str">
            <v>Done</v>
          </cell>
          <cell r="BU198">
            <v>180</v>
          </cell>
          <cell r="BV198">
            <v>2025</v>
          </cell>
        </row>
        <row r="199">
          <cell r="A199" t="str">
            <v>Lucknow</v>
          </cell>
          <cell r="B199" t="str">
            <v>Americas</v>
          </cell>
          <cell r="C199" t="str">
            <v>Mid Level</v>
          </cell>
          <cell r="D199" t="str">
            <v>Rajesh Khanna</v>
          </cell>
          <cell r="E199" t="str">
            <v>-</v>
          </cell>
          <cell r="H199" t="str">
            <v>Rajesh Khanna</v>
          </cell>
          <cell r="L199" t="str">
            <v>New</v>
          </cell>
          <cell r="M199">
            <v>45712</v>
          </cell>
          <cell r="N199">
            <v>1</v>
          </cell>
          <cell r="O199">
            <v>334</v>
          </cell>
          <cell r="P199" t="str">
            <v>-</v>
          </cell>
          <cell r="Q199">
            <v>46077</v>
          </cell>
          <cell r="S199" t="str">
            <v>Haritha Kunam</v>
          </cell>
          <cell r="T199" t="str">
            <v>Individual</v>
          </cell>
          <cell r="U199" t="str">
            <v>C2C</v>
          </cell>
          <cell r="V199" t="str">
            <v>Fanatics - Offshore</v>
          </cell>
          <cell r="W199">
            <v>0</v>
          </cell>
          <cell r="X199">
            <v>0</v>
          </cell>
          <cell r="Y199" t="str">
            <v>USD</v>
          </cell>
          <cell r="Z199">
            <v>38</v>
          </cell>
          <cell r="AA199">
            <v>0</v>
          </cell>
          <cell r="AB199">
            <v>0</v>
          </cell>
          <cell r="AC199">
            <v>0</v>
          </cell>
          <cell r="AD199">
            <v>45762</v>
          </cell>
          <cell r="AE199">
            <v>21</v>
          </cell>
          <cell r="AF199">
            <v>46022</v>
          </cell>
          <cell r="AG199">
            <v>0</v>
          </cell>
          <cell r="AH199">
            <v>0</v>
          </cell>
          <cell r="AI199">
            <v>0</v>
          </cell>
          <cell r="AJ199">
            <v>38</v>
          </cell>
          <cell r="AK199">
            <v>0</v>
          </cell>
          <cell r="AL199">
            <v>0</v>
          </cell>
          <cell r="AM199">
            <v>20</v>
          </cell>
          <cell r="AN199">
            <v>0</v>
          </cell>
          <cell r="AO199">
            <v>20</v>
          </cell>
          <cell r="AP199">
            <v>0</v>
          </cell>
          <cell r="AQ199">
            <v>20</v>
          </cell>
          <cell r="AR199" t="str">
            <v>US_24761</v>
          </cell>
          <cell r="AS199">
            <v>0</v>
          </cell>
          <cell r="AT199">
            <v>198</v>
          </cell>
          <cell r="AU199">
            <v>198</v>
          </cell>
          <cell r="AV199">
            <v>0</v>
          </cell>
          <cell r="AW199">
            <v>3960</v>
          </cell>
          <cell r="AX199">
            <v>3960</v>
          </cell>
          <cell r="AY199">
            <v>3960</v>
          </cell>
          <cell r="AZ199">
            <v>0</v>
          </cell>
          <cell r="BA199">
            <v>0</v>
          </cell>
          <cell r="BB199">
            <v>0</v>
          </cell>
          <cell r="BF199">
            <v>3960</v>
          </cell>
          <cell r="BG199">
            <v>7524</v>
          </cell>
          <cell r="BH199">
            <v>7524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7524</v>
          </cell>
          <cell r="BP199" t="str">
            <v>Y</v>
          </cell>
          <cell r="BQ199">
            <v>2</v>
          </cell>
          <cell r="BR199" t="str">
            <v>Y</v>
          </cell>
          <cell r="BS199">
            <v>0</v>
          </cell>
          <cell r="BT199" t="str">
            <v>Done</v>
          </cell>
          <cell r="BU199">
            <v>198</v>
          </cell>
          <cell r="BV199">
            <v>2025</v>
          </cell>
        </row>
        <row r="200">
          <cell r="A200" t="str">
            <v>Lucknow</v>
          </cell>
          <cell r="B200" t="str">
            <v>Vantedge</v>
          </cell>
          <cell r="C200" t="str">
            <v>Senior</v>
          </cell>
          <cell r="D200" t="str">
            <v>Raunak Tripathi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Ranjeet Kumar</v>
          </cell>
          <cell r="K200" t="str">
            <v>Raunak Tripathi</v>
          </cell>
          <cell r="L200" t="str">
            <v>New</v>
          </cell>
          <cell r="M200">
            <v>45754</v>
          </cell>
          <cell r="N200">
            <v>2</v>
          </cell>
          <cell r="O200">
            <v>292</v>
          </cell>
          <cell r="P200" t="str">
            <v>-</v>
          </cell>
          <cell r="Q200">
            <v>46119</v>
          </cell>
          <cell r="R200" t="str">
            <v>PLC-4214</v>
          </cell>
          <cell r="S200" t="str">
            <v>Helen Kim</v>
          </cell>
          <cell r="T200" t="str">
            <v>Individual</v>
          </cell>
          <cell r="U200" t="str">
            <v>FTE</v>
          </cell>
          <cell r="V200" t="str">
            <v>Coforge</v>
          </cell>
          <cell r="W200">
            <v>0</v>
          </cell>
          <cell r="X200">
            <v>0</v>
          </cell>
          <cell r="Y200" t="str">
            <v>USD</v>
          </cell>
          <cell r="Z200">
            <v>33000</v>
          </cell>
          <cell r="AA200">
            <v>0</v>
          </cell>
          <cell r="AB200">
            <v>0</v>
          </cell>
          <cell r="AC200">
            <v>0</v>
          </cell>
          <cell r="AD200">
            <v>45762</v>
          </cell>
          <cell r="AE200">
            <v>1</v>
          </cell>
          <cell r="AF200">
            <v>46022</v>
          </cell>
          <cell r="AG200">
            <v>0</v>
          </cell>
          <cell r="AH200">
            <v>0</v>
          </cell>
          <cell r="AI200">
            <v>0</v>
          </cell>
          <cell r="AJ200">
            <v>33000</v>
          </cell>
          <cell r="AK200">
            <v>0</v>
          </cell>
          <cell r="AL200">
            <v>0</v>
          </cell>
          <cell r="AM200">
            <v>33000</v>
          </cell>
          <cell r="AN200">
            <v>0</v>
          </cell>
          <cell r="AO200">
            <v>33000</v>
          </cell>
          <cell r="AP200">
            <v>0</v>
          </cell>
          <cell r="AQ200">
            <v>33000</v>
          </cell>
          <cell r="AR200" t="str">
            <v>US_24757</v>
          </cell>
          <cell r="AS200">
            <v>0</v>
          </cell>
          <cell r="AT200">
            <v>1</v>
          </cell>
          <cell r="AU200">
            <v>1</v>
          </cell>
          <cell r="AV200">
            <v>0</v>
          </cell>
          <cell r="AW200">
            <v>33000</v>
          </cell>
          <cell r="AX200">
            <v>33000</v>
          </cell>
          <cell r="AY200">
            <v>33000</v>
          </cell>
          <cell r="AZ200">
            <v>77</v>
          </cell>
          <cell r="BA200">
            <v>50160</v>
          </cell>
          <cell r="BB200">
            <v>50160</v>
          </cell>
          <cell r="BF200">
            <v>33000</v>
          </cell>
          <cell r="BG200">
            <v>33000</v>
          </cell>
          <cell r="BH200">
            <v>33000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33000</v>
          </cell>
          <cell r="BP200" t="str">
            <v>Y</v>
          </cell>
          <cell r="BQ200">
            <v>2</v>
          </cell>
          <cell r="BR200" t="str">
            <v>Y</v>
          </cell>
          <cell r="BS200">
            <v>50160</v>
          </cell>
          <cell r="BT200" t="str">
            <v>Done</v>
          </cell>
          <cell r="BU200">
            <v>0</v>
          </cell>
          <cell r="BV200">
            <v>2025</v>
          </cell>
        </row>
        <row r="201">
          <cell r="A201" t="str">
            <v>Chennai</v>
          </cell>
          <cell r="B201" t="str">
            <v>Chennai</v>
          </cell>
          <cell r="C201" t="str">
            <v>Mid Level</v>
          </cell>
          <cell r="D201" t="str">
            <v>Vinoth L</v>
          </cell>
          <cell r="E201" t="str">
            <v>-</v>
          </cell>
          <cell r="H201" t="str">
            <v>Pass Through</v>
          </cell>
          <cell r="L201" t="str">
            <v>New</v>
          </cell>
          <cell r="M201">
            <v>45733</v>
          </cell>
          <cell r="N201">
            <v>1</v>
          </cell>
          <cell r="O201">
            <v>313</v>
          </cell>
          <cell r="P201" t="str">
            <v>-</v>
          </cell>
          <cell r="Q201">
            <v>46098</v>
          </cell>
          <cell r="R201" t="str">
            <v>PLC-4202</v>
          </cell>
          <cell r="S201" t="str">
            <v>Hithaishi Ramakrishna</v>
          </cell>
          <cell r="T201" t="str">
            <v>Individual</v>
          </cell>
          <cell r="U201" t="str">
            <v>C2C</v>
          </cell>
          <cell r="V201" t="str">
            <v>Citius Tech</v>
          </cell>
          <cell r="W201">
            <v>55</v>
          </cell>
          <cell r="X201">
            <v>0</v>
          </cell>
          <cell r="Y201" t="str">
            <v>USD</v>
          </cell>
          <cell r="Z201">
            <v>57</v>
          </cell>
          <cell r="AA201">
            <v>0</v>
          </cell>
          <cell r="AB201">
            <v>0</v>
          </cell>
          <cell r="AC201">
            <v>0</v>
          </cell>
          <cell r="AD201">
            <v>45731</v>
          </cell>
          <cell r="AE201">
            <v>11</v>
          </cell>
          <cell r="AF201">
            <v>46022</v>
          </cell>
          <cell r="AG201">
            <v>55</v>
          </cell>
          <cell r="AH201">
            <v>0</v>
          </cell>
          <cell r="AI201">
            <v>55</v>
          </cell>
          <cell r="AJ201">
            <v>57</v>
          </cell>
          <cell r="AK201">
            <v>0</v>
          </cell>
          <cell r="AL201">
            <v>0</v>
          </cell>
          <cell r="AM201">
            <v>2</v>
          </cell>
          <cell r="AN201">
            <v>0</v>
          </cell>
          <cell r="AO201">
            <v>2</v>
          </cell>
          <cell r="AP201">
            <v>0</v>
          </cell>
          <cell r="AQ201">
            <v>2</v>
          </cell>
          <cell r="AR201" t="str">
            <v>US_24735</v>
          </cell>
          <cell r="AS201">
            <v>0</v>
          </cell>
          <cell r="AT201">
            <v>88</v>
          </cell>
          <cell r="AU201">
            <v>88</v>
          </cell>
          <cell r="AV201">
            <v>0</v>
          </cell>
          <cell r="AW201">
            <v>176</v>
          </cell>
          <cell r="AX201">
            <v>176</v>
          </cell>
          <cell r="AY201">
            <v>176</v>
          </cell>
          <cell r="AZ201">
            <v>0</v>
          </cell>
          <cell r="BA201">
            <v>0</v>
          </cell>
          <cell r="BB201">
            <v>0</v>
          </cell>
          <cell r="BC201">
            <v>67</v>
          </cell>
          <cell r="BD201">
            <v>176</v>
          </cell>
          <cell r="BE201">
            <v>211.2</v>
          </cell>
          <cell r="BF201">
            <v>176</v>
          </cell>
          <cell r="BG201">
            <v>5016</v>
          </cell>
          <cell r="BH201">
            <v>5016</v>
          </cell>
          <cell r="BI201">
            <v>4840</v>
          </cell>
          <cell r="BJ201">
            <v>0</v>
          </cell>
          <cell r="BK201">
            <v>0</v>
          </cell>
          <cell r="BL201">
            <v>0</v>
          </cell>
          <cell r="BM201">
            <v>4840</v>
          </cell>
          <cell r="BN201">
            <v>0</v>
          </cell>
          <cell r="BO201">
            <v>176</v>
          </cell>
          <cell r="BP201" t="str">
            <v>Y</v>
          </cell>
          <cell r="BQ201">
            <v>1</v>
          </cell>
          <cell r="BR201" t="str">
            <v>Y</v>
          </cell>
          <cell r="BS201">
            <v>0</v>
          </cell>
          <cell r="BT201" t="str">
            <v>Done</v>
          </cell>
          <cell r="BU201">
            <v>88</v>
          </cell>
          <cell r="BV201">
            <v>2025</v>
          </cell>
        </row>
        <row r="202">
          <cell r="A202" t="str">
            <v>Chennai</v>
          </cell>
          <cell r="B202" t="str">
            <v>Chennai</v>
          </cell>
          <cell r="C202" t="str">
            <v>Mid Level</v>
          </cell>
          <cell r="D202" t="str">
            <v>Vinoth L</v>
          </cell>
          <cell r="E202" t="str">
            <v>-</v>
          </cell>
          <cell r="H202" t="str">
            <v>Pass Through</v>
          </cell>
          <cell r="L202" t="str">
            <v>New</v>
          </cell>
          <cell r="M202">
            <v>45733</v>
          </cell>
          <cell r="N202">
            <v>1</v>
          </cell>
          <cell r="O202">
            <v>313</v>
          </cell>
          <cell r="P202" t="str">
            <v>-</v>
          </cell>
          <cell r="Q202">
            <v>46098</v>
          </cell>
          <cell r="R202" t="str">
            <v>PLC-4202</v>
          </cell>
          <cell r="S202" t="str">
            <v>Hithaishi Ramakrishna</v>
          </cell>
          <cell r="T202" t="str">
            <v>Individual</v>
          </cell>
          <cell r="U202" t="str">
            <v>C2C</v>
          </cell>
          <cell r="V202" t="str">
            <v>Citius Tech</v>
          </cell>
          <cell r="W202">
            <v>55</v>
          </cell>
          <cell r="X202">
            <v>0</v>
          </cell>
          <cell r="Y202" t="str">
            <v>USD</v>
          </cell>
          <cell r="Z202">
            <v>57</v>
          </cell>
          <cell r="AA202">
            <v>0</v>
          </cell>
          <cell r="AB202">
            <v>0</v>
          </cell>
          <cell r="AC202">
            <v>0</v>
          </cell>
          <cell r="AD202">
            <v>45762</v>
          </cell>
          <cell r="AE202">
            <v>22</v>
          </cell>
          <cell r="AF202">
            <v>46022</v>
          </cell>
          <cell r="AG202">
            <v>55</v>
          </cell>
          <cell r="AH202">
            <v>0</v>
          </cell>
          <cell r="AI202">
            <v>55</v>
          </cell>
          <cell r="AJ202">
            <v>57</v>
          </cell>
          <cell r="AK202">
            <v>0</v>
          </cell>
          <cell r="AL202">
            <v>0</v>
          </cell>
          <cell r="AM202">
            <v>2</v>
          </cell>
          <cell r="AN202">
            <v>0</v>
          </cell>
          <cell r="AO202">
            <v>2</v>
          </cell>
          <cell r="AP202">
            <v>0</v>
          </cell>
          <cell r="AQ202">
            <v>2</v>
          </cell>
          <cell r="AR202" t="str">
            <v>US_24914</v>
          </cell>
          <cell r="AS202">
            <v>0</v>
          </cell>
          <cell r="AT202">
            <v>176</v>
          </cell>
          <cell r="AU202">
            <v>176</v>
          </cell>
          <cell r="AV202">
            <v>0</v>
          </cell>
          <cell r="AW202">
            <v>352</v>
          </cell>
          <cell r="AX202">
            <v>352</v>
          </cell>
          <cell r="AY202">
            <v>352</v>
          </cell>
          <cell r="AZ202">
            <v>0</v>
          </cell>
          <cell r="BA202">
            <v>0</v>
          </cell>
          <cell r="BB202">
            <v>0</v>
          </cell>
          <cell r="BC202">
            <v>67</v>
          </cell>
          <cell r="BD202">
            <v>352</v>
          </cell>
          <cell r="BE202">
            <v>422.4</v>
          </cell>
          <cell r="BF202">
            <v>352</v>
          </cell>
          <cell r="BG202">
            <v>10032</v>
          </cell>
          <cell r="BH202">
            <v>10032</v>
          </cell>
          <cell r="BI202">
            <v>9680</v>
          </cell>
          <cell r="BJ202">
            <v>0</v>
          </cell>
          <cell r="BK202">
            <v>0</v>
          </cell>
          <cell r="BL202">
            <v>0</v>
          </cell>
          <cell r="BM202">
            <v>9680</v>
          </cell>
          <cell r="BN202">
            <v>0</v>
          </cell>
          <cell r="BO202">
            <v>352</v>
          </cell>
          <cell r="BP202" t="str">
            <v>Y</v>
          </cell>
          <cell r="BQ202">
            <v>2</v>
          </cell>
          <cell r="BR202" t="str">
            <v>Y</v>
          </cell>
          <cell r="BS202">
            <v>0</v>
          </cell>
          <cell r="BT202" t="str">
            <v>Done</v>
          </cell>
          <cell r="BU202">
            <v>176</v>
          </cell>
          <cell r="BV202">
            <v>2025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Kashif Nabi</v>
          </cell>
          <cell r="E203" t="str">
            <v>-</v>
          </cell>
          <cell r="H203" t="str">
            <v>Ubaid Rahman</v>
          </cell>
          <cell r="L203" t="str">
            <v>New</v>
          </cell>
          <cell r="M203">
            <v>45726</v>
          </cell>
          <cell r="N203">
            <v>1</v>
          </cell>
          <cell r="O203">
            <v>320</v>
          </cell>
          <cell r="P203">
            <v>45800</v>
          </cell>
          <cell r="Q203">
            <v>46091</v>
          </cell>
          <cell r="R203" t="str">
            <v>PLC-4139</v>
          </cell>
          <cell r="S203" t="str">
            <v>Hrithik Chowdary</v>
          </cell>
          <cell r="T203" t="str">
            <v>Individual</v>
          </cell>
          <cell r="U203" t="str">
            <v>C2C</v>
          </cell>
          <cell r="V203" t="str">
            <v>GRI</v>
          </cell>
          <cell r="W203">
            <v>50</v>
          </cell>
          <cell r="X203">
            <v>0</v>
          </cell>
          <cell r="Y203" t="str">
            <v>USD</v>
          </cell>
          <cell r="Z203">
            <v>65</v>
          </cell>
          <cell r="AA203">
            <v>0</v>
          </cell>
          <cell r="AB203">
            <v>0</v>
          </cell>
          <cell r="AC203">
            <v>0</v>
          </cell>
          <cell r="AD203">
            <v>45731</v>
          </cell>
          <cell r="AE203">
            <v>16</v>
          </cell>
          <cell r="AF203">
            <v>46022</v>
          </cell>
          <cell r="AG203">
            <v>50</v>
          </cell>
          <cell r="AH203">
            <v>0</v>
          </cell>
          <cell r="AI203">
            <v>50</v>
          </cell>
          <cell r="AJ203">
            <v>63.452999999999996</v>
          </cell>
          <cell r="AK203">
            <v>0</v>
          </cell>
          <cell r="AL203">
            <v>0</v>
          </cell>
          <cell r="AM203">
            <v>13.452999999999996</v>
          </cell>
          <cell r="AN203">
            <v>0</v>
          </cell>
          <cell r="AO203">
            <v>13.452999999999996</v>
          </cell>
          <cell r="AP203">
            <v>0</v>
          </cell>
          <cell r="AQ203">
            <v>13.452999999999996</v>
          </cell>
          <cell r="AR203" t="str">
            <v>GRI057</v>
          </cell>
          <cell r="AS203">
            <v>0</v>
          </cell>
          <cell r="AT203">
            <v>128</v>
          </cell>
          <cell r="AU203">
            <v>128</v>
          </cell>
          <cell r="AV203">
            <v>0</v>
          </cell>
          <cell r="AW203">
            <v>1721.9839999999995</v>
          </cell>
          <cell r="AX203">
            <v>1721.9839999999995</v>
          </cell>
          <cell r="AY203">
            <v>1721.9839999999995</v>
          </cell>
          <cell r="AZ203">
            <v>100</v>
          </cell>
          <cell r="BA203">
            <v>21.524799999999995</v>
          </cell>
          <cell r="BB203">
            <v>2755.1743999999994</v>
          </cell>
          <cell r="BF203">
            <v>1721.9839999999995</v>
          </cell>
          <cell r="BG203">
            <v>8320</v>
          </cell>
          <cell r="BH203">
            <v>8121.9839999999995</v>
          </cell>
          <cell r="BI203">
            <v>6400</v>
          </cell>
          <cell r="BJ203">
            <v>0</v>
          </cell>
          <cell r="BK203">
            <v>0</v>
          </cell>
          <cell r="BL203">
            <v>0</v>
          </cell>
          <cell r="BM203">
            <v>6400</v>
          </cell>
          <cell r="BN203">
            <v>0</v>
          </cell>
          <cell r="BO203">
            <v>1721.9839999999995</v>
          </cell>
          <cell r="BP203" t="str">
            <v>Y</v>
          </cell>
          <cell r="BQ203">
            <v>1</v>
          </cell>
          <cell r="BR203" t="str">
            <v>Y</v>
          </cell>
          <cell r="BS203">
            <v>2755.1743999999994</v>
          </cell>
          <cell r="BT203" t="str">
            <v>Done</v>
          </cell>
          <cell r="BU203">
            <v>128</v>
          </cell>
          <cell r="BV203">
            <v>2025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Kashif Nabi</v>
          </cell>
          <cell r="E204" t="str">
            <v>-</v>
          </cell>
          <cell r="H204" t="str">
            <v>Ubaid Rahman</v>
          </cell>
          <cell r="L204" t="str">
            <v>New</v>
          </cell>
          <cell r="M204">
            <v>45726</v>
          </cell>
          <cell r="N204">
            <v>1</v>
          </cell>
          <cell r="O204">
            <v>320</v>
          </cell>
          <cell r="P204">
            <v>45800</v>
          </cell>
          <cell r="Q204">
            <v>46091</v>
          </cell>
          <cell r="R204" t="str">
            <v>PLC-4139</v>
          </cell>
          <cell r="S204" t="str">
            <v>Hrithik Chowdary</v>
          </cell>
          <cell r="T204" t="str">
            <v>Individual</v>
          </cell>
          <cell r="U204" t="str">
            <v>C2C</v>
          </cell>
          <cell r="V204" t="str">
            <v>GRI</v>
          </cell>
          <cell r="W204">
            <v>50</v>
          </cell>
          <cell r="X204">
            <v>0</v>
          </cell>
          <cell r="Y204" t="str">
            <v>USD</v>
          </cell>
          <cell r="Z204">
            <v>65</v>
          </cell>
          <cell r="AA204">
            <v>0</v>
          </cell>
          <cell r="AB204">
            <v>0</v>
          </cell>
          <cell r="AC204">
            <v>0</v>
          </cell>
          <cell r="AD204">
            <v>45762</v>
          </cell>
          <cell r="AE204">
            <v>22</v>
          </cell>
          <cell r="AF204">
            <v>46022</v>
          </cell>
          <cell r="AG204">
            <v>50</v>
          </cell>
          <cell r="AH204">
            <v>0</v>
          </cell>
          <cell r="AI204">
            <v>50</v>
          </cell>
          <cell r="AJ204">
            <v>63.452999999999996</v>
          </cell>
          <cell r="AK204">
            <v>0</v>
          </cell>
          <cell r="AL204">
            <v>0</v>
          </cell>
          <cell r="AM204">
            <v>13.452999999999996</v>
          </cell>
          <cell r="AN204">
            <v>0</v>
          </cell>
          <cell r="AO204">
            <v>13.452999999999996</v>
          </cell>
          <cell r="AP204">
            <v>0</v>
          </cell>
          <cell r="AQ204">
            <v>13.452999999999996</v>
          </cell>
          <cell r="AR204" t="str">
            <v>GRI058</v>
          </cell>
          <cell r="AS204">
            <v>0</v>
          </cell>
          <cell r="AT204">
            <v>136</v>
          </cell>
          <cell r="AU204">
            <v>136</v>
          </cell>
          <cell r="AV204">
            <v>0</v>
          </cell>
          <cell r="AW204">
            <v>1829.6079999999995</v>
          </cell>
          <cell r="AX204">
            <v>1829.6079999999995</v>
          </cell>
          <cell r="AY204">
            <v>1829.6079999999995</v>
          </cell>
          <cell r="AZ204">
            <v>100</v>
          </cell>
          <cell r="BA204">
            <v>21.524799999999995</v>
          </cell>
          <cell r="BB204">
            <v>2927.3727999999992</v>
          </cell>
          <cell r="BF204">
            <v>1829.6079999999995</v>
          </cell>
          <cell r="BG204">
            <v>8840</v>
          </cell>
          <cell r="BH204">
            <v>8629.6080000000002</v>
          </cell>
          <cell r="BI204">
            <v>6800</v>
          </cell>
          <cell r="BJ204">
            <v>0</v>
          </cell>
          <cell r="BK204">
            <v>0</v>
          </cell>
          <cell r="BL204">
            <v>0</v>
          </cell>
          <cell r="BM204">
            <v>6800</v>
          </cell>
          <cell r="BN204">
            <v>0</v>
          </cell>
          <cell r="BO204">
            <v>1829.6080000000002</v>
          </cell>
          <cell r="BP204" t="str">
            <v>Y</v>
          </cell>
          <cell r="BQ204">
            <v>2</v>
          </cell>
          <cell r="BR204" t="str">
            <v>Y</v>
          </cell>
          <cell r="BS204">
            <v>2927.3727999999992</v>
          </cell>
          <cell r="BT204" t="str">
            <v>Done</v>
          </cell>
          <cell r="BU204">
            <v>136</v>
          </cell>
          <cell r="BV204">
            <v>2025</v>
          </cell>
        </row>
        <row r="205">
          <cell r="A205" t="str">
            <v>Chennai</v>
          </cell>
          <cell r="B205" t="str">
            <v>Chennai</v>
          </cell>
          <cell r="C205" t="str">
            <v>Mid Level</v>
          </cell>
          <cell r="D205" t="str">
            <v>Vinoth L</v>
          </cell>
          <cell r="E205" t="str">
            <v>-</v>
          </cell>
          <cell r="H205" t="str">
            <v>Ajithkumar G</v>
          </cell>
          <cell r="K205">
            <v>0</v>
          </cell>
          <cell r="L205" t="str">
            <v>Old</v>
          </cell>
          <cell r="M205">
            <v>45450</v>
          </cell>
          <cell r="N205">
            <v>2</v>
          </cell>
          <cell r="O205">
            <v>596</v>
          </cell>
          <cell r="P205">
            <v>45729</v>
          </cell>
          <cell r="Q205">
            <v>45815</v>
          </cell>
          <cell r="R205" t="str">
            <v>PLC-3992</v>
          </cell>
          <cell r="S205" t="str">
            <v>Igor Skrebnev</v>
          </cell>
          <cell r="T205" t="str">
            <v>Split</v>
          </cell>
          <cell r="U205" t="str">
            <v>Referral</v>
          </cell>
          <cell r="V205" t="str">
            <v>Vendorpass/HCL</v>
          </cell>
          <cell r="W205">
            <v>0</v>
          </cell>
          <cell r="X205">
            <v>0</v>
          </cell>
          <cell r="Y205" t="str">
            <v>USD</v>
          </cell>
          <cell r="Z205">
            <v>6</v>
          </cell>
          <cell r="AA205">
            <v>0</v>
          </cell>
          <cell r="AB205">
            <v>0</v>
          </cell>
          <cell r="AC205">
            <v>0</v>
          </cell>
          <cell r="AD205">
            <v>45672</v>
          </cell>
          <cell r="AE205">
            <v>22</v>
          </cell>
          <cell r="AF205">
            <v>46022</v>
          </cell>
          <cell r="AG205">
            <v>0</v>
          </cell>
          <cell r="AH205">
            <v>0</v>
          </cell>
          <cell r="AI205">
            <v>0</v>
          </cell>
          <cell r="AJ205">
            <v>6</v>
          </cell>
          <cell r="AK205">
            <v>0</v>
          </cell>
          <cell r="AL205">
            <v>0</v>
          </cell>
          <cell r="AM205">
            <v>6</v>
          </cell>
          <cell r="AN205">
            <v>0</v>
          </cell>
          <cell r="AO205">
            <v>3</v>
          </cell>
          <cell r="AP205">
            <v>0</v>
          </cell>
          <cell r="AQ205">
            <v>3</v>
          </cell>
          <cell r="AR205" t="str">
            <v>US_24240</v>
          </cell>
          <cell r="AS205">
            <v>0</v>
          </cell>
          <cell r="AT205">
            <v>184</v>
          </cell>
          <cell r="AU205">
            <v>184</v>
          </cell>
          <cell r="AV205">
            <v>0</v>
          </cell>
          <cell r="AW205">
            <v>552</v>
          </cell>
          <cell r="AX205">
            <v>552</v>
          </cell>
          <cell r="AY205">
            <v>552</v>
          </cell>
          <cell r="AZ205">
            <v>33.333333333333329</v>
          </cell>
          <cell r="BA205">
            <v>4.8</v>
          </cell>
          <cell r="BB205">
            <v>883.19999999999993</v>
          </cell>
          <cell r="BC205">
            <v>53.225806451612897</v>
          </cell>
          <cell r="BD205">
            <v>552</v>
          </cell>
          <cell r="BE205">
            <v>441.6</v>
          </cell>
          <cell r="BF205">
            <v>552</v>
          </cell>
          <cell r="BG205">
            <v>552</v>
          </cell>
          <cell r="BH205">
            <v>552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552</v>
          </cell>
          <cell r="BP205" t="str">
            <v>Y</v>
          </cell>
          <cell r="BQ205">
            <v>1</v>
          </cell>
          <cell r="BR205" t="str">
            <v>Y</v>
          </cell>
          <cell r="BS205">
            <v>883.19999999999993</v>
          </cell>
          <cell r="BT205" t="str">
            <v>Done</v>
          </cell>
          <cell r="BU205">
            <v>184</v>
          </cell>
          <cell r="BV205">
            <v>2024</v>
          </cell>
        </row>
        <row r="206">
          <cell r="A206" t="str">
            <v>Chennai</v>
          </cell>
          <cell r="B206" t="str">
            <v>Chennai</v>
          </cell>
          <cell r="C206" t="str">
            <v>Mid Level</v>
          </cell>
          <cell r="D206" t="str">
            <v>Akbar Ibrahim</v>
          </cell>
          <cell r="E206" t="str">
            <v>-</v>
          </cell>
          <cell r="H206" t="str">
            <v>Ajithkumar G</v>
          </cell>
          <cell r="K206">
            <v>0</v>
          </cell>
          <cell r="L206" t="str">
            <v>Old</v>
          </cell>
          <cell r="M206">
            <v>45450</v>
          </cell>
          <cell r="N206">
            <v>2</v>
          </cell>
          <cell r="O206">
            <v>596</v>
          </cell>
          <cell r="P206">
            <v>45729</v>
          </cell>
          <cell r="Q206">
            <v>45815</v>
          </cell>
          <cell r="R206" t="str">
            <v>PLC-3992</v>
          </cell>
          <cell r="S206" t="str">
            <v>Igor Skrebnev</v>
          </cell>
          <cell r="T206" t="str">
            <v>Split</v>
          </cell>
          <cell r="U206" t="str">
            <v>Referral</v>
          </cell>
          <cell r="V206" t="str">
            <v>Vendorpass/HCL</v>
          </cell>
          <cell r="W206">
            <v>0</v>
          </cell>
          <cell r="X206">
            <v>0</v>
          </cell>
          <cell r="Y206" t="str">
            <v>USD</v>
          </cell>
          <cell r="Z206">
            <v>6</v>
          </cell>
          <cell r="AA206">
            <v>0</v>
          </cell>
          <cell r="AB206">
            <v>0</v>
          </cell>
          <cell r="AC206">
            <v>0</v>
          </cell>
          <cell r="AD206">
            <v>45672</v>
          </cell>
          <cell r="AE206">
            <v>22</v>
          </cell>
          <cell r="AF206">
            <v>46022</v>
          </cell>
          <cell r="AG206">
            <v>0</v>
          </cell>
          <cell r="AH206">
            <v>0</v>
          </cell>
          <cell r="AI206">
            <v>0</v>
          </cell>
          <cell r="AJ206">
            <v>6</v>
          </cell>
          <cell r="AK206">
            <v>0</v>
          </cell>
          <cell r="AL206">
            <v>0</v>
          </cell>
          <cell r="AM206">
            <v>6</v>
          </cell>
          <cell r="AN206">
            <v>0</v>
          </cell>
          <cell r="AO206">
            <v>3</v>
          </cell>
          <cell r="AP206">
            <v>0</v>
          </cell>
          <cell r="AQ206">
            <v>3</v>
          </cell>
          <cell r="AR206" t="str">
            <v>US_24240</v>
          </cell>
          <cell r="AS206">
            <v>0</v>
          </cell>
          <cell r="AT206">
            <v>184</v>
          </cell>
          <cell r="AU206">
            <v>184</v>
          </cell>
          <cell r="AV206">
            <v>0</v>
          </cell>
          <cell r="AW206">
            <v>552</v>
          </cell>
          <cell r="AX206">
            <v>552</v>
          </cell>
          <cell r="AY206">
            <v>552</v>
          </cell>
          <cell r="AZ206">
            <v>33.333333333333329</v>
          </cell>
          <cell r="BA206">
            <v>4.8</v>
          </cell>
          <cell r="BB206">
            <v>883.19999999999993</v>
          </cell>
          <cell r="BD206">
            <v>552</v>
          </cell>
          <cell r="BF206">
            <v>552</v>
          </cell>
          <cell r="BG206">
            <v>552</v>
          </cell>
          <cell r="BH206">
            <v>552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552</v>
          </cell>
          <cell r="BP206" t="str">
            <v>Y</v>
          </cell>
          <cell r="BQ206">
            <v>1</v>
          </cell>
          <cell r="BR206" t="str">
            <v>Y</v>
          </cell>
          <cell r="BS206">
            <v>883.19999999999993</v>
          </cell>
          <cell r="BT206" t="str">
            <v>Done</v>
          </cell>
          <cell r="BU206">
            <v>184</v>
          </cell>
          <cell r="BV206">
            <v>2024</v>
          </cell>
        </row>
        <row r="207">
          <cell r="A207" t="str">
            <v>Chennai</v>
          </cell>
          <cell r="B207" t="str">
            <v>Chennai</v>
          </cell>
          <cell r="C207" t="str">
            <v>Mid Level</v>
          </cell>
          <cell r="D207" t="str">
            <v>Vinoth L</v>
          </cell>
          <cell r="E207" t="str">
            <v>-</v>
          </cell>
          <cell r="H207" t="str">
            <v>Ajithkumar G</v>
          </cell>
          <cell r="K207">
            <v>0</v>
          </cell>
          <cell r="L207" t="str">
            <v>Old</v>
          </cell>
          <cell r="M207">
            <v>45450</v>
          </cell>
          <cell r="N207">
            <v>2</v>
          </cell>
          <cell r="O207">
            <v>596</v>
          </cell>
          <cell r="P207">
            <v>45729</v>
          </cell>
          <cell r="Q207">
            <v>45815</v>
          </cell>
          <cell r="R207" t="str">
            <v>PLC-3992</v>
          </cell>
          <cell r="S207" t="str">
            <v>Igor Skrebnev</v>
          </cell>
          <cell r="T207" t="str">
            <v>Split</v>
          </cell>
          <cell r="U207" t="str">
            <v>Referral</v>
          </cell>
          <cell r="V207" t="str">
            <v>Vendorpass/HCL</v>
          </cell>
          <cell r="W207">
            <v>0</v>
          </cell>
          <cell r="X207">
            <v>0</v>
          </cell>
          <cell r="Y207" t="str">
            <v>USD</v>
          </cell>
          <cell r="Z207">
            <v>6</v>
          </cell>
          <cell r="AA207">
            <v>0</v>
          </cell>
          <cell r="AB207">
            <v>0</v>
          </cell>
          <cell r="AC207">
            <v>0</v>
          </cell>
          <cell r="AD207">
            <v>45703</v>
          </cell>
          <cell r="AE207">
            <v>20</v>
          </cell>
          <cell r="AF207">
            <v>46022</v>
          </cell>
          <cell r="AG207">
            <v>0</v>
          </cell>
          <cell r="AH207">
            <v>0</v>
          </cell>
          <cell r="AI207">
            <v>0</v>
          </cell>
          <cell r="AJ207">
            <v>6</v>
          </cell>
          <cell r="AK207">
            <v>0</v>
          </cell>
          <cell r="AL207">
            <v>0</v>
          </cell>
          <cell r="AM207">
            <v>6</v>
          </cell>
          <cell r="AN207">
            <v>0</v>
          </cell>
          <cell r="AO207">
            <v>3</v>
          </cell>
          <cell r="AP207">
            <v>0</v>
          </cell>
          <cell r="AQ207">
            <v>3</v>
          </cell>
          <cell r="AR207" t="str">
            <v>US_24446</v>
          </cell>
          <cell r="AS207">
            <v>0</v>
          </cell>
          <cell r="AT207">
            <v>162</v>
          </cell>
          <cell r="AU207">
            <v>162</v>
          </cell>
          <cell r="AV207">
            <v>0</v>
          </cell>
          <cell r="AW207">
            <v>486</v>
          </cell>
          <cell r="AX207">
            <v>486</v>
          </cell>
          <cell r="AY207">
            <v>486</v>
          </cell>
          <cell r="AZ207">
            <v>33.333333333333329</v>
          </cell>
          <cell r="BA207">
            <v>4.8</v>
          </cell>
          <cell r="BB207">
            <v>777.6</v>
          </cell>
          <cell r="BC207">
            <v>53.225806451612897</v>
          </cell>
          <cell r="BD207">
            <v>486</v>
          </cell>
          <cell r="BE207">
            <v>388.8</v>
          </cell>
          <cell r="BF207">
            <v>486</v>
          </cell>
          <cell r="BG207">
            <v>486</v>
          </cell>
          <cell r="BH207">
            <v>486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486</v>
          </cell>
          <cell r="BP207" t="str">
            <v>Y</v>
          </cell>
          <cell r="BQ207">
            <v>1</v>
          </cell>
          <cell r="BR207" t="str">
            <v>Y</v>
          </cell>
          <cell r="BS207">
            <v>777.6</v>
          </cell>
          <cell r="BT207" t="str">
            <v>Done</v>
          </cell>
          <cell r="BU207">
            <v>162</v>
          </cell>
          <cell r="BV207">
            <v>2024</v>
          </cell>
        </row>
        <row r="208">
          <cell r="A208" t="str">
            <v>Chennai</v>
          </cell>
          <cell r="B208" t="str">
            <v>Chennai</v>
          </cell>
          <cell r="C208" t="str">
            <v>Mid Level</v>
          </cell>
          <cell r="D208" t="str">
            <v>Akbar Ibrahim</v>
          </cell>
          <cell r="E208" t="str">
            <v>-</v>
          </cell>
          <cell r="H208" t="str">
            <v>Ajithkumar G</v>
          </cell>
          <cell r="K208">
            <v>0</v>
          </cell>
          <cell r="L208" t="str">
            <v>Old</v>
          </cell>
          <cell r="M208">
            <v>45450</v>
          </cell>
          <cell r="N208">
            <v>2</v>
          </cell>
          <cell r="O208">
            <v>596</v>
          </cell>
          <cell r="P208">
            <v>45729</v>
          </cell>
          <cell r="Q208">
            <v>45815</v>
          </cell>
          <cell r="R208" t="str">
            <v>PLC-3992</v>
          </cell>
          <cell r="S208" t="str">
            <v>Igor Skrebnev</v>
          </cell>
          <cell r="T208" t="str">
            <v>Split</v>
          </cell>
          <cell r="U208" t="str">
            <v>Referral</v>
          </cell>
          <cell r="V208" t="str">
            <v>Vendorpass/HCL</v>
          </cell>
          <cell r="W208">
            <v>0</v>
          </cell>
          <cell r="X208">
            <v>0</v>
          </cell>
          <cell r="Y208" t="str">
            <v>USD</v>
          </cell>
          <cell r="Z208">
            <v>6</v>
          </cell>
          <cell r="AA208">
            <v>0</v>
          </cell>
          <cell r="AB208">
            <v>0</v>
          </cell>
          <cell r="AC208">
            <v>0</v>
          </cell>
          <cell r="AD208">
            <v>45703</v>
          </cell>
          <cell r="AE208">
            <v>20</v>
          </cell>
          <cell r="AF208">
            <v>46022</v>
          </cell>
          <cell r="AG208">
            <v>0</v>
          </cell>
          <cell r="AH208">
            <v>0</v>
          </cell>
          <cell r="AI208">
            <v>0</v>
          </cell>
          <cell r="AJ208">
            <v>6</v>
          </cell>
          <cell r="AK208">
            <v>0</v>
          </cell>
          <cell r="AL208">
            <v>0</v>
          </cell>
          <cell r="AM208">
            <v>6</v>
          </cell>
          <cell r="AN208">
            <v>0</v>
          </cell>
          <cell r="AO208">
            <v>3</v>
          </cell>
          <cell r="AP208">
            <v>0</v>
          </cell>
          <cell r="AQ208">
            <v>3</v>
          </cell>
          <cell r="AR208" t="str">
            <v>US_24446</v>
          </cell>
          <cell r="AS208">
            <v>0</v>
          </cell>
          <cell r="AT208">
            <v>162</v>
          </cell>
          <cell r="AU208">
            <v>162</v>
          </cell>
          <cell r="AV208">
            <v>0</v>
          </cell>
          <cell r="AW208">
            <v>486</v>
          </cell>
          <cell r="AX208">
            <v>486</v>
          </cell>
          <cell r="AY208">
            <v>486</v>
          </cell>
          <cell r="AZ208">
            <v>33.333333333333329</v>
          </cell>
          <cell r="BA208">
            <v>4.8</v>
          </cell>
          <cell r="BB208">
            <v>777.6</v>
          </cell>
          <cell r="BD208">
            <v>486</v>
          </cell>
          <cell r="BF208">
            <v>486</v>
          </cell>
          <cell r="BG208">
            <v>486</v>
          </cell>
          <cell r="BH208">
            <v>486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486</v>
          </cell>
          <cell r="BP208" t="str">
            <v>Y</v>
          </cell>
          <cell r="BQ208">
            <v>1</v>
          </cell>
          <cell r="BR208" t="str">
            <v>Y</v>
          </cell>
          <cell r="BS208">
            <v>777.6</v>
          </cell>
          <cell r="BT208" t="str">
            <v>Done</v>
          </cell>
          <cell r="BU208">
            <v>162</v>
          </cell>
          <cell r="BV208">
            <v>2024</v>
          </cell>
        </row>
        <row r="209">
          <cell r="A209" t="str">
            <v>Lucknow</v>
          </cell>
          <cell r="B209" t="str">
            <v>Titans</v>
          </cell>
          <cell r="C209" t="str">
            <v>Mid Level</v>
          </cell>
          <cell r="D209" t="str">
            <v>Nitin Saxena</v>
          </cell>
          <cell r="E209" t="str">
            <v>-</v>
          </cell>
          <cell r="F209" t="str">
            <v>-</v>
          </cell>
          <cell r="G209" t="str">
            <v>-</v>
          </cell>
          <cell r="H209" t="str">
            <v>Hamza Ali</v>
          </cell>
          <cell r="J209" t="str">
            <v>ACH</v>
          </cell>
          <cell r="K209" t="str">
            <v>-</v>
          </cell>
          <cell r="L209" t="str">
            <v>New</v>
          </cell>
          <cell r="M209">
            <v>45763</v>
          </cell>
          <cell r="N209">
            <v>2</v>
          </cell>
          <cell r="O209">
            <v>283</v>
          </cell>
          <cell r="P209" t="str">
            <v>-</v>
          </cell>
          <cell r="Q209">
            <v>46128</v>
          </cell>
          <cell r="R209" t="str">
            <v>PLC-4221</v>
          </cell>
          <cell r="S209" t="str">
            <v>Irfan Sarfraz</v>
          </cell>
          <cell r="T209" t="str">
            <v>Individual</v>
          </cell>
          <cell r="U209">
            <v>1099</v>
          </cell>
          <cell r="V209" t="str">
            <v>Genpact</v>
          </cell>
          <cell r="W209">
            <v>21</v>
          </cell>
          <cell r="X209">
            <v>0</v>
          </cell>
          <cell r="Y209" t="str">
            <v>USD</v>
          </cell>
          <cell r="Z209">
            <v>28</v>
          </cell>
          <cell r="AA209">
            <v>0</v>
          </cell>
          <cell r="AB209">
            <v>0</v>
          </cell>
          <cell r="AC209">
            <v>0</v>
          </cell>
          <cell r="AD209">
            <v>45762</v>
          </cell>
          <cell r="AE209">
            <v>11</v>
          </cell>
          <cell r="AF209">
            <v>46022</v>
          </cell>
          <cell r="AG209">
            <v>22.470000000000002</v>
          </cell>
          <cell r="AH209">
            <v>0</v>
          </cell>
          <cell r="AI209">
            <v>22.470000000000002</v>
          </cell>
          <cell r="AJ209">
            <v>28</v>
          </cell>
          <cell r="AK209">
            <v>0</v>
          </cell>
          <cell r="AL209">
            <v>0</v>
          </cell>
          <cell r="AM209">
            <v>5.5299999999999976</v>
          </cell>
          <cell r="AN209">
            <v>0</v>
          </cell>
          <cell r="AO209">
            <v>5.5299999999999976</v>
          </cell>
          <cell r="AP209">
            <v>0</v>
          </cell>
          <cell r="AQ209">
            <v>5.5299999999999976</v>
          </cell>
          <cell r="AR209" t="str">
            <v>US_24946</v>
          </cell>
          <cell r="AS209">
            <v>0</v>
          </cell>
          <cell r="AT209">
            <v>88</v>
          </cell>
          <cell r="AU209">
            <v>88</v>
          </cell>
          <cell r="AV209">
            <v>0</v>
          </cell>
          <cell r="AW209">
            <v>486.63999999999976</v>
          </cell>
          <cell r="AX209">
            <v>481.77359999999976</v>
          </cell>
          <cell r="AY209">
            <v>486.63999999999976</v>
          </cell>
          <cell r="AZ209">
            <v>250</v>
          </cell>
          <cell r="BA209">
            <v>8.8479999999999954</v>
          </cell>
          <cell r="BB209">
            <v>778.62399999999957</v>
          </cell>
          <cell r="BC209">
            <v>46</v>
          </cell>
          <cell r="BD209">
            <v>486.63999999999976</v>
          </cell>
          <cell r="BE209">
            <v>389.31199999999984</v>
          </cell>
          <cell r="BF209">
            <v>481.77359999999976</v>
          </cell>
          <cell r="BG209">
            <v>2464</v>
          </cell>
          <cell r="BH209">
            <v>2464</v>
          </cell>
          <cell r="BI209">
            <v>1848</v>
          </cell>
          <cell r="BJ209">
            <v>1.4700000000000002</v>
          </cell>
          <cell r="BK209">
            <v>0</v>
          </cell>
          <cell r="BL209">
            <v>129.36000000000001</v>
          </cell>
          <cell r="BM209">
            <v>1977.3600000000001</v>
          </cell>
          <cell r="BN209">
            <v>1.4700000000000002</v>
          </cell>
          <cell r="BO209">
            <v>486.64</v>
          </cell>
          <cell r="BP209" t="str">
            <v>Y</v>
          </cell>
          <cell r="BQ209">
            <v>2</v>
          </cell>
          <cell r="BR209" t="str">
            <v>Y</v>
          </cell>
          <cell r="BS209">
            <v>778.62399999999957</v>
          </cell>
          <cell r="BT209" t="str">
            <v>Done</v>
          </cell>
          <cell r="BU209">
            <v>88</v>
          </cell>
          <cell r="BV209">
            <v>2025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Kashif Nabi</v>
          </cell>
          <cell r="E210" t="str">
            <v>-</v>
          </cell>
          <cell r="H210" t="str">
            <v>Pass Through</v>
          </cell>
          <cell r="J210" t="str">
            <v>ACH</v>
          </cell>
          <cell r="L210" t="str">
            <v>New</v>
          </cell>
          <cell r="M210">
            <v>45735</v>
          </cell>
          <cell r="N210">
            <v>1</v>
          </cell>
          <cell r="O210">
            <v>311</v>
          </cell>
          <cell r="P210">
            <v>45785</v>
          </cell>
          <cell r="Q210">
            <v>46100</v>
          </cell>
          <cell r="S210" t="str">
            <v>Ivan Matusevich</v>
          </cell>
          <cell r="T210" t="str">
            <v>Individual</v>
          </cell>
          <cell r="U210" t="str">
            <v>C2C</v>
          </cell>
          <cell r="V210" t="str">
            <v>GRI</v>
          </cell>
          <cell r="W210">
            <v>70</v>
          </cell>
          <cell r="X210">
            <v>0</v>
          </cell>
          <cell r="Y210" t="str">
            <v>USD</v>
          </cell>
          <cell r="Z210">
            <v>73.7</v>
          </cell>
          <cell r="AA210">
            <v>0</v>
          </cell>
          <cell r="AB210">
            <v>0</v>
          </cell>
          <cell r="AC210">
            <v>0</v>
          </cell>
          <cell r="AD210">
            <v>45731</v>
          </cell>
          <cell r="AE210">
            <v>9</v>
          </cell>
          <cell r="AF210">
            <v>46022</v>
          </cell>
          <cell r="AG210">
            <v>70</v>
          </cell>
          <cell r="AH210">
            <v>0</v>
          </cell>
          <cell r="AI210">
            <v>70</v>
          </cell>
          <cell r="AJ210">
            <v>71.945939999999993</v>
          </cell>
          <cell r="AK210">
            <v>0</v>
          </cell>
          <cell r="AL210">
            <v>0</v>
          </cell>
          <cell r="AM210">
            <v>1.9459399999999931</v>
          </cell>
          <cell r="AN210">
            <v>0</v>
          </cell>
          <cell r="AO210">
            <v>1.9459399999999931</v>
          </cell>
          <cell r="AP210">
            <v>0</v>
          </cell>
          <cell r="AQ210">
            <v>1.9459399999999931</v>
          </cell>
          <cell r="AR210" t="str">
            <v>GRI060</v>
          </cell>
          <cell r="AS210">
            <v>0</v>
          </cell>
          <cell r="AT210">
            <v>112</v>
          </cell>
          <cell r="AU210">
            <v>112</v>
          </cell>
          <cell r="AV210">
            <v>0</v>
          </cell>
          <cell r="AW210">
            <v>217.94527999999923</v>
          </cell>
          <cell r="AX210">
            <v>215.76582719999922</v>
          </cell>
          <cell r="AY210">
            <v>217.94527999999923</v>
          </cell>
          <cell r="AZ210">
            <v>0</v>
          </cell>
          <cell r="BA210">
            <v>0</v>
          </cell>
          <cell r="BB210">
            <v>0</v>
          </cell>
          <cell r="BF210">
            <v>215.76582719999922</v>
          </cell>
          <cell r="BG210">
            <v>8254.4</v>
          </cell>
          <cell r="BH210">
            <v>8057.945279999999</v>
          </cell>
          <cell r="BI210">
            <v>7840</v>
          </cell>
          <cell r="BJ210">
            <v>0</v>
          </cell>
          <cell r="BK210">
            <v>0</v>
          </cell>
          <cell r="BL210">
            <v>0</v>
          </cell>
          <cell r="BM210">
            <v>7840</v>
          </cell>
          <cell r="BN210">
            <v>0</v>
          </cell>
          <cell r="BO210">
            <v>217.945279999999</v>
          </cell>
          <cell r="BP210" t="str">
            <v>Y</v>
          </cell>
          <cell r="BQ210">
            <v>1</v>
          </cell>
          <cell r="BR210" t="str">
            <v>Y</v>
          </cell>
          <cell r="BS210">
            <v>0</v>
          </cell>
          <cell r="BT210" t="str">
            <v>Done</v>
          </cell>
          <cell r="BU210">
            <v>112</v>
          </cell>
          <cell r="BV210">
            <v>2025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Kashif Nabi</v>
          </cell>
          <cell r="E211" t="str">
            <v>-</v>
          </cell>
          <cell r="H211" t="str">
            <v>Pass Through</v>
          </cell>
          <cell r="J211" t="str">
            <v>ACH</v>
          </cell>
          <cell r="L211" t="str">
            <v>New</v>
          </cell>
          <cell r="M211">
            <v>45735</v>
          </cell>
          <cell r="N211">
            <v>1</v>
          </cell>
          <cell r="O211">
            <v>311</v>
          </cell>
          <cell r="P211">
            <v>45785</v>
          </cell>
          <cell r="Q211">
            <v>46100</v>
          </cell>
          <cell r="S211" t="str">
            <v>Ivan Matusevich</v>
          </cell>
          <cell r="T211" t="str">
            <v>Individual</v>
          </cell>
          <cell r="U211" t="str">
            <v>C2C</v>
          </cell>
          <cell r="V211" t="str">
            <v>GRI</v>
          </cell>
          <cell r="W211">
            <v>70</v>
          </cell>
          <cell r="X211">
            <v>0</v>
          </cell>
          <cell r="Y211" t="str">
            <v>USD</v>
          </cell>
          <cell r="Z211">
            <v>73.7</v>
          </cell>
          <cell r="AA211">
            <v>0</v>
          </cell>
          <cell r="AB211">
            <v>0</v>
          </cell>
          <cell r="AC211">
            <v>0</v>
          </cell>
          <cell r="AD211">
            <v>45762</v>
          </cell>
          <cell r="AE211">
            <v>22</v>
          </cell>
          <cell r="AF211">
            <v>46022</v>
          </cell>
          <cell r="AG211">
            <v>70</v>
          </cell>
          <cell r="AH211">
            <v>0</v>
          </cell>
          <cell r="AI211">
            <v>70</v>
          </cell>
          <cell r="AJ211">
            <v>71.945939999999993</v>
          </cell>
          <cell r="AK211">
            <v>0</v>
          </cell>
          <cell r="AL211">
            <v>0</v>
          </cell>
          <cell r="AM211">
            <v>1.9459399999999931</v>
          </cell>
          <cell r="AN211">
            <v>0</v>
          </cell>
          <cell r="AO211">
            <v>1.9459399999999931</v>
          </cell>
          <cell r="AP211">
            <v>0</v>
          </cell>
          <cell r="AQ211">
            <v>1.9459399999999931</v>
          </cell>
          <cell r="AR211" t="str">
            <v>GRI061</v>
          </cell>
          <cell r="AS211">
            <v>0</v>
          </cell>
          <cell r="AT211">
            <v>176</v>
          </cell>
          <cell r="AU211">
            <v>176</v>
          </cell>
          <cell r="AV211">
            <v>0</v>
          </cell>
          <cell r="AW211">
            <v>342.48543999999879</v>
          </cell>
          <cell r="AX211">
            <v>339.06058559999877</v>
          </cell>
          <cell r="AY211">
            <v>342.48543999999879</v>
          </cell>
          <cell r="AZ211">
            <v>0</v>
          </cell>
          <cell r="BA211">
            <v>0</v>
          </cell>
          <cell r="BB211">
            <v>0</v>
          </cell>
          <cell r="BF211">
            <v>339.06058559999877</v>
          </cell>
          <cell r="BG211">
            <v>12971.2</v>
          </cell>
          <cell r="BH211">
            <v>12662.485439999999</v>
          </cell>
          <cell r="BI211">
            <v>12320</v>
          </cell>
          <cell r="BJ211">
            <v>0</v>
          </cell>
          <cell r="BK211">
            <v>0</v>
          </cell>
          <cell r="BL211">
            <v>0</v>
          </cell>
          <cell r="BM211">
            <v>12320</v>
          </cell>
          <cell r="BN211">
            <v>0</v>
          </cell>
          <cell r="BO211">
            <v>342.48543999999856</v>
          </cell>
          <cell r="BP211" t="str">
            <v>Y</v>
          </cell>
          <cell r="BQ211">
            <v>2</v>
          </cell>
          <cell r="BR211" t="str">
            <v>Y</v>
          </cell>
          <cell r="BS211">
            <v>0</v>
          </cell>
          <cell r="BT211" t="str">
            <v>Done</v>
          </cell>
          <cell r="BU211">
            <v>176</v>
          </cell>
          <cell r="BV211">
            <v>2025</v>
          </cell>
        </row>
        <row r="212">
          <cell r="A212" t="str">
            <v>Lucknow</v>
          </cell>
          <cell r="B212" t="str">
            <v>Healthcare</v>
          </cell>
          <cell r="C212" t="str">
            <v>Mid Level</v>
          </cell>
          <cell r="D212" t="str">
            <v>Abhishek Singh</v>
          </cell>
          <cell r="E212" t="str">
            <v>-</v>
          </cell>
          <cell r="F212" t="str">
            <v>-</v>
          </cell>
          <cell r="G212" t="str">
            <v>-</v>
          </cell>
          <cell r="H212" t="str">
            <v>Tushar Mishra</v>
          </cell>
          <cell r="J212" t="str">
            <v>ACH</v>
          </cell>
          <cell r="K212" t="str">
            <v>-</v>
          </cell>
          <cell r="L212" t="str">
            <v>New</v>
          </cell>
          <cell r="M212">
            <v>45775</v>
          </cell>
          <cell r="N212">
            <v>2</v>
          </cell>
          <cell r="O212">
            <v>271</v>
          </cell>
          <cell r="P212">
            <v>45785</v>
          </cell>
          <cell r="Q212">
            <v>46140</v>
          </cell>
          <cell r="S212" t="str">
            <v>James Navera</v>
          </cell>
          <cell r="T212" t="str">
            <v>Individual</v>
          </cell>
          <cell r="U212" t="str">
            <v>W2</v>
          </cell>
          <cell r="V212" t="str">
            <v>Hallmark</v>
          </cell>
          <cell r="W212">
            <v>52</v>
          </cell>
          <cell r="X212">
            <v>0</v>
          </cell>
          <cell r="Y212" t="str">
            <v>USD</v>
          </cell>
          <cell r="Z212">
            <v>70</v>
          </cell>
          <cell r="AA212">
            <v>0</v>
          </cell>
          <cell r="AB212">
            <v>0</v>
          </cell>
          <cell r="AC212">
            <v>0</v>
          </cell>
          <cell r="AD212">
            <v>45762</v>
          </cell>
          <cell r="AE212">
            <v>3</v>
          </cell>
          <cell r="AF212">
            <v>46022</v>
          </cell>
          <cell r="AG212">
            <v>59.8</v>
          </cell>
          <cell r="AH212">
            <v>0</v>
          </cell>
          <cell r="AI212">
            <v>59.8</v>
          </cell>
          <cell r="AJ212">
            <v>70</v>
          </cell>
          <cell r="AK212">
            <v>0</v>
          </cell>
          <cell r="AL212">
            <v>0</v>
          </cell>
          <cell r="AM212">
            <v>10.200000000000003</v>
          </cell>
          <cell r="AN212">
            <v>0</v>
          </cell>
          <cell r="AO212">
            <v>10.200000000000003</v>
          </cell>
          <cell r="AP212">
            <v>0</v>
          </cell>
          <cell r="AQ212">
            <v>10.200000000000003</v>
          </cell>
          <cell r="AU212">
            <v>24</v>
          </cell>
          <cell r="AY212">
            <v>244.80000000000007</v>
          </cell>
          <cell r="AZ212">
            <v>0</v>
          </cell>
          <cell r="BA212">
            <v>0</v>
          </cell>
          <cell r="BH212">
            <v>1680</v>
          </cell>
          <cell r="BI212">
            <v>1248</v>
          </cell>
          <cell r="BJ212">
            <v>7.8</v>
          </cell>
          <cell r="BK212">
            <v>0</v>
          </cell>
          <cell r="BL212">
            <v>187.2</v>
          </cell>
          <cell r="BM212">
            <v>1435.2</v>
          </cell>
          <cell r="BN212">
            <v>7.8</v>
          </cell>
          <cell r="BO212">
            <v>244.8</v>
          </cell>
          <cell r="BQ212">
            <v>2</v>
          </cell>
          <cell r="BR212" t="str">
            <v>Y</v>
          </cell>
          <cell r="BS212">
            <v>0</v>
          </cell>
          <cell r="BT212" t="str">
            <v>Pending</v>
          </cell>
          <cell r="BU212">
            <v>0</v>
          </cell>
          <cell r="BV212">
            <v>2025</v>
          </cell>
        </row>
        <row r="213">
          <cell r="A213" t="str">
            <v>Lucknow</v>
          </cell>
          <cell r="B213" t="str">
            <v>Mavericks</v>
          </cell>
          <cell r="C213" t="str">
            <v>Mid Level</v>
          </cell>
          <cell r="D213" t="str">
            <v>Rohit Gupta</v>
          </cell>
          <cell r="E213" t="str">
            <v>-</v>
          </cell>
          <cell r="H213" t="str">
            <v>Ekta Singh</v>
          </cell>
          <cell r="J213" t="str">
            <v>ACH</v>
          </cell>
          <cell r="L213" t="str">
            <v>New</v>
          </cell>
          <cell r="M213">
            <v>45678</v>
          </cell>
          <cell r="N213">
            <v>1</v>
          </cell>
          <cell r="O213">
            <v>368</v>
          </cell>
          <cell r="P213">
            <v>45807</v>
          </cell>
          <cell r="Q213">
            <v>46043</v>
          </cell>
          <cell r="R213" t="str">
            <v>PLC-4120</v>
          </cell>
          <cell r="S213" t="str">
            <v>James Foster Harrington</v>
          </cell>
          <cell r="T213" t="str">
            <v>Individual</v>
          </cell>
          <cell r="U213">
            <v>1099</v>
          </cell>
          <cell r="V213" t="str">
            <v>Xceedence</v>
          </cell>
          <cell r="W213">
            <v>68</v>
          </cell>
          <cell r="X213">
            <v>102</v>
          </cell>
          <cell r="Y213" t="str">
            <v>USD</v>
          </cell>
          <cell r="Z213">
            <v>75</v>
          </cell>
          <cell r="AA213">
            <v>112.5</v>
          </cell>
          <cell r="AB213">
            <v>0</v>
          </cell>
          <cell r="AC213">
            <v>3</v>
          </cell>
          <cell r="AD213">
            <v>45672</v>
          </cell>
          <cell r="AE213">
            <v>9</v>
          </cell>
          <cell r="AF213">
            <v>46022</v>
          </cell>
          <cell r="AG213">
            <v>72.760000000000005</v>
          </cell>
          <cell r="AH213">
            <v>109.14</v>
          </cell>
          <cell r="AI213">
            <v>75.760000000000005</v>
          </cell>
          <cell r="AJ213">
            <v>75</v>
          </cell>
          <cell r="AK213">
            <v>112.5</v>
          </cell>
          <cell r="AL213">
            <v>3.3599999999999994</v>
          </cell>
          <cell r="AM213">
            <v>-0.76000000000000512</v>
          </cell>
          <cell r="AN213">
            <v>3.3599999999999994</v>
          </cell>
          <cell r="AO213">
            <v>-0.76000000000000512</v>
          </cell>
          <cell r="AP213">
            <v>3.3599999999999994</v>
          </cell>
          <cell r="AQ213">
            <v>-0.76000000000000512</v>
          </cell>
          <cell r="AR213" t="str">
            <v>US_24331</v>
          </cell>
          <cell r="AS213">
            <v>0</v>
          </cell>
          <cell r="AT213">
            <v>72</v>
          </cell>
          <cell r="AU213">
            <v>72</v>
          </cell>
          <cell r="AV213">
            <v>0</v>
          </cell>
          <cell r="AW213">
            <v>-54.720000000000368</v>
          </cell>
          <cell r="AX213">
            <v>-54.172800000000365</v>
          </cell>
          <cell r="AY213">
            <v>-54.720000000000368</v>
          </cell>
          <cell r="AZ213">
            <v>100</v>
          </cell>
          <cell r="BA213">
            <v>-1.2160000000000082</v>
          </cell>
          <cell r="BB213">
            <v>-87.552000000000589</v>
          </cell>
          <cell r="BF213">
            <v>-54.172800000000365</v>
          </cell>
          <cell r="BG213">
            <v>5400</v>
          </cell>
          <cell r="BH213">
            <v>5400</v>
          </cell>
          <cell r="BI213">
            <v>4896</v>
          </cell>
          <cell r="BJ213">
            <v>4.7600000000000007</v>
          </cell>
          <cell r="BK213">
            <v>216</v>
          </cell>
          <cell r="BL213">
            <v>342.72</v>
          </cell>
          <cell r="BM213">
            <v>5454.72</v>
          </cell>
          <cell r="BN213">
            <v>7.7600000000000007</v>
          </cell>
          <cell r="BO213">
            <v>-54.720000000000027</v>
          </cell>
          <cell r="BP213" t="str">
            <v>Y</v>
          </cell>
          <cell r="BQ213">
            <v>1</v>
          </cell>
          <cell r="BR213" t="str">
            <v>Y</v>
          </cell>
          <cell r="BS213">
            <v>-87.552000000000589</v>
          </cell>
          <cell r="BT213" t="str">
            <v>Done</v>
          </cell>
          <cell r="BU213">
            <v>72</v>
          </cell>
          <cell r="BV213">
            <v>2025</v>
          </cell>
        </row>
        <row r="214">
          <cell r="A214" t="str">
            <v>Lucknow</v>
          </cell>
          <cell r="B214" t="str">
            <v>Mavericks</v>
          </cell>
          <cell r="C214" t="str">
            <v>Mid Level</v>
          </cell>
          <cell r="D214" t="str">
            <v>Rohit Gupta</v>
          </cell>
          <cell r="E214" t="str">
            <v>-</v>
          </cell>
          <cell r="H214" t="str">
            <v>Ekta Singh</v>
          </cell>
          <cell r="J214" t="str">
            <v>ACH</v>
          </cell>
          <cell r="L214" t="str">
            <v>New</v>
          </cell>
          <cell r="M214">
            <v>45678</v>
          </cell>
          <cell r="N214">
            <v>1</v>
          </cell>
          <cell r="O214">
            <v>368</v>
          </cell>
          <cell r="P214">
            <v>45807</v>
          </cell>
          <cell r="Q214">
            <v>46043</v>
          </cell>
          <cell r="R214" t="str">
            <v>PLC-4120</v>
          </cell>
          <cell r="S214" t="str">
            <v>James Foster Harrington</v>
          </cell>
          <cell r="T214" t="str">
            <v>Individual</v>
          </cell>
          <cell r="U214">
            <v>1099</v>
          </cell>
          <cell r="V214" t="str">
            <v>Xceedence</v>
          </cell>
          <cell r="W214">
            <v>68</v>
          </cell>
          <cell r="X214">
            <v>102</v>
          </cell>
          <cell r="Y214" t="str">
            <v>USD</v>
          </cell>
          <cell r="Z214">
            <v>75</v>
          </cell>
          <cell r="AA214">
            <v>112.5</v>
          </cell>
          <cell r="AB214">
            <v>0</v>
          </cell>
          <cell r="AC214">
            <v>3</v>
          </cell>
          <cell r="AD214">
            <v>45703</v>
          </cell>
          <cell r="AE214">
            <v>20</v>
          </cell>
          <cell r="AF214">
            <v>46022</v>
          </cell>
          <cell r="AG214">
            <v>72.760000000000005</v>
          </cell>
          <cell r="AH214">
            <v>109.14</v>
          </cell>
          <cell r="AI214">
            <v>75.760000000000005</v>
          </cell>
          <cell r="AJ214">
            <v>75</v>
          </cell>
          <cell r="AK214">
            <v>112.5</v>
          </cell>
          <cell r="AL214">
            <v>3.3599999999999994</v>
          </cell>
          <cell r="AM214">
            <v>-0.76000000000000512</v>
          </cell>
          <cell r="AN214">
            <v>3.3599999999999994</v>
          </cell>
          <cell r="AO214">
            <v>-0.76000000000000512</v>
          </cell>
          <cell r="AP214">
            <v>3.3599999999999994</v>
          </cell>
          <cell r="AQ214">
            <v>-0.76000000000000512</v>
          </cell>
          <cell r="AR214" t="str">
            <v>US_24521</v>
          </cell>
          <cell r="AS214">
            <v>0</v>
          </cell>
          <cell r="AT214">
            <v>152</v>
          </cell>
          <cell r="AU214">
            <v>152</v>
          </cell>
          <cell r="AV214">
            <v>0</v>
          </cell>
          <cell r="AW214">
            <v>-115.52000000000078</v>
          </cell>
          <cell r="AX214">
            <v>-114.36480000000077</v>
          </cell>
          <cell r="AY214">
            <v>-115.52000000000078</v>
          </cell>
          <cell r="AZ214">
            <v>100</v>
          </cell>
          <cell r="BA214">
            <v>-1.2160000000000082</v>
          </cell>
          <cell r="BB214">
            <v>-184.83200000000124</v>
          </cell>
          <cell r="BF214">
            <v>-114.36480000000077</v>
          </cell>
          <cell r="BG214">
            <v>11400</v>
          </cell>
          <cell r="BH214">
            <v>11400</v>
          </cell>
          <cell r="BI214">
            <v>10336</v>
          </cell>
          <cell r="BJ214">
            <v>4.7600000000000007</v>
          </cell>
          <cell r="BK214">
            <v>456</v>
          </cell>
          <cell r="BL214">
            <v>723.5200000000001</v>
          </cell>
          <cell r="BM214">
            <v>11515.52</v>
          </cell>
          <cell r="BN214">
            <v>7.7600000000000007</v>
          </cell>
          <cell r="BO214">
            <v>-115.5200000000001</v>
          </cell>
          <cell r="BP214" t="str">
            <v>Y</v>
          </cell>
          <cell r="BQ214">
            <v>1</v>
          </cell>
          <cell r="BR214" t="str">
            <v>Y</v>
          </cell>
          <cell r="BS214">
            <v>-184.83200000000124</v>
          </cell>
          <cell r="BT214" t="str">
            <v>Done</v>
          </cell>
          <cell r="BU214">
            <v>152</v>
          </cell>
          <cell r="BV214">
            <v>2025</v>
          </cell>
        </row>
        <row r="215">
          <cell r="A215" t="str">
            <v>Lucknow</v>
          </cell>
          <cell r="B215" t="str">
            <v>Mavericks</v>
          </cell>
          <cell r="C215" t="str">
            <v>Mid Level</v>
          </cell>
          <cell r="D215" t="str">
            <v>Rohit Gupta</v>
          </cell>
          <cell r="E215" t="str">
            <v>-</v>
          </cell>
          <cell r="H215" t="str">
            <v>Ekta Singh</v>
          </cell>
          <cell r="J215" t="str">
            <v>ACH</v>
          </cell>
          <cell r="L215" t="str">
            <v>New</v>
          </cell>
          <cell r="M215">
            <v>45678</v>
          </cell>
          <cell r="N215">
            <v>1</v>
          </cell>
          <cell r="O215">
            <v>368</v>
          </cell>
          <cell r="P215">
            <v>45807</v>
          </cell>
          <cell r="Q215">
            <v>46043</v>
          </cell>
          <cell r="R215" t="str">
            <v>PLC-4120</v>
          </cell>
          <cell r="S215" t="str">
            <v>James Foster Harrington</v>
          </cell>
          <cell r="T215" t="str">
            <v>Individual</v>
          </cell>
          <cell r="U215">
            <v>1099</v>
          </cell>
          <cell r="V215" t="str">
            <v>Xceedence</v>
          </cell>
          <cell r="W215">
            <v>68</v>
          </cell>
          <cell r="X215">
            <v>102</v>
          </cell>
          <cell r="Y215" t="str">
            <v>USD</v>
          </cell>
          <cell r="Z215">
            <v>75</v>
          </cell>
          <cell r="AA215">
            <v>112.5</v>
          </cell>
          <cell r="AB215">
            <v>0</v>
          </cell>
          <cell r="AC215">
            <v>3</v>
          </cell>
          <cell r="AD215">
            <v>45731</v>
          </cell>
          <cell r="AE215">
            <v>21</v>
          </cell>
          <cell r="AF215">
            <v>46022</v>
          </cell>
          <cell r="AG215">
            <v>72.760000000000005</v>
          </cell>
          <cell r="AH215">
            <v>109.14</v>
          </cell>
          <cell r="AI215">
            <v>75.760000000000005</v>
          </cell>
          <cell r="AJ215">
            <v>75</v>
          </cell>
          <cell r="AK215">
            <v>112.5</v>
          </cell>
          <cell r="AL215">
            <v>3.3599999999999994</v>
          </cell>
          <cell r="AM215">
            <v>-0.76000000000000512</v>
          </cell>
          <cell r="AN215">
            <v>3.3599999999999994</v>
          </cell>
          <cell r="AO215">
            <v>-0.76000000000000512</v>
          </cell>
          <cell r="AP215">
            <v>3.3599999999999994</v>
          </cell>
          <cell r="AQ215">
            <v>-0.76000000000000512</v>
          </cell>
          <cell r="AR215" t="str">
            <v>US_24697</v>
          </cell>
          <cell r="AS215">
            <v>0</v>
          </cell>
          <cell r="AT215">
            <v>168</v>
          </cell>
          <cell r="AU215">
            <v>168</v>
          </cell>
          <cell r="AV215">
            <v>0</v>
          </cell>
          <cell r="AW215">
            <v>-127.68000000000086</v>
          </cell>
          <cell r="AX215">
            <v>-126.40320000000085</v>
          </cell>
          <cell r="AY215">
            <v>-127.68000000000086</v>
          </cell>
          <cell r="AZ215">
            <v>100</v>
          </cell>
          <cell r="BA215">
            <v>-1.2160000000000082</v>
          </cell>
          <cell r="BB215">
            <v>-204.28800000000138</v>
          </cell>
          <cell r="BF215">
            <v>-126.40320000000085</v>
          </cell>
          <cell r="BG215">
            <v>12600</v>
          </cell>
          <cell r="BH215">
            <v>12600</v>
          </cell>
          <cell r="BI215">
            <v>11424</v>
          </cell>
          <cell r="BJ215">
            <v>4.7600000000000007</v>
          </cell>
          <cell r="BK215">
            <v>504</v>
          </cell>
          <cell r="BL215">
            <v>799.68000000000006</v>
          </cell>
          <cell r="BM215">
            <v>12727.68</v>
          </cell>
          <cell r="BN215">
            <v>7.7600000000000007</v>
          </cell>
          <cell r="BO215">
            <v>-127.68000000000006</v>
          </cell>
          <cell r="BP215" t="str">
            <v>Y</v>
          </cell>
          <cell r="BQ215">
            <v>1</v>
          </cell>
          <cell r="BR215" t="str">
            <v>Y</v>
          </cell>
          <cell r="BS215">
            <v>-204.28800000000138</v>
          </cell>
          <cell r="BT215" t="str">
            <v>Done</v>
          </cell>
          <cell r="BU215">
            <v>168</v>
          </cell>
          <cell r="BV215">
            <v>2025</v>
          </cell>
        </row>
        <row r="216">
          <cell r="A216" t="str">
            <v>Lucknow</v>
          </cell>
          <cell r="B216" t="str">
            <v>Mavericks</v>
          </cell>
          <cell r="C216" t="str">
            <v>Mid Level</v>
          </cell>
          <cell r="D216" t="str">
            <v>Rohit Gupta</v>
          </cell>
          <cell r="E216" t="str">
            <v>-</v>
          </cell>
          <cell r="H216" t="str">
            <v>Ekta Singh</v>
          </cell>
          <cell r="J216" t="str">
            <v>ACH</v>
          </cell>
          <cell r="L216" t="str">
            <v>New</v>
          </cell>
          <cell r="M216">
            <v>45678</v>
          </cell>
          <cell r="N216">
            <v>1</v>
          </cell>
          <cell r="O216">
            <v>368</v>
          </cell>
          <cell r="P216">
            <v>45807</v>
          </cell>
          <cell r="Q216">
            <v>46043</v>
          </cell>
          <cell r="R216" t="str">
            <v>PLC-4120</v>
          </cell>
          <cell r="S216" t="str">
            <v>James Foster Harrington</v>
          </cell>
          <cell r="T216" t="str">
            <v>Individual</v>
          </cell>
          <cell r="U216">
            <v>1099</v>
          </cell>
          <cell r="V216" t="str">
            <v>Xceedence</v>
          </cell>
          <cell r="W216">
            <v>68</v>
          </cell>
          <cell r="X216">
            <v>102</v>
          </cell>
          <cell r="Y216" t="str">
            <v>USD</v>
          </cell>
          <cell r="Z216">
            <v>75</v>
          </cell>
          <cell r="AA216">
            <v>112.5</v>
          </cell>
          <cell r="AB216">
            <v>0</v>
          </cell>
          <cell r="AC216">
            <v>3</v>
          </cell>
          <cell r="AD216">
            <v>45762</v>
          </cell>
          <cell r="AE216">
            <v>22</v>
          </cell>
          <cell r="AF216">
            <v>46022</v>
          </cell>
          <cell r="AG216">
            <v>72.760000000000005</v>
          </cell>
          <cell r="AH216">
            <v>109.14</v>
          </cell>
          <cell r="AI216">
            <v>75.760000000000005</v>
          </cell>
          <cell r="AJ216">
            <v>75</v>
          </cell>
          <cell r="AK216">
            <v>112.5</v>
          </cell>
          <cell r="AL216">
            <v>3.3599999999999994</v>
          </cell>
          <cell r="AM216">
            <v>-0.76000000000000512</v>
          </cell>
          <cell r="AN216">
            <v>3.3599999999999994</v>
          </cell>
          <cell r="AO216">
            <v>-0.76000000000000512</v>
          </cell>
          <cell r="AP216">
            <v>3.3599999999999994</v>
          </cell>
          <cell r="AQ216">
            <v>-0.76000000000000512</v>
          </cell>
          <cell r="AR216" t="str">
            <v>US_24898</v>
          </cell>
          <cell r="AS216">
            <v>0</v>
          </cell>
          <cell r="AT216">
            <v>176</v>
          </cell>
          <cell r="AU216">
            <v>176</v>
          </cell>
          <cell r="AV216">
            <v>0</v>
          </cell>
          <cell r="AW216">
            <v>-133.7600000000009</v>
          </cell>
          <cell r="AX216">
            <v>-132.42240000000089</v>
          </cell>
          <cell r="AY216">
            <v>-133.7600000000009</v>
          </cell>
          <cell r="AZ216">
            <v>100</v>
          </cell>
          <cell r="BA216">
            <v>-1.2160000000000082</v>
          </cell>
          <cell r="BB216">
            <v>-214.01600000000144</v>
          </cell>
          <cell r="BF216">
            <v>-132.42240000000089</v>
          </cell>
          <cell r="BG216">
            <v>13200</v>
          </cell>
          <cell r="BH216">
            <v>13200</v>
          </cell>
          <cell r="BI216">
            <v>11968</v>
          </cell>
          <cell r="BJ216">
            <v>4.7600000000000007</v>
          </cell>
          <cell r="BK216">
            <v>528</v>
          </cell>
          <cell r="BL216">
            <v>837.7600000000001</v>
          </cell>
          <cell r="BM216">
            <v>13333.76</v>
          </cell>
          <cell r="BN216">
            <v>7.7600000000000007</v>
          </cell>
          <cell r="BO216">
            <v>-133.7600000000001</v>
          </cell>
          <cell r="BP216" t="str">
            <v>Y</v>
          </cell>
          <cell r="BQ216">
            <v>2</v>
          </cell>
          <cell r="BR216" t="str">
            <v>N</v>
          </cell>
          <cell r="BS216">
            <v>-214.01600000000144</v>
          </cell>
          <cell r="BT216" t="str">
            <v>Done</v>
          </cell>
          <cell r="BU216">
            <v>176</v>
          </cell>
          <cell r="BV216">
            <v>2025</v>
          </cell>
        </row>
        <row r="217">
          <cell r="A217" t="str">
            <v>Chennai</v>
          </cell>
          <cell r="B217" t="str">
            <v>Chennai</v>
          </cell>
          <cell r="C217" t="str">
            <v>Mid Level</v>
          </cell>
          <cell r="D217" t="str">
            <v>Vinoth L</v>
          </cell>
          <cell r="E217" t="str">
            <v>Akbar Ibrahim</v>
          </cell>
          <cell r="H217" t="str">
            <v>Kishore Gopi</v>
          </cell>
          <cell r="K217">
            <v>0</v>
          </cell>
          <cell r="L217" t="str">
            <v>Old</v>
          </cell>
          <cell r="M217">
            <v>45426</v>
          </cell>
          <cell r="N217">
            <v>2</v>
          </cell>
          <cell r="O217">
            <v>620</v>
          </cell>
          <cell r="P217">
            <v>45762</v>
          </cell>
          <cell r="Q217">
            <v>45791</v>
          </cell>
          <cell r="R217" t="str">
            <v>PLC-3781</v>
          </cell>
          <cell r="S217" t="str">
            <v>Janardhan Reddy Kasireddy</v>
          </cell>
          <cell r="T217" t="str">
            <v>Split</v>
          </cell>
          <cell r="U217" t="str">
            <v>C2C</v>
          </cell>
          <cell r="V217" t="str">
            <v>Citius Tech</v>
          </cell>
          <cell r="W217">
            <v>60</v>
          </cell>
          <cell r="X217">
            <v>0</v>
          </cell>
          <cell r="Y217" t="str">
            <v>USD</v>
          </cell>
          <cell r="Z217">
            <v>64</v>
          </cell>
          <cell r="AA217">
            <v>0</v>
          </cell>
          <cell r="AB217">
            <v>0</v>
          </cell>
          <cell r="AC217">
            <v>0</v>
          </cell>
          <cell r="AD217">
            <v>45672</v>
          </cell>
          <cell r="AE217">
            <v>22</v>
          </cell>
          <cell r="AF217">
            <v>46022</v>
          </cell>
          <cell r="AG217">
            <v>60</v>
          </cell>
          <cell r="AH217">
            <v>0</v>
          </cell>
          <cell r="AI217">
            <v>60</v>
          </cell>
          <cell r="AJ217">
            <v>64</v>
          </cell>
          <cell r="AK217">
            <v>0</v>
          </cell>
          <cell r="AL217">
            <v>0</v>
          </cell>
          <cell r="AM217">
            <v>4</v>
          </cell>
          <cell r="AN217">
            <v>0</v>
          </cell>
          <cell r="AO217">
            <v>2</v>
          </cell>
          <cell r="AP217">
            <v>0</v>
          </cell>
          <cell r="AQ217">
            <v>2</v>
          </cell>
          <cell r="AR217" t="str">
            <v>US_24234</v>
          </cell>
          <cell r="AS217">
            <v>0</v>
          </cell>
          <cell r="AT217">
            <v>160</v>
          </cell>
          <cell r="AU217">
            <v>160</v>
          </cell>
          <cell r="AV217">
            <v>0</v>
          </cell>
          <cell r="AW217">
            <v>320</v>
          </cell>
          <cell r="AX217">
            <v>320</v>
          </cell>
          <cell r="AY217">
            <v>320</v>
          </cell>
          <cell r="AZ217">
            <v>50</v>
          </cell>
          <cell r="BA217">
            <v>3.2</v>
          </cell>
          <cell r="BB217">
            <v>512</v>
          </cell>
          <cell r="BC217">
            <v>53.225806451612897</v>
          </cell>
          <cell r="BD217">
            <v>320</v>
          </cell>
          <cell r="BE217">
            <v>256</v>
          </cell>
          <cell r="BF217">
            <v>320</v>
          </cell>
          <cell r="BG217">
            <v>5120</v>
          </cell>
          <cell r="BH217">
            <v>5120</v>
          </cell>
          <cell r="BI217">
            <v>4800</v>
          </cell>
          <cell r="BJ217">
            <v>0</v>
          </cell>
          <cell r="BK217">
            <v>0</v>
          </cell>
          <cell r="BL217">
            <v>0</v>
          </cell>
          <cell r="BM217">
            <v>4800</v>
          </cell>
          <cell r="BN217">
            <v>0</v>
          </cell>
          <cell r="BO217">
            <v>320</v>
          </cell>
          <cell r="BP217" t="str">
            <v>Y</v>
          </cell>
          <cell r="BQ217">
            <v>1</v>
          </cell>
          <cell r="BR217" t="str">
            <v>N</v>
          </cell>
          <cell r="BS217">
            <v>512</v>
          </cell>
          <cell r="BT217" t="str">
            <v>Done</v>
          </cell>
          <cell r="BU217">
            <v>160</v>
          </cell>
          <cell r="BV217">
            <v>2024</v>
          </cell>
        </row>
        <row r="218">
          <cell r="A218" t="str">
            <v>Chennai</v>
          </cell>
          <cell r="B218" t="str">
            <v>Chennai</v>
          </cell>
          <cell r="C218" t="str">
            <v>Mid Level</v>
          </cell>
          <cell r="D218" t="str">
            <v>Akbar Ibrahim</v>
          </cell>
          <cell r="E218" t="str">
            <v>Vinoth L</v>
          </cell>
          <cell r="F218" t="str">
            <v>Akbar Ibrahim</v>
          </cell>
          <cell r="H218" t="str">
            <v>Kishore Gopi</v>
          </cell>
          <cell r="K218">
            <v>0</v>
          </cell>
          <cell r="L218" t="str">
            <v>Old</v>
          </cell>
          <cell r="M218">
            <v>45426</v>
          </cell>
          <cell r="N218">
            <v>2</v>
          </cell>
          <cell r="O218">
            <v>620</v>
          </cell>
          <cell r="P218">
            <v>45762</v>
          </cell>
          <cell r="Q218">
            <v>45791</v>
          </cell>
          <cell r="R218" t="str">
            <v>PLC-3781</v>
          </cell>
          <cell r="S218" t="str">
            <v>Janardhan Reddy Kasireddy</v>
          </cell>
          <cell r="T218" t="str">
            <v>Split</v>
          </cell>
          <cell r="U218" t="str">
            <v>C2C</v>
          </cell>
          <cell r="V218" t="str">
            <v>Citius Tech</v>
          </cell>
          <cell r="W218">
            <v>60</v>
          </cell>
          <cell r="X218">
            <v>0</v>
          </cell>
          <cell r="Y218" t="str">
            <v>USD</v>
          </cell>
          <cell r="Z218">
            <v>64</v>
          </cell>
          <cell r="AA218">
            <v>0</v>
          </cell>
          <cell r="AB218">
            <v>0</v>
          </cell>
          <cell r="AC218">
            <v>0</v>
          </cell>
          <cell r="AD218">
            <v>45672</v>
          </cell>
          <cell r="AE218">
            <v>22</v>
          </cell>
          <cell r="AF218">
            <v>46022</v>
          </cell>
          <cell r="AG218">
            <v>60</v>
          </cell>
          <cell r="AH218">
            <v>0</v>
          </cell>
          <cell r="AI218">
            <v>60</v>
          </cell>
          <cell r="AJ218">
            <v>64</v>
          </cell>
          <cell r="AK218">
            <v>0</v>
          </cell>
          <cell r="AL218">
            <v>0</v>
          </cell>
          <cell r="AM218">
            <v>4</v>
          </cell>
          <cell r="AN218">
            <v>0</v>
          </cell>
          <cell r="AO218">
            <v>2</v>
          </cell>
          <cell r="AP218">
            <v>0</v>
          </cell>
          <cell r="AQ218">
            <v>2</v>
          </cell>
          <cell r="AR218" t="str">
            <v>US_24234</v>
          </cell>
          <cell r="AS218">
            <v>0</v>
          </cell>
          <cell r="AT218">
            <v>160</v>
          </cell>
          <cell r="AU218">
            <v>160</v>
          </cell>
          <cell r="AV218">
            <v>0</v>
          </cell>
          <cell r="AW218">
            <v>320</v>
          </cell>
          <cell r="AX218">
            <v>320</v>
          </cell>
          <cell r="AY218">
            <v>320</v>
          </cell>
          <cell r="AZ218">
            <v>50</v>
          </cell>
          <cell r="BA218">
            <v>3.2</v>
          </cell>
          <cell r="BB218">
            <v>512</v>
          </cell>
          <cell r="BD218">
            <v>320</v>
          </cell>
          <cell r="BF218">
            <v>320</v>
          </cell>
          <cell r="BG218">
            <v>5120</v>
          </cell>
          <cell r="BH218">
            <v>5120</v>
          </cell>
          <cell r="BI218">
            <v>4800</v>
          </cell>
          <cell r="BJ218">
            <v>0</v>
          </cell>
          <cell r="BK218">
            <v>0</v>
          </cell>
          <cell r="BL218">
            <v>0</v>
          </cell>
          <cell r="BM218">
            <v>4800</v>
          </cell>
          <cell r="BN218">
            <v>0</v>
          </cell>
          <cell r="BO218">
            <v>320</v>
          </cell>
          <cell r="BP218" t="str">
            <v>Y</v>
          </cell>
          <cell r="BQ218">
            <v>1</v>
          </cell>
          <cell r="BR218" t="str">
            <v>N</v>
          </cell>
          <cell r="BS218">
            <v>512</v>
          </cell>
          <cell r="BT218" t="str">
            <v>Done</v>
          </cell>
          <cell r="BU218">
            <v>160</v>
          </cell>
          <cell r="BV218">
            <v>2024</v>
          </cell>
        </row>
        <row r="219">
          <cell r="A219" t="str">
            <v>Chennai</v>
          </cell>
          <cell r="B219" t="str">
            <v>Chennai</v>
          </cell>
          <cell r="C219" t="str">
            <v>Mid Level</v>
          </cell>
          <cell r="D219" t="str">
            <v>Vinoth L</v>
          </cell>
          <cell r="E219" t="str">
            <v>Akbar Ibrahim</v>
          </cell>
          <cell r="H219" t="str">
            <v>Kishore Gopi</v>
          </cell>
          <cell r="K219">
            <v>0</v>
          </cell>
          <cell r="L219" t="str">
            <v>Old</v>
          </cell>
          <cell r="M219">
            <v>45426</v>
          </cell>
          <cell r="N219">
            <v>2</v>
          </cell>
          <cell r="O219">
            <v>620</v>
          </cell>
          <cell r="P219">
            <v>45762</v>
          </cell>
          <cell r="Q219">
            <v>45791</v>
          </cell>
          <cell r="R219" t="str">
            <v>PLC-3781</v>
          </cell>
          <cell r="S219" t="str">
            <v>Janardhan Reddy Kasireddy</v>
          </cell>
          <cell r="T219" t="str">
            <v>Split</v>
          </cell>
          <cell r="U219" t="str">
            <v>C2C</v>
          </cell>
          <cell r="V219" t="str">
            <v>Citius Tech</v>
          </cell>
          <cell r="W219">
            <v>60</v>
          </cell>
          <cell r="X219">
            <v>0</v>
          </cell>
          <cell r="Y219" t="str">
            <v>USD</v>
          </cell>
          <cell r="Z219">
            <v>64</v>
          </cell>
          <cell r="AA219">
            <v>0</v>
          </cell>
          <cell r="AB219">
            <v>0</v>
          </cell>
          <cell r="AC219">
            <v>0</v>
          </cell>
          <cell r="AD219">
            <v>45703</v>
          </cell>
          <cell r="AE219">
            <v>20</v>
          </cell>
          <cell r="AF219">
            <v>46022</v>
          </cell>
          <cell r="AG219">
            <v>60</v>
          </cell>
          <cell r="AH219">
            <v>0</v>
          </cell>
          <cell r="AI219">
            <v>60</v>
          </cell>
          <cell r="AJ219">
            <v>64</v>
          </cell>
          <cell r="AK219">
            <v>0</v>
          </cell>
          <cell r="AL219">
            <v>0</v>
          </cell>
          <cell r="AM219">
            <v>4</v>
          </cell>
          <cell r="AN219">
            <v>0</v>
          </cell>
          <cell r="AO219">
            <v>2</v>
          </cell>
          <cell r="AP219">
            <v>0</v>
          </cell>
          <cell r="AQ219">
            <v>2</v>
          </cell>
          <cell r="AR219" t="str">
            <v>US_24440</v>
          </cell>
          <cell r="AS219">
            <v>0</v>
          </cell>
          <cell r="AT219">
            <v>168</v>
          </cell>
          <cell r="AU219">
            <v>168</v>
          </cell>
          <cell r="AV219">
            <v>0</v>
          </cell>
          <cell r="AW219">
            <v>336</v>
          </cell>
          <cell r="AX219">
            <v>336</v>
          </cell>
          <cell r="AY219">
            <v>336</v>
          </cell>
          <cell r="AZ219">
            <v>50</v>
          </cell>
          <cell r="BA219">
            <v>3.2</v>
          </cell>
          <cell r="BB219">
            <v>537.6</v>
          </cell>
          <cell r="BC219">
            <v>53.225806451612897</v>
          </cell>
          <cell r="BD219">
            <v>336</v>
          </cell>
          <cell r="BE219">
            <v>268.8</v>
          </cell>
          <cell r="BF219">
            <v>336</v>
          </cell>
          <cell r="BG219">
            <v>5376</v>
          </cell>
          <cell r="BH219">
            <v>5376</v>
          </cell>
          <cell r="BI219">
            <v>5040</v>
          </cell>
          <cell r="BJ219">
            <v>0</v>
          </cell>
          <cell r="BK219">
            <v>0</v>
          </cell>
          <cell r="BL219">
            <v>0</v>
          </cell>
          <cell r="BM219">
            <v>5040</v>
          </cell>
          <cell r="BN219">
            <v>0</v>
          </cell>
          <cell r="BO219">
            <v>336</v>
          </cell>
          <cell r="BQ219">
            <v>1</v>
          </cell>
          <cell r="BR219" t="str">
            <v>N</v>
          </cell>
          <cell r="BS219">
            <v>537.6</v>
          </cell>
          <cell r="BT219" t="str">
            <v>Done</v>
          </cell>
          <cell r="BU219">
            <v>168</v>
          </cell>
          <cell r="BV219">
            <v>2024</v>
          </cell>
        </row>
        <row r="220">
          <cell r="A220" t="str">
            <v>Chennai</v>
          </cell>
          <cell r="B220" t="str">
            <v>Chennai</v>
          </cell>
          <cell r="C220" t="str">
            <v>Mid Level</v>
          </cell>
          <cell r="D220" t="str">
            <v>Akbar Ibrahim</v>
          </cell>
          <cell r="E220" t="str">
            <v>Vinoth L</v>
          </cell>
          <cell r="F220" t="str">
            <v>Akbar Ibrahim</v>
          </cell>
          <cell r="H220" t="str">
            <v>Kishore Gopi</v>
          </cell>
          <cell r="K220">
            <v>0</v>
          </cell>
          <cell r="L220" t="str">
            <v>Old</v>
          </cell>
          <cell r="M220">
            <v>45426</v>
          </cell>
          <cell r="N220">
            <v>2</v>
          </cell>
          <cell r="O220">
            <v>620</v>
          </cell>
          <cell r="P220">
            <v>45762</v>
          </cell>
          <cell r="Q220">
            <v>45791</v>
          </cell>
          <cell r="R220" t="str">
            <v>PLC-3781</v>
          </cell>
          <cell r="S220" t="str">
            <v>Janardhan Reddy Kasireddy</v>
          </cell>
          <cell r="T220" t="str">
            <v>Split</v>
          </cell>
          <cell r="U220" t="str">
            <v>C2C</v>
          </cell>
          <cell r="V220" t="str">
            <v>Citius Tech</v>
          </cell>
          <cell r="W220">
            <v>60</v>
          </cell>
          <cell r="X220">
            <v>0</v>
          </cell>
          <cell r="Y220" t="str">
            <v>USD</v>
          </cell>
          <cell r="Z220">
            <v>64</v>
          </cell>
          <cell r="AA220">
            <v>0</v>
          </cell>
          <cell r="AB220">
            <v>0</v>
          </cell>
          <cell r="AC220">
            <v>0</v>
          </cell>
          <cell r="AD220">
            <v>45703</v>
          </cell>
          <cell r="AE220">
            <v>20</v>
          </cell>
          <cell r="AF220">
            <v>46022</v>
          </cell>
          <cell r="AG220">
            <v>60</v>
          </cell>
          <cell r="AH220">
            <v>0</v>
          </cell>
          <cell r="AI220">
            <v>60</v>
          </cell>
          <cell r="AJ220">
            <v>64</v>
          </cell>
          <cell r="AK220">
            <v>0</v>
          </cell>
          <cell r="AL220">
            <v>0</v>
          </cell>
          <cell r="AM220">
            <v>4</v>
          </cell>
          <cell r="AN220">
            <v>0</v>
          </cell>
          <cell r="AO220">
            <v>2</v>
          </cell>
          <cell r="AP220">
            <v>0</v>
          </cell>
          <cell r="AQ220">
            <v>2</v>
          </cell>
          <cell r="AR220" t="str">
            <v>US_24440</v>
          </cell>
          <cell r="AS220">
            <v>0</v>
          </cell>
          <cell r="AT220">
            <v>168</v>
          </cell>
          <cell r="AU220">
            <v>168</v>
          </cell>
          <cell r="AV220">
            <v>0</v>
          </cell>
          <cell r="AW220">
            <v>336</v>
          </cell>
          <cell r="AX220">
            <v>336</v>
          </cell>
          <cell r="AY220">
            <v>336</v>
          </cell>
          <cell r="AZ220">
            <v>50</v>
          </cell>
          <cell r="BA220">
            <v>3.2</v>
          </cell>
          <cell r="BB220">
            <v>537.6</v>
          </cell>
          <cell r="BD220">
            <v>336</v>
          </cell>
          <cell r="BF220">
            <v>336</v>
          </cell>
          <cell r="BG220">
            <v>5376</v>
          </cell>
          <cell r="BH220">
            <v>5376</v>
          </cell>
          <cell r="BI220">
            <v>5040</v>
          </cell>
          <cell r="BJ220">
            <v>0</v>
          </cell>
          <cell r="BK220">
            <v>0</v>
          </cell>
          <cell r="BL220">
            <v>0</v>
          </cell>
          <cell r="BM220">
            <v>5040</v>
          </cell>
          <cell r="BN220">
            <v>0</v>
          </cell>
          <cell r="BO220">
            <v>336</v>
          </cell>
          <cell r="BQ220">
            <v>1</v>
          </cell>
          <cell r="BR220" t="str">
            <v>N</v>
          </cell>
          <cell r="BS220">
            <v>537.6</v>
          </cell>
          <cell r="BT220" t="str">
            <v>Done</v>
          </cell>
          <cell r="BU220">
            <v>168</v>
          </cell>
          <cell r="BV220">
            <v>2024</v>
          </cell>
        </row>
        <row r="221">
          <cell r="A221" t="str">
            <v>Chennai</v>
          </cell>
          <cell r="B221" t="str">
            <v>Chennai</v>
          </cell>
          <cell r="C221" t="str">
            <v>Mid Level</v>
          </cell>
          <cell r="D221" t="str">
            <v>Vinoth L</v>
          </cell>
          <cell r="E221" t="str">
            <v>Akbar Ibrahim</v>
          </cell>
          <cell r="H221" t="str">
            <v>Kishore Gopi</v>
          </cell>
          <cell r="K221">
            <v>0</v>
          </cell>
          <cell r="L221" t="str">
            <v>Old</v>
          </cell>
          <cell r="M221">
            <v>45426</v>
          </cell>
          <cell r="N221">
            <v>2</v>
          </cell>
          <cell r="O221">
            <v>620</v>
          </cell>
          <cell r="P221">
            <v>45762</v>
          </cell>
          <cell r="Q221">
            <v>45791</v>
          </cell>
          <cell r="R221" t="str">
            <v>PLC-3781</v>
          </cell>
          <cell r="S221" t="str">
            <v>Janardhan Reddy Kasireddy</v>
          </cell>
          <cell r="T221" t="str">
            <v>Split</v>
          </cell>
          <cell r="U221" t="str">
            <v>C2C</v>
          </cell>
          <cell r="V221" t="str">
            <v>Citius Tech</v>
          </cell>
          <cell r="W221">
            <v>60</v>
          </cell>
          <cell r="X221">
            <v>0</v>
          </cell>
          <cell r="Y221" t="str">
            <v>USD</v>
          </cell>
          <cell r="Z221">
            <v>64</v>
          </cell>
          <cell r="AA221">
            <v>0</v>
          </cell>
          <cell r="AB221">
            <v>0</v>
          </cell>
          <cell r="AC221">
            <v>0</v>
          </cell>
          <cell r="AD221">
            <v>45731</v>
          </cell>
          <cell r="AE221">
            <v>21</v>
          </cell>
          <cell r="AF221">
            <v>46022</v>
          </cell>
          <cell r="AG221">
            <v>60</v>
          </cell>
          <cell r="AH221">
            <v>0</v>
          </cell>
          <cell r="AI221">
            <v>60</v>
          </cell>
          <cell r="AJ221">
            <v>64</v>
          </cell>
          <cell r="AK221">
            <v>0</v>
          </cell>
          <cell r="AL221">
            <v>0</v>
          </cell>
          <cell r="AM221">
            <v>4</v>
          </cell>
          <cell r="AN221">
            <v>0</v>
          </cell>
          <cell r="AO221">
            <v>2</v>
          </cell>
          <cell r="AP221">
            <v>0</v>
          </cell>
          <cell r="AQ221">
            <v>2</v>
          </cell>
          <cell r="AR221" t="str">
            <v>US_24630</v>
          </cell>
          <cell r="AS221">
            <v>0</v>
          </cell>
          <cell r="AT221">
            <v>168</v>
          </cell>
          <cell r="AU221">
            <v>168</v>
          </cell>
          <cell r="AV221">
            <v>0</v>
          </cell>
          <cell r="AW221">
            <v>336</v>
          </cell>
          <cell r="AX221">
            <v>336</v>
          </cell>
          <cell r="AY221">
            <v>336</v>
          </cell>
          <cell r="AZ221">
            <v>50</v>
          </cell>
          <cell r="BA221">
            <v>3.2</v>
          </cell>
          <cell r="BB221">
            <v>537.6</v>
          </cell>
          <cell r="BC221">
            <v>53.225806451612897</v>
          </cell>
          <cell r="BD221">
            <v>336</v>
          </cell>
          <cell r="BE221">
            <v>268.8</v>
          </cell>
          <cell r="BF221">
            <v>336</v>
          </cell>
          <cell r="BG221">
            <v>5376</v>
          </cell>
          <cell r="BH221">
            <v>5376</v>
          </cell>
          <cell r="BI221">
            <v>5040</v>
          </cell>
          <cell r="BJ221">
            <v>0</v>
          </cell>
          <cell r="BK221">
            <v>0</v>
          </cell>
          <cell r="BL221">
            <v>0</v>
          </cell>
          <cell r="BM221">
            <v>5040</v>
          </cell>
          <cell r="BN221">
            <v>0</v>
          </cell>
          <cell r="BO221">
            <v>336</v>
          </cell>
          <cell r="BP221" t="str">
            <v>Y</v>
          </cell>
          <cell r="BQ221">
            <v>1</v>
          </cell>
          <cell r="BR221" t="str">
            <v>N</v>
          </cell>
          <cell r="BS221">
            <v>537.6</v>
          </cell>
          <cell r="BT221" t="str">
            <v>Done</v>
          </cell>
          <cell r="BU221">
            <v>168</v>
          </cell>
          <cell r="BV221">
            <v>2024</v>
          </cell>
        </row>
        <row r="222">
          <cell r="A222" t="str">
            <v>Chennai</v>
          </cell>
          <cell r="B222" t="str">
            <v>Chennai</v>
          </cell>
          <cell r="C222" t="str">
            <v>Mid Level</v>
          </cell>
          <cell r="D222" t="str">
            <v>Akbar Ibrahim</v>
          </cell>
          <cell r="E222" t="str">
            <v>Vinoth L</v>
          </cell>
          <cell r="F222" t="str">
            <v>Akbar Ibrahim</v>
          </cell>
          <cell r="H222" t="str">
            <v>Kishore Gopi</v>
          </cell>
          <cell r="K222">
            <v>0</v>
          </cell>
          <cell r="L222" t="str">
            <v>Old</v>
          </cell>
          <cell r="M222">
            <v>45426</v>
          </cell>
          <cell r="N222">
            <v>2</v>
          </cell>
          <cell r="O222">
            <v>620</v>
          </cell>
          <cell r="P222">
            <v>45762</v>
          </cell>
          <cell r="Q222">
            <v>45791</v>
          </cell>
          <cell r="R222" t="str">
            <v>PLC-3781</v>
          </cell>
          <cell r="S222" t="str">
            <v>Janardhan Reddy Kasireddy</v>
          </cell>
          <cell r="T222" t="str">
            <v>Split</v>
          </cell>
          <cell r="U222" t="str">
            <v>C2C</v>
          </cell>
          <cell r="V222" t="str">
            <v>Citius Tech</v>
          </cell>
          <cell r="W222">
            <v>60</v>
          </cell>
          <cell r="X222">
            <v>0</v>
          </cell>
          <cell r="Y222" t="str">
            <v>USD</v>
          </cell>
          <cell r="Z222">
            <v>64</v>
          </cell>
          <cell r="AA222">
            <v>0</v>
          </cell>
          <cell r="AB222">
            <v>0</v>
          </cell>
          <cell r="AC222">
            <v>0</v>
          </cell>
          <cell r="AD222">
            <v>45731</v>
          </cell>
          <cell r="AE222">
            <v>21</v>
          </cell>
          <cell r="AF222">
            <v>46022</v>
          </cell>
          <cell r="AG222">
            <v>60</v>
          </cell>
          <cell r="AH222">
            <v>0</v>
          </cell>
          <cell r="AI222">
            <v>60</v>
          </cell>
          <cell r="AJ222">
            <v>64</v>
          </cell>
          <cell r="AK222">
            <v>0</v>
          </cell>
          <cell r="AL222">
            <v>0</v>
          </cell>
          <cell r="AM222">
            <v>4</v>
          </cell>
          <cell r="AN222">
            <v>0</v>
          </cell>
          <cell r="AO222">
            <v>2</v>
          </cell>
          <cell r="AP222">
            <v>0</v>
          </cell>
          <cell r="AQ222">
            <v>2</v>
          </cell>
          <cell r="AR222" t="str">
            <v>US_24630</v>
          </cell>
          <cell r="AS222">
            <v>0</v>
          </cell>
          <cell r="AT222">
            <v>168</v>
          </cell>
          <cell r="AU222">
            <v>168</v>
          </cell>
          <cell r="AV222">
            <v>0</v>
          </cell>
          <cell r="AW222">
            <v>336</v>
          </cell>
          <cell r="AX222">
            <v>336</v>
          </cell>
          <cell r="AY222">
            <v>336</v>
          </cell>
          <cell r="AZ222">
            <v>50</v>
          </cell>
          <cell r="BA222">
            <v>3.2</v>
          </cell>
          <cell r="BB222">
            <v>537.6</v>
          </cell>
          <cell r="BD222">
            <v>336</v>
          </cell>
          <cell r="BF222">
            <v>336</v>
          </cell>
          <cell r="BG222">
            <v>5376</v>
          </cell>
          <cell r="BH222">
            <v>5376</v>
          </cell>
          <cell r="BI222">
            <v>5040</v>
          </cell>
          <cell r="BJ222">
            <v>0</v>
          </cell>
          <cell r="BK222">
            <v>0</v>
          </cell>
          <cell r="BL222">
            <v>0</v>
          </cell>
          <cell r="BM222">
            <v>5040</v>
          </cell>
          <cell r="BN222">
            <v>0</v>
          </cell>
          <cell r="BO222">
            <v>336</v>
          </cell>
          <cell r="BP222" t="str">
            <v>Y</v>
          </cell>
          <cell r="BQ222">
            <v>1</v>
          </cell>
          <cell r="BR222" t="str">
            <v>N</v>
          </cell>
          <cell r="BS222">
            <v>537.6</v>
          </cell>
          <cell r="BT222" t="str">
            <v>Done</v>
          </cell>
          <cell r="BU222">
            <v>168</v>
          </cell>
          <cell r="BV222">
            <v>2024</v>
          </cell>
        </row>
        <row r="223">
          <cell r="A223" t="str">
            <v>Chennai</v>
          </cell>
          <cell r="B223" t="str">
            <v>Chennai</v>
          </cell>
          <cell r="C223" t="str">
            <v>Mid Level</v>
          </cell>
          <cell r="D223" t="str">
            <v>Vinoth L</v>
          </cell>
          <cell r="E223" t="str">
            <v>Akbar Ibrahim</v>
          </cell>
          <cell r="H223" t="str">
            <v>Kishore Gopi</v>
          </cell>
          <cell r="K223">
            <v>0</v>
          </cell>
          <cell r="L223" t="str">
            <v>Old</v>
          </cell>
          <cell r="M223">
            <v>45426</v>
          </cell>
          <cell r="N223">
            <v>2</v>
          </cell>
          <cell r="O223">
            <v>620</v>
          </cell>
          <cell r="P223">
            <v>45762</v>
          </cell>
          <cell r="Q223">
            <v>45791</v>
          </cell>
          <cell r="R223" t="str">
            <v>PLC-3781</v>
          </cell>
          <cell r="S223" t="str">
            <v>Janardhan Reddy Kasireddy</v>
          </cell>
          <cell r="T223" t="str">
            <v>Split</v>
          </cell>
          <cell r="U223" t="str">
            <v>C2C</v>
          </cell>
          <cell r="V223" t="str">
            <v>Citius Tech</v>
          </cell>
          <cell r="W223">
            <v>60</v>
          </cell>
          <cell r="X223">
            <v>0</v>
          </cell>
          <cell r="Y223" t="str">
            <v>USD</v>
          </cell>
          <cell r="Z223">
            <v>64</v>
          </cell>
          <cell r="AA223">
            <v>0</v>
          </cell>
          <cell r="AB223">
            <v>0</v>
          </cell>
          <cell r="AC223">
            <v>0</v>
          </cell>
          <cell r="AD223">
            <v>45762</v>
          </cell>
          <cell r="AE223">
            <v>11</v>
          </cell>
          <cell r="AF223">
            <v>46022</v>
          </cell>
          <cell r="AG223">
            <v>60</v>
          </cell>
          <cell r="AH223">
            <v>0</v>
          </cell>
          <cell r="AI223">
            <v>60</v>
          </cell>
          <cell r="AJ223">
            <v>64</v>
          </cell>
          <cell r="AK223">
            <v>0</v>
          </cell>
          <cell r="AL223">
            <v>0</v>
          </cell>
          <cell r="AM223">
            <v>4</v>
          </cell>
          <cell r="AN223">
            <v>0</v>
          </cell>
          <cell r="AO223">
            <v>2</v>
          </cell>
          <cell r="AP223">
            <v>0</v>
          </cell>
          <cell r="AQ223">
            <v>2</v>
          </cell>
          <cell r="AR223" t="str">
            <v>US_24838</v>
          </cell>
          <cell r="AS223">
            <v>0</v>
          </cell>
          <cell r="AT223">
            <v>88</v>
          </cell>
          <cell r="AU223">
            <v>88</v>
          </cell>
          <cell r="AV223">
            <v>0</v>
          </cell>
          <cell r="AW223">
            <v>176</v>
          </cell>
          <cell r="AX223">
            <v>176</v>
          </cell>
          <cell r="AY223">
            <v>176</v>
          </cell>
          <cell r="AZ223">
            <v>50</v>
          </cell>
          <cell r="BA223">
            <v>3.2</v>
          </cell>
          <cell r="BB223">
            <v>281.60000000000002</v>
          </cell>
          <cell r="BC223">
            <v>53.225806451612897</v>
          </cell>
          <cell r="BD223">
            <v>176</v>
          </cell>
          <cell r="BE223">
            <v>140.80000000000001</v>
          </cell>
          <cell r="BF223">
            <v>176</v>
          </cell>
          <cell r="BG223">
            <v>2816</v>
          </cell>
          <cell r="BH223">
            <v>2816</v>
          </cell>
          <cell r="BI223">
            <v>2640</v>
          </cell>
          <cell r="BJ223">
            <v>0</v>
          </cell>
          <cell r="BK223">
            <v>0</v>
          </cell>
          <cell r="BL223">
            <v>0</v>
          </cell>
          <cell r="BM223">
            <v>2640</v>
          </cell>
          <cell r="BN223">
            <v>0</v>
          </cell>
          <cell r="BO223">
            <v>176</v>
          </cell>
          <cell r="BP223" t="str">
            <v>Y</v>
          </cell>
          <cell r="BQ223">
            <v>2</v>
          </cell>
          <cell r="BR223" t="str">
            <v>N</v>
          </cell>
          <cell r="BS223">
            <v>281.60000000000002</v>
          </cell>
          <cell r="BT223" t="str">
            <v>Done</v>
          </cell>
          <cell r="BU223">
            <v>88</v>
          </cell>
          <cell r="BV223">
            <v>2024</v>
          </cell>
        </row>
        <row r="224">
          <cell r="A224" t="str">
            <v>Chennai</v>
          </cell>
          <cell r="B224" t="str">
            <v>Chennai</v>
          </cell>
          <cell r="C224" t="str">
            <v>Mid Level</v>
          </cell>
          <cell r="D224" t="str">
            <v>Akbar Ibrahim</v>
          </cell>
          <cell r="E224" t="str">
            <v>Vinoth L</v>
          </cell>
          <cell r="F224" t="str">
            <v>Akbar Ibrahim</v>
          </cell>
          <cell r="H224" t="str">
            <v>Kishore Gopi</v>
          </cell>
          <cell r="K224">
            <v>0</v>
          </cell>
          <cell r="L224" t="str">
            <v>Old</v>
          </cell>
          <cell r="M224">
            <v>45426</v>
          </cell>
          <cell r="N224">
            <v>2</v>
          </cell>
          <cell r="O224">
            <v>620</v>
          </cell>
          <cell r="P224">
            <v>45762</v>
          </cell>
          <cell r="Q224">
            <v>45791</v>
          </cell>
          <cell r="R224" t="str">
            <v>PLC-3781</v>
          </cell>
          <cell r="S224" t="str">
            <v>Janardhan Reddy Kasireddy</v>
          </cell>
          <cell r="T224" t="str">
            <v>Split</v>
          </cell>
          <cell r="U224" t="str">
            <v>C2C</v>
          </cell>
          <cell r="V224" t="str">
            <v>Citius Tech</v>
          </cell>
          <cell r="W224">
            <v>60</v>
          </cell>
          <cell r="X224">
            <v>0</v>
          </cell>
          <cell r="Y224" t="str">
            <v>USD</v>
          </cell>
          <cell r="Z224">
            <v>64</v>
          </cell>
          <cell r="AA224">
            <v>0</v>
          </cell>
          <cell r="AB224">
            <v>0</v>
          </cell>
          <cell r="AC224">
            <v>0</v>
          </cell>
          <cell r="AD224">
            <v>45762</v>
          </cell>
          <cell r="AE224">
            <v>11</v>
          </cell>
          <cell r="AF224">
            <v>46022</v>
          </cell>
          <cell r="AG224">
            <v>60</v>
          </cell>
          <cell r="AH224">
            <v>0</v>
          </cell>
          <cell r="AI224">
            <v>60</v>
          </cell>
          <cell r="AJ224">
            <v>64</v>
          </cell>
          <cell r="AK224">
            <v>0</v>
          </cell>
          <cell r="AL224">
            <v>0</v>
          </cell>
          <cell r="AM224">
            <v>4</v>
          </cell>
          <cell r="AN224">
            <v>0</v>
          </cell>
          <cell r="AO224">
            <v>2</v>
          </cell>
          <cell r="AP224">
            <v>0</v>
          </cell>
          <cell r="AQ224">
            <v>2</v>
          </cell>
          <cell r="AR224" t="str">
            <v>US_24838</v>
          </cell>
          <cell r="AS224">
            <v>0</v>
          </cell>
          <cell r="AT224">
            <v>88</v>
          </cell>
          <cell r="AU224">
            <v>88</v>
          </cell>
          <cell r="AV224">
            <v>0</v>
          </cell>
          <cell r="AW224">
            <v>176</v>
          </cell>
          <cell r="AX224">
            <v>176</v>
          </cell>
          <cell r="AY224">
            <v>176</v>
          </cell>
          <cell r="AZ224">
            <v>50</v>
          </cell>
          <cell r="BA224">
            <v>3.2</v>
          </cell>
          <cell r="BB224">
            <v>281.60000000000002</v>
          </cell>
          <cell r="BD224">
            <v>176</v>
          </cell>
          <cell r="BF224">
            <v>176</v>
          </cell>
          <cell r="BG224">
            <v>2816</v>
          </cell>
          <cell r="BH224">
            <v>2816</v>
          </cell>
          <cell r="BI224">
            <v>2640</v>
          </cell>
          <cell r="BJ224">
            <v>0</v>
          </cell>
          <cell r="BK224">
            <v>0</v>
          </cell>
          <cell r="BL224">
            <v>0</v>
          </cell>
          <cell r="BM224">
            <v>2640</v>
          </cell>
          <cell r="BN224">
            <v>0</v>
          </cell>
          <cell r="BO224">
            <v>176</v>
          </cell>
          <cell r="BP224" t="str">
            <v>Y</v>
          </cell>
          <cell r="BQ224">
            <v>2</v>
          </cell>
          <cell r="BR224" t="str">
            <v>N</v>
          </cell>
          <cell r="BS224">
            <v>281.60000000000002</v>
          </cell>
          <cell r="BT224" t="str">
            <v>Done</v>
          </cell>
          <cell r="BU224">
            <v>88</v>
          </cell>
          <cell r="BV224">
            <v>2024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Kashif Nabi</v>
          </cell>
          <cell r="H225" t="str">
            <v>Rajeev Dwivedi</v>
          </cell>
          <cell r="K225">
            <v>0</v>
          </cell>
          <cell r="L225" t="str">
            <v>Old</v>
          </cell>
          <cell r="M225">
            <v>45586</v>
          </cell>
          <cell r="N225">
            <v>4</v>
          </cell>
          <cell r="O225">
            <v>460</v>
          </cell>
          <cell r="P225" t="str">
            <v>-</v>
          </cell>
          <cell r="Q225">
            <v>45951</v>
          </cell>
          <cell r="R225" t="str">
            <v>PLC-4027</v>
          </cell>
          <cell r="S225" t="str">
            <v>Janit Bilve</v>
          </cell>
          <cell r="T225" t="str">
            <v>Split</v>
          </cell>
          <cell r="U225" t="str">
            <v>W2</v>
          </cell>
          <cell r="V225" t="str">
            <v>Xceedence</v>
          </cell>
          <cell r="W225">
            <v>27</v>
          </cell>
          <cell r="X225">
            <v>40.5</v>
          </cell>
          <cell r="Y225" t="str">
            <v>USD</v>
          </cell>
          <cell r="Z225">
            <v>41</v>
          </cell>
          <cell r="AA225">
            <v>61.5</v>
          </cell>
          <cell r="AB225">
            <v>0</v>
          </cell>
          <cell r="AC225">
            <v>0</v>
          </cell>
          <cell r="AD225">
            <v>45672</v>
          </cell>
          <cell r="AE225">
            <v>23</v>
          </cell>
          <cell r="AF225">
            <v>46022</v>
          </cell>
          <cell r="AG225">
            <v>31.049999999999997</v>
          </cell>
          <cell r="AH225">
            <v>46.574999999999996</v>
          </cell>
          <cell r="AI225">
            <v>31.049999999999997</v>
          </cell>
          <cell r="AJ225">
            <v>41</v>
          </cell>
          <cell r="AK225">
            <v>61.5</v>
          </cell>
          <cell r="AL225">
            <v>14.925000000000004</v>
          </cell>
          <cell r="AM225">
            <v>9.9500000000000028</v>
          </cell>
          <cell r="AN225">
            <v>7.4625000000000021</v>
          </cell>
          <cell r="AO225">
            <v>4.9750000000000014</v>
          </cell>
          <cell r="AP225">
            <v>7.4625000000000021</v>
          </cell>
          <cell r="AQ225">
            <v>4.9750000000000014</v>
          </cell>
          <cell r="AR225" t="str">
            <v>US_24290</v>
          </cell>
          <cell r="AS225">
            <v>0</v>
          </cell>
          <cell r="AT225">
            <v>168.5</v>
          </cell>
          <cell r="AU225">
            <v>168.5</v>
          </cell>
          <cell r="AV225">
            <v>0</v>
          </cell>
          <cell r="AW225">
            <v>838.28750000000025</v>
          </cell>
          <cell r="AX225">
            <v>838.28750000000025</v>
          </cell>
          <cell r="AY225">
            <v>838.28750000000025</v>
          </cell>
          <cell r="AZ225">
            <v>20</v>
          </cell>
          <cell r="BA225">
            <v>7.9600000000000026</v>
          </cell>
          <cell r="BB225">
            <v>1341.2600000000004</v>
          </cell>
          <cell r="BC225">
            <v>38.28125</v>
          </cell>
          <cell r="BD225">
            <v>838.28750000000025</v>
          </cell>
          <cell r="BE225">
            <v>670.63000000000011</v>
          </cell>
          <cell r="BF225">
            <v>838.28750000000025</v>
          </cell>
          <cell r="BG225">
            <v>3454.25</v>
          </cell>
          <cell r="BH225">
            <v>3454.25</v>
          </cell>
          <cell r="BI225">
            <v>2274.75</v>
          </cell>
          <cell r="BJ225">
            <v>4.05</v>
          </cell>
          <cell r="BK225">
            <v>0</v>
          </cell>
          <cell r="BL225">
            <v>682.42499999999995</v>
          </cell>
          <cell r="BM225">
            <v>2957.1750000000002</v>
          </cell>
          <cell r="BN225">
            <v>4.05</v>
          </cell>
          <cell r="BO225">
            <v>497.07500000000005</v>
          </cell>
          <cell r="BP225" t="str">
            <v>Y</v>
          </cell>
          <cell r="BQ225">
            <v>1</v>
          </cell>
          <cell r="BR225" t="str">
            <v>N</v>
          </cell>
          <cell r="BS225">
            <v>1341.2600000000004</v>
          </cell>
          <cell r="BT225" t="str">
            <v>Done</v>
          </cell>
          <cell r="BU225">
            <v>168.5</v>
          </cell>
          <cell r="BV225">
            <v>2024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Kashif Nabi</v>
          </cell>
          <cell r="E226" t="str">
            <v>Rohit Gupta</v>
          </cell>
          <cell r="H226" t="str">
            <v>Rajeev Dwivedi</v>
          </cell>
          <cell r="K226">
            <v>0</v>
          </cell>
          <cell r="L226" t="str">
            <v>Old</v>
          </cell>
          <cell r="M226">
            <v>45586</v>
          </cell>
          <cell r="N226">
            <v>4</v>
          </cell>
          <cell r="O226">
            <v>460</v>
          </cell>
          <cell r="P226" t="str">
            <v>-</v>
          </cell>
          <cell r="Q226">
            <v>45951</v>
          </cell>
          <cell r="R226" t="str">
            <v>PLC-4027</v>
          </cell>
          <cell r="S226" t="str">
            <v>Janit Bilve</v>
          </cell>
          <cell r="T226" t="str">
            <v>Split</v>
          </cell>
          <cell r="U226" t="str">
            <v>W2</v>
          </cell>
          <cell r="V226" t="str">
            <v>Xceedence</v>
          </cell>
          <cell r="W226">
            <v>27</v>
          </cell>
          <cell r="X226">
            <v>40.5</v>
          </cell>
          <cell r="Y226" t="str">
            <v>USD</v>
          </cell>
          <cell r="Z226">
            <v>41</v>
          </cell>
          <cell r="AA226">
            <v>61.5</v>
          </cell>
          <cell r="AB226">
            <v>0</v>
          </cell>
          <cell r="AC226">
            <v>0</v>
          </cell>
          <cell r="AD226">
            <v>45672</v>
          </cell>
          <cell r="AE226">
            <v>23</v>
          </cell>
          <cell r="AF226">
            <v>46022</v>
          </cell>
          <cell r="AG226">
            <v>31.049999999999997</v>
          </cell>
          <cell r="AH226">
            <v>46.574999999999996</v>
          </cell>
          <cell r="AI226">
            <v>31.049999999999997</v>
          </cell>
          <cell r="AJ226">
            <v>41</v>
          </cell>
          <cell r="AK226">
            <v>61.5</v>
          </cell>
          <cell r="AL226">
            <v>14.925000000000004</v>
          </cell>
          <cell r="AM226">
            <v>9.9500000000000028</v>
          </cell>
          <cell r="AN226">
            <v>7.4625000000000021</v>
          </cell>
          <cell r="AO226">
            <v>4.9750000000000014</v>
          </cell>
          <cell r="AP226">
            <v>7.4625000000000021</v>
          </cell>
          <cell r="AQ226">
            <v>4.9750000000000014</v>
          </cell>
          <cell r="AR226" t="str">
            <v>US_24290</v>
          </cell>
          <cell r="AS226">
            <v>0</v>
          </cell>
          <cell r="AT226">
            <v>168.5</v>
          </cell>
          <cell r="AU226">
            <v>168.5</v>
          </cell>
          <cell r="AV226">
            <v>0</v>
          </cell>
          <cell r="AW226">
            <v>838.28750000000025</v>
          </cell>
          <cell r="AX226">
            <v>838.28750000000025</v>
          </cell>
          <cell r="AY226">
            <v>838.28750000000025</v>
          </cell>
          <cell r="AZ226">
            <v>20</v>
          </cell>
          <cell r="BA226">
            <v>7.9600000000000026</v>
          </cell>
          <cell r="BB226">
            <v>1341.2600000000004</v>
          </cell>
          <cell r="BD226">
            <v>838.28750000000025</v>
          </cell>
          <cell r="BF226">
            <v>838.28750000000025</v>
          </cell>
          <cell r="BG226">
            <v>3454.25</v>
          </cell>
          <cell r="BH226">
            <v>3454.25</v>
          </cell>
          <cell r="BI226">
            <v>2274.75</v>
          </cell>
          <cell r="BJ226">
            <v>4.05</v>
          </cell>
          <cell r="BK226">
            <v>0</v>
          </cell>
          <cell r="BL226">
            <v>682.42499999999995</v>
          </cell>
          <cell r="BM226">
            <v>2957.1750000000002</v>
          </cell>
          <cell r="BN226">
            <v>4.05</v>
          </cell>
          <cell r="BO226">
            <v>497.07500000000005</v>
          </cell>
          <cell r="BP226" t="str">
            <v>Y</v>
          </cell>
          <cell r="BQ226">
            <v>1</v>
          </cell>
          <cell r="BR226" t="str">
            <v>N</v>
          </cell>
          <cell r="BS226">
            <v>1341.2600000000004</v>
          </cell>
          <cell r="BT226" t="str">
            <v>Done</v>
          </cell>
          <cell r="BU226">
            <v>168.5</v>
          </cell>
          <cell r="BV226">
            <v>2024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Rohit Gupta</v>
          </cell>
          <cell r="E227" t="str">
            <v>Kashif Nabi</v>
          </cell>
          <cell r="H227" t="str">
            <v>Rajeev Dwivedi</v>
          </cell>
          <cell r="K227">
            <v>0</v>
          </cell>
          <cell r="L227" t="str">
            <v>Old</v>
          </cell>
          <cell r="M227">
            <v>45586</v>
          </cell>
          <cell r="N227">
            <v>4</v>
          </cell>
          <cell r="O227">
            <v>460</v>
          </cell>
          <cell r="P227" t="str">
            <v>-</v>
          </cell>
          <cell r="Q227">
            <v>45951</v>
          </cell>
          <cell r="R227" t="str">
            <v>PLC-4027</v>
          </cell>
          <cell r="S227" t="str">
            <v>Janit Bilve</v>
          </cell>
          <cell r="T227" t="str">
            <v>Split</v>
          </cell>
          <cell r="U227" t="str">
            <v>W2</v>
          </cell>
          <cell r="V227" t="str">
            <v>Xceedence</v>
          </cell>
          <cell r="W227">
            <v>27</v>
          </cell>
          <cell r="X227">
            <v>40.5</v>
          </cell>
          <cell r="Y227" t="str">
            <v>USD</v>
          </cell>
          <cell r="Z227">
            <v>41</v>
          </cell>
          <cell r="AA227">
            <v>61.5</v>
          </cell>
          <cell r="AB227">
            <v>0</v>
          </cell>
          <cell r="AC227">
            <v>0</v>
          </cell>
          <cell r="AD227">
            <v>45703</v>
          </cell>
          <cell r="AE227">
            <v>20</v>
          </cell>
          <cell r="AF227">
            <v>46022</v>
          </cell>
          <cell r="AG227">
            <v>31.049999999999997</v>
          </cell>
          <cell r="AH227">
            <v>46.574999999999996</v>
          </cell>
          <cell r="AI227">
            <v>31.049999999999997</v>
          </cell>
          <cell r="AJ227">
            <v>41</v>
          </cell>
          <cell r="AK227">
            <v>61.5</v>
          </cell>
          <cell r="AL227">
            <v>14.925000000000004</v>
          </cell>
          <cell r="AM227">
            <v>9.9500000000000028</v>
          </cell>
          <cell r="AN227">
            <v>7.4625000000000021</v>
          </cell>
          <cell r="AO227">
            <v>4.9750000000000014</v>
          </cell>
          <cell r="AP227">
            <v>7.4625000000000021</v>
          </cell>
          <cell r="AQ227">
            <v>4.9750000000000014</v>
          </cell>
          <cell r="AR227" t="str">
            <v>US_24490</v>
          </cell>
          <cell r="AS227">
            <v>0</v>
          </cell>
          <cell r="AT227">
            <v>154</v>
          </cell>
          <cell r="AU227">
            <v>154</v>
          </cell>
          <cell r="AV227">
            <v>0</v>
          </cell>
          <cell r="AW227">
            <v>766.1500000000002</v>
          </cell>
          <cell r="AX227">
            <v>766.1500000000002</v>
          </cell>
          <cell r="AY227">
            <v>766.1500000000002</v>
          </cell>
          <cell r="AZ227">
            <v>20</v>
          </cell>
          <cell r="BA227">
            <v>7.9600000000000026</v>
          </cell>
          <cell r="BB227">
            <v>1225.8400000000004</v>
          </cell>
          <cell r="BC227">
            <v>38.28125</v>
          </cell>
          <cell r="BD227">
            <v>766.1500000000002</v>
          </cell>
          <cell r="BE227">
            <v>612.92000000000019</v>
          </cell>
          <cell r="BF227">
            <v>766.1500000000002</v>
          </cell>
          <cell r="BG227">
            <v>3157</v>
          </cell>
          <cell r="BH227">
            <v>3157</v>
          </cell>
          <cell r="BI227">
            <v>2079</v>
          </cell>
          <cell r="BJ227">
            <v>4.05</v>
          </cell>
          <cell r="BK227">
            <v>0</v>
          </cell>
          <cell r="BL227">
            <v>623.69999999999993</v>
          </cell>
          <cell r="BM227">
            <v>2702.7</v>
          </cell>
          <cell r="BN227">
            <v>4.05</v>
          </cell>
          <cell r="BO227">
            <v>454.30000000000007</v>
          </cell>
          <cell r="BP227" t="str">
            <v>Y</v>
          </cell>
          <cell r="BQ227">
            <v>1</v>
          </cell>
          <cell r="BR227" t="str">
            <v>N</v>
          </cell>
          <cell r="BS227">
            <v>1225.8400000000004</v>
          </cell>
          <cell r="BT227" t="str">
            <v>Done</v>
          </cell>
          <cell r="BU227">
            <v>154</v>
          </cell>
          <cell r="BV227">
            <v>2024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Kashif Nabi</v>
          </cell>
          <cell r="E228" t="str">
            <v>Rohit Gupta</v>
          </cell>
          <cell r="H228" t="str">
            <v>Rajeev Dwivedi</v>
          </cell>
          <cell r="K228">
            <v>0</v>
          </cell>
          <cell r="L228" t="str">
            <v>Old</v>
          </cell>
          <cell r="M228">
            <v>45586</v>
          </cell>
          <cell r="N228">
            <v>4</v>
          </cell>
          <cell r="O228">
            <v>460</v>
          </cell>
          <cell r="P228" t="str">
            <v>-</v>
          </cell>
          <cell r="Q228">
            <v>45951</v>
          </cell>
          <cell r="R228" t="str">
            <v>PLC-4027</v>
          </cell>
          <cell r="S228" t="str">
            <v>Janit Bilve</v>
          </cell>
          <cell r="T228" t="str">
            <v>Split</v>
          </cell>
          <cell r="U228" t="str">
            <v>W2</v>
          </cell>
          <cell r="V228" t="str">
            <v>Xceedence</v>
          </cell>
          <cell r="W228">
            <v>27</v>
          </cell>
          <cell r="X228">
            <v>40.5</v>
          </cell>
          <cell r="Y228" t="str">
            <v>USD</v>
          </cell>
          <cell r="Z228">
            <v>41</v>
          </cell>
          <cell r="AA228">
            <v>61.5</v>
          </cell>
          <cell r="AB228">
            <v>0</v>
          </cell>
          <cell r="AC228">
            <v>0</v>
          </cell>
          <cell r="AD228">
            <v>45703</v>
          </cell>
          <cell r="AE228">
            <v>20</v>
          </cell>
          <cell r="AF228">
            <v>46022</v>
          </cell>
          <cell r="AG228">
            <v>31.049999999999997</v>
          </cell>
          <cell r="AH228">
            <v>46.574999999999996</v>
          </cell>
          <cell r="AI228">
            <v>31.049999999999997</v>
          </cell>
          <cell r="AJ228">
            <v>41</v>
          </cell>
          <cell r="AK228">
            <v>61.5</v>
          </cell>
          <cell r="AL228">
            <v>14.925000000000004</v>
          </cell>
          <cell r="AM228">
            <v>9.9500000000000028</v>
          </cell>
          <cell r="AN228">
            <v>7.4625000000000021</v>
          </cell>
          <cell r="AO228">
            <v>4.9750000000000014</v>
          </cell>
          <cell r="AP228">
            <v>7.4625000000000021</v>
          </cell>
          <cell r="AQ228">
            <v>4.9750000000000014</v>
          </cell>
          <cell r="AR228" t="str">
            <v>US_24490</v>
          </cell>
          <cell r="AS228">
            <v>0</v>
          </cell>
          <cell r="AT228">
            <v>154</v>
          </cell>
          <cell r="AU228">
            <v>154</v>
          </cell>
          <cell r="AV228">
            <v>0</v>
          </cell>
          <cell r="AW228">
            <v>766.1500000000002</v>
          </cell>
          <cell r="AX228">
            <v>766.1500000000002</v>
          </cell>
          <cell r="AY228">
            <v>766.1500000000002</v>
          </cell>
          <cell r="AZ228">
            <v>20</v>
          </cell>
          <cell r="BA228">
            <v>7.9600000000000026</v>
          </cell>
          <cell r="BB228">
            <v>1225.8400000000004</v>
          </cell>
          <cell r="BD228">
            <v>766.1500000000002</v>
          </cell>
          <cell r="BF228">
            <v>766.1500000000002</v>
          </cell>
          <cell r="BG228">
            <v>3157</v>
          </cell>
          <cell r="BH228">
            <v>3157</v>
          </cell>
          <cell r="BI228">
            <v>2079</v>
          </cell>
          <cell r="BJ228">
            <v>4.05</v>
          </cell>
          <cell r="BK228">
            <v>0</v>
          </cell>
          <cell r="BL228">
            <v>623.69999999999993</v>
          </cell>
          <cell r="BM228">
            <v>2702.7</v>
          </cell>
          <cell r="BN228">
            <v>4.05</v>
          </cell>
          <cell r="BO228">
            <v>454.30000000000007</v>
          </cell>
          <cell r="BP228" t="str">
            <v>Y</v>
          </cell>
          <cell r="BQ228">
            <v>1</v>
          </cell>
          <cell r="BR228" t="str">
            <v>N</v>
          </cell>
          <cell r="BS228">
            <v>1225.8400000000004</v>
          </cell>
          <cell r="BT228" t="str">
            <v>Done</v>
          </cell>
          <cell r="BU228">
            <v>154</v>
          </cell>
          <cell r="BV228">
            <v>2024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Rohit Gupta</v>
          </cell>
          <cell r="E229" t="str">
            <v>Kashif Nabi</v>
          </cell>
          <cell r="H229" t="str">
            <v>Rajeev Dwivedi</v>
          </cell>
          <cell r="K229">
            <v>0</v>
          </cell>
          <cell r="L229" t="str">
            <v>Old</v>
          </cell>
          <cell r="M229">
            <v>45586</v>
          </cell>
          <cell r="N229">
            <v>4</v>
          </cell>
          <cell r="O229">
            <v>460</v>
          </cell>
          <cell r="P229" t="str">
            <v>-</v>
          </cell>
          <cell r="Q229">
            <v>45951</v>
          </cell>
          <cell r="R229" t="str">
            <v>PLC-4027</v>
          </cell>
          <cell r="S229" t="str">
            <v>Janit Bilve</v>
          </cell>
          <cell r="T229" t="str">
            <v>Split</v>
          </cell>
          <cell r="U229" t="str">
            <v>W2</v>
          </cell>
          <cell r="V229" t="str">
            <v>Xceedence</v>
          </cell>
          <cell r="W229">
            <v>27</v>
          </cell>
          <cell r="X229">
            <v>40.5</v>
          </cell>
          <cell r="Y229" t="str">
            <v>USD</v>
          </cell>
          <cell r="Z229">
            <v>41</v>
          </cell>
          <cell r="AA229">
            <v>61.5</v>
          </cell>
          <cell r="AB229">
            <v>0</v>
          </cell>
          <cell r="AC229">
            <v>0</v>
          </cell>
          <cell r="AD229">
            <v>45731</v>
          </cell>
          <cell r="AE229">
            <v>21</v>
          </cell>
          <cell r="AF229">
            <v>46022</v>
          </cell>
          <cell r="AG229">
            <v>31.049999999999997</v>
          </cell>
          <cell r="AH229">
            <v>46.574999999999996</v>
          </cell>
          <cell r="AI229">
            <v>31.049999999999997</v>
          </cell>
          <cell r="AJ229">
            <v>41</v>
          </cell>
          <cell r="AK229">
            <v>61.5</v>
          </cell>
          <cell r="AL229">
            <v>14.925000000000004</v>
          </cell>
          <cell r="AM229">
            <v>9.9500000000000028</v>
          </cell>
          <cell r="AN229">
            <v>7.4625000000000021</v>
          </cell>
          <cell r="AO229">
            <v>4.9750000000000014</v>
          </cell>
          <cell r="AP229">
            <v>7.4625000000000021</v>
          </cell>
          <cell r="AQ229">
            <v>4.9750000000000014</v>
          </cell>
          <cell r="AR229" t="str">
            <v>US_24676</v>
          </cell>
          <cell r="AS229">
            <v>0</v>
          </cell>
          <cell r="AT229">
            <v>160</v>
          </cell>
          <cell r="AU229">
            <v>160</v>
          </cell>
          <cell r="AV229">
            <v>0</v>
          </cell>
          <cell r="AW229">
            <v>796.00000000000023</v>
          </cell>
          <cell r="AX229">
            <v>796.00000000000023</v>
          </cell>
          <cell r="AY229">
            <v>796.00000000000023</v>
          </cell>
          <cell r="AZ229">
            <v>20</v>
          </cell>
          <cell r="BA229">
            <v>7.9600000000000026</v>
          </cell>
          <cell r="BB229">
            <v>1273.6000000000004</v>
          </cell>
          <cell r="BC229">
            <v>38.28125</v>
          </cell>
          <cell r="BD229">
            <v>796.00000000000023</v>
          </cell>
          <cell r="BE229">
            <v>636.80000000000018</v>
          </cell>
          <cell r="BF229">
            <v>796.00000000000023</v>
          </cell>
          <cell r="BG229">
            <v>3280</v>
          </cell>
          <cell r="BH229">
            <v>3280</v>
          </cell>
          <cell r="BI229">
            <v>2160</v>
          </cell>
          <cell r="BJ229">
            <v>4.05</v>
          </cell>
          <cell r="BK229">
            <v>0</v>
          </cell>
          <cell r="BL229">
            <v>648</v>
          </cell>
          <cell r="BM229">
            <v>2808</v>
          </cell>
          <cell r="BN229">
            <v>4.05</v>
          </cell>
          <cell r="BO229">
            <v>472</v>
          </cell>
          <cell r="BP229" t="str">
            <v>Y</v>
          </cell>
          <cell r="BQ229">
            <v>1</v>
          </cell>
          <cell r="BR229" t="str">
            <v>N</v>
          </cell>
          <cell r="BS229">
            <v>1273.6000000000004</v>
          </cell>
          <cell r="BT229" t="str">
            <v>Done</v>
          </cell>
          <cell r="BU229">
            <v>160</v>
          </cell>
          <cell r="BV229">
            <v>2024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Kashif Nabi</v>
          </cell>
          <cell r="E230" t="str">
            <v>Rohit Gupta</v>
          </cell>
          <cell r="H230" t="str">
            <v>Rajeev Dwivedi</v>
          </cell>
          <cell r="K230">
            <v>0</v>
          </cell>
          <cell r="L230" t="str">
            <v>Old</v>
          </cell>
          <cell r="M230">
            <v>45586</v>
          </cell>
          <cell r="N230">
            <v>4</v>
          </cell>
          <cell r="O230">
            <v>460</v>
          </cell>
          <cell r="P230" t="str">
            <v>-</v>
          </cell>
          <cell r="Q230">
            <v>45951</v>
          </cell>
          <cell r="R230" t="str">
            <v>PLC-4027</v>
          </cell>
          <cell r="S230" t="str">
            <v>Janit Bilve</v>
          </cell>
          <cell r="T230" t="str">
            <v>Split</v>
          </cell>
          <cell r="U230" t="str">
            <v>W2</v>
          </cell>
          <cell r="V230" t="str">
            <v>Xceedence</v>
          </cell>
          <cell r="W230">
            <v>27</v>
          </cell>
          <cell r="X230">
            <v>40.5</v>
          </cell>
          <cell r="Y230" t="str">
            <v>USD</v>
          </cell>
          <cell r="Z230">
            <v>41</v>
          </cell>
          <cell r="AA230">
            <v>61.5</v>
          </cell>
          <cell r="AB230">
            <v>0</v>
          </cell>
          <cell r="AC230">
            <v>0</v>
          </cell>
          <cell r="AD230">
            <v>45731</v>
          </cell>
          <cell r="AE230">
            <v>21</v>
          </cell>
          <cell r="AF230">
            <v>46022</v>
          </cell>
          <cell r="AG230">
            <v>31.049999999999997</v>
          </cell>
          <cell r="AH230">
            <v>46.574999999999996</v>
          </cell>
          <cell r="AI230">
            <v>31.049999999999997</v>
          </cell>
          <cell r="AJ230">
            <v>41</v>
          </cell>
          <cell r="AK230">
            <v>61.5</v>
          </cell>
          <cell r="AL230">
            <v>14.925000000000004</v>
          </cell>
          <cell r="AM230">
            <v>9.9500000000000028</v>
          </cell>
          <cell r="AN230">
            <v>7.4625000000000021</v>
          </cell>
          <cell r="AO230">
            <v>4.9750000000000014</v>
          </cell>
          <cell r="AP230">
            <v>7.4625000000000021</v>
          </cell>
          <cell r="AQ230">
            <v>4.9750000000000014</v>
          </cell>
          <cell r="AR230" t="str">
            <v>US_24676</v>
          </cell>
          <cell r="AS230">
            <v>0</v>
          </cell>
          <cell r="AT230">
            <v>160</v>
          </cell>
          <cell r="AU230">
            <v>160</v>
          </cell>
          <cell r="AV230">
            <v>0</v>
          </cell>
          <cell r="AW230">
            <v>796.00000000000023</v>
          </cell>
          <cell r="AX230">
            <v>796.00000000000023</v>
          </cell>
          <cell r="AY230">
            <v>796.00000000000023</v>
          </cell>
          <cell r="AZ230">
            <v>20</v>
          </cell>
          <cell r="BA230">
            <v>7.9600000000000026</v>
          </cell>
          <cell r="BB230">
            <v>1273.6000000000004</v>
          </cell>
          <cell r="BD230">
            <v>796.00000000000023</v>
          </cell>
          <cell r="BF230">
            <v>796.00000000000023</v>
          </cell>
          <cell r="BG230">
            <v>3280</v>
          </cell>
          <cell r="BH230">
            <v>3280</v>
          </cell>
          <cell r="BI230">
            <v>2160</v>
          </cell>
          <cell r="BJ230">
            <v>4.05</v>
          </cell>
          <cell r="BK230">
            <v>0</v>
          </cell>
          <cell r="BL230">
            <v>648</v>
          </cell>
          <cell r="BM230">
            <v>2808</v>
          </cell>
          <cell r="BN230">
            <v>4.05</v>
          </cell>
          <cell r="BO230">
            <v>472</v>
          </cell>
          <cell r="BP230" t="str">
            <v>Y</v>
          </cell>
          <cell r="BQ230">
            <v>1</v>
          </cell>
          <cell r="BR230" t="str">
            <v>N</v>
          </cell>
          <cell r="BS230">
            <v>1273.6000000000004</v>
          </cell>
          <cell r="BT230" t="str">
            <v>Done</v>
          </cell>
          <cell r="BU230">
            <v>160</v>
          </cell>
          <cell r="BV230">
            <v>2024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Kashif Nabi</v>
          </cell>
          <cell r="H231" t="str">
            <v>Rajeev Dwivedi</v>
          </cell>
          <cell r="K231">
            <v>0</v>
          </cell>
          <cell r="L231" t="str">
            <v>Old</v>
          </cell>
          <cell r="M231">
            <v>45586</v>
          </cell>
          <cell r="N231">
            <v>4</v>
          </cell>
          <cell r="O231">
            <v>460</v>
          </cell>
          <cell r="P231" t="str">
            <v>-</v>
          </cell>
          <cell r="Q231">
            <v>45951</v>
          </cell>
          <cell r="R231" t="str">
            <v>PLC-4027</v>
          </cell>
          <cell r="S231" t="str">
            <v>Janit Bilve</v>
          </cell>
          <cell r="T231" t="str">
            <v>Split</v>
          </cell>
          <cell r="U231" t="str">
            <v>W2</v>
          </cell>
          <cell r="V231" t="str">
            <v>Xceedence</v>
          </cell>
          <cell r="W231">
            <v>27</v>
          </cell>
          <cell r="X231">
            <v>40.5</v>
          </cell>
          <cell r="Y231" t="str">
            <v>USD</v>
          </cell>
          <cell r="Z231">
            <v>41</v>
          </cell>
          <cell r="AA231">
            <v>61.5</v>
          </cell>
          <cell r="AB231">
            <v>0</v>
          </cell>
          <cell r="AC231">
            <v>0</v>
          </cell>
          <cell r="AD231">
            <v>45762</v>
          </cell>
          <cell r="AE231">
            <v>22</v>
          </cell>
          <cell r="AF231">
            <v>46022</v>
          </cell>
          <cell r="AG231">
            <v>31.049999999999997</v>
          </cell>
          <cell r="AH231">
            <v>46.574999999999996</v>
          </cell>
          <cell r="AI231">
            <v>31.049999999999997</v>
          </cell>
          <cell r="AJ231">
            <v>41</v>
          </cell>
          <cell r="AK231">
            <v>61.5</v>
          </cell>
          <cell r="AL231">
            <v>14.925000000000004</v>
          </cell>
          <cell r="AM231">
            <v>9.9500000000000028</v>
          </cell>
          <cell r="AN231">
            <v>7.4625000000000021</v>
          </cell>
          <cell r="AO231">
            <v>4.9750000000000014</v>
          </cell>
          <cell r="AP231">
            <v>7.4625000000000021</v>
          </cell>
          <cell r="AQ231">
            <v>4.9750000000000014</v>
          </cell>
          <cell r="AR231" t="str">
            <v>US_24881</v>
          </cell>
          <cell r="AS231">
            <v>0</v>
          </cell>
          <cell r="AT231">
            <v>165</v>
          </cell>
          <cell r="AU231">
            <v>165</v>
          </cell>
          <cell r="AV231">
            <v>0</v>
          </cell>
          <cell r="AW231">
            <v>820.87500000000023</v>
          </cell>
          <cell r="AX231">
            <v>820.87500000000023</v>
          </cell>
          <cell r="AY231">
            <v>820.87500000000023</v>
          </cell>
          <cell r="AZ231">
            <v>20</v>
          </cell>
          <cell r="BA231">
            <v>7.9600000000000026</v>
          </cell>
          <cell r="BB231">
            <v>1313.4000000000005</v>
          </cell>
          <cell r="BC231">
            <v>38.28125</v>
          </cell>
          <cell r="BD231">
            <v>820.87500000000023</v>
          </cell>
          <cell r="BE231">
            <v>656.70000000000016</v>
          </cell>
          <cell r="BF231">
            <v>820.87500000000023</v>
          </cell>
          <cell r="BG231">
            <v>3382.5</v>
          </cell>
          <cell r="BH231">
            <v>3382.5</v>
          </cell>
          <cell r="BI231">
            <v>2227.5</v>
          </cell>
          <cell r="BJ231">
            <v>4.05</v>
          </cell>
          <cell r="BK231">
            <v>0</v>
          </cell>
          <cell r="BL231">
            <v>668.25</v>
          </cell>
          <cell r="BM231">
            <v>2895.75</v>
          </cell>
          <cell r="BN231">
            <v>4.05</v>
          </cell>
          <cell r="BO231">
            <v>486.75</v>
          </cell>
          <cell r="BP231" t="str">
            <v>Y</v>
          </cell>
          <cell r="BQ231">
            <v>2</v>
          </cell>
          <cell r="BR231" t="str">
            <v>N</v>
          </cell>
          <cell r="BS231">
            <v>1313.4000000000005</v>
          </cell>
          <cell r="BT231" t="str">
            <v>Done</v>
          </cell>
          <cell r="BU231">
            <v>165</v>
          </cell>
          <cell r="BV231">
            <v>2024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Kashif Nabi</v>
          </cell>
          <cell r="E232" t="str">
            <v>Rohit Gupta</v>
          </cell>
          <cell r="H232" t="str">
            <v>Rajeev Dwivedi</v>
          </cell>
          <cell r="K232">
            <v>0</v>
          </cell>
          <cell r="L232" t="str">
            <v>Old</v>
          </cell>
          <cell r="M232">
            <v>45586</v>
          </cell>
          <cell r="N232">
            <v>4</v>
          </cell>
          <cell r="O232">
            <v>460</v>
          </cell>
          <cell r="P232" t="str">
            <v>-</v>
          </cell>
          <cell r="Q232">
            <v>45951</v>
          </cell>
          <cell r="R232" t="str">
            <v>PLC-4027</v>
          </cell>
          <cell r="S232" t="str">
            <v>Janit Bilve</v>
          </cell>
          <cell r="T232" t="str">
            <v>Split</v>
          </cell>
          <cell r="U232" t="str">
            <v>W2</v>
          </cell>
          <cell r="V232" t="str">
            <v>Xceedence</v>
          </cell>
          <cell r="W232">
            <v>27</v>
          </cell>
          <cell r="X232">
            <v>40.5</v>
          </cell>
          <cell r="Y232" t="str">
            <v>USD</v>
          </cell>
          <cell r="Z232">
            <v>41</v>
          </cell>
          <cell r="AA232">
            <v>61.5</v>
          </cell>
          <cell r="AB232">
            <v>0</v>
          </cell>
          <cell r="AC232">
            <v>0</v>
          </cell>
          <cell r="AD232">
            <v>45762</v>
          </cell>
          <cell r="AE232">
            <v>22</v>
          </cell>
          <cell r="AF232">
            <v>46022</v>
          </cell>
          <cell r="AG232">
            <v>31.049999999999997</v>
          </cell>
          <cell r="AH232">
            <v>46.574999999999996</v>
          </cell>
          <cell r="AI232">
            <v>31.049999999999997</v>
          </cell>
          <cell r="AJ232">
            <v>41</v>
          </cell>
          <cell r="AK232">
            <v>61.5</v>
          </cell>
          <cell r="AL232">
            <v>14.925000000000004</v>
          </cell>
          <cell r="AM232">
            <v>9.9500000000000028</v>
          </cell>
          <cell r="AN232">
            <v>7.4625000000000021</v>
          </cell>
          <cell r="AO232">
            <v>4.9750000000000014</v>
          </cell>
          <cell r="AP232">
            <v>7.4625000000000021</v>
          </cell>
          <cell r="AQ232">
            <v>4.9750000000000014</v>
          </cell>
          <cell r="AR232" t="str">
            <v>US_24881</v>
          </cell>
          <cell r="AS232">
            <v>0</v>
          </cell>
          <cell r="AT232">
            <v>165</v>
          </cell>
          <cell r="AU232">
            <v>165</v>
          </cell>
          <cell r="AV232">
            <v>0</v>
          </cell>
          <cell r="AW232">
            <v>820.87500000000023</v>
          </cell>
          <cell r="AX232">
            <v>820.87500000000023</v>
          </cell>
          <cell r="AY232">
            <v>820.87500000000023</v>
          </cell>
          <cell r="AZ232">
            <v>20</v>
          </cell>
          <cell r="BA232">
            <v>7.9600000000000026</v>
          </cell>
          <cell r="BB232">
            <v>1313.4000000000005</v>
          </cell>
          <cell r="BD232">
            <v>820.87500000000023</v>
          </cell>
          <cell r="BF232">
            <v>820.87500000000023</v>
          </cell>
          <cell r="BG232">
            <v>3382.5</v>
          </cell>
          <cell r="BH232">
            <v>3382.5</v>
          </cell>
          <cell r="BI232">
            <v>2227.5</v>
          </cell>
          <cell r="BJ232">
            <v>4.05</v>
          </cell>
          <cell r="BK232">
            <v>0</v>
          </cell>
          <cell r="BL232">
            <v>668.25</v>
          </cell>
          <cell r="BM232">
            <v>2895.75</v>
          </cell>
          <cell r="BN232">
            <v>4.05</v>
          </cell>
          <cell r="BO232">
            <v>486.75</v>
          </cell>
          <cell r="BP232" t="str">
            <v>Y</v>
          </cell>
          <cell r="BQ232">
            <v>2</v>
          </cell>
          <cell r="BR232" t="str">
            <v>N</v>
          </cell>
          <cell r="BS232">
            <v>1313.4000000000005</v>
          </cell>
          <cell r="BT232" t="str">
            <v>Done</v>
          </cell>
          <cell r="BU232">
            <v>165</v>
          </cell>
          <cell r="BV232">
            <v>2024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Mohammad Fakhrul</v>
          </cell>
          <cell r="E233" t="str">
            <v>-</v>
          </cell>
          <cell r="H233" t="str">
            <v>Saurabh Mishra</v>
          </cell>
          <cell r="J233" t="str">
            <v>ACH</v>
          </cell>
          <cell r="L233" t="str">
            <v>New</v>
          </cell>
          <cell r="M233">
            <v>45672</v>
          </cell>
          <cell r="N233">
            <v>1</v>
          </cell>
          <cell r="O233">
            <v>374</v>
          </cell>
          <cell r="P233">
            <v>45716</v>
          </cell>
          <cell r="Q233">
            <v>46037</v>
          </cell>
          <cell r="R233" t="str">
            <v>PLC-4095</v>
          </cell>
          <cell r="S233" t="str">
            <v>Jatinkumar Mansuklal Modi</v>
          </cell>
          <cell r="T233" t="str">
            <v>Individual</v>
          </cell>
          <cell r="U233" t="str">
            <v>C2C</v>
          </cell>
          <cell r="V233" t="str">
            <v>ReWorld /Covanta</v>
          </cell>
          <cell r="W233">
            <v>88</v>
          </cell>
          <cell r="X233">
            <v>0</v>
          </cell>
          <cell r="Y233" t="str">
            <v>USD</v>
          </cell>
          <cell r="Z233">
            <v>105</v>
          </cell>
          <cell r="AA233">
            <v>0</v>
          </cell>
          <cell r="AB233">
            <v>0</v>
          </cell>
          <cell r="AC233">
            <v>0</v>
          </cell>
          <cell r="AD233">
            <v>45672</v>
          </cell>
          <cell r="AE233">
            <v>10</v>
          </cell>
          <cell r="AF233">
            <v>46022</v>
          </cell>
          <cell r="AG233">
            <v>88</v>
          </cell>
          <cell r="AH233">
            <v>0</v>
          </cell>
          <cell r="AI233">
            <v>88</v>
          </cell>
          <cell r="AJ233">
            <v>105</v>
          </cell>
          <cell r="AK233">
            <v>0</v>
          </cell>
          <cell r="AL233">
            <v>0</v>
          </cell>
          <cell r="AM233">
            <v>17</v>
          </cell>
          <cell r="AN233">
            <v>0</v>
          </cell>
          <cell r="AO233">
            <v>17</v>
          </cell>
          <cell r="AP233">
            <v>0</v>
          </cell>
          <cell r="AQ233">
            <v>17</v>
          </cell>
          <cell r="AR233" t="str">
            <v>US_24328</v>
          </cell>
          <cell r="AS233">
            <v>0</v>
          </cell>
          <cell r="AT233">
            <v>96</v>
          </cell>
          <cell r="AU233">
            <v>96</v>
          </cell>
          <cell r="AV233">
            <v>0</v>
          </cell>
          <cell r="AW233">
            <v>1632</v>
          </cell>
          <cell r="AX233">
            <v>1615.68</v>
          </cell>
          <cell r="AY233">
            <v>1632</v>
          </cell>
          <cell r="AZ233">
            <v>0</v>
          </cell>
          <cell r="BA233">
            <v>0</v>
          </cell>
          <cell r="BB233">
            <v>0</v>
          </cell>
          <cell r="BF233">
            <v>1615.68</v>
          </cell>
          <cell r="BG233">
            <v>10080</v>
          </cell>
          <cell r="BH233">
            <v>10080</v>
          </cell>
          <cell r="BI233">
            <v>8448</v>
          </cell>
          <cell r="BJ233">
            <v>0</v>
          </cell>
          <cell r="BK233">
            <v>0</v>
          </cell>
          <cell r="BL233">
            <v>0</v>
          </cell>
          <cell r="BM233">
            <v>8448</v>
          </cell>
          <cell r="BN233">
            <v>0</v>
          </cell>
          <cell r="BO233">
            <v>1632</v>
          </cell>
          <cell r="BP233" t="str">
            <v>Y</v>
          </cell>
          <cell r="BQ233">
            <v>1</v>
          </cell>
          <cell r="BR233" t="str">
            <v>Y</v>
          </cell>
          <cell r="BS233">
            <v>0</v>
          </cell>
          <cell r="BT233" t="str">
            <v>Done</v>
          </cell>
          <cell r="BU233">
            <v>96</v>
          </cell>
          <cell r="BV233">
            <v>2025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Mohammad Fakhrul</v>
          </cell>
          <cell r="E234" t="str">
            <v>-</v>
          </cell>
          <cell r="H234" t="str">
            <v>Saurabh Mishra</v>
          </cell>
          <cell r="J234" t="str">
            <v>ACH</v>
          </cell>
          <cell r="L234" t="str">
            <v>New</v>
          </cell>
          <cell r="M234">
            <v>45672</v>
          </cell>
          <cell r="N234">
            <v>1</v>
          </cell>
          <cell r="O234">
            <v>374</v>
          </cell>
          <cell r="P234">
            <v>45716</v>
          </cell>
          <cell r="Q234">
            <v>46037</v>
          </cell>
          <cell r="R234" t="str">
            <v>PLC-4095</v>
          </cell>
          <cell r="S234" t="str">
            <v>Jatinkumar Mansuklal Modi</v>
          </cell>
          <cell r="T234" t="str">
            <v>Individual</v>
          </cell>
          <cell r="U234" t="str">
            <v>C2C</v>
          </cell>
          <cell r="V234" t="str">
            <v>ReWorld /Covanta</v>
          </cell>
          <cell r="W234">
            <v>88</v>
          </cell>
          <cell r="X234">
            <v>0</v>
          </cell>
          <cell r="Y234" t="str">
            <v>USD</v>
          </cell>
          <cell r="Z234">
            <v>105</v>
          </cell>
          <cell r="AA234">
            <v>0</v>
          </cell>
          <cell r="AB234">
            <v>0</v>
          </cell>
          <cell r="AC234">
            <v>0</v>
          </cell>
          <cell r="AD234">
            <v>45703</v>
          </cell>
          <cell r="AE234">
            <v>20</v>
          </cell>
          <cell r="AF234">
            <v>46022</v>
          </cell>
          <cell r="AG234">
            <v>88</v>
          </cell>
          <cell r="AH234">
            <v>0</v>
          </cell>
          <cell r="AI234">
            <v>88</v>
          </cell>
          <cell r="AJ234">
            <v>105</v>
          </cell>
          <cell r="AK234">
            <v>0</v>
          </cell>
          <cell r="AL234">
            <v>0</v>
          </cell>
          <cell r="AM234">
            <v>17</v>
          </cell>
          <cell r="AN234">
            <v>0</v>
          </cell>
          <cell r="AO234">
            <v>17</v>
          </cell>
          <cell r="AP234">
            <v>0</v>
          </cell>
          <cell r="AQ234">
            <v>17</v>
          </cell>
          <cell r="AR234" t="str">
            <v>US_24518</v>
          </cell>
          <cell r="AS234">
            <v>0</v>
          </cell>
          <cell r="AT234">
            <v>152</v>
          </cell>
          <cell r="AU234">
            <v>152</v>
          </cell>
          <cell r="AV234">
            <v>0</v>
          </cell>
          <cell r="AW234">
            <v>2584</v>
          </cell>
          <cell r="AX234">
            <v>2558.16</v>
          </cell>
          <cell r="AY234">
            <v>2584</v>
          </cell>
          <cell r="AZ234">
            <v>0</v>
          </cell>
          <cell r="BA234">
            <v>0</v>
          </cell>
          <cell r="BB234">
            <v>0</v>
          </cell>
          <cell r="BF234">
            <v>2558.16</v>
          </cell>
          <cell r="BG234">
            <v>15960</v>
          </cell>
          <cell r="BH234">
            <v>15960</v>
          </cell>
          <cell r="BI234">
            <v>13376</v>
          </cell>
          <cell r="BJ234">
            <v>0</v>
          </cell>
          <cell r="BK234">
            <v>0</v>
          </cell>
          <cell r="BL234">
            <v>0</v>
          </cell>
          <cell r="BM234">
            <v>13376</v>
          </cell>
          <cell r="BN234">
            <v>0</v>
          </cell>
          <cell r="BO234">
            <v>2584</v>
          </cell>
          <cell r="BP234" t="str">
            <v>Y</v>
          </cell>
          <cell r="BQ234">
            <v>1</v>
          </cell>
          <cell r="BR234" t="str">
            <v>Y</v>
          </cell>
          <cell r="BS234">
            <v>0</v>
          </cell>
          <cell r="BT234" t="str">
            <v>Done</v>
          </cell>
          <cell r="BU234">
            <v>152</v>
          </cell>
          <cell r="BV234">
            <v>2025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Kashif Nabi</v>
          </cell>
          <cell r="E235" t="str">
            <v>Mohammad Tariq</v>
          </cell>
          <cell r="H235" t="str">
            <v>Ritik Arya</v>
          </cell>
          <cell r="K235">
            <v>0</v>
          </cell>
          <cell r="L235" t="str">
            <v>Old</v>
          </cell>
          <cell r="M235">
            <v>45519</v>
          </cell>
          <cell r="N235">
            <v>3</v>
          </cell>
          <cell r="O235">
            <v>527</v>
          </cell>
          <cell r="P235" t="str">
            <v>-</v>
          </cell>
          <cell r="Q235">
            <v>45884</v>
          </cell>
          <cell r="R235" t="str">
            <v>PLC-3900</v>
          </cell>
          <cell r="S235" t="str">
            <v>Jayavardhan Gandikota</v>
          </cell>
          <cell r="T235" t="str">
            <v>Individual</v>
          </cell>
          <cell r="U235" t="str">
            <v>C2C</v>
          </cell>
          <cell r="V235" t="str">
            <v>Cigniti</v>
          </cell>
          <cell r="W235">
            <v>60</v>
          </cell>
          <cell r="X235">
            <v>90</v>
          </cell>
          <cell r="Y235" t="str">
            <v>USD</v>
          </cell>
          <cell r="Z235">
            <v>66</v>
          </cell>
          <cell r="AA235">
            <v>99</v>
          </cell>
          <cell r="AB235">
            <v>0</v>
          </cell>
          <cell r="AC235">
            <v>0</v>
          </cell>
          <cell r="AD235">
            <v>45672</v>
          </cell>
          <cell r="AE235">
            <v>23</v>
          </cell>
          <cell r="AF235">
            <v>46022</v>
          </cell>
          <cell r="AG235">
            <v>60</v>
          </cell>
          <cell r="AH235">
            <v>90</v>
          </cell>
          <cell r="AI235">
            <v>60</v>
          </cell>
          <cell r="AJ235">
            <v>66</v>
          </cell>
          <cell r="AK235">
            <v>99</v>
          </cell>
          <cell r="AL235">
            <v>9</v>
          </cell>
          <cell r="AM235">
            <v>6</v>
          </cell>
          <cell r="AN235">
            <v>9</v>
          </cell>
          <cell r="AO235">
            <v>6</v>
          </cell>
          <cell r="AP235">
            <v>9</v>
          </cell>
          <cell r="AQ235">
            <v>6</v>
          </cell>
          <cell r="AR235" t="str">
            <v>US_24307</v>
          </cell>
          <cell r="AS235">
            <v>0</v>
          </cell>
          <cell r="AT235">
            <v>168</v>
          </cell>
          <cell r="AU235">
            <v>168</v>
          </cell>
          <cell r="AV235">
            <v>0</v>
          </cell>
          <cell r="AW235">
            <v>1008</v>
          </cell>
          <cell r="AX235">
            <v>1008</v>
          </cell>
          <cell r="AY235">
            <v>1008</v>
          </cell>
          <cell r="AZ235">
            <v>50</v>
          </cell>
          <cell r="BA235">
            <v>9.6</v>
          </cell>
          <cell r="BB235">
            <v>1612.8</v>
          </cell>
          <cell r="BD235">
            <v>1008</v>
          </cell>
          <cell r="BF235">
            <v>1008</v>
          </cell>
          <cell r="BG235">
            <v>11088</v>
          </cell>
          <cell r="BH235">
            <v>11088</v>
          </cell>
          <cell r="BI235">
            <v>10080</v>
          </cell>
          <cell r="BJ235">
            <v>0</v>
          </cell>
          <cell r="BK235">
            <v>0</v>
          </cell>
          <cell r="BL235">
            <v>0</v>
          </cell>
          <cell r="BM235">
            <v>10080</v>
          </cell>
          <cell r="BN235">
            <v>0</v>
          </cell>
          <cell r="BO235">
            <v>1008</v>
          </cell>
          <cell r="BP235" t="str">
            <v>Y</v>
          </cell>
          <cell r="BQ235">
            <v>1</v>
          </cell>
          <cell r="BR235" t="str">
            <v>Y</v>
          </cell>
          <cell r="BS235">
            <v>1612.8</v>
          </cell>
          <cell r="BT235" t="str">
            <v>Done</v>
          </cell>
          <cell r="BU235">
            <v>168</v>
          </cell>
          <cell r="BV235">
            <v>2024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Kashif Nabi</v>
          </cell>
          <cell r="E236" t="str">
            <v>Mohammad Tariq</v>
          </cell>
          <cell r="H236" t="str">
            <v>Ritik Arya</v>
          </cell>
          <cell r="K236">
            <v>0</v>
          </cell>
          <cell r="L236" t="str">
            <v>Old</v>
          </cell>
          <cell r="M236">
            <v>45519</v>
          </cell>
          <cell r="N236">
            <v>3</v>
          </cell>
          <cell r="O236">
            <v>527</v>
          </cell>
          <cell r="P236" t="str">
            <v>-</v>
          </cell>
          <cell r="Q236">
            <v>45884</v>
          </cell>
          <cell r="R236" t="str">
            <v>PLC-3900</v>
          </cell>
          <cell r="S236" t="str">
            <v>Jayavardhan Gandikota</v>
          </cell>
          <cell r="T236" t="str">
            <v>Individual</v>
          </cell>
          <cell r="U236" t="str">
            <v>C2C</v>
          </cell>
          <cell r="V236" t="str">
            <v>Cigniti</v>
          </cell>
          <cell r="W236">
            <v>60</v>
          </cell>
          <cell r="X236">
            <v>90</v>
          </cell>
          <cell r="Y236" t="str">
            <v>USD</v>
          </cell>
          <cell r="Z236">
            <v>66</v>
          </cell>
          <cell r="AA236">
            <v>99</v>
          </cell>
          <cell r="AB236">
            <v>0</v>
          </cell>
          <cell r="AC236">
            <v>0</v>
          </cell>
          <cell r="AD236">
            <v>45703</v>
          </cell>
          <cell r="AE236">
            <v>20</v>
          </cell>
          <cell r="AF236">
            <v>46022</v>
          </cell>
          <cell r="AG236">
            <v>60</v>
          </cell>
          <cell r="AH236">
            <v>90</v>
          </cell>
          <cell r="AI236">
            <v>60</v>
          </cell>
          <cell r="AJ236">
            <v>66</v>
          </cell>
          <cell r="AK236">
            <v>99</v>
          </cell>
          <cell r="AL236">
            <v>9</v>
          </cell>
          <cell r="AM236">
            <v>6</v>
          </cell>
          <cell r="AN236">
            <v>9</v>
          </cell>
          <cell r="AO236">
            <v>6</v>
          </cell>
          <cell r="AP236">
            <v>9</v>
          </cell>
          <cell r="AQ236">
            <v>6</v>
          </cell>
          <cell r="AR236" t="str">
            <v>US_24503</v>
          </cell>
          <cell r="AS236">
            <v>0</v>
          </cell>
          <cell r="AT236">
            <v>152</v>
          </cell>
          <cell r="AU236">
            <v>152</v>
          </cell>
          <cell r="AV236">
            <v>0</v>
          </cell>
          <cell r="AW236">
            <v>912</v>
          </cell>
          <cell r="AX236">
            <v>912</v>
          </cell>
          <cell r="AY236">
            <v>912</v>
          </cell>
          <cell r="AZ236">
            <v>50</v>
          </cell>
          <cell r="BA236">
            <v>9.6</v>
          </cell>
          <cell r="BB236">
            <v>1459.2</v>
          </cell>
          <cell r="BD236">
            <v>912</v>
          </cell>
          <cell r="BF236">
            <v>912</v>
          </cell>
          <cell r="BG236">
            <v>10032</v>
          </cell>
          <cell r="BH236">
            <v>10032</v>
          </cell>
          <cell r="BI236">
            <v>9120</v>
          </cell>
          <cell r="BJ236">
            <v>0</v>
          </cell>
          <cell r="BK236">
            <v>0</v>
          </cell>
          <cell r="BL236">
            <v>0</v>
          </cell>
          <cell r="BM236">
            <v>9120</v>
          </cell>
          <cell r="BN236">
            <v>0</v>
          </cell>
          <cell r="BO236">
            <v>912</v>
          </cell>
          <cell r="BP236" t="str">
            <v>Y</v>
          </cell>
          <cell r="BQ236">
            <v>1</v>
          </cell>
          <cell r="BR236" t="str">
            <v>Y</v>
          </cell>
          <cell r="BS236">
            <v>1459.2</v>
          </cell>
          <cell r="BT236" t="str">
            <v>Done</v>
          </cell>
          <cell r="BU236">
            <v>152</v>
          </cell>
          <cell r="BV236">
            <v>2024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Kashif Nabi</v>
          </cell>
          <cell r="E237" t="str">
            <v>Mohammad Tariq</v>
          </cell>
          <cell r="H237" t="str">
            <v>Ritik Arya</v>
          </cell>
          <cell r="K237">
            <v>0</v>
          </cell>
          <cell r="L237" t="str">
            <v>Old</v>
          </cell>
          <cell r="M237">
            <v>45519</v>
          </cell>
          <cell r="N237">
            <v>3</v>
          </cell>
          <cell r="O237">
            <v>527</v>
          </cell>
          <cell r="P237" t="str">
            <v>-</v>
          </cell>
          <cell r="Q237">
            <v>45884</v>
          </cell>
          <cell r="R237" t="str">
            <v>PLC-3900</v>
          </cell>
          <cell r="S237" t="str">
            <v>Jayavardhan Gandikota</v>
          </cell>
          <cell r="T237" t="str">
            <v>Individual</v>
          </cell>
          <cell r="U237" t="str">
            <v>C2C</v>
          </cell>
          <cell r="V237" t="str">
            <v>Cigniti</v>
          </cell>
          <cell r="W237">
            <v>60</v>
          </cell>
          <cell r="X237">
            <v>90</v>
          </cell>
          <cell r="Y237" t="str">
            <v>USD</v>
          </cell>
          <cell r="Z237">
            <v>66</v>
          </cell>
          <cell r="AA237">
            <v>99</v>
          </cell>
          <cell r="AB237">
            <v>0</v>
          </cell>
          <cell r="AC237">
            <v>0</v>
          </cell>
          <cell r="AD237">
            <v>45731</v>
          </cell>
          <cell r="AE237">
            <v>21</v>
          </cell>
          <cell r="AF237">
            <v>46022</v>
          </cell>
          <cell r="AG237">
            <v>60</v>
          </cell>
          <cell r="AH237">
            <v>90</v>
          </cell>
          <cell r="AI237">
            <v>60</v>
          </cell>
          <cell r="AJ237">
            <v>66</v>
          </cell>
          <cell r="AK237">
            <v>99</v>
          </cell>
          <cell r="AL237">
            <v>9</v>
          </cell>
          <cell r="AM237">
            <v>6</v>
          </cell>
          <cell r="AN237">
            <v>9</v>
          </cell>
          <cell r="AO237">
            <v>6</v>
          </cell>
          <cell r="AP237">
            <v>9</v>
          </cell>
          <cell r="AQ237">
            <v>6</v>
          </cell>
          <cell r="AR237" t="str">
            <v>US_24686</v>
          </cell>
          <cell r="AS237">
            <v>0</v>
          </cell>
          <cell r="AT237">
            <v>168</v>
          </cell>
          <cell r="AU237">
            <v>168</v>
          </cell>
          <cell r="AV237">
            <v>0</v>
          </cell>
          <cell r="AW237">
            <v>1008</v>
          </cell>
          <cell r="AX237">
            <v>1008</v>
          </cell>
          <cell r="AY237">
            <v>1008</v>
          </cell>
          <cell r="AZ237">
            <v>50</v>
          </cell>
          <cell r="BA237">
            <v>9.6</v>
          </cell>
          <cell r="BB237">
            <v>1612.8</v>
          </cell>
          <cell r="BD237">
            <v>1008</v>
          </cell>
          <cell r="BF237">
            <v>1008</v>
          </cell>
          <cell r="BG237">
            <v>11088</v>
          </cell>
          <cell r="BH237">
            <v>11088</v>
          </cell>
          <cell r="BI237">
            <v>10080</v>
          </cell>
          <cell r="BJ237">
            <v>0</v>
          </cell>
          <cell r="BK237">
            <v>0</v>
          </cell>
          <cell r="BL237">
            <v>0</v>
          </cell>
          <cell r="BM237">
            <v>10080</v>
          </cell>
          <cell r="BN237">
            <v>0</v>
          </cell>
          <cell r="BO237">
            <v>1008</v>
          </cell>
          <cell r="BP237" t="str">
            <v>Y</v>
          </cell>
          <cell r="BQ237">
            <v>1</v>
          </cell>
          <cell r="BR237" t="str">
            <v>Y</v>
          </cell>
          <cell r="BS237">
            <v>1612.8</v>
          </cell>
          <cell r="BT237" t="str">
            <v>Done</v>
          </cell>
          <cell r="BU237">
            <v>168</v>
          </cell>
          <cell r="BV237">
            <v>2024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Kashif Nabi</v>
          </cell>
          <cell r="E238" t="str">
            <v>Mohammad Tariq</v>
          </cell>
          <cell r="H238" t="str">
            <v>Ritik Arya</v>
          </cell>
          <cell r="K238">
            <v>0</v>
          </cell>
          <cell r="L238" t="str">
            <v>Old</v>
          </cell>
          <cell r="M238">
            <v>45519</v>
          </cell>
          <cell r="N238">
            <v>3</v>
          </cell>
          <cell r="O238">
            <v>527</v>
          </cell>
          <cell r="P238" t="str">
            <v>-</v>
          </cell>
          <cell r="Q238">
            <v>45884</v>
          </cell>
          <cell r="R238" t="str">
            <v>PLC-3900</v>
          </cell>
          <cell r="S238" t="str">
            <v>Jayavardhan Gandikota</v>
          </cell>
          <cell r="T238" t="str">
            <v>Individual</v>
          </cell>
          <cell r="U238" t="str">
            <v>C2C</v>
          </cell>
          <cell r="V238" t="str">
            <v>Cigniti</v>
          </cell>
          <cell r="W238">
            <v>60</v>
          </cell>
          <cell r="X238">
            <v>90</v>
          </cell>
          <cell r="Y238" t="str">
            <v>USD</v>
          </cell>
          <cell r="Z238">
            <v>66</v>
          </cell>
          <cell r="AA238">
            <v>99</v>
          </cell>
          <cell r="AB238">
            <v>0</v>
          </cell>
          <cell r="AC238">
            <v>0</v>
          </cell>
          <cell r="AD238">
            <v>45762</v>
          </cell>
          <cell r="AE238">
            <v>22</v>
          </cell>
          <cell r="AF238">
            <v>46022</v>
          </cell>
          <cell r="AG238">
            <v>60</v>
          </cell>
          <cell r="AH238">
            <v>90</v>
          </cell>
          <cell r="AI238">
            <v>60</v>
          </cell>
          <cell r="AJ238">
            <v>66</v>
          </cell>
          <cell r="AK238">
            <v>99</v>
          </cell>
          <cell r="AL238">
            <v>9</v>
          </cell>
          <cell r="AM238">
            <v>6</v>
          </cell>
          <cell r="AN238">
            <v>9</v>
          </cell>
          <cell r="AO238">
            <v>6</v>
          </cell>
          <cell r="AP238">
            <v>9</v>
          </cell>
          <cell r="AQ238">
            <v>6</v>
          </cell>
          <cell r="AR238" t="str">
            <v>US_24889</v>
          </cell>
          <cell r="AS238">
            <v>0</v>
          </cell>
          <cell r="AT238">
            <v>168</v>
          </cell>
          <cell r="AU238">
            <v>168</v>
          </cell>
          <cell r="AV238">
            <v>0</v>
          </cell>
          <cell r="AW238">
            <v>1008</v>
          </cell>
          <cell r="AX238">
            <v>1008</v>
          </cell>
          <cell r="AY238">
            <v>1008</v>
          </cell>
          <cell r="AZ238">
            <v>50</v>
          </cell>
          <cell r="BA238">
            <v>9.6</v>
          </cell>
          <cell r="BB238">
            <v>1612.8</v>
          </cell>
          <cell r="BD238">
            <v>1008</v>
          </cell>
          <cell r="BF238">
            <v>1008</v>
          </cell>
          <cell r="BG238">
            <v>11088</v>
          </cell>
          <cell r="BH238">
            <v>11088</v>
          </cell>
          <cell r="BI238">
            <v>10080</v>
          </cell>
          <cell r="BJ238">
            <v>0</v>
          </cell>
          <cell r="BK238">
            <v>0</v>
          </cell>
          <cell r="BL238">
            <v>0</v>
          </cell>
          <cell r="BM238">
            <v>10080</v>
          </cell>
          <cell r="BN238">
            <v>0</v>
          </cell>
          <cell r="BO238">
            <v>1008</v>
          </cell>
          <cell r="BP238" t="str">
            <v>Y</v>
          </cell>
          <cell r="BQ238">
            <v>2</v>
          </cell>
          <cell r="BR238" t="str">
            <v>N</v>
          </cell>
          <cell r="BS238">
            <v>1612.8</v>
          </cell>
          <cell r="BT238" t="str">
            <v>Done</v>
          </cell>
          <cell r="BU238">
            <v>168</v>
          </cell>
          <cell r="BV238">
            <v>2024</v>
          </cell>
        </row>
        <row r="239">
          <cell r="A239" t="str">
            <v>Lucknow</v>
          </cell>
          <cell r="B239" t="str">
            <v>Trust</v>
          </cell>
          <cell r="C239" t="str">
            <v>Mid Level</v>
          </cell>
          <cell r="D239" t="str">
            <v>Harsh Agarwal</v>
          </cell>
          <cell r="E239" t="str">
            <v>-</v>
          </cell>
          <cell r="H239" t="str">
            <v>Rishabh Kapoor</v>
          </cell>
          <cell r="L239" t="str">
            <v>New</v>
          </cell>
          <cell r="M239">
            <v>45707</v>
          </cell>
          <cell r="N239">
            <v>1</v>
          </cell>
          <cell r="O239">
            <v>339</v>
          </cell>
          <cell r="P239">
            <v>45713</v>
          </cell>
          <cell r="Q239">
            <v>46072</v>
          </cell>
          <cell r="R239" t="str">
            <v>PLC-4129</v>
          </cell>
          <cell r="S239" t="str">
            <v>Jeffrey Ronaldo Ortiz</v>
          </cell>
          <cell r="T239" t="str">
            <v>Individual</v>
          </cell>
          <cell r="U239" t="str">
            <v>W2</v>
          </cell>
          <cell r="V239" t="str">
            <v>Movate</v>
          </cell>
          <cell r="W239">
            <v>21</v>
          </cell>
          <cell r="X239">
            <v>0</v>
          </cell>
          <cell r="Y239" t="str">
            <v>USD</v>
          </cell>
          <cell r="Z239">
            <v>30</v>
          </cell>
          <cell r="AA239">
            <v>0</v>
          </cell>
          <cell r="AB239">
            <v>0</v>
          </cell>
          <cell r="AC239">
            <v>0</v>
          </cell>
          <cell r="AD239">
            <v>45703</v>
          </cell>
          <cell r="AE239">
            <v>5</v>
          </cell>
          <cell r="AF239">
            <v>46022</v>
          </cell>
          <cell r="AG239">
            <v>24.15</v>
          </cell>
          <cell r="AH239">
            <v>0</v>
          </cell>
          <cell r="AI239">
            <v>24.15</v>
          </cell>
          <cell r="AJ239">
            <v>30</v>
          </cell>
          <cell r="AK239">
            <v>0</v>
          </cell>
          <cell r="AL239">
            <v>0</v>
          </cell>
          <cell r="AM239">
            <v>5.8500000000000014</v>
          </cell>
          <cell r="AN239">
            <v>0</v>
          </cell>
          <cell r="AO239">
            <v>5.8500000000000014</v>
          </cell>
          <cell r="AP239">
            <v>0</v>
          </cell>
          <cell r="AQ239">
            <v>5.8500000000000014</v>
          </cell>
          <cell r="AR239" t="str">
            <v>US_24532</v>
          </cell>
          <cell r="AS239">
            <v>0</v>
          </cell>
          <cell r="AT239">
            <v>36.5</v>
          </cell>
          <cell r="AU239">
            <v>36.5</v>
          </cell>
          <cell r="AV239">
            <v>0</v>
          </cell>
          <cell r="AW239">
            <v>213.52500000000006</v>
          </cell>
          <cell r="AX239">
            <v>213.52500000000006</v>
          </cell>
          <cell r="AY239">
            <v>213.52500000000006</v>
          </cell>
          <cell r="AZ239">
            <v>0</v>
          </cell>
          <cell r="BA239">
            <v>0</v>
          </cell>
          <cell r="BB239">
            <v>0</v>
          </cell>
          <cell r="BC239">
            <v>42</v>
          </cell>
          <cell r="BD239">
            <v>213.52500000000006</v>
          </cell>
          <cell r="BE239">
            <v>170.82000000000005</v>
          </cell>
          <cell r="BF239">
            <v>213.52500000000006</v>
          </cell>
          <cell r="BG239">
            <v>1095</v>
          </cell>
          <cell r="BH239">
            <v>1095</v>
          </cell>
          <cell r="BI239">
            <v>766.5</v>
          </cell>
          <cell r="BJ239">
            <v>3.15</v>
          </cell>
          <cell r="BK239">
            <v>0</v>
          </cell>
          <cell r="BL239">
            <v>114.97499999999999</v>
          </cell>
          <cell r="BM239">
            <v>881.47500000000002</v>
          </cell>
          <cell r="BN239">
            <v>3.15</v>
          </cell>
          <cell r="BO239">
            <v>213.52500000000001</v>
          </cell>
          <cell r="BP239" t="str">
            <v>Y</v>
          </cell>
          <cell r="BQ239">
            <v>1</v>
          </cell>
          <cell r="BR239" t="str">
            <v>Y</v>
          </cell>
          <cell r="BS239">
            <v>0</v>
          </cell>
          <cell r="BT239" t="str">
            <v>Done</v>
          </cell>
          <cell r="BU239">
            <v>36.5</v>
          </cell>
          <cell r="BV239">
            <v>2025</v>
          </cell>
        </row>
        <row r="240">
          <cell r="A240" t="str">
            <v>Noida</v>
          </cell>
          <cell r="B240" t="str">
            <v>Healthcare</v>
          </cell>
          <cell r="C240" t="str">
            <v>Mid Level</v>
          </cell>
          <cell r="D240" t="str">
            <v>Shailesh Sharma</v>
          </cell>
          <cell r="E240" t="str">
            <v>-</v>
          </cell>
          <cell r="H240" t="str">
            <v>Mohini Chand</v>
          </cell>
          <cell r="K240">
            <v>0</v>
          </cell>
          <cell r="L240" t="str">
            <v>New</v>
          </cell>
          <cell r="M240">
            <v>45678</v>
          </cell>
          <cell r="N240">
            <v>1</v>
          </cell>
          <cell r="O240">
            <v>368</v>
          </cell>
          <cell r="P240">
            <v>45765</v>
          </cell>
          <cell r="Q240">
            <v>46043</v>
          </cell>
          <cell r="S240" t="str">
            <v>Jennifer Papp-2</v>
          </cell>
          <cell r="T240" t="str">
            <v>Individual</v>
          </cell>
          <cell r="U240" t="str">
            <v>W2</v>
          </cell>
          <cell r="V240" t="str">
            <v>CSU</v>
          </cell>
          <cell r="W240">
            <v>61</v>
          </cell>
          <cell r="X240">
            <v>91.5</v>
          </cell>
          <cell r="Y240" t="str">
            <v>USD</v>
          </cell>
          <cell r="Z240">
            <v>90.5</v>
          </cell>
          <cell r="AA240">
            <v>135.75</v>
          </cell>
          <cell r="AB240">
            <v>0</v>
          </cell>
          <cell r="AC240">
            <v>0</v>
          </cell>
          <cell r="AD240">
            <v>45672</v>
          </cell>
          <cell r="AE240">
            <v>20</v>
          </cell>
          <cell r="AF240">
            <v>46022</v>
          </cell>
          <cell r="AG240">
            <v>70.149999999999991</v>
          </cell>
          <cell r="AH240">
            <v>105.22499999999999</v>
          </cell>
          <cell r="AI240">
            <v>70.149999999999991</v>
          </cell>
          <cell r="AJ240">
            <v>85.07</v>
          </cell>
          <cell r="AK240">
            <v>128.96250000000001</v>
          </cell>
          <cell r="AL240">
            <v>23.737500000000011</v>
          </cell>
          <cell r="AM240">
            <v>14.920000000000002</v>
          </cell>
          <cell r="AN240">
            <v>23.737500000000011</v>
          </cell>
          <cell r="AO240">
            <v>14.920000000000002</v>
          </cell>
          <cell r="AP240">
            <v>20</v>
          </cell>
          <cell r="AQ240">
            <v>14.920000000000002</v>
          </cell>
          <cell r="AU240">
            <v>160</v>
          </cell>
          <cell r="AY240">
            <v>2387.2000000000003</v>
          </cell>
          <cell r="AZ240">
            <v>0</v>
          </cell>
          <cell r="BA240">
            <v>0</v>
          </cell>
          <cell r="BH240">
            <v>13611.199999999999</v>
          </cell>
          <cell r="BI240">
            <v>9760</v>
          </cell>
          <cell r="BJ240">
            <v>9.15</v>
          </cell>
          <cell r="BK240">
            <v>0</v>
          </cell>
          <cell r="BL240">
            <v>1464</v>
          </cell>
          <cell r="BM240">
            <v>11224</v>
          </cell>
          <cell r="BN240">
            <v>9.15</v>
          </cell>
          <cell r="BO240">
            <v>2387.1999999999989</v>
          </cell>
          <cell r="BQ240">
            <v>1</v>
          </cell>
          <cell r="BR240" t="str">
            <v>Y</v>
          </cell>
          <cell r="BS240">
            <v>0</v>
          </cell>
          <cell r="BT240" t="str">
            <v>Pending</v>
          </cell>
          <cell r="BU240">
            <v>0</v>
          </cell>
          <cell r="BV240">
            <v>2025</v>
          </cell>
        </row>
        <row r="241">
          <cell r="A241" t="str">
            <v>Noida</v>
          </cell>
          <cell r="B241" t="str">
            <v>Healthcare</v>
          </cell>
          <cell r="C241" t="str">
            <v>Mid Level</v>
          </cell>
          <cell r="D241" t="str">
            <v>Shailesh Sharma</v>
          </cell>
          <cell r="E241" t="str">
            <v>-</v>
          </cell>
          <cell r="H241" t="str">
            <v>Mohini Chand</v>
          </cell>
          <cell r="K241">
            <v>0</v>
          </cell>
          <cell r="L241" t="str">
            <v>New</v>
          </cell>
          <cell r="M241">
            <v>45678</v>
          </cell>
          <cell r="N241">
            <v>1</v>
          </cell>
          <cell r="O241">
            <v>368</v>
          </cell>
          <cell r="P241">
            <v>45765</v>
          </cell>
          <cell r="Q241">
            <v>46043</v>
          </cell>
          <cell r="S241" t="str">
            <v>Jennifer Papp-2</v>
          </cell>
          <cell r="T241" t="str">
            <v>Individual</v>
          </cell>
          <cell r="U241" t="str">
            <v>W2</v>
          </cell>
          <cell r="V241" t="str">
            <v>CSU</v>
          </cell>
          <cell r="W241">
            <v>61</v>
          </cell>
          <cell r="X241">
            <v>91.5</v>
          </cell>
          <cell r="Y241" t="str">
            <v>USD</v>
          </cell>
          <cell r="Z241">
            <v>90.5</v>
          </cell>
          <cell r="AA241">
            <v>135.75</v>
          </cell>
          <cell r="AB241">
            <v>0</v>
          </cell>
          <cell r="AC241">
            <v>0</v>
          </cell>
          <cell r="AD241">
            <v>45703</v>
          </cell>
          <cell r="AE241">
            <v>20</v>
          </cell>
          <cell r="AF241">
            <v>46022</v>
          </cell>
          <cell r="AG241">
            <v>70.149999999999991</v>
          </cell>
          <cell r="AH241">
            <v>105.22499999999999</v>
          </cell>
          <cell r="AI241">
            <v>70.149999999999991</v>
          </cell>
          <cell r="AJ241">
            <v>85.07</v>
          </cell>
          <cell r="AK241">
            <v>128.96250000000001</v>
          </cell>
          <cell r="AL241">
            <v>23.737500000000011</v>
          </cell>
          <cell r="AM241">
            <v>14.920000000000002</v>
          </cell>
          <cell r="AN241">
            <v>23.737500000000011</v>
          </cell>
          <cell r="AO241">
            <v>14.920000000000002</v>
          </cell>
          <cell r="AP241">
            <v>20</v>
          </cell>
          <cell r="AQ241">
            <v>14.920000000000002</v>
          </cell>
          <cell r="AU241">
            <v>160</v>
          </cell>
          <cell r="AY241">
            <v>2387.2000000000003</v>
          </cell>
          <cell r="AZ241">
            <v>0</v>
          </cell>
          <cell r="BA241">
            <v>0</v>
          </cell>
          <cell r="BH241">
            <v>13611.199999999999</v>
          </cell>
          <cell r="BI241">
            <v>9760</v>
          </cell>
          <cell r="BJ241">
            <v>9.15</v>
          </cell>
          <cell r="BK241">
            <v>0</v>
          </cell>
          <cell r="BL241">
            <v>1464</v>
          </cell>
          <cell r="BM241">
            <v>11224</v>
          </cell>
          <cell r="BN241">
            <v>9.15</v>
          </cell>
          <cell r="BO241">
            <v>2387.1999999999989</v>
          </cell>
          <cell r="BQ241">
            <v>1</v>
          </cell>
          <cell r="BR241" t="str">
            <v>Y</v>
          </cell>
          <cell r="BS241">
            <v>0</v>
          </cell>
          <cell r="BT241" t="str">
            <v>Pending</v>
          </cell>
          <cell r="BU241">
            <v>0</v>
          </cell>
          <cell r="BV241">
            <v>2025</v>
          </cell>
        </row>
        <row r="242">
          <cell r="A242" t="str">
            <v>Noida</v>
          </cell>
          <cell r="B242" t="str">
            <v>Healthcare</v>
          </cell>
          <cell r="C242" t="str">
            <v>Mid Level</v>
          </cell>
          <cell r="D242" t="str">
            <v>Shailesh Sharma</v>
          </cell>
          <cell r="E242" t="str">
            <v>-</v>
          </cell>
          <cell r="H242" t="str">
            <v>Mohini Chand</v>
          </cell>
          <cell r="K242">
            <v>0</v>
          </cell>
          <cell r="L242" t="str">
            <v>New</v>
          </cell>
          <cell r="M242">
            <v>45678</v>
          </cell>
          <cell r="N242">
            <v>1</v>
          </cell>
          <cell r="O242">
            <v>368</v>
          </cell>
          <cell r="P242">
            <v>45765</v>
          </cell>
          <cell r="Q242">
            <v>46043</v>
          </cell>
          <cell r="S242" t="str">
            <v>Jennifer Papp-2</v>
          </cell>
          <cell r="T242" t="str">
            <v>Individual</v>
          </cell>
          <cell r="U242" t="str">
            <v>W2</v>
          </cell>
          <cell r="V242" t="str">
            <v>CSU</v>
          </cell>
          <cell r="W242">
            <v>61</v>
          </cell>
          <cell r="X242">
            <v>91.5</v>
          </cell>
          <cell r="Y242" t="str">
            <v>USD</v>
          </cell>
          <cell r="Z242">
            <v>90.5</v>
          </cell>
          <cell r="AA242">
            <v>135.75</v>
          </cell>
          <cell r="AB242">
            <v>0</v>
          </cell>
          <cell r="AC242">
            <v>0</v>
          </cell>
          <cell r="AD242">
            <v>45731</v>
          </cell>
          <cell r="AE242">
            <v>21</v>
          </cell>
          <cell r="AF242">
            <v>46022</v>
          </cell>
          <cell r="AG242">
            <v>70.149999999999991</v>
          </cell>
          <cell r="AH242">
            <v>105.22499999999999</v>
          </cell>
          <cell r="AI242">
            <v>70.149999999999991</v>
          </cell>
          <cell r="AJ242">
            <v>85.07</v>
          </cell>
          <cell r="AK242">
            <v>128.96250000000001</v>
          </cell>
          <cell r="AL242">
            <v>23.737500000000011</v>
          </cell>
          <cell r="AM242">
            <v>14.920000000000002</v>
          </cell>
          <cell r="AN242">
            <v>23.737500000000011</v>
          </cell>
          <cell r="AO242">
            <v>14.920000000000002</v>
          </cell>
          <cell r="AP242">
            <v>20</v>
          </cell>
          <cell r="AQ242">
            <v>14.920000000000002</v>
          </cell>
          <cell r="AU242">
            <v>168</v>
          </cell>
          <cell r="AY242">
            <v>2506.5600000000004</v>
          </cell>
          <cell r="AZ242">
            <v>0</v>
          </cell>
          <cell r="BA242">
            <v>0</v>
          </cell>
          <cell r="BH242">
            <v>14291.759999999998</v>
          </cell>
          <cell r="BI242">
            <v>10248</v>
          </cell>
          <cell r="BJ242">
            <v>9.15</v>
          </cell>
          <cell r="BK242">
            <v>0</v>
          </cell>
          <cell r="BL242">
            <v>1537.2</v>
          </cell>
          <cell r="BM242">
            <v>11785.2</v>
          </cell>
          <cell r="BN242">
            <v>9.15</v>
          </cell>
          <cell r="BO242">
            <v>2506.5599999999986</v>
          </cell>
          <cell r="BQ242">
            <v>1</v>
          </cell>
          <cell r="BR242" t="str">
            <v>Y</v>
          </cell>
          <cell r="BS242">
            <v>0</v>
          </cell>
          <cell r="BT242" t="str">
            <v>Pending</v>
          </cell>
          <cell r="BU242">
            <v>0</v>
          </cell>
          <cell r="BV242">
            <v>2025</v>
          </cell>
        </row>
        <row r="243">
          <cell r="A243" t="str">
            <v>Lucknow</v>
          </cell>
          <cell r="B243" t="str">
            <v>Pioneer</v>
          </cell>
          <cell r="C243" t="str">
            <v>Mid Level</v>
          </cell>
          <cell r="D243" t="str">
            <v>Lucky Jain</v>
          </cell>
          <cell r="E243" t="str">
            <v>-</v>
          </cell>
          <cell r="H243" t="str">
            <v>Arpit Juneja</v>
          </cell>
          <cell r="J243" t="str">
            <v>ACH</v>
          </cell>
          <cell r="K243">
            <v>0</v>
          </cell>
          <cell r="L243" t="str">
            <v>Old</v>
          </cell>
          <cell r="M243">
            <v>45621</v>
          </cell>
          <cell r="N243">
            <v>4</v>
          </cell>
          <cell r="O243">
            <v>425</v>
          </cell>
          <cell r="P243">
            <v>45688</v>
          </cell>
          <cell r="Q243">
            <v>45986</v>
          </cell>
          <cell r="R243" t="str">
            <v>PLC-4060</v>
          </cell>
          <cell r="S243" t="str">
            <v>Jishnu Nath</v>
          </cell>
          <cell r="T243" t="str">
            <v>Individual</v>
          </cell>
          <cell r="U243" t="str">
            <v>C2C</v>
          </cell>
          <cell r="V243" t="str">
            <v>Visionet</v>
          </cell>
          <cell r="W243">
            <v>115</v>
          </cell>
          <cell r="X243">
            <v>0</v>
          </cell>
          <cell r="Y243" t="str">
            <v>USD</v>
          </cell>
          <cell r="Z243">
            <v>125</v>
          </cell>
          <cell r="AA243">
            <v>0</v>
          </cell>
          <cell r="AB243">
            <v>0</v>
          </cell>
          <cell r="AC243">
            <v>0</v>
          </cell>
          <cell r="AD243">
            <v>45672</v>
          </cell>
          <cell r="AE243">
            <v>22</v>
          </cell>
          <cell r="AF243">
            <v>46022</v>
          </cell>
          <cell r="AG243">
            <v>115</v>
          </cell>
          <cell r="AH243">
            <v>0</v>
          </cell>
          <cell r="AI243">
            <v>115</v>
          </cell>
          <cell r="AJ243">
            <v>125</v>
          </cell>
          <cell r="AK243">
            <v>0</v>
          </cell>
          <cell r="AL243">
            <v>0</v>
          </cell>
          <cell r="AM243">
            <v>10</v>
          </cell>
          <cell r="AN243">
            <v>0</v>
          </cell>
          <cell r="AO243">
            <v>10</v>
          </cell>
          <cell r="AP243">
            <v>0</v>
          </cell>
          <cell r="AQ243">
            <v>10</v>
          </cell>
          <cell r="AR243" t="str">
            <v>US_24305</v>
          </cell>
          <cell r="AS243">
            <v>0</v>
          </cell>
          <cell r="AT243">
            <v>234</v>
          </cell>
          <cell r="AU243">
            <v>234</v>
          </cell>
          <cell r="AV243">
            <v>0</v>
          </cell>
          <cell r="AW243">
            <v>2340</v>
          </cell>
          <cell r="AX243">
            <v>2316.6</v>
          </cell>
          <cell r="AY243">
            <v>2340</v>
          </cell>
          <cell r="AZ243">
            <v>0</v>
          </cell>
          <cell r="BA243">
            <v>0</v>
          </cell>
          <cell r="BB243">
            <v>0</v>
          </cell>
          <cell r="BD243">
            <v>2340</v>
          </cell>
          <cell r="BF243">
            <v>2316.6</v>
          </cell>
          <cell r="BG243">
            <v>29250</v>
          </cell>
          <cell r="BH243">
            <v>29250</v>
          </cell>
          <cell r="BI243">
            <v>26910</v>
          </cell>
          <cell r="BJ243">
            <v>0</v>
          </cell>
          <cell r="BK243">
            <v>0</v>
          </cell>
          <cell r="BL243">
            <v>0</v>
          </cell>
          <cell r="BM243">
            <v>26910</v>
          </cell>
          <cell r="BN243">
            <v>0</v>
          </cell>
          <cell r="BO243">
            <v>2340</v>
          </cell>
          <cell r="BP243" t="str">
            <v>Y</v>
          </cell>
          <cell r="BQ243">
            <v>1</v>
          </cell>
          <cell r="BR243" t="str">
            <v>N</v>
          </cell>
          <cell r="BS243">
            <v>0</v>
          </cell>
          <cell r="BT243" t="str">
            <v>Done</v>
          </cell>
          <cell r="BU243">
            <v>234</v>
          </cell>
          <cell r="BV243">
            <v>2024</v>
          </cell>
        </row>
        <row r="244">
          <cell r="A244" t="str">
            <v>Chennai</v>
          </cell>
          <cell r="B244" t="str">
            <v>Chennai</v>
          </cell>
          <cell r="C244" t="str">
            <v>Mid Level</v>
          </cell>
          <cell r="D244" t="str">
            <v>Akbar Ibrahim</v>
          </cell>
          <cell r="E244" t="str">
            <v>-</v>
          </cell>
          <cell r="H244" t="str">
            <v>Ajithkumar G</v>
          </cell>
          <cell r="L244" t="str">
            <v>New</v>
          </cell>
          <cell r="M244">
            <v>45726</v>
          </cell>
          <cell r="N244">
            <v>1</v>
          </cell>
          <cell r="O244">
            <v>320</v>
          </cell>
          <cell r="P244" t="str">
            <v>-</v>
          </cell>
          <cell r="Q244">
            <v>46091</v>
          </cell>
          <cell r="R244" t="str">
            <v>PLC-4177</v>
          </cell>
          <cell r="S244" t="str">
            <v>Jodi Homaune</v>
          </cell>
          <cell r="T244" t="str">
            <v>Split</v>
          </cell>
          <cell r="U244" t="str">
            <v>FTE</v>
          </cell>
          <cell r="V244" t="str">
            <v>Relevante</v>
          </cell>
          <cell r="W244">
            <v>0</v>
          </cell>
          <cell r="X244">
            <v>0</v>
          </cell>
          <cell r="Y244" t="str">
            <v>USD</v>
          </cell>
          <cell r="Z244">
            <v>4515</v>
          </cell>
          <cell r="AA244">
            <v>0</v>
          </cell>
          <cell r="AB244">
            <v>0</v>
          </cell>
          <cell r="AC244">
            <v>0</v>
          </cell>
          <cell r="AD244">
            <v>45731</v>
          </cell>
          <cell r="AE244">
            <v>1</v>
          </cell>
          <cell r="AF244">
            <v>46022</v>
          </cell>
          <cell r="AG244">
            <v>0</v>
          </cell>
          <cell r="AH244">
            <v>0</v>
          </cell>
          <cell r="AI244">
            <v>0</v>
          </cell>
          <cell r="AJ244">
            <v>4515</v>
          </cell>
          <cell r="AK244">
            <v>0</v>
          </cell>
          <cell r="AL244">
            <v>0</v>
          </cell>
          <cell r="AM244">
            <v>4515</v>
          </cell>
          <cell r="AN244">
            <v>0</v>
          </cell>
          <cell r="AO244">
            <v>2257.5</v>
          </cell>
          <cell r="AP244">
            <v>0</v>
          </cell>
          <cell r="AQ244">
            <v>2257.5</v>
          </cell>
          <cell r="AR244" t="str">
            <v>US_24526</v>
          </cell>
          <cell r="AS244">
            <v>0</v>
          </cell>
          <cell r="AT244">
            <v>1</v>
          </cell>
          <cell r="AU244">
            <v>1</v>
          </cell>
          <cell r="AV244">
            <v>0</v>
          </cell>
          <cell r="AW244">
            <v>2257.5</v>
          </cell>
          <cell r="AX244">
            <v>2257.5</v>
          </cell>
          <cell r="AY244">
            <v>2257.5</v>
          </cell>
          <cell r="AZ244">
            <v>100</v>
          </cell>
          <cell r="BA244">
            <v>3612</v>
          </cell>
          <cell r="BB244">
            <v>3612</v>
          </cell>
          <cell r="BC244">
            <v>191</v>
          </cell>
          <cell r="BD244">
            <v>2257.5</v>
          </cell>
          <cell r="BE244">
            <v>3612</v>
          </cell>
          <cell r="BF244">
            <v>2257.5</v>
          </cell>
          <cell r="BG244">
            <v>2257.5</v>
          </cell>
          <cell r="BH244">
            <v>2257.5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2257.5</v>
          </cell>
          <cell r="BP244" t="str">
            <v>Y</v>
          </cell>
          <cell r="BQ244">
            <v>1</v>
          </cell>
          <cell r="BR244" t="str">
            <v>Y</v>
          </cell>
          <cell r="BS244">
            <v>3612</v>
          </cell>
          <cell r="BT244" t="str">
            <v>Done</v>
          </cell>
          <cell r="BU244">
            <v>0</v>
          </cell>
          <cell r="BV244">
            <v>2025</v>
          </cell>
        </row>
        <row r="245">
          <cell r="A245" t="str">
            <v>Chennai</v>
          </cell>
          <cell r="B245" t="str">
            <v>Chennai</v>
          </cell>
          <cell r="C245" t="str">
            <v>Mid Level</v>
          </cell>
          <cell r="D245" t="str">
            <v>Vinoth L</v>
          </cell>
          <cell r="E245" t="str">
            <v>-</v>
          </cell>
          <cell r="H245" t="str">
            <v>Ajithkumar G</v>
          </cell>
          <cell r="L245" t="str">
            <v>New</v>
          </cell>
          <cell r="M245">
            <v>45726</v>
          </cell>
          <cell r="N245">
            <v>1</v>
          </cell>
          <cell r="O245">
            <v>320</v>
          </cell>
          <cell r="P245" t="str">
            <v>-</v>
          </cell>
          <cell r="Q245">
            <v>46091</v>
          </cell>
          <cell r="R245" t="str">
            <v>PLC-4177</v>
          </cell>
          <cell r="S245" t="str">
            <v>Jodi Homaune</v>
          </cell>
          <cell r="T245" t="str">
            <v>Split</v>
          </cell>
          <cell r="U245" t="str">
            <v>FTE</v>
          </cell>
          <cell r="V245" t="str">
            <v>Relevante</v>
          </cell>
          <cell r="W245">
            <v>0</v>
          </cell>
          <cell r="X245">
            <v>0</v>
          </cell>
          <cell r="Y245" t="str">
            <v>USD</v>
          </cell>
          <cell r="Z245">
            <v>4515</v>
          </cell>
          <cell r="AA245">
            <v>0</v>
          </cell>
          <cell r="AB245">
            <v>0</v>
          </cell>
          <cell r="AC245">
            <v>0</v>
          </cell>
          <cell r="AD245">
            <v>45731</v>
          </cell>
          <cell r="AE245">
            <v>1</v>
          </cell>
          <cell r="AF245">
            <v>46022</v>
          </cell>
          <cell r="AG245">
            <v>0</v>
          </cell>
          <cell r="AH245">
            <v>0</v>
          </cell>
          <cell r="AI245">
            <v>0</v>
          </cell>
          <cell r="AJ245">
            <v>4515</v>
          </cell>
          <cell r="AK245">
            <v>0</v>
          </cell>
          <cell r="AL245">
            <v>0</v>
          </cell>
          <cell r="AM245">
            <v>4515</v>
          </cell>
          <cell r="AN245">
            <v>0</v>
          </cell>
          <cell r="AO245">
            <v>2257.5</v>
          </cell>
          <cell r="AP245">
            <v>0</v>
          </cell>
          <cell r="AQ245">
            <v>2257.5</v>
          </cell>
          <cell r="AR245" t="str">
            <v>US_24526</v>
          </cell>
          <cell r="AS245">
            <v>0</v>
          </cell>
          <cell r="AT245">
            <v>1</v>
          </cell>
          <cell r="AU245">
            <v>1</v>
          </cell>
          <cell r="AV245">
            <v>0</v>
          </cell>
          <cell r="AW245">
            <v>2257.5</v>
          </cell>
          <cell r="AX245">
            <v>2257.5</v>
          </cell>
          <cell r="AY245">
            <v>2257.5</v>
          </cell>
          <cell r="AZ245">
            <v>100</v>
          </cell>
          <cell r="BA245">
            <v>3612</v>
          </cell>
          <cell r="BB245">
            <v>3612</v>
          </cell>
          <cell r="BC245">
            <v>67</v>
          </cell>
          <cell r="BD245">
            <v>2257.5</v>
          </cell>
          <cell r="BE245">
            <v>2709</v>
          </cell>
          <cell r="BF245">
            <v>2257.5</v>
          </cell>
          <cell r="BG245">
            <v>2257.5</v>
          </cell>
          <cell r="BH245">
            <v>2257.5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2257.5</v>
          </cell>
          <cell r="BP245" t="str">
            <v>Y</v>
          </cell>
          <cell r="BQ245">
            <v>1</v>
          </cell>
          <cell r="BR245" t="str">
            <v>Y</v>
          </cell>
          <cell r="BS245">
            <v>3612</v>
          </cell>
          <cell r="BT245" t="str">
            <v>Done</v>
          </cell>
          <cell r="BU245">
            <v>0</v>
          </cell>
          <cell r="BV245">
            <v>2025</v>
          </cell>
        </row>
        <row r="246">
          <cell r="A246" t="str">
            <v>Lucknow</v>
          </cell>
          <cell r="B246" t="str">
            <v>Vantedge</v>
          </cell>
          <cell r="C246" t="str">
            <v>Senior</v>
          </cell>
          <cell r="D246" t="str">
            <v>Anshul Kumar</v>
          </cell>
          <cell r="E246" t="str">
            <v>-</v>
          </cell>
          <cell r="H246" t="str">
            <v>Umar Mujahid Husain</v>
          </cell>
          <cell r="K246" t="str">
            <v>Anshul Kumar</v>
          </cell>
          <cell r="L246" t="str">
            <v>New</v>
          </cell>
          <cell r="M246">
            <v>45712</v>
          </cell>
          <cell r="N246">
            <v>1</v>
          </cell>
          <cell r="O246">
            <v>334</v>
          </cell>
          <cell r="P246" t="str">
            <v>-</v>
          </cell>
          <cell r="Q246">
            <v>46077</v>
          </cell>
          <cell r="R246" t="str">
            <v>PLC-4150</v>
          </cell>
          <cell r="S246" t="str">
            <v>John Donaldson</v>
          </cell>
          <cell r="T246" t="str">
            <v>Individual</v>
          </cell>
          <cell r="U246" t="str">
            <v>FTE</v>
          </cell>
          <cell r="V246" t="str">
            <v>WNS</v>
          </cell>
          <cell r="W246">
            <v>0</v>
          </cell>
          <cell r="X246">
            <v>0</v>
          </cell>
          <cell r="Y246" t="str">
            <v>USD</v>
          </cell>
          <cell r="Z246">
            <v>41250</v>
          </cell>
          <cell r="AA246">
            <v>0</v>
          </cell>
          <cell r="AB246">
            <v>0</v>
          </cell>
          <cell r="AC246">
            <v>0</v>
          </cell>
          <cell r="AD246">
            <v>45703</v>
          </cell>
          <cell r="AE246">
            <v>1</v>
          </cell>
          <cell r="AF246">
            <v>46022</v>
          </cell>
          <cell r="AG246">
            <v>0</v>
          </cell>
          <cell r="AH246">
            <v>0</v>
          </cell>
          <cell r="AI246">
            <v>0</v>
          </cell>
          <cell r="AJ246">
            <v>41250</v>
          </cell>
          <cell r="AK246">
            <v>0</v>
          </cell>
          <cell r="AL246">
            <v>0</v>
          </cell>
          <cell r="AM246">
            <v>41250</v>
          </cell>
          <cell r="AN246">
            <v>0</v>
          </cell>
          <cell r="AO246">
            <v>41250</v>
          </cell>
          <cell r="AP246">
            <v>0</v>
          </cell>
          <cell r="AQ246">
            <v>41250</v>
          </cell>
          <cell r="AR246" t="str">
            <v>US_24355</v>
          </cell>
          <cell r="AS246">
            <v>0</v>
          </cell>
          <cell r="AT246">
            <v>1</v>
          </cell>
          <cell r="AU246">
            <v>1</v>
          </cell>
          <cell r="AV246">
            <v>0</v>
          </cell>
          <cell r="AW246">
            <v>41250</v>
          </cell>
          <cell r="AX246">
            <v>41250</v>
          </cell>
          <cell r="AY246">
            <v>41250</v>
          </cell>
          <cell r="AZ246">
            <v>122</v>
          </cell>
          <cell r="BA246">
            <v>66000</v>
          </cell>
          <cell r="BB246">
            <v>66000</v>
          </cell>
          <cell r="BC246">
            <v>100</v>
          </cell>
          <cell r="BD246">
            <v>41250</v>
          </cell>
          <cell r="BE246">
            <v>66000</v>
          </cell>
          <cell r="BF246">
            <v>41250</v>
          </cell>
          <cell r="BG246">
            <v>41250</v>
          </cell>
          <cell r="BH246">
            <v>41250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41250</v>
          </cell>
          <cell r="BP246" t="str">
            <v>Y</v>
          </cell>
          <cell r="BQ246">
            <v>1</v>
          </cell>
          <cell r="BR246" t="str">
            <v>Y</v>
          </cell>
          <cell r="BS246">
            <v>66000</v>
          </cell>
          <cell r="BT246" t="str">
            <v>Done</v>
          </cell>
          <cell r="BU246">
            <v>0</v>
          </cell>
          <cell r="BV246">
            <v>2025</v>
          </cell>
        </row>
        <row r="247">
          <cell r="A247" t="str">
            <v>Lucknow</v>
          </cell>
          <cell r="B247" t="str">
            <v>Titans</v>
          </cell>
          <cell r="C247" t="str">
            <v>Mid Level</v>
          </cell>
          <cell r="D247" t="str">
            <v>Nitin Saxena</v>
          </cell>
          <cell r="E247" t="str">
            <v>-</v>
          </cell>
          <cell r="H247" t="str">
            <v>Hamza Ali</v>
          </cell>
          <cell r="K247" t="str">
            <v>-</v>
          </cell>
          <cell r="L247" t="str">
            <v>New</v>
          </cell>
          <cell r="M247">
            <v>45713</v>
          </cell>
          <cell r="N247">
            <v>1</v>
          </cell>
          <cell r="O247">
            <v>333</v>
          </cell>
          <cell r="P247" t="str">
            <v>-</v>
          </cell>
          <cell r="Q247">
            <v>46078</v>
          </cell>
          <cell r="R247" t="str">
            <v>PLC-4154</v>
          </cell>
          <cell r="S247" t="str">
            <v>Jonathan Papay</v>
          </cell>
          <cell r="T247" t="str">
            <v>Individual</v>
          </cell>
          <cell r="U247" t="str">
            <v>FTE</v>
          </cell>
          <cell r="V247" t="str">
            <v>WNS</v>
          </cell>
          <cell r="W247">
            <v>0</v>
          </cell>
          <cell r="X247">
            <v>0</v>
          </cell>
          <cell r="Y247" t="str">
            <v>USD</v>
          </cell>
          <cell r="Z247">
            <v>4576</v>
          </cell>
          <cell r="AA247">
            <v>0</v>
          </cell>
          <cell r="AB247">
            <v>0</v>
          </cell>
          <cell r="AC247">
            <v>0</v>
          </cell>
          <cell r="AD247">
            <v>45703</v>
          </cell>
          <cell r="AE247">
            <v>1</v>
          </cell>
          <cell r="AF247">
            <v>46022</v>
          </cell>
          <cell r="AG247">
            <v>0</v>
          </cell>
          <cell r="AH247">
            <v>0</v>
          </cell>
          <cell r="AI247">
            <v>0</v>
          </cell>
          <cell r="AJ247">
            <v>4576</v>
          </cell>
          <cell r="AK247">
            <v>0</v>
          </cell>
          <cell r="AL247">
            <v>0</v>
          </cell>
          <cell r="AM247">
            <v>4576</v>
          </cell>
          <cell r="AN247">
            <v>0</v>
          </cell>
          <cell r="AO247">
            <v>4576</v>
          </cell>
          <cell r="AP247">
            <v>0</v>
          </cell>
          <cell r="AQ247">
            <v>4576</v>
          </cell>
          <cell r="AR247" t="str">
            <v>US_24730</v>
          </cell>
          <cell r="AS247">
            <v>0</v>
          </cell>
          <cell r="AT247">
            <v>1</v>
          </cell>
          <cell r="AU247">
            <v>1</v>
          </cell>
          <cell r="AV247">
            <v>0</v>
          </cell>
          <cell r="AW247">
            <v>4576</v>
          </cell>
          <cell r="AX247">
            <v>4576</v>
          </cell>
          <cell r="AY247">
            <v>4576</v>
          </cell>
          <cell r="AZ247">
            <v>250</v>
          </cell>
          <cell r="BA247">
            <v>7321.6</v>
          </cell>
          <cell r="BB247">
            <v>7321.6</v>
          </cell>
          <cell r="BC247">
            <v>46</v>
          </cell>
          <cell r="BD247">
            <v>4576</v>
          </cell>
          <cell r="BE247">
            <v>3660.8</v>
          </cell>
          <cell r="BF247">
            <v>4576</v>
          </cell>
          <cell r="BG247">
            <v>4576</v>
          </cell>
          <cell r="BH247">
            <v>4576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4576</v>
          </cell>
          <cell r="BP247" t="str">
            <v>Y</v>
          </cell>
          <cell r="BQ247">
            <v>1</v>
          </cell>
          <cell r="BR247" t="str">
            <v>Y</v>
          </cell>
          <cell r="BS247">
            <v>7321.6</v>
          </cell>
          <cell r="BT247" t="str">
            <v>Done</v>
          </cell>
          <cell r="BU247">
            <v>0</v>
          </cell>
          <cell r="BV247">
            <v>2025</v>
          </cell>
        </row>
        <row r="248">
          <cell r="A248" t="str">
            <v>Lucknow</v>
          </cell>
          <cell r="B248" t="str">
            <v>Titans</v>
          </cell>
          <cell r="C248" t="str">
            <v>Mid Level</v>
          </cell>
          <cell r="D248" t="str">
            <v>Aditya Yadav</v>
          </cell>
          <cell r="E248" t="str">
            <v>-</v>
          </cell>
          <cell r="H248" t="str">
            <v>Shivam Sharma</v>
          </cell>
          <cell r="L248" t="str">
            <v>New</v>
          </cell>
          <cell r="M248">
            <v>45740</v>
          </cell>
          <cell r="N248">
            <v>1</v>
          </cell>
          <cell r="O248">
            <v>306</v>
          </cell>
          <cell r="P248" t="str">
            <v>-</v>
          </cell>
          <cell r="Q248">
            <v>46105</v>
          </cell>
          <cell r="R248" t="str">
            <v>PLC-4188</v>
          </cell>
          <cell r="S248" t="str">
            <v>Joshua Smith</v>
          </cell>
          <cell r="T248" t="str">
            <v>Individual</v>
          </cell>
          <cell r="U248" t="str">
            <v>FTE</v>
          </cell>
          <cell r="V248" t="str">
            <v>LTTS</v>
          </cell>
          <cell r="W248">
            <v>0</v>
          </cell>
          <cell r="X248">
            <v>0</v>
          </cell>
          <cell r="Y248" t="str">
            <v>USD</v>
          </cell>
          <cell r="Z248">
            <v>6597</v>
          </cell>
          <cell r="AA248">
            <v>0</v>
          </cell>
          <cell r="AB248">
            <v>0</v>
          </cell>
          <cell r="AC248">
            <v>0</v>
          </cell>
          <cell r="AD248">
            <v>45731</v>
          </cell>
          <cell r="AE248">
            <v>1</v>
          </cell>
          <cell r="AF248">
            <v>46022</v>
          </cell>
          <cell r="AG248">
            <v>0</v>
          </cell>
          <cell r="AH248">
            <v>0</v>
          </cell>
          <cell r="AI248">
            <v>0</v>
          </cell>
          <cell r="AJ248">
            <v>6597</v>
          </cell>
          <cell r="AK248">
            <v>0</v>
          </cell>
          <cell r="AL248">
            <v>0</v>
          </cell>
          <cell r="AM248">
            <v>6597</v>
          </cell>
          <cell r="AN248">
            <v>0</v>
          </cell>
          <cell r="AO248">
            <v>6597</v>
          </cell>
          <cell r="AP248">
            <v>0</v>
          </cell>
          <cell r="AQ248">
            <v>6597</v>
          </cell>
          <cell r="AR248" t="str">
            <v>US_24533</v>
          </cell>
          <cell r="AS248">
            <v>0</v>
          </cell>
          <cell r="AT248">
            <v>1</v>
          </cell>
          <cell r="AU248">
            <v>1</v>
          </cell>
          <cell r="AV248">
            <v>0</v>
          </cell>
          <cell r="AW248">
            <v>6597</v>
          </cell>
          <cell r="AX248">
            <v>6597</v>
          </cell>
          <cell r="AY248">
            <v>6597</v>
          </cell>
          <cell r="AZ248">
            <v>0</v>
          </cell>
          <cell r="BA248">
            <v>0</v>
          </cell>
          <cell r="BB248">
            <v>0</v>
          </cell>
          <cell r="BF248">
            <v>6597</v>
          </cell>
          <cell r="BG248">
            <v>6597</v>
          </cell>
          <cell r="BH248">
            <v>6597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6597</v>
          </cell>
          <cell r="BP248" t="str">
            <v>Y</v>
          </cell>
          <cell r="BQ248">
            <v>1</v>
          </cell>
          <cell r="BR248" t="str">
            <v>Y</v>
          </cell>
          <cell r="BS248">
            <v>0</v>
          </cell>
          <cell r="BT248" t="str">
            <v>Done</v>
          </cell>
          <cell r="BU248">
            <v>0</v>
          </cell>
          <cell r="BV248">
            <v>2025</v>
          </cell>
        </row>
        <row r="249">
          <cell r="A249" t="str">
            <v>Lucknow</v>
          </cell>
          <cell r="B249" t="str">
            <v>RPO</v>
          </cell>
          <cell r="C249" t="str">
            <v>Mid Level</v>
          </cell>
          <cell r="D249" t="str">
            <v>Ankit Pandey</v>
          </cell>
          <cell r="E249" t="str">
            <v>-</v>
          </cell>
          <cell r="H249" t="str">
            <v>Bibhore Bhattacharya</v>
          </cell>
          <cell r="K249" t="str">
            <v>N.A</v>
          </cell>
          <cell r="L249" t="str">
            <v>New</v>
          </cell>
          <cell r="M249">
            <v>45712</v>
          </cell>
          <cell r="N249">
            <v>1</v>
          </cell>
          <cell r="O249">
            <v>334</v>
          </cell>
          <cell r="P249" t="str">
            <v>-</v>
          </cell>
          <cell r="Q249">
            <v>46077</v>
          </cell>
          <cell r="R249" t="str">
            <v>PLC-4155</v>
          </cell>
          <cell r="S249" t="str">
            <v>Jt Goodwin</v>
          </cell>
          <cell r="T249" t="str">
            <v>Individual</v>
          </cell>
          <cell r="U249" t="str">
            <v>RPO</v>
          </cell>
          <cell r="V249" t="str">
            <v>USAG</v>
          </cell>
          <cell r="W249">
            <v>0</v>
          </cell>
          <cell r="X249">
            <v>0</v>
          </cell>
          <cell r="Y249" t="str">
            <v>USD</v>
          </cell>
          <cell r="Z249">
            <v>300</v>
          </cell>
          <cell r="AA249">
            <v>0</v>
          </cell>
          <cell r="AB249">
            <v>0</v>
          </cell>
          <cell r="AC249">
            <v>0</v>
          </cell>
          <cell r="AD249">
            <v>45703</v>
          </cell>
          <cell r="AE249">
            <v>5</v>
          </cell>
          <cell r="AF249">
            <v>46022</v>
          </cell>
          <cell r="AG249">
            <v>0</v>
          </cell>
          <cell r="AH249">
            <v>0</v>
          </cell>
          <cell r="AI249">
            <v>0</v>
          </cell>
          <cell r="AJ249">
            <v>300</v>
          </cell>
          <cell r="AK249">
            <v>0</v>
          </cell>
          <cell r="AL249">
            <v>0</v>
          </cell>
          <cell r="AM249">
            <v>300</v>
          </cell>
          <cell r="AN249">
            <v>0</v>
          </cell>
          <cell r="AO249">
            <v>300</v>
          </cell>
          <cell r="AP249">
            <v>0</v>
          </cell>
          <cell r="AQ249">
            <v>0</v>
          </cell>
          <cell r="AR249" t="str">
            <v>US_24397</v>
          </cell>
          <cell r="AS249">
            <v>0</v>
          </cell>
          <cell r="AT249">
            <v>1</v>
          </cell>
          <cell r="AU249">
            <v>1</v>
          </cell>
          <cell r="AV249">
            <v>0</v>
          </cell>
          <cell r="AW249">
            <v>300</v>
          </cell>
          <cell r="AX249">
            <v>300</v>
          </cell>
          <cell r="AY249">
            <v>300</v>
          </cell>
          <cell r="AZ249">
            <v>0</v>
          </cell>
          <cell r="BA249">
            <v>0</v>
          </cell>
          <cell r="BB249">
            <v>0</v>
          </cell>
          <cell r="BF249">
            <v>300</v>
          </cell>
          <cell r="BG249">
            <v>300</v>
          </cell>
          <cell r="BH249">
            <v>300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300</v>
          </cell>
          <cell r="BP249" t="str">
            <v>Y</v>
          </cell>
          <cell r="BQ249">
            <v>1</v>
          </cell>
          <cell r="BR249" t="str">
            <v>Y</v>
          </cell>
          <cell r="BS249">
            <v>0</v>
          </cell>
          <cell r="BT249" t="str">
            <v>Done</v>
          </cell>
          <cell r="BU249">
            <v>0</v>
          </cell>
          <cell r="BV249">
            <v>2025</v>
          </cell>
        </row>
        <row r="250">
          <cell r="A250" t="str">
            <v>Lucknow</v>
          </cell>
          <cell r="B250" t="str">
            <v>RPO</v>
          </cell>
          <cell r="C250" t="str">
            <v>Mid Level</v>
          </cell>
          <cell r="D250" t="str">
            <v>Ankit Pandey</v>
          </cell>
          <cell r="E250" t="str">
            <v>-</v>
          </cell>
          <cell r="F250" t="str">
            <v>-</v>
          </cell>
          <cell r="G250" t="str">
            <v>-</v>
          </cell>
          <cell r="H250" t="str">
            <v>Priyanka Mishra</v>
          </cell>
          <cell r="L250" t="str">
            <v>New</v>
          </cell>
          <cell r="M250">
            <v>45748</v>
          </cell>
          <cell r="N250">
            <v>2</v>
          </cell>
          <cell r="O250">
            <v>298</v>
          </cell>
          <cell r="P250" t="str">
            <v>-</v>
          </cell>
          <cell r="Q250">
            <v>46113</v>
          </cell>
          <cell r="R250" t="str">
            <v>PLC-4257</v>
          </cell>
          <cell r="S250" t="str">
            <v>Juan Peyrani</v>
          </cell>
          <cell r="T250" t="str">
            <v>Individual</v>
          </cell>
          <cell r="U250" t="str">
            <v>FTE</v>
          </cell>
          <cell r="V250" t="str">
            <v>GPC RPO</v>
          </cell>
          <cell r="W250">
            <v>0</v>
          </cell>
          <cell r="X250">
            <v>0</v>
          </cell>
          <cell r="Y250" t="str">
            <v>USD</v>
          </cell>
          <cell r="Z250">
            <v>300</v>
          </cell>
          <cell r="AA250">
            <v>0</v>
          </cell>
          <cell r="AB250">
            <v>0</v>
          </cell>
          <cell r="AC250">
            <v>0</v>
          </cell>
          <cell r="AD250">
            <v>45762</v>
          </cell>
          <cell r="AE250">
            <v>1</v>
          </cell>
          <cell r="AF250">
            <v>46022</v>
          </cell>
          <cell r="AG250">
            <v>0</v>
          </cell>
          <cell r="AH250">
            <v>0</v>
          </cell>
          <cell r="AI250">
            <v>0</v>
          </cell>
          <cell r="AJ250">
            <v>300</v>
          </cell>
          <cell r="AK250">
            <v>0</v>
          </cell>
          <cell r="AL250">
            <v>0</v>
          </cell>
          <cell r="AM250">
            <v>300</v>
          </cell>
          <cell r="AN250">
            <v>0</v>
          </cell>
          <cell r="AO250">
            <v>300</v>
          </cell>
          <cell r="AP250">
            <v>0</v>
          </cell>
          <cell r="AQ250">
            <v>300</v>
          </cell>
          <cell r="AR250" t="str">
            <v>US_24759</v>
          </cell>
          <cell r="AS250">
            <v>0</v>
          </cell>
          <cell r="AT250">
            <v>1</v>
          </cell>
          <cell r="AU250">
            <v>1</v>
          </cell>
          <cell r="AV250">
            <v>0</v>
          </cell>
          <cell r="AW250">
            <v>300</v>
          </cell>
          <cell r="AX250">
            <v>300</v>
          </cell>
          <cell r="AY250">
            <v>300</v>
          </cell>
          <cell r="AZ250">
            <v>0</v>
          </cell>
          <cell r="BA250">
            <v>0</v>
          </cell>
          <cell r="BB250">
            <v>0</v>
          </cell>
          <cell r="BF250">
            <v>300</v>
          </cell>
          <cell r="BG250">
            <v>300</v>
          </cell>
          <cell r="BH250">
            <v>300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300</v>
          </cell>
          <cell r="BP250" t="str">
            <v>Y</v>
          </cell>
          <cell r="BQ250">
            <v>2</v>
          </cell>
          <cell r="BR250" t="str">
            <v>Y</v>
          </cell>
          <cell r="BS250">
            <v>0</v>
          </cell>
          <cell r="BT250" t="str">
            <v>Done</v>
          </cell>
          <cell r="BU250">
            <v>0</v>
          </cell>
          <cell r="BV250">
            <v>2025</v>
          </cell>
        </row>
        <row r="251">
          <cell r="A251" t="str">
            <v>Lucknow</v>
          </cell>
          <cell r="B251" t="str">
            <v>Vantedge</v>
          </cell>
          <cell r="C251" t="str">
            <v>Senior</v>
          </cell>
          <cell r="D251" t="str">
            <v>Anshul Kumar</v>
          </cell>
          <cell r="E251" t="str">
            <v>-</v>
          </cell>
          <cell r="H251" t="str">
            <v>Shreya Singh</v>
          </cell>
          <cell r="K251" t="str">
            <v>Tanya Mishra</v>
          </cell>
          <cell r="L251" t="str">
            <v>New</v>
          </cell>
          <cell r="M251">
            <v>45705</v>
          </cell>
          <cell r="N251">
            <v>1</v>
          </cell>
          <cell r="O251">
            <v>341</v>
          </cell>
          <cell r="P251" t="str">
            <v>-</v>
          </cell>
          <cell r="Q251">
            <v>46070</v>
          </cell>
          <cell r="R251" t="str">
            <v>PLC-4152</v>
          </cell>
          <cell r="S251" t="str">
            <v>Juan Salazar</v>
          </cell>
          <cell r="T251" t="str">
            <v>Individual</v>
          </cell>
          <cell r="U251" t="str">
            <v>FTE</v>
          </cell>
          <cell r="V251" t="str">
            <v>RCG Global</v>
          </cell>
          <cell r="W251">
            <v>0</v>
          </cell>
          <cell r="X251">
            <v>0</v>
          </cell>
          <cell r="Y251" t="str">
            <v>USD</v>
          </cell>
          <cell r="Z251">
            <v>27300</v>
          </cell>
          <cell r="AA251">
            <v>0</v>
          </cell>
          <cell r="AB251">
            <v>0</v>
          </cell>
          <cell r="AC251">
            <v>0</v>
          </cell>
          <cell r="AD251">
            <v>45703</v>
          </cell>
          <cell r="AE251">
            <v>1</v>
          </cell>
          <cell r="AF251">
            <v>46022</v>
          </cell>
          <cell r="AG251">
            <v>0</v>
          </cell>
          <cell r="AH251">
            <v>0</v>
          </cell>
          <cell r="AI251">
            <v>0</v>
          </cell>
          <cell r="AJ251">
            <v>27300</v>
          </cell>
          <cell r="AK251">
            <v>0</v>
          </cell>
          <cell r="AL251">
            <v>0</v>
          </cell>
          <cell r="AM251">
            <v>27300</v>
          </cell>
          <cell r="AN251">
            <v>0</v>
          </cell>
          <cell r="AO251">
            <v>27300</v>
          </cell>
          <cell r="AP251">
            <v>0</v>
          </cell>
          <cell r="AQ251">
            <v>27300</v>
          </cell>
          <cell r="AR251" t="str">
            <v>US_24341</v>
          </cell>
          <cell r="AS251">
            <v>0</v>
          </cell>
          <cell r="AT251">
            <v>1</v>
          </cell>
          <cell r="AU251">
            <v>1</v>
          </cell>
          <cell r="AV251">
            <v>0</v>
          </cell>
          <cell r="AW251">
            <v>27300</v>
          </cell>
          <cell r="AX251">
            <v>27300</v>
          </cell>
          <cell r="AY251">
            <v>27300</v>
          </cell>
          <cell r="AZ251">
            <v>86</v>
          </cell>
          <cell r="BA251">
            <v>41496</v>
          </cell>
          <cell r="BB251">
            <v>41496</v>
          </cell>
          <cell r="BC251">
            <v>100</v>
          </cell>
          <cell r="BD251">
            <v>27300</v>
          </cell>
          <cell r="BE251">
            <v>43680</v>
          </cell>
          <cell r="BF251">
            <v>27300</v>
          </cell>
          <cell r="BG251">
            <v>27300</v>
          </cell>
          <cell r="BH251">
            <v>27300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27300</v>
          </cell>
          <cell r="BP251" t="str">
            <v>Y</v>
          </cell>
          <cell r="BQ251">
            <v>1</v>
          </cell>
          <cell r="BR251" t="str">
            <v>Y</v>
          </cell>
          <cell r="BS251">
            <v>41496</v>
          </cell>
          <cell r="BT251" t="str">
            <v>Done</v>
          </cell>
          <cell r="BU251">
            <v>0</v>
          </cell>
          <cell r="BV251">
            <v>2025</v>
          </cell>
        </row>
        <row r="252">
          <cell r="A252" t="str">
            <v>Lucknow</v>
          </cell>
          <cell r="B252" t="str">
            <v>Titans</v>
          </cell>
          <cell r="C252" t="str">
            <v>Mid Level</v>
          </cell>
          <cell r="D252" t="str">
            <v>Nitin Saxena</v>
          </cell>
          <cell r="E252" t="str">
            <v>Nitin Saxena</v>
          </cell>
          <cell r="H252" t="str">
            <v>Ratnesh Kashyap</v>
          </cell>
          <cell r="J252" t="str">
            <v>ACH</v>
          </cell>
          <cell r="K252">
            <v>0</v>
          </cell>
          <cell r="L252" t="str">
            <v>Old</v>
          </cell>
          <cell r="M252">
            <v>45582</v>
          </cell>
          <cell r="N252">
            <v>4</v>
          </cell>
          <cell r="O252">
            <v>464</v>
          </cell>
          <cell r="P252">
            <v>45848</v>
          </cell>
          <cell r="Q252">
            <v>45947</v>
          </cell>
          <cell r="R252" t="str">
            <v>PLC-4025</v>
          </cell>
          <cell r="S252" t="str">
            <v>Justin Li</v>
          </cell>
          <cell r="T252" t="str">
            <v>Individual</v>
          </cell>
          <cell r="U252">
            <v>1099</v>
          </cell>
          <cell r="V252" t="str">
            <v>Genpact</v>
          </cell>
          <cell r="W252">
            <v>20</v>
          </cell>
          <cell r="X252">
            <v>30</v>
          </cell>
          <cell r="Y252" t="str">
            <v>USD</v>
          </cell>
          <cell r="Z252">
            <v>28</v>
          </cell>
          <cell r="AA252">
            <v>42</v>
          </cell>
          <cell r="AB252">
            <v>0</v>
          </cell>
          <cell r="AC252">
            <v>0</v>
          </cell>
          <cell r="AD252">
            <v>45672</v>
          </cell>
          <cell r="AE252">
            <v>22</v>
          </cell>
          <cell r="AF252">
            <v>46022</v>
          </cell>
          <cell r="AG252">
            <v>21.400000000000002</v>
          </cell>
          <cell r="AH252">
            <v>32.1</v>
          </cell>
          <cell r="AI252">
            <v>21.400000000000002</v>
          </cell>
          <cell r="AJ252">
            <v>28</v>
          </cell>
          <cell r="AK252">
            <v>42</v>
          </cell>
          <cell r="AL252">
            <v>9.8999999999999986</v>
          </cell>
          <cell r="AM252">
            <v>6.5999999999999979</v>
          </cell>
          <cell r="AN252">
            <v>9.8999999999999986</v>
          </cell>
          <cell r="AO252">
            <v>6.5999999999999979</v>
          </cell>
          <cell r="AP252">
            <v>9.8999999999999986</v>
          </cell>
          <cell r="AQ252">
            <v>6.5999999999999979</v>
          </cell>
          <cell r="AR252" t="str">
            <v>US_24286</v>
          </cell>
          <cell r="AS252">
            <v>0</v>
          </cell>
          <cell r="AT252">
            <v>170</v>
          </cell>
          <cell r="AU252">
            <v>170</v>
          </cell>
          <cell r="AV252">
            <v>0</v>
          </cell>
          <cell r="AW252">
            <v>1121.9999999999995</v>
          </cell>
          <cell r="AX252">
            <v>1110.7799999999995</v>
          </cell>
          <cell r="AY252">
            <v>1121.9999999999995</v>
          </cell>
          <cell r="AZ252">
            <v>57.142857142857139</v>
          </cell>
          <cell r="BA252">
            <v>14.519999999999996</v>
          </cell>
          <cell r="BB252">
            <v>2468.3999999999992</v>
          </cell>
          <cell r="BC252">
            <v>63</v>
          </cell>
          <cell r="BD252">
            <v>1121.9999999999995</v>
          </cell>
          <cell r="BE252">
            <v>1346.3999999999994</v>
          </cell>
          <cell r="BF252">
            <v>1110.7799999999995</v>
          </cell>
          <cell r="BG252">
            <v>4760</v>
          </cell>
          <cell r="BH252">
            <v>4760</v>
          </cell>
          <cell r="BI252">
            <v>3400</v>
          </cell>
          <cell r="BJ252">
            <v>1.4000000000000001</v>
          </cell>
          <cell r="BK252">
            <v>0</v>
          </cell>
          <cell r="BL252">
            <v>238.00000000000003</v>
          </cell>
          <cell r="BM252">
            <v>3638</v>
          </cell>
          <cell r="BN252">
            <v>1.4000000000000001</v>
          </cell>
          <cell r="BO252">
            <v>1122</v>
          </cell>
          <cell r="BP252" t="str">
            <v>Y</v>
          </cell>
          <cell r="BQ252">
            <v>1</v>
          </cell>
          <cell r="BR252" t="str">
            <v>Y</v>
          </cell>
          <cell r="BS252">
            <v>2468.3999999999992</v>
          </cell>
          <cell r="BT252" t="str">
            <v>Done</v>
          </cell>
          <cell r="BU252">
            <v>170</v>
          </cell>
          <cell r="BV252">
            <v>2024</v>
          </cell>
        </row>
        <row r="253">
          <cell r="A253" t="str">
            <v>Lucknow</v>
          </cell>
          <cell r="B253" t="str">
            <v>Titans</v>
          </cell>
          <cell r="C253" t="str">
            <v>Mid Level</v>
          </cell>
          <cell r="D253" t="str">
            <v>Nitin Saxena</v>
          </cell>
          <cell r="E253" t="str">
            <v>Nitin Saxena</v>
          </cell>
          <cell r="H253" t="str">
            <v>Ratnesh Kashyap</v>
          </cell>
          <cell r="J253" t="str">
            <v>ACH</v>
          </cell>
          <cell r="K253">
            <v>0</v>
          </cell>
          <cell r="L253" t="str">
            <v>Old</v>
          </cell>
          <cell r="M253">
            <v>45582</v>
          </cell>
          <cell r="N253">
            <v>4</v>
          </cell>
          <cell r="O253">
            <v>464</v>
          </cell>
          <cell r="P253">
            <v>45848</v>
          </cell>
          <cell r="Q253">
            <v>45947</v>
          </cell>
          <cell r="R253" t="str">
            <v>PLC-4025</v>
          </cell>
          <cell r="S253" t="str">
            <v>Justin Li</v>
          </cell>
          <cell r="T253" t="str">
            <v>Individual</v>
          </cell>
          <cell r="U253">
            <v>1099</v>
          </cell>
          <cell r="V253" t="str">
            <v>Genpact</v>
          </cell>
          <cell r="W253">
            <v>20</v>
          </cell>
          <cell r="X253">
            <v>30</v>
          </cell>
          <cell r="Y253" t="str">
            <v>USD</v>
          </cell>
          <cell r="Z253">
            <v>28</v>
          </cell>
          <cell r="AA253">
            <v>42</v>
          </cell>
          <cell r="AB253">
            <v>0</v>
          </cell>
          <cell r="AC253">
            <v>0</v>
          </cell>
          <cell r="AD253">
            <v>45703</v>
          </cell>
          <cell r="AE253">
            <v>20</v>
          </cell>
          <cell r="AF253">
            <v>46022</v>
          </cell>
          <cell r="AG253">
            <v>21.400000000000002</v>
          </cell>
          <cell r="AH253">
            <v>32.1</v>
          </cell>
          <cell r="AI253">
            <v>21.400000000000002</v>
          </cell>
          <cell r="AJ253">
            <v>28</v>
          </cell>
          <cell r="AK253">
            <v>42</v>
          </cell>
          <cell r="AL253">
            <v>9.8999999999999986</v>
          </cell>
          <cell r="AM253">
            <v>6.5999999999999979</v>
          </cell>
          <cell r="AN253">
            <v>9.8999999999999986</v>
          </cell>
          <cell r="AO253">
            <v>6.5999999999999979</v>
          </cell>
          <cell r="AP253">
            <v>9.8999999999999986</v>
          </cell>
          <cell r="AQ253">
            <v>6.5999999999999979</v>
          </cell>
          <cell r="AR253" t="str">
            <v>US_24486</v>
          </cell>
          <cell r="AS253">
            <v>0</v>
          </cell>
          <cell r="AT253">
            <v>160</v>
          </cell>
          <cell r="AU253">
            <v>160</v>
          </cell>
          <cell r="AV253">
            <v>0</v>
          </cell>
          <cell r="AW253">
            <v>1055.9999999999995</v>
          </cell>
          <cell r="AX253">
            <v>1045.4399999999996</v>
          </cell>
          <cell r="AY253">
            <v>1055.9999999999995</v>
          </cell>
          <cell r="AZ253">
            <v>57.142857142857139</v>
          </cell>
          <cell r="BA253">
            <v>14.519999999999996</v>
          </cell>
          <cell r="BB253">
            <v>2323.1999999999994</v>
          </cell>
          <cell r="BC253">
            <v>63</v>
          </cell>
          <cell r="BD253">
            <v>1055.9999999999995</v>
          </cell>
          <cell r="BE253">
            <v>1267.1999999999994</v>
          </cell>
          <cell r="BF253">
            <v>1045.4399999999996</v>
          </cell>
          <cell r="BG253">
            <v>4480</v>
          </cell>
          <cell r="BH253">
            <v>4480</v>
          </cell>
          <cell r="BI253">
            <v>3200</v>
          </cell>
          <cell r="BJ253">
            <v>1.4000000000000001</v>
          </cell>
          <cell r="BK253">
            <v>0</v>
          </cell>
          <cell r="BL253">
            <v>224.00000000000003</v>
          </cell>
          <cell r="BM253">
            <v>3424</v>
          </cell>
          <cell r="BN253">
            <v>1.4000000000000001</v>
          </cell>
          <cell r="BO253">
            <v>1056</v>
          </cell>
          <cell r="BP253" t="str">
            <v>Y</v>
          </cell>
          <cell r="BQ253">
            <v>1</v>
          </cell>
          <cell r="BR253" t="str">
            <v>Y</v>
          </cell>
          <cell r="BS253">
            <v>2323.1999999999994</v>
          </cell>
          <cell r="BT253" t="str">
            <v>Done</v>
          </cell>
          <cell r="BU253">
            <v>160</v>
          </cell>
          <cell r="BV253">
            <v>2024</v>
          </cell>
        </row>
        <row r="254">
          <cell r="A254" t="str">
            <v>Lucknow</v>
          </cell>
          <cell r="B254" t="str">
            <v>Titans</v>
          </cell>
          <cell r="C254" t="str">
            <v>Mid Level</v>
          </cell>
          <cell r="D254" t="str">
            <v>Nitin Saxena</v>
          </cell>
          <cell r="E254" t="str">
            <v>Nitin Saxena</v>
          </cell>
          <cell r="H254" t="str">
            <v>Ratnesh Kashyap</v>
          </cell>
          <cell r="J254" t="str">
            <v>ACH</v>
          </cell>
          <cell r="K254">
            <v>0</v>
          </cell>
          <cell r="L254" t="str">
            <v>Old</v>
          </cell>
          <cell r="M254">
            <v>45582</v>
          </cell>
          <cell r="N254">
            <v>4</v>
          </cell>
          <cell r="O254">
            <v>464</v>
          </cell>
          <cell r="P254">
            <v>45848</v>
          </cell>
          <cell r="Q254">
            <v>45947</v>
          </cell>
          <cell r="R254" t="str">
            <v>PLC-4025</v>
          </cell>
          <cell r="S254" t="str">
            <v>Justin Li</v>
          </cell>
          <cell r="T254" t="str">
            <v>Individual</v>
          </cell>
          <cell r="U254">
            <v>1099</v>
          </cell>
          <cell r="V254" t="str">
            <v>Genpact</v>
          </cell>
          <cell r="W254">
            <v>20</v>
          </cell>
          <cell r="X254">
            <v>30</v>
          </cell>
          <cell r="Y254" t="str">
            <v>USD</v>
          </cell>
          <cell r="Z254">
            <v>28</v>
          </cell>
          <cell r="AA254">
            <v>42</v>
          </cell>
          <cell r="AB254">
            <v>0</v>
          </cell>
          <cell r="AC254">
            <v>0</v>
          </cell>
          <cell r="AD254">
            <v>45731</v>
          </cell>
          <cell r="AE254">
            <v>21</v>
          </cell>
          <cell r="AF254">
            <v>46022</v>
          </cell>
          <cell r="AG254">
            <v>21.400000000000002</v>
          </cell>
          <cell r="AH254">
            <v>32.1</v>
          </cell>
          <cell r="AI254">
            <v>21.400000000000002</v>
          </cell>
          <cell r="AJ254">
            <v>28</v>
          </cell>
          <cell r="AK254">
            <v>42</v>
          </cell>
          <cell r="AL254">
            <v>9.8999999999999986</v>
          </cell>
          <cell r="AM254">
            <v>6.5999999999999979</v>
          </cell>
          <cell r="AN254">
            <v>9.8999999999999986</v>
          </cell>
          <cell r="AO254">
            <v>6.5999999999999979</v>
          </cell>
          <cell r="AP254">
            <v>9.8999999999999986</v>
          </cell>
          <cell r="AQ254">
            <v>6.5999999999999979</v>
          </cell>
          <cell r="AR254" t="str">
            <v>US_24672</v>
          </cell>
          <cell r="AS254">
            <v>0</v>
          </cell>
          <cell r="AT254">
            <v>190</v>
          </cell>
          <cell r="AU254">
            <v>190</v>
          </cell>
          <cell r="AV254">
            <v>0</v>
          </cell>
          <cell r="AW254">
            <v>1253.9999999999995</v>
          </cell>
          <cell r="AX254">
            <v>1241.4599999999996</v>
          </cell>
          <cell r="AY254">
            <v>1253.9999999999995</v>
          </cell>
          <cell r="AZ254">
            <v>57.142857142857139</v>
          </cell>
          <cell r="BA254">
            <v>14.519999999999996</v>
          </cell>
          <cell r="BB254">
            <v>2758.7999999999993</v>
          </cell>
          <cell r="BC254">
            <v>63</v>
          </cell>
          <cell r="BD254">
            <v>1253.9999999999995</v>
          </cell>
          <cell r="BE254">
            <v>1504.7999999999995</v>
          </cell>
          <cell r="BF254">
            <v>1241.4599999999996</v>
          </cell>
          <cell r="BG254">
            <v>5320</v>
          </cell>
          <cell r="BH254">
            <v>5320</v>
          </cell>
          <cell r="BI254">
            <v>3800</v>
          </cell>
          <cell r="BJ254">
            <v>1.4000000000000001</v>
          </cell>
          <cell r="BK254">
            <v>0</v>
          </cell>
          <cell r="BL254">
            <v>266</v>
          </cell>
          <cell r="BM254">
            <v>4066</v>
          </cell>
          <cell r="BN254">
            <v>1.4000000000000001</v>
          </cell>
          <cell r="BO254">
            <v>1254</v>
          </cell>
          <cell r="BP254" t="str">
            <v>Y</v>
          </cell>
          <cell r="BQ254">
            <v>1</v>
          </cell>
          <cell r="BR254" t="str">
            <v>Y</v>
          </cell>
          <cell r="BS254">
            <v>2758.7999999999993</v>
          </cell>
          <cell r="BT254" t="str">
            <v>Done</v>
          </cell>
          <cell r="BU254">
            <v>190</v>
          </cell>
          <cell r="BV254">
            <v>2024</v>
          </cell>
        </row>
        <row r="255">
          <cell r="A255" t="str">
            <v>Lucknow</v>
          </cell>
          <cell r="B255" t="str">
            <v>Titans</v>
          </cell>
          <cell r="C255" t="str">
            <v>Mid Level</v>
          </cell>
          <cell r="D255" t="str">
            <v>Nitin Saxena</v>
          </cell>
          <cell r="E255" t="str">
            <v>Nitin Saxena</v>
          </cell>
          <cell r="H255" t="str">
            <v>Ratnesh Kashyap</v>
          </cell>
          <cell r="J255" t="str">
            <v>ACH</v>
          </cell>
          <cell r="K255">
            <v>0</v>
          </cell>
          <cell r="L255" t="str">
            <v>Old</v>
          </cell>
          <cell r="M255">
            <v>45582</v>
          </cell>
          <cell r="N255">
            <v>4</v>
          </cell>
          <cell r="O255">
            <v>464</v>
          </cell>
          <cell r="P255">
            <v>45848</v>
          </cell>
          <cell r="Q255">
            <v>45947</v>
          </cell>
          <cell r="R255" t="str">
            <v>PLC-4025</v>
          </cell>
          <cell r="S255" t="str">
            <v>Justin Li</v>
          </cell>
          <cell r="T255" t="str">
            <v>Individual</v>
          </cell>
          <cell r="U255">
            <v>1099</v>
          </cell>
          <cell r="V255" t="str">
            <v>Genpact</v>
          </cell>
          <cell r="W255">
            <v>20</v>
          </cell>
          <cell r="X255">
            <v>30</v>
          </cell>
          <cell r="Y255" t="str">
            <v>USD</v>
          </cell>
          <cell r="Z255">
            <v>28</v>
          </cell>
          <cell r="AA255">
            <v>42</v>
          </cell>
          <cell r="AB255">
            <v>0</v>
          </cell>
          <cell r="AC255">
            <v>0</v>
          </cell>
          <cell r="AD255">
            <v>45762</v>
          </cell>
          <cell r="AE255">
            <v>22</v>
          </cell>
          <cell r="AF255">
            <v>46022</v>
          </cell>
          <cell r="AG255">
            <v>21.400000000000002</v>
          </cell>
          <cell r="AH255">
            <v>32.1</v>
          </cell>
          <cell r="AI255">
            <v>21.400000000000002</v>
          </cell>
          <cell r="AJ255">
            <v>28</v>
          </cell>
          <cell r="AK255">
            <v>42</v>
          </cell>
          <cell r="AL255">
            <v>9.8999999999999986</v>
          </cell>
          <cell r="AM255">
            <v>6.5999999999999979</v>
          </cell>
          <cell r="AN255">
            <v>9.8999999999999986</v>
          </cell>
          <cell r="AO255">
            <v>6.5999999999999979</v>
          </cell>
          <cell r="AP255">
            <v>9.8999999999999986</v>
          </cell>
          <cell r="AQ255">
            <v>6.5999999999999979</v>
          </cell>
          <cell r="AR255" t="str">
            <v>US_24877</v>
          </cell>
          <cell r="AS255">
            <v>0</v>
          </cell>
          <cell r="AT255">
            <v>160</v>
          </cell>
          <cell r="AU255">
            <v>160</v>
          </cell>
          <cell r="AV255">
            <v>0</v>
          </cell>
          <cell r="AW255">
            <v>1055.9999999999995</v>
          </cell>
          <cell r="AX255">
            <v>1045.4399999999996</v>
          </cell>
          <cell r="AY255">
            <v>1055.9999999999995</v>
          </cell>
          <cell r="AZ255">
            <v>57.142857142857139</v>
          </cell>
          <cell r="BA255">
            <v>14.519999999999996</v>
          </cell>
          <cell r="BB255">
            <v>2323.1999999999994</v>
          </cell>
          <cell r="BC255">
            <v>63</v>
          </cell>
          <cell r="BD255">
            <v>1055.9999999999995</v>
          </cell>
          <cell r="BE255">
            <v>1267.1999999999994</v>
          </cell>
          <cell r="BF255">
            <v>1045.4399999999996</v>
          </cell>
          <cell r="BG255">
            <v>4480</v>
          </cell>
          <cell r="BH255">
            <v>4480</v>
          </cell>
          <cell r="BI255">
            <v>3200</v>
          </cell>
          <cell r="BJ255">
            <v>1.4000000000000001</v>
          </cell>
          <cell r="BK255">
            <v>0</v>
          </cell>
          <cell r="BL255">
            <v>224.00000000000003</v>
          </cell>
          <cell r="BM255">
            <v>3424</v>
          </cell>
          <cell r="BN255">
            <v>1.4000000000000001</v>
          </cell>
          <cell r="BO255">
            <v>1056</v>
          </cell>
          <cell r="BP255" t="str">
            <v>Y</v>
          </cell>
          <cell r="BQ255">
            <v>2</v>
          </cell>
          <cell r="BR255" t="str">
            <v>N</v>
          </cell>
          <cell r="BS255">
            <v>2323.1999999999994</v>
          </cell>
          <cell r="BT255" t="str">
            <v>Done</v>
          </cell>
          <cell r="BU255">
            <v>160</v>
          </cell>
          <cell r="BV255">
            <v>2024</v>
          </cell>
        </row>
        <row r="256">
          <cell r="A256" t="str">
            <v>Lucknow</v>
          </cell>
          <cell r="B256" t="str">
            <v>Titans</v>
          </cell>
          <cell r="C256" t="str">
            <v>Mid Level</v>
          </cell>
          <cell r="D256" t="str">
            <v>Nitin Saxena</v>
          </cell>
          <cell r="E256" t="str">
            <v>-</v>
          </cell>
          <cell r="H256" t="str">
            <v>Hamza Ali</v>
          </cell>
          <cell r="J256" t="str">
            <v>ACH</v>
          </cell>
          <cell r="L256" t="str">
            <v>New</v>
          </cell>
          <cell r="M256">
            <v>45679</v>
          </cell>
          <cell r="N256">
            <v>1</v>
          </cell>
          <cell r="O256">
            <v>367</v>
          </cell>
          <cell r="P256">
            <v>45921</v>
          </cell>
          <cell r="Q256">
            <v>46044</v>
          </cell>
          <cell r="R256" t="str">
            <v>PLC-4107</v>
          </cell>
          <cell r="S256" t="str">
            <v>Justin Parker</v>
          </cell>
          <cell r="T256" t="str">
            <v>Individual</v>
          </cell>
          <cell r="U256">
            <v>1099</v>
          </cell>
          <cell r="V256" t="str">
            <v>Genpact</v>
          </cell>
          <cell r="W256">
            <v>21</v>
          </cell>
          <cell r="X256">
            <v>31.5</v>
          </cell>
          <cell r="Y256" t="str">
            <v>USD</v>
          </cell>
          <cell r="Z256">
            <v>28</v>
          </cell>
          <cell r="AA256">
            <v>42</v>
          </cell>
          <cell r="AB256">
            <v>0</v>
          </cell>
          <cell r="AC256">
            <v>0</v>
          </cell>
          <cell r="AD256">
            <v>45672</v>
          </cell>
          <cell r="AE256">
            <v>8</v>
          </cell>
          <cell r="AF256">
            <v>46022</v>
          </cell>
          <cell r="AG256">
            <v>22.470000000000002</v>
          </cell>
          <cell r="AH256">
            <v>33.705000000000005</v>
          </cell>
          <cell r="AI256">
            <v>22.470000000000002</v>
          </cell>
          <cell r="AJ256">
            <v>28</v>
          </cell>
          <cell r="AK256">
            <v>42</v>
          </cell>
          <cell r="AL256">
            <v>8.2949999999999946</v>
          </cell>
          <cell r="AM256">
            <v>5.5299999999999976</v>
          </cell>
          <cell r="AN256">
            <v>8.2949999999999946</v>
          </cell>
          <cell r="AO256">
            <v>5.5299999999999976</v>
          </cell>
          <cell r="AP256">
            <v>8.2949999999999946</v>
          </cell>
          <cell r="AQ256">
            <v>5.5299999999999976</v>
          </cell>
          <cell r="AR256" t="str">
            <v>US_24332</v>
          </cell>
          <cell r="AS256">
            <v>0</v>
          </cell>
          <cell r="AT256">
            <v>64</v>
          </cell>
          <cell r="AU256">
            <v>64</v>
          </cell>
          <cell r="AV256">
            <v>0</v>
          </cell>
          <cell r="AW256">
            <v>353.91999999999985</v>
          </cell>
          <cell r="AX256">
            <v>350.38079999999985</v>
          </cell>
          <cell r="AY256">
            <v>353.91999999999985</v>
          </cell>
          <cell r="AZ256">
            <v>250</v>
          </cell>
          <cell r="BA256">
            <v>8.8479999999999954</v>
          </cell>
          <cell r="BB256">
            <v>566.27199999999971</v>
          </cell>
          <cell r="BC256">
            <v>46</v>
          </cell>
          <cell r="BD256">
            <v>353.91999999999985</v>
          </cell>
          <cell r="BE256">
            <v>283.13599999999985</v>
          </cell>
          <cell r="BF256">
            <v>350.38079999999985</v>
          </cell>
          <cell r="BG256">
            <v>1792</v>
          </cell>
          <cell r="BH256">
            <v>1792</v>
          </cell>
          <cell r="BI256">
            <v>1344</v>
          </cell>
          <cell r="BJ256">
            <v>1.4700000000000002</v>
          </cell>
          <cell r="BK256">
            <v>0</v>
          </cell>
          <cell r="BL256">
            <v>94.080000000000013</v>
          </cell>
          <cell r="BM256">
            <v>1438.08</v>
          </cell>
          <cell r="BN256">
            <v>1.4700000000000002</v>
          </cell>
          <cell r="BO256">
            <v>353.91999999999996</v>
          </cell>
          <cell r="BP256" t="str">
            <v>Y</v>
          </cell>
          <cell r="BQ256">
            <v>1</v>
          </cell>
          <cell r="BR256" t="str">
            <v>Y</v>
          </cell>
          <cell r="BS256">
            <v>566.27199999999971</v>
          </cell>
          <cell r="BT256" t="str">
            <v>Done</v>
          </cell>
          <cell r="BU256">
            <v>64</v>
          </cell>
          <cell r="BV256">
            <v>2025</v>
          </cell>
        </row>
        <row r="257">
          <cell r="A257" t="str">
            <v>Lucknow</v>
          </cell>
          <cell r="B257" t="str">
            <v>Titans</v>
          </cell>
          <cell r="C257" t="str">
            <v>Mid Level</v>
          </cell>
          <cell r="D257" t="str">
            <v>Nitin Saxena</v>
          </cell>
          <cell r="E257" t="str">
            <v>-</v>
          </cell>
          <cell r="H257" t="str">
            <v>Hamza Ali</v>
          </cell>
          <cell r="J257" t="str">
            <v>ACH</v>
          </cell>
          <cell r="L257" t="str">
            <v>New</v>
          </cell>
          <cell r="M257">
            <v>45679</v>
          </cell>
          <cell r="N257">
            <v>1</v>
          </cell>
          <cell r="O257">
            <v>367</v>
          </cell>
          <cell r="P257">
            <v>45921</v>
          </cell>
          <cell r="Q257">
            <v>46044</v>
          </cell>
          <cell r="R257" t="str">
            <v>PLC-4107</v>
          </cell>
          <cell r="S257" t="str">
            <v>Justin Parker</v>
          </cell>
          <cell r="T257" t="str">
            <v>Individual</v>
          </cell>
          <cell r="U257">
            <v>1099</v>
          </cell>
          <cell r="V257" t="str">
            <v>Genpact</v>
          </cell>
          <cell r="W257">
            <v>21</v>
          </cell>
          <cell r="X257">
            <v>31.5</v>
          </cell>
          <cell r="Y257" t="str">
            <v>USD</v>
          </cell>
          <cell r="Z257">
            <v>28</v>
          </cell>
          <cell r="AA257">
            <v>42</v>
          </cell>
          <cell r="AB257">
            <v>0</v>
          </cell>
          <cell r="AC257">
            <v>0</v>
          </cell>
          <cell r="AD257">
            <v>45703</v>
          </cell>
          <cell r="AE257">
            <v>20</v>
          </cell>
          <cell r="AF257">
            <v>46022</v>
          </cell>
          <cell r="AG257">
            <v>22.470000000000002</v>
          </cell>
          <cell r="AH257">
            <v>33.705000000000005</v>
          </cell>
          <cell r="AI257">
            <v>22.470000000000002</v>
          </cell>
          <cell r="AJ257">
            <v>28</v>
          </cell>
          <cell r="AK257">
            <v>42</v>
          </cell>
          <cell r="AL257">
            <v>8.2949999999999946</v>
          </cell>
          <cell r="AM257">
            <v>5.5299999999999976</v>
          </cell>
          <cell r="AN257">
            <v>8.2949999999999946</v>
          </cell>
          <cell r="AO257">
            <v>5.5299999999999976</v>
          </cell>
          <cell r="AP257">
            <v>8.2949999999999946</v>
          </cell>
          <cell r="AQ257">
            <v>5.5299999999999976</v>
          </cell>
          <cell r="AR257" t="str">
            <v>US_24522</v>
          </cell>
          <cell r="AS257">
            <v>0</v>
          </cell>
          <cell r="AT257">
            <v>148.5</v>
          </cell>
          <cell r="AU257">
            <v>148.5</v>
          </cell>
          <cell r="AV257">
            <v>0</v>
          </cell>
          <cell r="AW257">
            <v>821.20499999999959</v>
          </cell>
          <cell r="AX257">
            <v>812.99294999999961</v>
          </cell>
          <cell r="AY257">
            <v>821.20499999999959</v>
          </cell>
          <cell r="AZ257">
            <v>250</v>
          </cell>
          <cell r="BA257">
            <v>8.8479999999999954</v>
          </cell>
          <cell r="BB257">
            <v>1313.9279999999994</v>
          </cell>
          <cell r="BC257">
            <v>46</v>
          </cell>
          <cell r="BD257">
            <v>821.20499999999959</v>
          </cell>
          <cell r="BE257">
            <v>656.9639999999996</v>
          </cell>
          <cell r="BF257">
            <v>812.99294999999961</v>
          </cell>
          <cell r="BG257">
            <v>4158</v>
          </cell>
          <cell r="BH257">
            <v>4158</v>
          </cell>
          <cell r="BI257">
            <v>3118.5</v>
          </cell>
          <cell r="BJ257">
            <v>1.4700000000000002</v>
          </cell>
          <cell r="BK257">
            <v>0</v>
          </cell>
          <cell r="BL257">
            <v>218.29500000000002</v>
          </cell>
          <cell r="BM257">
            <v>3336.7950000000001</v>
          </cell>
          <cell r="BN257">
            <v>1.4700000000000002</v>
          </cell>
          <cell r="BO257">
            <v>821.20499999999993</v>
          </cell>
          <cell r="BP257" t="str">
            <v>Y</v>
          </cell>
          <cell r="BQ257">
            <v>1</v>
          </cell>
          <cell r="BR257" t="str">
            <v>Y</v>
          </cell>
          <cell r="BS257">
            <v>1313.9279999999994</v>
          </cell>
          <cell r="BT257" t="str">
            <v>Done</v>
          </cell>
          <cell r="BU257">
            <v>148.5</v>
          </cell>
          <cell r="BV257">
            <v>2025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Nitin Saxena</v>
          </cell>
          <cell r="E258" t="str">
            <v>-</v>
          </cell>
          <cell r="H258" t="str">
            <v>Hamza Ali</v>
          </cell>
          <cell r="J258" t="str">
            <v>ACH</v>
          </cell>
          <cell r="L258" t="str">
            <v>New</v>
          </cell>
          <cell r="M258">
            <v>45679</v>
          </cell>
          <cell r="N258">
            <v>1</v>
          </cell>
          <cell r="O258">
            <v>367</v>
          </cell>
          <cell r="P258">
            <v>45921</v>
          </cell>
          <cell r="Q258">
            <v>46044</v>
          </cell>
          <cell r="R258" t="str">
            <v>PLC-4107</v>
          </cell>
          <cell r="S258" t="str">
            <v>Justin Parker</v>
          </cell>
          <cell r="T258" t="str">
            <v>Individual</v>
          </cell>
          <cell r="U258">
            <v>1099</v>
          </cell>
          <cell r="V258" t="str">
            <v>Genpact</v>
          </cell>
          <cell r="W258">
            <v>21</v>
          </cell>
          <cell r="X258">
            <v>31.5</v>
          </cell>
          <cell r="Y258" t="str">
            <v>USD</v>
          </cell>
          <cell r="Z258">
            <v>28</v>
          </cell>
          <cell r="AA258">
            <v>42</v>
          </cell>
          <cell r="AB258">
            <v>0</v>
          </cell>
          <cell r="AC258">
            <v>0</v>
          </cell>
          <cell r="AD258">
            <v>45731</v>
          </cell>
          <cell r="AE258">
            <v>21</v>
          </cell>
          <cell r="AF258">
            <v>46022</v>
          </cell>
          <cell r="AG258">
            <v>22.470000000000002</v>
          </cell>
          <cell r="AH258">
            <v>33.705000000000005</v>
          </cell>
          <cell r="AI258">
            <v>22.470000000000002</v>
          </cell>
          <cell r="AJ258">
            <v>28</v>
          </cell>
          <cell r="AK258">
            <v>42</v>
          </cell>
          <cell r="AL258">
            <v>8.2949999999999946</v>
          </cell>
          <cell r="AM258">
            <v>5.5299999999999976</v>
          </cell>
          <cell r="AN258">
            <v>8.2949999999999946</v>
          </cell>
          <cell r="AO258">
            <v>5.5299999999999976</v>
          </cell>
          <cell r="AP258">
            <v>8.2949999999999946</v>
          </cell>
          <cell r="AQ258">
            <v>5.5299999999999976</v>
          </cell>
          <cell r="AR258" t="str">
            <v>US_24698</v>
          </cell>
          <cell r="AS258">
            <v>5</v>
          </cell>
          <cell r="AT258">
            <v>156.5</v>
          </cell>
          <cell r="AU258">
            <v>156.5</v>
          </cell>
          <cell r="AV258">
            <v>41.474999999999973</v>
          </cell>
          <cell r="AW258">
            <v>865.4449999999996</v>
          </cell>
          <cell r="AX258">
            <v>897.85079999999959</v>
          </cell>
          <cell r="AY258">
            <v>865.4449999999996</v>
          </cell>
          <cell r="AZ258">
            <v>250</v>
          </cell>
          <cell r="BA258">
            <v>8.8479999999999954</v>
          </cell>
          <cell r="BB258">
            <v>1384.7119999999993</v>
          </cell>
          <cell r="BC258">
            <v>46</v>
          </cell>
          <cell r="BD258">
            <v>865.4449999999996</v>
          </cell>
          <cell r="BE258">
            <v>692.35599999999965</v>
          </cell>
          <cell r="BF258">
            <v>897.85079999999959</v>
          </cell>
          <cell r="BG258">
            <v>4382</v>
          </cell>
          <cell r="BH258">
            <v>4382</v>
          </cell>
          <cell r="BI258">
            <v>3286.5</v>
          </cell>
          <cell r="BJ258">
            <v>1.4700000000000002</v>
          </cell>
          <cell r="BK258">
            <v>0</v>
          </cell>
          <cell r="BL258">
            <v>230.05500000000004</v>
          </cell>
          <cell r="BM258">
            <v>3516.5549999999998</v>
          </cell>
          <cell r="BN258">
            <v>1.4700000000000002</v>
          </cell>
          <cell r="BO258">
            <v>865.44499999999994</v>
          </cell>
          <cell r="BP258" t="str">
            <v>Y</v>
          </cell>
          <cell r="BQ258">
            <v>1</v>
          </cell>
          <cell r="BR258" t="str">
            <v>Y</v>
          </cell>
          <cell r="BS258">
            <v>1384.7119999999993</v>
          </cell>
          <cell r="BT258" t="str">
            <v>Done</v>
          </cell>
          <cell r="BU258">
            <v>156.5</v>
          </cell>
          <cell r="BV258">
            <v>2025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Nitin Saxena</v>
          </cell>
          <cell r="E259" t="str">
            <v>-</v>
          </cell>
          <cell r="H259" t="str">
            <v>Hamza Ali</v>
          </cell>
          <cell r="J259" t="str">
            <v>ACH</v>
          </cell>
          <cell r="L259" t="str">
            <v>New</v>
          </cell>
          <cell r="M259">
            <v>45679</v>
          </cell>
          <cell r="N259">
            <v>1</v>
          </cell>
          <cell r="O259">
            <v>367</v>
          </cell>
          <cell r="P259">
            <v>45921</v>
          </cell>
          <cell r="Q259">
            <v>46044</v>
          </cell>
          <cell r="R259" t="str">
            <v>PLC-4107</v>
          </cell>
          <cell r="S259" t="str">
            <v>Justin Parker</v>
          </cell>
          <cell r="T259" t="str">
            <v>Individual</v>
          </cell>
          <cell r="U259">
            <v>1099</v>
          </cell>
          <cell r="V259" t="str">
            <v>Genpact</v>
          </cell>
          <cell r="W259">
            <v>21</v>
          </cell>
          <cell r="X259">
            <v>31.5</v>
          </cell>
          <cell r="Y259" t="str">
            <v>USD</v>
          </cell>
          <cell r="Z259">
            <v>28</v>
          </cell>
          <cell r="AA259">
            <v>42</v>
          </cell>
          <cell r="AB259">
            <v>0</v>
          </cell>
          <cell r="AC259">
            <v>0</v>
          </cell>
          <cell r="AD259">
            <v>45762</v>
          </cell>
          <cell r="AE259">
            <v>22</v>
          </cell>
          <cell r="AF259">
            <v>46022</v>
          </cell>
          <cell r="AG259">
            <v>22.470000000000002</v>
          </cell>
          <cell r="AH259">
            <v>33.705000000000005</v>
          </cell>
          <cell r="AI259">
            <v>22.470000000000002</v>
          </cell>
          <cell r="AJ259">
            <v>28</v>
          </cell>
          <cell r="AK259">
            <v>42</v>
          </cell>
          <cell r="AL259">
            <v>8.2949999999999946</v>
          </cell>
          <cell r="AM259">
            <v>5.5299999999999976</v>
          </cell>
          <cell r="AN259">
            <v>8.2949999999999946</v>
          </cell>
          <cell r="AO259">
            <v>5.5299999999999976</v>
          </cell>
          <cell r="AP259">
            <v>8.2949999999999946</v>
          </cell>
          <cell r="AQ259">
            <v>5.5299999999999976</v>
          </cell>
          <cell r="AR259" t="str">
            <v>US_24899</v>
          </cell>
          <cell r="AS259">
            <v>1</v>
          </cell>
          <cell r="AT259">
            <v>154.5</v>
          </cell>
          <cell r="AU259">
            <v>154.5</v>
          </cell>
          <cell r="AV259">
            <v>8.2949999999999946</v>
          </cell>
          <cell r="AW259">
            <v>854.38499999999965</v>
          </cell>
          <cell r="AX259">
            <v>854.05319999999961</v>
          </cell>
          <cell r="AY259">
            <v>854.38499999999965</v>
          </cell>
          <cell r="AZ259">
            <v>250</v>
          </cell>
          <cell r="BA259">
            <v>8.8479999999999954</v>
          </cell>
          <cell r="BB259">
            <v>1367.0159999999994</v>
          </cell>
          <cell r="BC259">
            <v>46</v>
          </cell>
          <cell r="BD259">
            <v>854.38499999999965</v>
          </cell>
          <cell r="BE259">
            <v>683.5079999999997</v>
          </cell>
          <cell r="BF259">
            <v>854.05319999999961</v>
          </cell>
          <cell r="BG259">
            <v>4326</v>
          </cell>
          <cell r="BH259">
            <v>4326</v>
          </cell>
          <cell r="BI259">
            <v>3244.5</v>
          </cell>
          <cell r="BJ259">
            <v>1.4700000000000002</v>
          </cell>
          <cell r="BK259">
            <v>0</v>
          </cell>
          <cell r="BL259">
            <v>227.11500000000004</v>
          </cell>
          <cell r="BM259">
            <v>3471.6150000000002</v>
          </cell>
          <cell r="BN259">
            <v>1.4700000000000002</v>
          </cell>
          <cell r="BO259">
            <v>854.38499999999999</v>
          </cell>
          <cell r="BP259" t="str">
            <v>Y</v>
          </cell>
          <cell r="BQ259">
            <v>2</v>
          </cell>
          <cell r="BR259" t="str">
            <v>Y</v>
          </cell>
          <cell r="BS259">
            <v>1367.0159999999994</v>
          </cell>
          <cell r="BT259" t="str">
            <v>Done</v>
          </cell>
          <cell r="BU259">
            <v>154.5</v>
          </cell>
          <cell r="BV259">
            <v>2025</v>
          </cell>
        </row>
        <row r="260">
          <cell r="A260" t="str">
            <v>Chennai</v>
          </cell>
          <cell r="B260" t="str">
            <v>Chennai</v>
          </cell>
          <cell r="C260" t="str">
            <v>Mid Level</v>
          </cell>
          <cell r="D260" t="str">
            <v>Vinoth L</v>
          </cell>
          <cell r="E260" t="str">
            <v>-</v>
          </cell>
          <cell r="H260" t="str">
            <v>Dinesh Kumar Veluchamy</v>
          </cell>
          <cell r="K260" t="str">
            <v>-</v>
          </cell>
          <cell r="L260" t="str">
            <v>New</v>
          </cell>
          <cell r="M260">
            <v>45691</v>
          </cell>
          <cell r="N260">
            <v>1</v>
          </cell>
          <cell r="O260">
            <v>355</v>
          </cell>
          <cell r="P260" t="str">
            <v>-</v>
          </cell>
          <cell r="Q260">
            <v>46056</v>
          </cell>
          <cell r="R260" t="str">
            <v>PLC-4113</v>
          </cell>
          <cell r="S260" t="str">
            <v>Kaleem Brohi</v>
          </cell>
          <cell r="T260" t="str">
            <v>Split</v>
          </cell>
          <cell r="U260" t="str">
            <v>FTE</v>
          </cell>
          <cell r="V260" t="str">
            <v>Tredence</v>
          </cell>
          <cell r="W260">
            <v>0</v>
          </cell>
          <cell r="X260">
            <v>0</v>
          </cell>
          <cell r="Y260" t="str">
            <v>USD</v>
          </cell>
          <cell r="Z260">
            <v>12400</v>
          </cell>
          <cell r="AA260">
            <v>0</v>
          </cell>
          <cell r="AB260">
            <v>0</v>
          </cell>
          <cell r="AC260">
            <v>0</v>
          </cell>
          <cell r="AD260">
            <v>45703</v>
          </cell>
          <cell r="AE260">
            <v>1</v>
          </cell>
          <cell r="AF260">
            <v>46022</v>
          </cell>
          <cell r="AG260">
            <v>0</v>
          </cell>
          <cell r="AH260">
            <v>0</v>
          </cell>
          <cell r="AI260">
            <v>0</v>
          </cell>
          <cell r="AJ260">
            <v>12400</v>
          </cell>
          <cell r="AK260">
            <v>0</v>
          </cell>
          <cell r="AL260">
            <v>0</v>
          </cell>
          <cell r="AM260">
            <v>12400</v>
          </cell>
          <cell r="AN260">
            <v>0</v>
          </cell>
          <cell r="AO260">
            <v>6200</v>
          </cell>
          <cell r="AP260">
            <v>0</v>
          </cell>
          <cell r="AQ260">
            <v>6200</v>
          </cell>
          <cell r="AR260" t="str">
            <v>US_24339</v>
          </cell>
          <cell r="AS260">
            <v>0</v>
          </cell>
          <cell r="AT260">
            <v>1</v>
          </cell>
          <cell r="AU260">
            <v>1</v>
          </cell>
          <cell r="AV260">
            <v>0</v>
          </cell>
          <cell r="AW260">
            <v>6200</v>
          </cell>
          <cell r="AX260">
            <v>6200</v>
          </cell>
          <cell r="AY260">
            <v>6200</v>
          </cell>
          <cell r="AZ260">
            <v>120</v>
          </cell>
          <cell r="BA260">
            <v>9920</v>
          </cell>
          <cell r="BB260">
            <v>9920</v>
          </cell>
          <cell r="BC260">
            <v>67</v>
          </cell>
          <cell r="BD260">
            <v>6200</v>
          </cell>
          <cell r="BE260">
            <v>7440</v>
          </cell>
          <cell r="BF260">
            <v>6200</v>
          </cell>
          <cell r="BG260">
            <v>6200</v>
          </cell>
          <cell r="BH260">
            <v>6200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6200</v>
          </cell>
          <cell r="BP260" t="str">
            <v>Y</v>
          </cell>
          <cell r="BQ260">
            <v>1</v>
          </cell>
          <cell r="BR260" t="str">
            <v>Y</v>
          </cell>
          <cell r="BS260">
            <v>9920</v>
          </cell>
          <cell r="BT260" t="str">
            <v>Done</v>
          </cell>
          <cell r="BU260">
            <v>0</v>
          </cell>
          <cell r="BV260">
            <v>2025</v>
          </cell>
        </row>
        <row r="261">
          <cell r="A261" t="str">
            <v>Lucknow</v>
          </cell>
          <cell r="B261" t="str">
            <v>Vantedge</v>
          </cell>
          <cell r="C261" t="str">
            <v>Mid Level</v>
          </cell>
          <cell r="D261" t="str">
            <v>Mayank Saxena</v>
          </cell>
          <cell r="E261" t="str">
            <v>-</v>
          </cell>
          <cell r="H261" t="str">
            <v>Dinesh Kumar Veluchamy</v>
          </cell>
          <cell r="K261" t="str">
            <v>-</v>
          </cell>
          <cell r="L261" t="str">
            <v>New</v>
          </cell>
          <cell r="M261">
            <v>45691</v>
          </cell>
          <cell r="N261">
            <v>1</v>
          </cell>
          <cell r="O261">
            <v>355</v>
          </cell>
          <cell r="P261" t="str">
            <v>-</v>
          </cell>
          <cell r="Q261">
            <v>46056</v>
          </cell>
          <cell r="R261" t="str">
            <v>PLC-4113</v>
          </cell>
          <cell r="S261" t="str">
            <v>Kaleem Brohi</v>
          </cell>
          <cell r="T261" t="str">
            <v>Split</v>
          </cell>
          <cell r="U261" t="str">
            <v>FTE</v>
          </cell>
          <cell r="V261" t="str">
            <v>Tredence</v>
          </cell>
          <cell r="W261">
            <v>0</v>
          </cell>
          <cell r="X261">
            <v>0</v>
          </cell>
          <cell r="Y261" t="str">
            <v>USD</v>
          </cell>
          <cell r="Z261">
            <v>12400</v>
          </cell>
          <cell r="AA261">
            <v>0</v>
          </cell>
          <cell r="AB261">
            <v>0</v>
          </cell>
          <cell r="AC261">
            <v>0</v>
          </cell>
          <cell r="AD261">
            <v>45703</v>
          </cell>
          <cell r="AE261">
            <v>1</v>
          </cell>
          <cell r="AF261">
            <v>46022</v>
          </cell>
          <cell r="AG261">
            <v>0</v>
          </cell>
          <cell r="AH261">
            <v>0</v>
          </cell>
          <cell r="AI261">
            <v>0</v>
          </cell>
          <cell r="AJ261">
            <v>12400</v>
          </cell>
          <cell r="AK261">
            <v>0</v>
          </cell>
          <cell r="AL261">
            <v>0</v>
          </cell>
          <cell r="AM261">
            <v>12400</v>
          </cell>
          <cell r="AN261">
            <v>0</v>
          </cell>
          <cell r="AO261">
            <v>6200</v>
          </cell>
          <cell r="AP261">
            <v>0</v>
          </cell>
          <cell r="AQ261">
            <v>6200</v>
          </cell>
          <cell r="AR261" t="str">
            <v>US_24339</v>
          </cell>
          <cell r="AS261">
            <v>0</v>
          </cell>
          <cell r="AT261">
            <v>1</v>
          </cell>
          <cell r="AU261">
            <v>1</v>
          </cell>
          <cell r="AV261">
            <v>0</v>
          </cell>
          <cell r="AW261">
            <v>6200</v>
          </cell>
          <cell r="AX261">
            <v>6200</v>
          </cell>
          <cell r="AY261">
            <v>6200</v>
          </cell>
          <cell r="AZ261">
            <v>120</v>
          </cell>
          <cell r="BA261">
            <v>9920</v>
          </cell>
          <cell r="BB261">
            <v>9920</v>
          </cell>
          <cell r="BC261">
            <v>82</v>
          </cell>
          <cell r="BD261">
            <v>6200</v>
          </cell>
          <cell r="BE261">
            <v>7440</v>
          </cell>
          <cell r="BF261">
            <v>6200</v>
          </cell>
          <cell r="BG261">
            <v>6200</v>
          </cell>
          <cell r="BH261">
            <v>6200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6200</v>
          </cell>
          <cell r="BP261" t="str">
            <v>Y</v>
          </cell>
          <cell r="BQ261">
            <v>1</v>
          </cell>
          <cell r="BR261" t="str">
            <v>Y</v>
          </cell>
          <cell r="BS261">
            <v>9920</v>
          </cell>
          <cell r="BT261" t="str">
            <v>Done</v>
          </cell>
          <cell r="BU261">
            <v>0</v>
          </cell>
          <cell r="BV261">
            <v>2025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Abhishek Yadav</v>
          </cell>
          <cell r="E262" t="str">
            <v>-</v>
          </cell>
          <cell r="H262" t="str">
            <v>Manish Kumar Dhiman</v>
          </cell>
          <cell r="L262" t="str">
            <v>New</v>
          </cell>
          <cell r="M262">
            <v>45672</v>
          </cell>
          <cell r="N262">
            <v>1</v>
          </cell>
          <cell r="O262">
            <v>374</v>
          </cell>
          <cell r="P262" t="str">
            <v>-</v>
          </cell>
          <cell r="Q262">
            <v>46037</v>
          </cell>
          <cell r="R262" t="str">
            <v>PLC-4074</v>
          </cell>
          <cell r="S262" t="str">
            <v>Kalpana Venkatasamy</v>
          </cell>
          <cell r="T262" t="str">
            <v>Individual</v>
          </cell>
          <cell r="U262" t="str">
            <v>C2C</v>
          </cell>
          <cell r="V262" t="str">
            <v>Genpact</v>
          </cell>
          <cell r="W262">
            <v>55</v>
          </cell>
          <cell r="X262">
            <v>0</v>
          </cell>
          <cell r="Y262" t="str">
            <v>CAD</v>
          </cell>
          <cell r="Z262">
            <v>73</v>
          </cell>
          <cell r="AA262">
            <v>0</v>
          </cell>
          <cell r="AB262">
            <v>0</v>
          </cell>
          <cell r="AC262">
            <v>0</v>
          </cell>
          <cell r="AD262">
            <v>45672</v>
          </cell>
          <cell r="AE262">
            <v>13</v>
          </cell>
          <cell r="AF262">
            <v>46022</v>
          </cell>
          <cell r="AG262">
            <v>39.049999999999997</v>
          </cell>
          <cell r="AH262">
            <v>0</v>
          </cell>
          <cell r="AI262">
            <v>39.049999999999997</v>
          </cell>
          <cell r="AJ262">
            <v>51.83</v>
          </cell>
          <cell r="AK262">
            <v>0</v>
          </cell>
          <cell r="AL262">
            <v>0</v>
          </cell>
          <cell r="AM262">
            <v>12.780000000000001</v>
          </cell>
          <cell r="AN262">
            <v>0</v>
          </cell>
          <cell r="AO262">
            <v>12.780000000000001</v>
          </cell>
          <cell r="AP262">
            <v>0</v>
          </cell>
          <cell r="AQ262">
            <v>12.780000000000001</v>
          </cell>
          <cell r="AR262" t="str">
            <v>CAD_1417</v>
          </cell>
          <cell r="AS262">
            <v>0</v>
          </cell>
          <cell r="AT262">
            <v>104</v>
          </cell>
          <cell r="AU262">
            <v>104</v>
          </cell>
          <cell r="AV262">
            <v>0</v>
          </cell>
          <cell r="AW262">
            <v>1329.1200000000001</v>
          </cell>
          <cell r="AX262">
            <v>1329.1200000000001</v>
          </cell>
          <cell r="AY262">
            <v>1329.1200000000001</v>
          </cell>
          <cell r="AZ262">
            <v>87.5</v>
          </cell>
          <cell r="BA262">
            <v>20.448</v>
          </cell>
          <cell r="BB262">
            <v>2126.5920000000001</v>
          </cell>
          <cell r="BC262">
            <v>102</v>
          </cell>
          <cell r="BD262">
            <v>1329.1200000000001</v>
          </cell>
          <cell r="BE262">
            <v>2126.5920000000001</v>
          </cell>
          <cell r="BF262">
            <v>1329.1200000000001</v>
          </cell>
          <cell r="BG262">
            <v>7592</v>
          </cell>
          <cell r="BH262">
            <v>5390.32</v>
          </cell>
          <cell r="BI262">
            <v>4237.9480000000003</v>
          </cell>
          <cell r="BJ262">
            <v>0</v>
          </cell>
          <cell r="BK262">
            <v>0</v>
          </cell>
          <cell r="BL262">
            <v>0</v>
          </cell>
          <cell r="BM262">
            <v>4237.9480000000003</v>
          </cell>
          <cell r="BN262">
            <v>0</v>
          </cell>
          <cell r="BO262">
            <v>1152.3719999999994</v>
          </cell>
          <cell r="BP262" t="str">
            <v>Y</v>
          </cell>
          <cell r="BQ262">
            <v>1</v>
          </cell>
          <cell r="BR262" t="str">
            <v>Y</v>
          </cell>
          <cell r="BS262">
            <v>2126.5920000000001</v>
          </cell>
          <cell r="BT262" t="str">
            <v>Done</v>
          </cell>
          <cell r="BU262">
            <v>104</v>
          </cell>
          <cell r="BV262">
            <v>2025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Abhishek Yadav</v>
          </cell>
          <cell r="E263" t="str">
            <v>-</v>
          </cell>
          <cell r="H263" t="str">
            <v>Manish Kumar Dhiman</v>
          </cell>
          <cell r="L263" t="str">
            <v>New</v>
          </cell>
          <cell r="M263">
            <v>45672</v>
          </cell>
          <cell r="N263">
            <v>1</v>
          </cell>
          <cell r="O263">
            <v>374</v>
          </cell>
          <cell r="P263" t="str">
            <v>-</v>
          </cell>
          <cell r="Q263">
            <v>46037</v>
          </cell>
          <cell r="R263" t="str">
            <v>PLC-4074</v>
          </cell>
          <cell r="S263" t="str">
            <v>Kalpana Venkatasamy</v>
          </cell>
          <cell r="T263" t="str">
            <v>Individual</v>
          </cell>
          <cell r="U263" t="str">
            <v>C2C</v>
          </cell>
          <cell r="V263" t="str">
            <v>Genpact</v>
          </cell>
          <cell r="W263">
            <v>55</v>
          </cell>
          <cell r="X263">
            <v>0</v>
          </cell>
          <cell r="Y263" t="str">
            <v>CAD</v>
          </cell>
          <cell r="Z263">
            <v>73</v>
          </cell>
          <cell r="AA263">
            <v>0</v>
          </cell>
          <cell r="AB263">
            <v>0</v>
          </cell>
          <cell r="AC263">
            <v>0</v>
          </cell>
          <cell r="AD263">
            <v>45703</v>
          </cell>
          <cell r="AE263">
            <v>20</v>
          </cell>
          <cell r="AF263">
            <v>46022</v>
          </cell>
          <cell r="AG263">
            <v>39.049999999999997</v>
          </cell>
          <cell r="AH263">
            <v>0</v>
          </cell>
          <cell r="AI263">
            <v>39.049999999999997</v>
          </cell>
          <cell r="AJ263">
            <v>51.83</v>
          </cell>
          <cell r="AK263">
            <v>0</v>
          </cell>
          <cell r="AL263">
            <v>0</v>
          </cell>
          <cell r="AM263">
            <v>12.780000000000001</v>
          </cell>
          <cell r="AN263">
            <v>0</v>
          </cell>
          <cell r="AO263">
            <v>12.780000000000001</v>
          </cell>
          <cell r="AP263">
            <v>0</v>
          </cell>
          <cell r="AQ263">
            <v>12.780000000000001</v>
          </cell>
          <cell r="AR263" t="str">
            <v>CAD_1441</v>
          </cell>
          <cell r="AS263">
            <v>0</v>
          </cell>
          <cell r="AT263">
            <v>152</v>
          </cell>
          <cell r="AU263">
            <v>152</v>
          </cell>
          <cell r="AV263">
            <v>0</v>
          </cell>
          <cell r="AW263">
            <v>1942.5600000000002</v>
          </cell>
          <cell r="AX263">
            <v>1942.5600000000002</v>
          </cell>
          <cell r="AY263">
            <v>1942.5600000000002</v>
          </cell>
          <cell r="AZ263">
            <v>87.5</v>
          </cell>
          <cell r="BA263">
            <v>20.448</v>
          </cell>
          <cell r="BB263">
            <v>3108.096</v>
          </cell>
          <cell r="BC263">
            <v>102</v>
          </cell>
          <cell r="BD263">
            <v>1942.5600000000002</v>
          </cell>
          <cell r="BE263">
            <v>3108.0960000000005</v>
          </cell>
          <cell r="BF263">
            <v>1942.5600000000002</v>
          </cell>
          <cell r="BG263">
            <v>11096</v>
          </cell>
          <cell r="BH263">
            <v>7878.16</v>
          </cell>
          <cell r="BI263">
            <v>6193.924</v>
          </cell>
          <cell r="BJ263">
            <v>0</v>
          </cell>
          <cell r="BK263">
            <v>0</v>
          </cell>
          <cell r="BL263">
            <v>0</v>
          </cell>
          <cell r="BM263">
            <v>6193.924</v>
          </cell>
          <cell r="BN263">
            <v>0</v>
          </cell>
          <cell r="BO263">
            <v>1684.2359999999999</v>
          </cell>
          <cell r="BP263" t="str">
            <v>Y</v>
          </cell>
          <cell r="BQ263">
            <v>1</v>
          </cell>
          <cell r="BR263" t="str">
            <v>Y</v>
          </cell>
          <cell r="BS263">
            <v>3108.096</v>
          </cell>
          <cell r="BT263" t="str">
            <v>Done</v>
          </cell>
          <cell r="BU263">
            <v>152</v>
          </cell>
          <cell r="BV263">
            <v>2025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Abhishek Yadav</v>
          </cell>
          <cell r="E264" t="str">
            <v>-</v>
          </cell>
          <cell r="H264" t="str">
            <v>Manish Kumar Dhiman</v>
          </cell>
          <cell r="L264" t="str">
            <v>New</v>
          </cell>
          <cell r="M264">
            <v>45672</v>
          </cell>
          <cell r="N264">
            <v>1</v>
          </cell>
          <cell r="O264">
            <v>374</v>
          </cell>
          <cell r="P264" t="str">
            <v>-</v>
          </cell>
          <cell r="Q264">
            <v>46037</v>
          </cell>
          <cell r="R264" t="str">
            <v>PLC-4074</v>
          </cell>
          <cell r="S264" t="str">
            <v>Kalpana Venkatasamy</v>
          </cell>
          <cell r="T264" t="str">
            <v>Individual</v>
          </cell>
          <cell r="U264" t="str">
            <v>C2C</v>
          </cell>
          <cell r="V264" t="str">
            <v>Genpact</v>
          </cell>
          <cell r="W264">
            <v>60</v>
          </cell>
          <cell r="X264">
            <v>0</v>
          </cell>
          <cell r="Y264" t="str">
            <v>CAD</v>
          </cell>
          <cell r="Z264">
            <v>73</v>
          </cell>
          <cell r="AA264">
            <v>0</v>
          </cell>
          <cell r="AB264">
            <v>0</v>
          </cell>
          <cell r="AC264">
            <v>0</v>
          </cell>
          <cell r="AD264">
            <v>45731</v>
          </cell>
          <cell r="AE264">
            <v>21</v>
          </cell>
          <cell r="AF264">
            <v>46022</v>
          </cell>
          <cell r="AG264">
            <v>42.599999999999994</v>
          </cell>
          <cell r="AH264">
            <v>0</v>
          </cell>
          <cell r="AI264">
            <v>42.599999999999994</v>
          </cell>
          <cell r="AJ264">
            <v>51.83</v>
          </cell>
          <cell r="AK264">
            <v>0</v>
          </cell>
          <cell r="AL264">
            <v>0</v>
          </cell>
          <cell r="AM264">
            <v>9.230000000000004</v>
          </cell>
          <cell r="AN264">
            <v>0</v>
          </cell>
          <cell r="AO264">
            <v>9.230000000000004</v>
          </cell>
          <cell r="AP264">
            <v>0</v>
          </cell>
          <cell r="AQ264">
            <v>9.230000000000004</v>
          </cell>
          <cell r="AR264" t="str">
            <v>CAD_1466</v>
          </cell>
          <cell r="AS264">
            <v>0</v>
          </cell>
          <cell r="AT264">
            <v>168</v>
          </cell>
          <cell r="AU264">
            <v>168</v>
          </cell>
          <cell r="AV264">
            <v>0</v>
          </cell>
          <cell r="AW264">
            <v>1550.6400000000008</v>
          </cell>
          <cell r="AX264">
            <v>1550.6400000000008</v>
          </cell>
          <cell r="AY264">
            <v>1550.6400000000008</v>
          </cell>
          <cell r="AZ264">
            <v>87.5</v>
          </cell>
          <cell r="BA264">
            <v>14.768000000000006</v>
          </cell>
          <cell r="BB264">
            <v>2481.0240000000008</v>
          </cell>
          <cell r="BC264">
            <v>102</v>
          </cell>
          <cell r="BD264">
            <v>1550.6400000000008</v>
          </cell>
          <cell r="BE264">
            <v>2481.0240000000013</v>
          </cell>
          <cell r="BF264">
            <v>1550.6400000000008</v>
          </cell>
          <cell r="BG264">
            <v>12264</v>
          </cell>
          <cell r="BH264">
            <v>8707.44</v>
          </cell>
          <cell r="BI264">
            <v>7468.2719999999999</v>
          </cell>
          <cell r="BJ264">
            <v>0</v>
          </cell>
          <cell r="BK264">
            <v>0</v>
          </cell>
          <cell r="BL264">
            <v>0</v>
          </cell>
          <cell r="BM264">
            <v>7468.2719999999999</v>
          </cell>
          <cell r="BN264">
            <v>0</v>
          </cell>
          <cell r="BO264">
            <v>1239.1680000000006</v>
          </cell>
          <cell r="BP264" t="str">
            <v>Y</v>
          </cell>
          <cell r="BQ264">
            <v>1</v>
          </cell>
          <cell r="BR264" t="str">
            <v>Y</v>
          </cell>
          <cell r="BS264">
            <v>2481.0240000000008</v>
          </cell>
          <cell r="BT264" t="str">
            <v>Done</v>
          </cell>
          <cell r="BU264">
            <v>168</v>
          </cell>
          <cell r="BV264">
            <v>2025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Abhishek Yadav</v>
          </cell>
          <cell r="E265" t="str">
            <v>-</v>
          </cell>
          <cell r="H265" t="str">
            <v>Manish Kumar Dhiman</v>
          </cell>
          <cell r="L265" t="str">
            <v>New</v>
          </cell>
          <cell r="M265">
            <v>45672</v>
          </cell>
          <cell r="N265">
            <v>1</v>
          </cell>
          <cell r="O265">
            <v>374</v>
          </cell>
          <cell r="P265" t="str">
            <v>-</v>
          </cell>
          <cell r="Q265">
            <v>46037</v>
          </cell>
          <cell r="R265" t="str">
            <v>PLC-4074</v>
          </cell>
          <cell r="S265" t="str">
            <v>Kalpana Venkatasamy</v>
          </cell>
          <cell r="T265" t="str">
            <v>Individual</v>
          </cell>
          <cell r="U265" t="str">
            <v>C2C</v>
          </cell>
          <cell r="V265" t="str">
            <v>Genpact</v>
          </cell>
          <cell r="W265">
            <v>60</v>
          </cell>
          <cell r="X265">
            <v>0</v>
          </cell>
          <cell r="Y265" t="str">
            <v>CAD</v>
          </cell>
          <cell r="Z265">
            <v>73</v>
          </cell>
          <cell r="AA265">
            <v>0</v>
          </cell>
          <cell r="AB265">
            <v>0</v>
          </cell>
          <cell r="AC265">
            <v>0</v>
          </cell>
          <cell r="AD265">
            <v>45762</v>
          </cell>
          <cell r="AE265">
            <v>22</v>
          </cell>
          <cell r="AF265">
            <v>46022</v>
          </cell>
          <cell r="AG265">
            <v>42.599999999999994</v>
          </cell>
          <cell r="AH265">
            <v>0</v>
          </cell>
          <cell r="AI265">
            <v>42.599999999999994</v>
          </cell>
          <cell r="AJ265">
            <v>51.83</v>
          </cell>
          <cell r="AK265">
            <v>0</v>
          </cell>
          <cell r="AL265">
            <v>0</v>
          </cell>
          <cell r="AM265">
            <v>9.230000000000004</v>
          </cell>
          <cell r="AN265">
            <v>0</v>
          </cell>
          <cell r="AO265">
            <v>9.230000000000004</v>
          </cell>
          <cell r="AP265">
            <v>0</v>
          </cell>
          <cell r="AQ265">
            <v>9.230000000000004</v>
          </cell>
          <cell r="AR265" t="str">
            <v>CAD_1489</v>
          </cell>
          <cell r="AS265">
            <v>0</v>
          </cell>
          <cell r="AT265">
            <v>168</v>
          </cell>
          <cell r="AU265">
            <v>168</v>
          </cell>
          <cell r="AV265">
            <v>0</v>
          </cell>
          <cell r="AW265">
            <v>1550.6400000000008</v>
          </cell>
          <cell r="AX265">
            <v>1550.6400000000008</v>
          </cell>
          <cell r="AY265">
            <v>1550.6400000000008</v>
          </cell>
          <cell r="AZ265">
            <v>87.5</v>
          </cell>
          <cell r="BA265">
            <v>14.768000000000006</v>
          </cell>
          <cell r="BB265">
            <v>2481.0240000000008</v>
          </cell>
          <cell r="BC265">
            <v>102</v>
          </cell>
          <cell r="BD265">
            <v>1550.6400000000008</v>
          </cell>
          <cell r="BE265">
            <v>2481.0240000000013</v>
          </cell>
          <cell r="BF265">
            <v>1550.6400000000008</v>
          </cell>
          <cell r="BG265">
            <v>12264</v>
          </cell>
          <cell r="BH265">
            <v>8707.44</v>
          </cell>
          <cell r="BI265">
            <v>7468.2719999999999</v>
          </cell>
          <cell r="BJ265">
            <v>0</v>
          </cell>
          <cell r="BK265">
            <v>0</v>
          </cell>
          <cell r="BL265">
            <v>0</v>
          </cell>
          <cell r="BM265">
            <v>7468.2719999999999</v>
          </cell>
          <cell r="BN265">
            <v>0</v>
          </cell>
          <cell r="BO265">
            <v>1239.1680000000006</v>
          </cell>
          <cell r="BP265" t="str">
            <v>Y</v>
          </cell>
          <cell r="BQ265">
            <v>2</v>
          </cell>
          <cell r="BR265" t="str">
            <v>Y</v>
          </cell>
          <cell r="BS265">
            <v>2481.0240000000008</v>
          </cell>
          <cell r="BT265" t="str">
            <v>Done</v>
          </cell>
          <cell r="BU265">
            <v>168</v>
          </cell>
          <cell r="BV265">
            <v>2025</v>
          </cell>
        </row>
        <row r="266">
          <cell r="A266" t="str">
            <v>Chennai</v>
          </cell>
          <cell r="B266" t="str">
            <v>Chennai</v>
          </cell>
          <cell r="C266" t="str">
            <v>Mid Level</v>
          </cell>
          <cell r="D266" t="str">
            <v>Vinoth L</v>
          </cell>
          <cell r="E266" t="str">
            <v>-</v>
          </cell>
          <cell r="H266" t="str">
            <v>Pass Through</v>
          </cell>
          <cell r="K266">
            <v>0</v>
          </cell>
          <cell r="L266" t="str">
            <v>Old</v>
          </cell>
          <cell r="M266">
            <v>45404</v>
          </cell>
          <cell r="N266">
            <v>2</v>
          </cell>
          <cell r="O266">
            <v>642</v>
          </cell>
          <cell r="P266" t="str">
            <v>-</v>
          </cell>
          <cell r="Q266">
            <v>45769</v>
          </cell>
          <cell r="R266" t="str">
            <v>PLC-3745</v>
          </cell>
          <cell r="S266" t="str">
            <v>Kalyan Kumar Reddy Palle</v>
          </cell>
          <cell r="T266" t="str">
            <v>Individual</v>
          </cell>
          <cell r="U266" t="str">
            <v>C2C</v>
          </cell>
          <cell r="V266" t="str">
            <v>Citius Tech</v>
          </cell>
          <cell r="W266">
            <v>81</v>
          </cell>
          <cell r="X266">
            <v>0</v>
          </cell>
          <cell r="Y266" t="str">
            <v>USD</v>
          </cell>
          <cell r="Z266">
            <v>83</v>
          </cell>
          <cell r="AA266">
            <v>0</v>
          </cell>
          <cell r="AB266">
            <v>0</v>
          </cell>
          <cell r="AC266">
            <v>0</v>
          </cell>
          <cell r="AD266">
            <v>45672</v>
          </cell>
          <cell r="AE266">
            <v>23</v>
          </cell>
          <cell r="AF266">
            <v>46022</v>
          </cell>
          <cell r="AG266">
            <v>81</v>
          </cell>
          <cell r="AH266">
            <v>0</v>
          </cell>
          <cell r="AI266">
            <v>81</v>
          </cell>
          <cell r="AJ266">
            <v>83</v>
          </cell>
          <cell r="AK266">
            <v>0</v>
          </cell>
          <cell r="AL266">
            <v>0</v>
          </cell>
          <cell r="AM266">
            <v>2</v>
          </cell>
          <cell r="AN266">
            <v>0</v>
          </cell>
          <cell r="AO266">
            <v>2</v>
          </cell>
          <cell r="AP266">
            <v>0</v>
          </cell>
          <cell r="AQ266">
            <v>2</v>
          </cell>
          <cell r="AR266" t="str">
            <v>US_24159</v>
          </cell>
          <cell r="AS266">
            <v>0</v>
          </cell>
          <cell r="AT266">
            <v>168</v>
          </cell>
          <cell r="AU266">
            <v>168</v>
          </cell>
          <cell r="AV266">
            <v>0</v>
          </cell>
          <cell r="AW266">
            <v>336</v>
          </cell>
          <cell r="AX266">
            <v>336</v>
          </cell>
          <cell r="AY266">
            <v>336</v>
          </cell>
          <cell r="AZ266">
            <v>0</v>
          </cell>
          <cell r="BA266">
            <v>0</v>
          </cell>
          <cell r="BB266">
            <v>0</v>
          </cell>
          <cell r="BC266">
            <v>53.225806451612897</v>
          </cell>
          <cell r="BD266">
            <v>336</v>
          </cell>
          <cell r="BE266">
            <v>268.8</v>
          </cell>
          <cell r="BF266">
            <v>336</v>
          </cell>
          <cell r="BG266">
            <v>13944</v>
          </cell>
          <cell r="BH266">
            <v>13944</v>
          </cell>
          <cell r="BI266">
            <v>13608</v>
          </cell>
          <cell r="BJ266">
            <v>0</v>
          </cell>
          <cell r="BK266">
            <v>0</v>
          </cell>
          <cell r="BL266">
            <v>0</v>
          </cell>
          <cell r="BM266">
            <v>13608</v>
          </cell>
          <cell r="BN266">
            <v>0</v>
          </cell>
          <cell r="BO266">
            <v>336</v>
          </cell>
          <cell r="BP266" t="str">
            <v>Y</v>
          </cell>
          <cell r="BQ266">
            <v>1</v>
          </cell>
          <cell r="BR266" t="str">
            <v>Y</v>
          </cell>
          <cell r="BS266">
            <v>0</v>
          </cell>
          <cell r="BT266" t="str">
            <v>Done</v>
          </cell>
          <cell r="BU266">
            <v>168</v>
          </cell>
          <cell r="BV266">
            <v>2024</v>
          </cell>
        </row>
        <row r="267">
          <cell r="A267" t="str">
            <v>Chennai</v>
          </cell>
          <cell r="B267" t="str">
            <v>Chennai</v>
          </cell>
          <cell r="C267" t="str">
            <v>Mid Level</v>
          </cell>
          <cell r="D267" t="str">
            <v>Vinoth L</v>
          </cell>
          <cell r="E267" t="str">
            <v>-</v>
          </cell>
          <cell r="H267" t="str">
            <v>Pass Through</v>
          </cell>
          <cell r="K267">
            <v>0</v>
          </cell>
          <cell r="L267" t="str">
            <v>Old</v>
          </cell>
          <cell r="M267">
            <v>45404</v>
          </cell>
          <cell r="N267">
            <v>2</v>
          </cell>
          <cell r="O267">
            <v>642</v>
          </cell>
          <cell r="P267" t="str">
            <v>-</v>
          </cell>
          <cell r="Q267">
            <v>45769</v>
          </cell>
          <cell r="R267" t="str">
            <v>PLC-3745</v>
          </cell>
          <cell r="S267" t="str">
            <v>Kalyan Kumar Reddy Palle</v>
          </cell>
          <cell r="T267" t="str">
            <v>Individual</v>
          </cell>
          <cell r="U267" t="str">
            <v>C2C</v>
          </cell>
          <cell r="V267" t="str">
            <v>Citius Tech</v>
          </cell>
          <cell r="W267">
            <v>81</v>
          </cell>
          <cell r="X267">
            <v>0</v>
          </cell>
          <cell r="Y267" t="str">
            <v>USD</v>
          </cell>
          <cell r="Z267">
            <v>83</v>
          </cell>
          <cell r="AA267">
            <v>0</v>
          </cell>
          <cell r="AB267">
            <v>0</v>
          </cell>
          <cell r="AC267">
            <v>0</v>
          </cell>
          <cell r="AD267">
            <v>45703</v>
          </cell>
          <cell r="AE267">
            <v>20</v>
          </cell>
          <cell r="AF267">
            <v>46022</v>
          </cell>
          <cell r="AG267">
            <v>81</v>
          </cell>
          <cell r="AH267">
            <v>0</v>
          </cell>
          <cell r="AI267">
            <v>81</v>
          </cell>
          <cell r="AJ267">
            <v>83</v>
          </cell>
          <cell r="AK267">
            <v>0</v>
          </cell>
          <cell r="AL267">
            <v>0</v>
          </cell>
          <cell r="AM267">
            <v>2</v>
          </cell>
          <cell r="AN267">
            <v>0</v>
          </cell>
          <cell r="AO267">
            <v>2</v>
          </cell>
          <cell r="AP267">
            <v>0</v>
          </cell>
          <cell r="AQ267">
            <v>2</v>
          </cell>
          <cell r="AR267" t="str">
            <v>US_24386</v>
          </cell>
          <cell r="AS267">
            <v>0</v>
          </cell>
          <cell r="AT267">
            <v>160</v>
          </cell>
          <cell r="AU267">
            <v>160</v>
          </cell>
          <cell r="AV267">
            <v>0</v>
          </cell>
          <cell r="AW267">
            <v>320</v>
          </cell>
          <cell r="AX267">
            <v>320</v>
          </cell>
          <cell r="AY267">
            <v>320</v>
          </cell>
          <cell r="AZ267">
            <v>0</v>
          </cell>
          <cell r="BA267">
            <v>0</v>
          </cell>
          <cell r="BB267">
            <v>0</v>
          </cell>
          <cell r="BC267">
            <v>53.225806451612897</v>
          </cell>
          <cell r="BD267">
            <v>320</v>
          </cell>
          <cell r="BE267">
            <v>256</v>
          </cell>
          <cell r="BF267">
            <v>320</v>
          </cell>
          <cell r="BG267">
            <v>13280</v>
          </cell>
          <cell r="BH267">
            <v>13280</v>
          </cell>
          <cell r="BI267">
            <v>12960</v>
          </cell>
          <cell r="BJ267">
            <v>0</v>
          </cell>
          <cell r="BK267">
            <v>0</v>
          </cell>
          <cell r="BL267">
            <v>0</v>
          </cell>
          <cell r="BM267">
            <v>12960</v>
          </cell>
          <cell r="BN267">
            <v>0</v>
          </cell>
          <cell r="BO267">
            <v>320</v>
          </cell>
          <cell r="BP267" t="str">
            <v>Y</v>
          </cell>
          <cell r="BQ267">
            <v>1</v>
          </cell>
          <cell r="BR267" t="str">
            <v>Y</v>
          </cell>
          <cell r="BS267">
            <v>0</v>
          </cell>
          <cell r="BT267" t="str">
            <v>Done</v>
          </cell>
          <cell r="BU267">
            <v>160</v>
          </cell>
          <cell r="BV267">
            <v>2024</v>
          </cell>
        </row>
        <row r="268">
          <cell r="A268" t="str">
            <v>Chennai</v>
          </cell>
          <cell r="B268" t="str">
            <v>Chennai</v>
          </cell>
          <cell r="C268" t="str">
            <v>Mid Level</v>
          </cell>
          <cell r="D268" t="str">
            <v>Vinoth L</v>
          </cell>
          <cell r="E268" t="str">
            <v>-</v>
          </cell>
          <cell r="H268" t="str">
            <v>Pass Through</v>
          </cell>
          <cell r="K268">
            <v>0</v>
          </cell>
          <cell r="L268" t="str">
            <v>Old</v>
          </cell>
          <cell r="M268">
            <v>45404</v>
          </cell>
          <cell r="N268">
            <v>2</v>
          </cell>
          <cell r="O268">
            <v>642</v>
          </cell>
          <cell r="P268" t="str">
            <v>-</v>
          </cell>
          <cell r="Q268">
            <v>45769</v>
          </cell>
          <cell r="R268" t="str">
            <v>PLC-3745</v>
          </cell>
          <cell r="S268" t="str">
            <v>Kalyan Kumar Reddy Palle</v>
          </cell>
          <cell r="T268" t="str">
            <v>Individual</v>
          </cell>
          <cell r="U268" t="str">
            <v>C2C</v>
          </cell>
          <cell r="V268" t="str">
            <v>Citius Tech</v>
          </cell>
          <cell r="W268">
            <v>81</v>
          </cell>
          <cell r="X268">
            <v>0</v>
          </cell>
          <cell r="Y268" t="str">
            <v>USD</v>
          </cell>
          <cell r="Z268">
            <v>83</v>
          </cell>
          <cell r="AA268">
            <v>0</v>
          </cell>
          <cell r="AB268">
            <v>0</v>
          </cell>
          <cell r="AC268">
            <v>0</v>
          </cell>
          <cell r="AD268">
            <v>45731</v>
          </cell>
          <cell r="AE268">
            <v>21</v>
          </cell>
          <cell r="AF268">
            <v>46022</v>
          </cell>
          <cell r="AG268">
            <v>81</v>
          </cell>
          <cell r="AH268">
            <v>0</v>
          </cell>
          <cell r="AI268">
            <v>81</v>
          </cell>
          <cell r="AJ268">
            <v>83</v>
          </cell>
          <cell r="AK268">
            <v>0</v>
          </cell>
          <cell r="AL268">
            <v>0</v>
          </cell>
          <cell r="AM268">
            <v>2</v>
          </cell>
          <cell r="AN268">
            <v>0</v>
          </cell>
          <cell r="AO268">
            <v>2</v>
          </cell>
          <cell r="AP268">
            <v>0</v>
          </cell>
          <cell r="AQ268">
            <v>2</v>
          </cell>
          <cell r="AR268" t="str">
            <v>US_24564</v>
          </cell>
          <cell r="AS268">
            <v>0</v>
          </cell>
          <cell r="AT268">
            <v>168</v>
          </cell>
          <cell r="AU268">
            <v>168</v>
          </cell>
          <cell r="AV268">
            <v>0</v>
          </cell>
          <cell r="AW268">
            <v>336</v>
          </cell>
          <cell r="AX268">
            <v>336</v>
          </cell>
          <cell r="AY268">
            <v>336</v>
          </cell>
          <cell r="AZ268">
            <v>0</v>
          </cell>
          <cell r="BA268">
            <v>0</v>
          </cell>
          <cell r="BB268">
            <v>0</v>
          </cell>
          <cell r="BC268">
            <v>53.225806451612897</v>
          </cell>
          <cell r="BD268">
            <v>336</v>
          </cell>
          <cell r="BE268">
            <v>268.8</v>
          </cell>
          <cell r="BF268">
            <v>336</v>
          </cell>
          <cell r="BG268">
            <v>13944</v>
          </cell>
          <cell r="BH268">
            <v>13944</v>
          </cell>
          <cell r="BI268">
            <v>13608</v>
          </cell>
          <cell r="BJ268">
            <v>0</v>
          </cell>
          <cell r="BK268">
            <v>0</v>
          </cell>
          <cell r="BL268">
            <v>0</v>
          </cell>
          <cell r="BM268">
            <v>13608</v>
          </cell>
          <cell r="BN268">
            <v>0</v>
          </cell>
          <cell r="BO268">
            <v>336</v>
          </cell>
          <cell r="BP268" t="str">
            <v>Y</v>
          </cell>
          <cell r="BQ268">
            <v>1</v>
          </cell>
          <cell r="BR268" t="str">
            <v>Y</v>
          </cell>
          <cell r="BS268">
            <v>0</v>
          </cell>
          <cell r="BT268" t="str">
            <v>Done</v>
          </cell>
          <cell r="BU268">
            <v>168</v>
          </cell>
          <cell r="BV268">
            <v>2024</v>
          </cell>
        </row>
        <row r="269">
          <cell r="A269" t="str">
            <v>Chennai</v>
          </cell>
          <cell r="B269" t="str">
            <v>Chennai</v>
          </cell>
          <cell r="C269" t="str">
            <v>Mid Level</v>
          </cell>
          <cell r="D269" t="str">
            <v>Vinoth L</v>
          </cell>
          <cell r="E269" t="str">
            <v>-</v>
          </cell>
          <cell r="H269" t="str">
            <v>Pass Through</v>
          </cell>
          <cell r="K269">
            <v>0</v>
          </cell>
          <cell r="L269" t="str">
            <v>Old</v>
          </cell>
          <cell r="M269">
            <v>45404</v>
          </cell>
          <cell r="N269">
            <v>2</v>
          </cell>
          <cell r="O269">
            <v>642</v>
          </cell>
          <cell r="P269" t="str">
            <v>-</v>
          </cell>
          <cell r="Q269">
            <v>45769</v>
          </cell>
          <cell r="R269" t="str">
            <v>PLC-3745</v>
          </cell>
          <cell r="S269" t="str">
            <v>Kalyan Kumar Reddy Palle</v>
          </cell>
          <cell r="T269" t="str">
            <v>Individual</v>
          </cell>
          <cell r="U269" t="str">
            <v>C2C</v>
          </cell>
          <cell r="V269" t="str">
            <v>Citius Tech</v>
          </cell>
          <cell r="W269">
            <v>81</v>
          </cell>
          <cell r="X269">
            <v>0</v>
          </cell>
          <cell r="Y269" t="str">
            <v>USD</v>
          </cell>
          <cell r="Z269">
            <v>83</v>
          </cell>
          <cell r="AA269">
            <v>0</v>
          </cell>
          <cell r="AB269">
            <v>0</v>
          </cell>
          <cell r="AC269">
            <v>0</v>
          </cell>
          <cell r="AD269">
            <v>45762</v>
          </cell>
          <cell r="AE269">
            <v>22</v>
          </cell>
          <cell r="AF269">
            <v>46022</v>
          </cell>
          <cell r="AG269">
            <v>81</v>
          </cell>
          <cell r="AH269">
            <v>0</v>
          </cell>
          <cell r="AI269">
            <v>81</v>
          </cell>
          <cell r="AJ269">
            <v>83</v>
          </cell>
          <cell r="AK269">
            <v>0</v>
          </cell>
          <cell r="AL269">
            <v>0</v>
          </cell>
          <cell r="AM269">
            <v>2</v>
          </cell>
          <cell r="AN269">
            <v>0</v>
          </cell>
          <cell r="AO269">
            <v>2</v>
          </cell>
          <cell r="AP269">
            <v>0</v>
          </cell>
          <cell r="AQ269">
            <v>2</v>
          </cell>
          <cell r="AR269" t="str">
            <v>US_24780</v>
          </cell>
          <cell r="AS269">
            <v>0</v>
          </cell>
          <cell r="AT269">
            <v>176</v>
          </cell>
          <cell r="AU269">
            <v>176</v>
          </cell>
          <cell r="AV269">
            <v>0</v>
          </cell>
          <cell r="AW269">
            <v>352</v>
          </cell>
          <cell r="AX269">
            <v>352</v>
          </cell>
          <cell r="AY269">
            <v>352</v>
          </cell>
          <cell r="AZ269">
            <v>0</v>
          </cell>
          <cell r="BA269">
            <v>0</v>
          </cell>
          <cell r="BB269">
            <v>0</v>
          </cell>
          <cell r="BC269">
            <v>53.225806451612897</v>
          </cell>
          <cell r="BD269">
            <v>352</v>
          </cell>
          <cell r="BE269">
            <v>281.60000000000002</v>
          </cell>
          <cell r="BF269">
            <v>352</v>
          </cell>
          <cell r="BG269">
            <v>14608</v>
          </cell>
          <cell r="BH269">
            <v>14608</v>
          </cell>
          <cell r="BI269">
            <v>14256</v>
          </cell>
          <cell r="BJ269">
            <v>0</v>
          </cell>
          <cell r="BK269">
            <v>0</v>
          </cell>
          <cell r="BL269">
            <v>0</v>
          </cell>
          <cell r="BM269">
            <v>14256</v>
          </cell>
          <cell r="BN269">
            <v>0</v>
          </cell>
          <cell r="BO269">
            <v>352</v>
          </cell>
          <cell r="BP269" t="str">
            <v>Y</v>
          </cell>
          <cell r="BQ269">
            <v>2</v>
          </cell>
          <cell r="BR269" t="str">
            <v>Y</v>
          </cell>
          <cell r="BS269">
            <v>0</v>
          </cell>
          <cell r="BT269" t="str">
            <v>Done</v>
          </cell>
          <cell r="BU269">
            <v>176</v>
          </cell>
          <cell r="BV269">
            <v>2024</v>
          </cell>
        </row>
        <row r="270">
          <cell r="A270" t="str">
            <v>Lucknow</v>
          </cell>
          <cell r="B270" t="str">
            <v>Mavericks</v>
          </cell>
          <cell r="C270" t="str">
            <v>Mid Level</v>
          </cell>
          <cell r="D270" t="str">
            <v>Rohit Gupta</v>
          </cell>
          <cell r="E270" t="str">
            <v>Vivek Yadav</v>
          </cell>
          <cell r="H270" t="str">
            <v>Abhishek Mishra_M</v>
          </cell>
          <cell r="K270">
            <v>0</v>
          </cell>
          <cell r="L270" t="str">
            <v>Old</v>
          </cell>
          <cell r="M270">
            <v>45509</v>
          </cell>
          <cell r="N270">
            <v>3</v>
          </cell>
          <cell r="O270">
            <v>537</v>
          </cell>
          <cell r="P270">
            <v>45954</v>
          </cell>
          <cell r="Q270">
            <v>45874</v>
          </cell>
          <cell r="R270" t="str">
            <v>PLC-3906</v>
          </cell>
          <cell r="S270" t="str">
            <v>Kalyana Srinivasa Rao Palli</v>
          </cell>
          <cell r="T270" t="str">
            <v>Individual</v>
          </cell>
          <cell r="U270" t="str">
            <v>C2C</v>
          </cell>
          <cell r="V270" t="str">
            <v>Coforge</v>
          </cell>
          <cell r="W270">
            <v>65</v>
          </cell>
          <cell r="X270">
            <v>0</v>
          </cell>
          <cell r="Y270" t="str">
            <v>USD</v>
          </cell>
          <cell r="Z270">
            <v>75</v>
          </cell>
          <cell r="AA270">
            <v>0</v>
          </cell>
          <cell r="AB270">
            <v>0</v>
          </cell>
          <cell r="AC270">
            <v>0</v>
          </cell>
          <cell r="AD270">
            <v>45672</v>
          </cell>
          <cell r="AE270">
            <v>23</v>
          </cell>
          <cell r="AF270">
            <v>46022</v>
          </cell>
          <cell r="AG270">
            <v>65</v>
          </cell>
          <cell r="AH270">
            <v>0</v>
          </cell>
          <cell r="AI270">
            <v>65</v>
          </cell>
          <cell r="AJ270">
            <v>75</v>
          </cell>
          <cell r="AK270">
            <v>0</v>
          </cell>
          <cell r="AL270">
            <v>0</v>
          </cell>
          <cell r="AM270">
            <v>10</v>
          </cell>
          <cell r="AN270">
            <v>0</v>
          </cell>
          <cell r="AO270">
            <v>10</v>
          </cell>
          <cell r="AP270">
            <v>0</v>
          </cell>
          <cell r="AQ270">
            <v>10</v>
          </cell>
          <cell r="AR270" t="str">
            <v>US_24259</v>
          </cell>
          <cell r="AS270">
            <v>0</v>
          </cell>
          <cell r="AT270">
            <v>163</v>
          </cell>
          <cell r="AU270">
            <v>163</v>
          </cell>
          <cell r="AV270">
            <v>0</v>
          </cell>
          <cell r="AW270">
            <v>1630</v>
          </cell>
          <cell r="AX270">
            <v>1630</v>
          </cell>
          <cell r="AY270">
            <v>1630</v>
          </cell>
          <cell r="AZ270">
            <v>28.571428571428569</v>
          </cell>
          <cell r="BA270">
            <v>16</v>
          </cell>
          <cell r="BB270">
            <v>2608</v>
          </cell>
          <cell r="BC270">
            <v>38.28125</v>
          </cell>
          <cell r="BD270">
            <v>1630</v>
          </cell>
          <cell r="BE270">
            <v>1304</v>
          </cell>
          <cell r="BF270">
            <v>1630</v>
          </cell>
          <cell r="BG270">
            <v>12225</v>
          </cell>
          <cell r="BH270">
            <v>12225</v>
          </cell>
          <cell r="BI270">
            <v>10595</v>
          </cell>
          <cell r="BJ270">
            <v>0</v>
          </cell>
          <cell r="BK270">
            <v>0</v>
          </cell>
          <cell r="BL270">
            <v>0</v>
          </cell>
          <cell r="BM270">
            <v>10595</v>
          </cell>
          <cell r="BN270">
            <v>0</v>
          </cell>
          <cell r="BO270">
            <v>1630</v>
          </cell>
          <cell r="BP270" t="str">
            <v>Y</v>
          </cell>
          <cell r="BQ270">
            <v>1</v>
          </cell>
          <cell r="BR270" t="str">
            <v>N</v>
          </cell>
          <cell r="BS270">
            <v>2608</v>
          </cell>
          <cell r="BT270" t="str">
            <v>Done</v>
          </cell>
          <cell r="BU270">
            <v>163</v>
          </cell>
          <cell r="BV270">
            <v>2024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Rohit Gupta</v>
          </cell>
          <cell r="E271" t="str">
            <v>Vivek Yadav</v>
          </cell>
          <cell r="H271" t="str">
            <v>Abhishek Mishra_M</v>
          </cell>
          <cell r="K271">
            <v>0</v>
          </cell>
          <cell r="L271" t="str">
            <v>Old</v>
          </cell>
          <cell r="M271">
            <v>45509</v>
          </cell>
          <cell r="N271">
            <v>3</v>
          </cell>
          <cell r="O271">
            <v>537</v>
          </cell>
          <cell r="P271">
            <v>45954</v>
          </cell>
          <cell r="Q271">
            <v>45874</v>
          </cell>
          <cell r="R271" t="str">
            <v>PLC-3906</v>
          </cell>
          <cell r="S271" t="str">
            <v>Kalyana Srinivasa Rao Palli</v>
          </cell>
          <cell r="T271" t="str">
            <v>Individual</v>
          </cell>
          <cell r="U271" t="str">
            <v>C2C</v>
          </cell>
          <cell r="V271" t="str">
            <v>Coforge</v>
          </cell>
          <cell r="W271">
            <v>65</v>
          </cell>
          <cell r="X271">
            <v>0</v>
          </cell>
          <cell r="Y271" t="str">
            <v>USD</v>
          </cell>
          <cell r="Z271">
            <v>75</v>
          </cell>
          <cell r="AA271">
            <v>0</v>
          </cell>
          <cell r="AB271">
            <v>0</v>
          </cell>
          <cell r="AC271">
            <v>0</v>
          </cell>
          <cell r="AD271">
            <v>45703</v>
          </cell>
          <cell r="AE271">
            <v>20</v>
          </cell>
          <cell r="AF271">
            <v>46022</v>
          </cell>
          <cell r="AG271">
            <v>65</v>
          </cell>
          <cell r="AH271">
            <v>0</v>
          </cell>
          <cell r="AI271">
            <v>65</v>
          </cell>
          <cell r="AJ271">
            <v>75</v>
          </cell>
          <cell r="AK271">
            <v>0</v>
          </cell>
          <cell r="AL271">
            <v>0</v>
          </cell>
          <cell r="AM271">
            <v>10</v>
          </cell>
          <cell r="AN271">
            <v>0</v>
          </cell>
          <cell r="AO271">
            <v>10</v>
          </cell>
          <cell r="AP271">
            <v>0</v>
          </cell>
          <cell r="AQ271">
            <v>10</v>
          </cell>
          <cell r="AR271" t="str">
            <v>US_24461</v>
          </cell>
          <cell r="AS271">
            <v>0</v>
          </cell>
          <cell r="AT271">
            <v>163</v>
          </cell>
          <cell r="AU271">
            <v>163</v>
          </cell>
          <cell r="AV271">
            <v>0</v>
          </cell>
          <cell r="AW271">
            <v>1630</v>
          </cell>
          <cell r="AX271">
            <v>1630</v>
          </cell>
          <cell r="AY271">
            <v>1630</v>
          </cell>
          <cell r="AZ271">
            <v>28.571428571428569</v>
          </cell>
          <cell r="BA271">
            <v>16</v>
          </cell>
          <cell r="BB271">
            <v>2608</v>
          </cell>
          <cell r="BC271">
            <v>38.28125</v>
          </cell>
          <cell r="BD271">
            <v>1630</v>
          </cell>
          <cell r="BE271">
            <v>1304</v>
          </cell>
          <cell r="BF271">
            <v>1630</v>
          </cell>
          <cell r="BG271">
            <v>12225</v>
          </cell>
          <cell r="BH271">
            <v>12225</v>
          </cell>
          <cell r="BI271">
            <v>10595</v>
          </cell>
          <cell r="BJ271">
            <v>0</v>
          </cell>
          <cell r="BK271">
            <v>0</v>
          </cell>
          <cell r="BL271">
            <v>0</v>
          </cell>
          <cell r="BM271">
            <v>10595</v>
          </cell>
          <cell r="BN271">
            <v>0</v>
          </cell>
          <cell r="BO271">
            <v>1630</v>
          </cell>
          <cell r="BP271" t="str">
            <v>Y</v>
          </cell>
          <cell r="BQ271">
            <v>1</v>
          </cell>
          <cell r="BR271" t="str">
            <v>N</v>
          </cell>
          <cell r="BS271">
            <v>2608</v>
          </cell>
          <cell r="BT271" t="str">
            <v>Done</v>
          </cell>
          <cell r="BU271">
            <v>163</v>
          </cell>
          <cell r="BV271">
            <v>2024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Rohit Gupta</v>
          </cell>
          <cell r="E272" t="str">
            <v>Vivek Yadav</v>
          </cell>
          <cell r="H272" t="str">
            <v>Abhishek Mishra_M</v>
          </cell>
          <cell r="K272">
            <v>0</v>
          </cell>
          <cell r="L272" t="str">
            <v>Old</v>
          </cell>
          <cell r="M272">
            <v>45509</v>
          </cell>
          <cell r="N272">
            <v>3</v>
          </cell>
          <cell r="O272">
            <v>537</v>
          </cell>
          <cell r="P272">
            <v>45954</v>
          </cell>
          <cell r="Q272">
            <v>45874</v>
          </cell>
          <cell r="R272" t="str">
            <v>PLC-3906</v>
          </cell>
          <cell r="S272" t="str">
            <v>Kalyana Srinivasa Rao Palli</v>
          </cell>
          <cell r="T272" t="str">
            <v>Individual</v>
          </cell>
          <cell r="U272" t="str">
            <v>C2C</v>
          </cell>
          <cell r="V272" t="str">
            <v>Coforge</v>
          </cell>
          <cell r="W272">
            <v>65</v>
          </cell>
          <cell r="X272">
            <v>0</v>
          </cell>
          <cell r="Y272" t="str">
            <v>USD</v>
          </cell>
          <cell r="Z272">
            <v>75</v>
          </cell>
          <cell r="AA272">
            <v>0</v>
          </cell>
          <cell r="AB272">
            <v>0</v>
          </cell>
          <cell r="AC272">
            <v>0</v>
          </cell>
          <cell r="AD272">
            <v>45731</v>
          </cell>
          <cell r="AE272">
            <v>21</v>
          </cell>
          <cell r="AF272">
            <v>46022</v>
          </cell>
          <cell r="AG272">
            <v>65</v>
          </cell>
          <cell r="AH272">
            <v>0</v>
          </cell>
          <cell r="AI272">
            <v>65</v>
          </cell>
          <cell r="AJ272">
            <v>75</v>
          </cell>
          <cell r="AK272">
            <v>0</v>
          </cell>
          <cell r="AL272">
            <v>0</v>
          </cell>
          <cell r="AM272">
            <v>10</v>
          </cell>
          <cell r="AN272">
            <v>0</v>
          </cell>
          <cell r="AO272">
            <v>10</v>
          </cell>
          <cell r="AP272">
            <v>0</v>
          </cell>
          <cell r="AQ272">
            <v>10</v>
          </cell>
          <cell r="AR272" t="str">
            <v>US_24649</v>
          </cell>
          <cell r="AS272">
            <v>0</v>
          </cell>
          <cell r="AT272">
            <v>163</v>
          </cell>
          <cell r="AU272">
            <v>163</v>
          </cell>
          <cell r="AV272">
            <v>0</v>
          </cell>
          <cell r="AW272">
            <v>1630</v>
          </cell>
          <cell r="AX272">
            <v>1630</v>
          </cell>
          <cell r="AY272">
            <v>1630</v>
          </cell>
          <cell r="AZ272">
            <v>28.571428571428569</v>
          </cell>
          <cell r="BA272">
            <v>16</v>
          </cell>
          <cell r="BB272">
            <v>2608</v>
          </cell>
          <cell r="BC272">
            <v>38.28125</v>
          </cell>
          <cell r="BD272">
            <v>1630</v>
          </cell>
          <cell r="BE272">
            <v>1304</v>
          </cell>
          <cell r="BF272">
            <v>1630</v>
          </cell>
          <cell r="BG272">
            <v>12225</v>
          </cell>
          <cell r="BH272">
            <v>12225</v>
          </cell>
          <cell r="BI272">
            <v>10595</v>
          </cell>
          <cell r="BJ272">
            <v>0</v>
          </cell>
          <cell r="BK272">
            <v>0</v>
          </cell>
          <cell r="BL272">
            <v>0</v>
          </cell>
          <cell r="BM272">
            <v>10595</v>
          </cell>
          <cell r="BN272">
            <v>0</v>
          </cell>
          <cell r="BO272">
            <v>1630</v>
          </cell>
          <cell r="BP272" t="str">
            <v>Y</v>
          </cell>
          <cell r="BQ272">
            <v>1</v>
          </cell>
          <cell r="BR272" t="str">
            <v>N</v>
          </cell>
          <cell r="BS272">
            <v>2608</v>
          </cell>
          <cell r="BT272" t="str">
            <v>Done</v>
          </cell>
          <cell r="BU272">
            <v>163</v>
          </cell>
          <cell r="BV272">
            <v>2024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Rohit Gupta</v>
          </cell>
          <cell r="E273" t="str">
            <v>Vivek Yadav</v>
          </cell>
          <cell r="H273" t="str">
            <v>Abhishek Mishra_M</v>
          </cell>
          <cell r="K273">
            <v>0</v>
          </cell>
          <cell r="L273" t="str">
            <v>Old</v>
          </cell>
          <cell r="M273">
            <v>45509</v>
          </cell>
          <cell r="N273">
            <v>3</v>
          </cell>
          <cell r="O273">
            <v>537</v>
          </cell>
          <cell r="P273">
            <v>45954</v>
          </cell>
          <cell r="Q273">
            <v>45874</v>
          </cell>
          <cell r="R273" t="str">
            <v>PLC-3906</v>
          </cell>
          <cell r="S273" t="str">
            <v>Kalyana Srinivasa Rao Palli</v>
          </cell>
          <cell r="T273" t="str">
            <v>Individual</v>
          </cell>
          <cell r="U273" t="str">
            <v>C2C</v>
          </cell>
          <cell r="V273" t="str">
            <v>Coforge</v>
          </cell>
          <cell r="W273">
            <v>65</v>
          </cell>
          <cell r="X273">
            <v>0</v>
          </cell>
          <cell r="Y273" t="str">
            <v>USD</v>
          </cell>
          <cell r="Z273">
            <v>75</v>
          </cell>
          <cell r="AA273">
            <v>0</v>
          </cell>
          <cell r="AB273">
            <v>0</v>
          </cell>
          <cell r="AC273">
            <v>0</v>
          </cell>
          <cell r="AD273">
            <v>45762</v>
          </cell>
          <cell r="AE273">
            <v>22</v>
          </cell>
          <cell r="AF273">
            <v>46022</v>
          </cell>
          <cell r="AG273">
            <v>65</v>
          </cell>
          <cell r="AH273">
            <v>0</v>
          </cell>
          <cell r="AI273">
            <v>65</v>
          </cell>
          <cell r="AJ273">
            <v>75</v>
          </cell>
          <cell r="AK273">
            <v>0</v>
          </cell>
          <cell r="AL273">
            <v>0</v>
          </cell>
          <cell r="AM273">
            <v>10</v>
          </cell>
          <cell r="AN273">
            <v>0</v>
          </cell>
          <cell r="AO273">
            <v>10</v>
          </cell>
          <cell r="AP273">
            <v>0</v>
          </cell>
          <cell r="AQ273">
            <v>10</v>
          </cell>
          <cell r="AR273" t="str">
            <v>US_24856</v>
          </cell>
          <cell r="AS273">
            <v>0</v>
          </cell>
          <cell r="AT273">
            <v>163</v>
          </cell>
          <cell r="AU273">
            <v>163</v>
          </cell>
          <cell r="AV273">
            <v>0</v>
          </cell>
          <cell r="AW273">
            <v>1630</v>
          </cell>
          <cell r="AX273">
            <v>1630</v>
          </cell>
          <cell r="AY273">
            <v>1630</v>
          </cell>
          <cell r="AZ273">
            <v>28.571428571428569</v>
          </cell>
          <cell r="BA273">
            <v>16</v>
          </cell>
          <cell r="BB273">
            <v>2608</v>
          </cell>
          <cell r="BC273">
            <v>38.28125</v>
          </cell>
          <cell r="BD273">
            <v>1630</v>
          </cell>
          <cell r="BE273">
            <v>1304</v>
          </cell>
          <cell r="BF273">
            <v>1630</v>
          </cell>
          <cell r="BG273">
            <v>12225</v>
          </cell>
          <cell r="BH273">
            <v>12225</v>
          </cell>
          <cell r="BI273">
            <v>10595</v>
          </cell>
          <cell r="BJ273">
            <v>0</v>
          </cell>
          <cell r="BK273">
            <v>0</v>
          </cell>
          <cell r="BL273">
            <v>0</v>
          </cell>
          <cell r="BM273">
            <v>10595</v>
          </cell>
          <cell r="BN273">
            <v>0</v>
          </cell>
          <cell r="BO273">
            <v>1630</v>
          </cell>
          <cell r="BP273" t="str">
            <v>Y</v>
          </cell>
          <cell r="BQ273">
            <v>2</v>
          </cell>
          <cell r="BR273" t="str">
            <v>N</v>
          </cell>
          <cell r="BS273">
            <v>2608</v>
          </cell>
          <cell r="BT273" t="str">
            <v>Done</v>
          </cell>
          <cell r="BU273">
            <v>163</v>
          </cell>
          <cell r="BV273">
            <v>2024</v>
          </cell>
        </row>
        <row r="274">
          <cell r="A274" t="str">
            <v>Noida</v>
          </cell>
          <cell r="B274" t="str">
            <v>Noida IT</v>
          </cell>
          <cell r="C274" t="str">
            <v>Mid Level</v>
          </cell>
          <cell r="D274" t="str">
            <v>Akash Saxena</v>
          </cell>
          <cell r="E274" t="str">
            <v>-</v>
          </cell>
          <cell r="H274" t="str">
            <v>Pass Through</v>
          </cell>
          <cell r="K274">
            <v>0</v>
          </cell>
          <cell r="L274" t="str">
            <v>Old</v>
          </cell>
          <cell r="M274">
            <v>45607</v>
          </cell>
          <cell r="N274">
            <v>4</v>
          </cell>
          <cell r="O274">
            <v>439</v>
          </cell>
          <cell r="P274">
            <v>45688</v>
          </cell>
          <cell r="Q274">
            <v>45972</v>
          </cell>
          <cell r="R274" t="str">
            <v>PLC-Passthrough</v>
          </cell>
          <cell r="S274" t="str">
            <v>Kapil Taneja</v>
          </cell>
          <cell r="T274" t="str">
            <v>Individual</v>
          </cell>
          <cell r="U274" t="str">
            <v>C2C</v>
          </cell>
          <cell r="V274" t="str">
            <v>Citius Tech</v>
          </cell>
          <cell r="W274">
            <v>105</v>
          </cell>
          <cell r="X274">
            <v>0</v>
          </cell>
          <cell r="Y274" t="str">
            <v>USD</v>
          </cell>
          <cell r="Z274">
            <v>107</v>
          </cell>
          <cell r="AA274">
            <v>0</v>
          </cell>
          <cell r="AB274">
            <v>0</v>
          </cell>
          <cell r="AC274">
            <v>0</v>
          </cell>
          <cell r="AD274">
            <v>45672</v>
          </cell>
          <cell r="AE274">
            <v>22</v>
          </cell>
          <cell r="AF274">
            <v>46022</v>
          </cell>
          <cell r="AG274">
            <v>105</v>
          </cell>
          <cell r="AH274">
            <v>0</v>
          </cell>
          <cell r="AI274">
            <v>105</v>
          </cell>
          <cell r="AJ274">
            <v>107</v>
          </cell>
          <cell r="AK274">
            <v>0</v>
          </cell>
          <cell r="AL274">
            <v>0</v>
          </cell>
          <cell r="AM274">
            <v>2</v>
          </cell>
          <cell r="AN274">
            <v>0</v>
          </cell>
          <cell r="AO274">
            <v>2</v>
          </cell>
          <cell r="AP274">
            <v>0</v>
          </cell>
          <cell r="AQ274">
            <v>2</v>
          </cell>
          <cell r="AR274" t="str">
            <v>US_24302</v>
          </cell>
          <cell r="AS274">
            <v>0</v>
          </cell>
          <cell r="AT274">
            <v>168</v>
          </cell>
          <cell r="AU274">
            <v>168</v>
          </cell>
          <cell r="AV274">
            <v>0</v>
          </cell>
          <cell r="AW274">
            <v>336</v>
          </cell>
          <cell r="AX274">
            <v>336</v>
          </cell>
          <cell r="AY274">
            <v>336</v>
          </cell>
          <cell r="AZ274">
            <v>0</v>
          </cell>
          <cell r="BA274">
            <v>0</v>
          </cell>
          <cell r="BB274">
            <v>0</v>
          </cell>
          <cell r="BD274">
            <v>336</v>
          </cell>
          <cell r="BF274">
            <v>336</v>
          </cell>
          <cell r="BG274">
            <v>17976</v>
          </cell>
          <cell r="BH274">
            <v>17976</v>
          </cell>
          <cell r="BI274">
            <v>17640</v>
          </cell>
          <cell r="BJ274">
            <v>0</v>
          </cell>
          <cell r="BK274">
            <v>0</v>
          </cell>
          <cell r="BL274">
            <v>0</v>
          </cell>
          <cell r="BM274">
            <v>17640</v>
          </cell>
          <cell r="BN274">
            <v>0</v>
          </cell>
          <cell r="BO274">
            <v>336</v>
          </cell>
          <cell r="BP274" t="str">
            <v>Y</v>
          </cell>
          <cell r="BQ274">
            <v>1</v>
          </cell>
          <cell r="BR274" t="str">
            <v>Y</v>
          </cell>
          <cell r="BS274">
            <v>0</v>
          </cell>
          <cell r="BT274" t="str">
            <v>Done</v>
          </cell>
          <cell r="BU274">
            <v>168</v>
          </cell>
          <cell r="BV274">
            <v>2024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Nitin Saxena</v>
          </cell>
          <cell r="E275" t="str">
            <v>Nitin Saxena</v>
          </cell>
          <cell r="H275" t="str">
            <v>Hamza Ali</v>
          </cell>
          <cell r="J275" t="str">
            <v>ACH</v>
          </cell>
          <cell r="K275">
            <v>0</v>
          </cell>
          <cell r="L275" t="str">
            <v>Old</v>
          </cell>
          <cell r="M275">
            <v>45481</v>
          </cell>
          <cell r="N275">
            <v>3</v>
          </cell>
          <cell r="O275">
            <v>565</v>
          </cell>
          <cell r="P275" t="str">
            <v>-</v>
          </cell>
          <cell r="Q275">
            <v>45846</v>
          </cell>
          <cell r="R275" t="str">
            <v>PLC-3852</v>
          </cell>
          <cell r="S275" t="str">
            <v>Karthik Kurra</v>
          </cell>
          <cell r="T275" t="str">
            <v>Individual</v>
          </cell>
          <cell r="U275">
            <v>1099</v>
          </cell>
          <cell r="V275" t="str">
            <v>Genpact</v>
          </cell>
          <cell r="W275">
            <v>20</v>
          </cell>
          <cell r="X275">
            <v>30</v>
          </cell>
          <cell r="Y275" t="str">
            <v>USD</v>
          </cell>
          <cell r="Z275">
            <v>28</v>
          </cell>
          <cell r="AA275">
            <v>42</v>
          </cell>
          <cell r="AB275">
            <v>0</v>
          </cell>
          <cell r="AC275">
            <v>0</v>
          </cell>
          <cell r="AD275">
            <v>45672</v>
          </cell>
          <cell r="AE275">
            <v>23</v>
          </cell>
          <cell r="AF275">
            <v>46022</v>
          </cell>
          <cell r="AG275">
            <v>21.400000000000002</v>
          </cell>
          <cell r="AH275">
            <v>32.1</v>
          </cell>
          <cell r="AI275">
            <v>21.400000000000002</v>
          </cell>
          <cell r="AJ275">
            <v>28</v>
          </cell>
          <cell r="AK275">
            <v>42</v>
          </cell>
          <cell r="AL275">
            <v>9.8999999999999986</v>
          </cell>
          <cell r="AM275">
            <v>6.5999999999999979</v>
          </cell>
          <cell r="AN275">
            <v>9.8999999999999986</v>
          </cell>
          <cell r="AO275">
            <v>6.5999999999999979</v>
          </cell>
          <cell r="AP275">
            <v>9.8999999999999986</v>
          </cell>
          <cell r="AQ275">
            <v>6.5999999999999979</v>
          </cell>
          <cell r="AR275" t="str">
            <v>US_24246</v>
          </cell>
          <cell r="AS275">
            <v>30</v>
          </cell>
          <cell r="AT275">
            <v>190</v>
          </cell>
          <cell r="AU275">
            <v>190</v>
          </cell>
          <cell r="AV275">
            <v>296.99999999999994</v>
          </cell>
          <cell r="AW275">
            <v>1253.9999999999995</v>
          </cell>
          <cell r="AX275">
            <v>1535.4899999999996</v>
          </cell>
          <cell r="AY275">
            <v>1253.9999999999995</v>
          </cell>
          <cell r="AZ275">
            <v>106.25</v>
          </cell>
          <cell r="BA275">
            <v>22.439999999999991</v>
          </cell>
          <cell r="BB275">
            <v>4263.5999999999985</v>
          </cell>
          <cell r="BC275">
            <v>63</v>
          </cell>
          <cell r="BD275">
            <v>1253.9999999999995</v>
          </cell>
          <cell r="BE275">
            <v>1504.7999999999995</v>
          </cell>
          <cell r="BF275">
            <v>1535.4899999999996</v>
          </cell>
          <cell r="BG275">
            <v>5320</v>
          </cell>
          <cell r="BH275">
            <v>5320</v>
          </cell>
          <cell r="BI275">
            <v>3800</v>
          </cell>
          <cell r="BJ275">
            <v>1.4000000000000001</v>
          </cell>
          <cell r="BK275">
            <v>0</v>
          </cell>
          <cell r="BL275">
            <v>266</v>
          </cell>
          <cell r="BM275">
            <v>4066</v>
          </cell>
          <cell r="BN275">
            <v>1.4000000000000001</v>
          </cell>
          <cell r="BO275">
            <v>1254</v>
          </cell>
          <cell r="BP275" t="str">
            <v>Y</v>
          </cell>
          <cell r="BQ275">
            <v>1</v>
          </cell>
          <cell r="BR275" t="str">
            <v>Y</v>
          </cell>
          <cell r="BS275">
            <v>4263.5999999999985</v>
          </cell>
          <cell r="BT275" t="str">
            <v>Done</v>
          </cell>
          <cell r="BU275">
            <v>190</v>
          </cell>
          <cell r="BV275">
            <v>2024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Nitin Saxena</v>
          </cell>
          <cell r="E276" t="str">
            <v>Nitin Saxena</v>
          </cell>
          <cell r="H276" t="str">
            <v>Hamza Ali</v>
          </cell>
          <cell r="J276" t="str">
            <v>ACH</v>
          </cell>
          <cell r="K276">
            <v>0</v>
          </cell>
          <cell r="L276" t="str">
            <v>Old</v>
          </cell>
          <cell r="M276">
            <v>45481</v>
          </cell>
          <cell r="N276">
            <v>3</v>
          </cell>
          <cell r="O276">
            <v>565</v>
          </cell>
          <cell r="P276" t="str">
            <v>-</v>
          </cell>
          <cell r="Q276">
            <v>45846</v>
          </cell>
          <cell r="R276" t="str">
            <v>PLC-3852</v>
          </cell>
          <cell r="S276" t="str">
            <v>Karthik Kurra</v>
          </cell>
          <cell r="T276" t="str">
            <v>Individual</v>
          </cell>
          <cell r="U276">
            <v>1099</v>
          </cell>
          <cell r="V276" t="str">
            <v>Genpact</v>
          </cell>
          <cell r="W276">
            <v>20</v>
          </cell>
          <cell r="X276">
            <v>30</v>
          </cell>
          <cell r="Y276" t="str">
            <v>USD</v>
          </cell>
          <cell r="Z276">
            <v>28</v>
          </cell>
          <cell r="AA276">
            <v>42</v>
          </cell>
          <cell r="AB276">
            <v>0</v>
          </cell>
          <cell r="AC276">
            <v>0</v>
          </cell>
          <cell r="AD276">
            <v>45703</v>
          </cell>
          <cell r="AE276">
            <v>20</v>
          </cell>
          <cell r="AF276">
            <v>46022</v>
          </cell>
          <cell r="AG276">
            <v>21.400000000000002</v>
          </cell>
          <cell r="AH276">
            <v>32.1</v>
          </cell>
          <cell r="AI276">
            <v>21.400000000000002</v>
          </cell>
          <cell r="AJ276">
            <v>28</v>
          </cell>
          <cell r="AK276">
            <v>42</v>
          </cell>
          <cell r="AL276">
            <v>9.8999999999999986</v>
          </cell>
          <cell r="AM276">
            <v>6.5999999999999979</v>
          </cell>
          <cell r="AN276">
            <v>9.8999999999999986</v>
          </cell>
          <cell r="AO276">
            <v>6.5999999999999979</v>
          </cell>
          <cell r="AP276">
            <v>9.8999999999999986</v>
          </cell>
          <cell r="AQ276">
            <v>6.5999999999999979</v>
          </cell>
          <cell r="AR276" t="str">
            <v>US_24452</v>
          </cell>
          <cell r="AS276">
            <v>0</v>
          </cell>
          <cell r="AT276">
            <v>160</v>
          </cell>
          <cell r="AU276">
            <v>160</v>
          </cell>
          <cell r="AV276">
            <v>0</v>
          </cell>
          <cell r="AW276">
            <v>1055.9999999999995</v>
          </cell>
          <cell r="AX276">
            <v>1045.4399999999996</v>
          </cell>
          <cell r="AY276">
            <v>1055.9999999999995</v>
          </cell>
          <cell r="AZ276">
            <v>106.25</v>
          </cell>
          <cell r="BA276">
            <v>22.439999999999991</v>
          </cell>
          <cell r="BB276">
            <v>3590.3999999999987</v>
          </cell>
          <cell r="BC276">
            <v>63</v>
          </cell>
          <cell r="BD276">
            <v>1055.9999999999995</v>
          </cell>
          <cell r="BE276">
            <v>1267.1999999999994</v>
          </cell>
          <cell r="BF276">
            <v>1045.4399999999996</v>
          </cell>
          <cell r="BG276">
            <v>4480</v>
          </cell>
          <cell r="BH276">
            <v>4480</v>
          </cell>
          <cell r="BI276">
            <v>3200</v>
          </cell>
          <cell r="BJ276">
            <v>1.4000000000000001</v>
          </cell>
          <cell r="BK276">
            <v>0</v>
          </cell>
          <cell r="BL276">
            <v>224.00000000000003</v>
          </cell>
          <cell r="BM276">
            <v>3424</v>
          </cell>
          <cell r="BN276">
            <v>1.4000000000000001</v>
          </cell>
          <cell r="BO276">
            <v>1056</v>
          </cell>
          <cell r="BP276" t="str">
            <v>Y</v>
          </cell>
          <cell r="BQ276">
            <v>1</v>
          </cell>
          <cell r="BR276" t="str">
            <v>Y</v>
          </cell>
          <cell r="BS276">
            <v>3590.3999999999987</v>
          </cell>
          <cell r="BT276" t="str">
            <v>Done</v>
          </cell>
          <cell r="BU276">
            <v>160</v>
          </cell>
          <cell r="BV276">
            <v>2024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Nitin Saxena</v>
          </cell>
          <cell r="E277" t="str">
            <v>Nitin Saxena</v>
          </cell>
          <cell r="H277" t="str">
            <v>Hamza Ali</v>
          </cell>
          <cell r="J277" t="str">
            <v>ACH</v>
          </cell>
          <cell r="K277">
            <v>0</v>
          </cell>
          <cell r="L277" t="str">
            <v>Old</v>
          </cell>
          <cell r="M277">
            <v>45481</v>
          </cell>
          <cell r="N277">
            <v>3</v>
          </cell>
          <cell r="O277">
            <v>565</v>
          </cell>
          <cell r="P277" t="str">
            <v>-</v>
          </cell>
          <cell r="Q277">
            <v>45846</v>
          </cell>
          <cell r="R277" t="str">
            <v>PLC-3852</v>
          </cell>
          <cell r="S277" t="str">
            <v>Karthik Kurra</v>
          </cell>
          <cell r="T277" t="str">
            <v>Individual</v>
          </cell>
          <cell r="U277">
            <v>1099</v>
          </cell>
          <cell r="V277" t="str">
            <v>Genpact</v>
          </cell>
          <cell r="W277">
            <v>20</v>
          </cell>
          <cell r="X277">
            <v>30</v>
          </cell>
          <cell r="Y277" t="str">
            <v>USD</v>
          </cell>
          <cell r="Z277">
            <v>28</v>
          </cell>
          <cell r="AA277">
            <v>42</v>
          </cell>
          <cell r="AB277">
            <v>0</v>
          </cell>
          <cell r="AC277">
            <v>0</v>
          </cell>
          <cell r="AD277">
            <v>45731</v>
          </cell>
          <cell r="AE277">
            <v>21</v>
          </cell>
          <cell r="AF277">
            <v>46022</v>
          </cell>
          <cell r="AG277">
            <v>21.400000000000002</v>
          </cell>
          <cell r="AH277">
            <v>32.1</v>
          </cell>
          <cell r="AI277">
            <v>21.400000000000002</v>
          </cell>
          <cell r="AJ277">
            <v>28</v>
          </cell>
          <cell r="AK277">
            <v>42</v>
          </cell>
          <cell r="AL277">
            <v>9.8999999999999986</v>
          </cell>
          <cell r="AM277">
            <v>6.5999999999999979</v>
          </cell>
          <cell r="AN277">
            <v>9.8999999999999986</v>
          </cell>
          <cell r="AO277">
            <v>6.5999999999999979</v>
          </cell>
          <cell r="AP277">
            <v>9.8999999999999986</v>
          </cell>
          <cell r="AQ277">
            <v>6.5999999999999979</v>
          </cell>
          <cell r="AR277" t="str">
            <v>US_24640</v>
          </cell>
          <cell r="AS277">
            <v>5</v>
          </cell>
          <cell r="AT277">
            <v>170</v>
          </cell>
          <cell r="AU277">
            <v>170</v>
          </cell>
          <cell r="AV277">
            <v>49.499999999999993</v>
          </cell>
          <cell r="AW277">
            <v>1121.9999999999995</v>
          </cell>
          <cell r="AX277">
            <v>1159.7849999999996</v>
          </cell>
          <cell r="AY277">
            <v>1121.9999999999995</v>
          </cell>
          <cell r="AZ277">
            <v>106.25</v>
          </cell>
          <cell r="BA277">
            <v>22.439999999999991</v>
          </cell>
          <cell r="BB277">
            <v>3814.7999999999984</v>
          </cell>
          <cell r="BC277">
            <v>63</v>
          </cell>
          <cell r="BD277">
            <v>1121.9999999999995</v>
          </cell>
          <cell r="BE277">
            <v>1346.3999999999994</v>
          </cell>
          <cell r="BF277">
            <v>1159.7849999999996</v>
          </cell>
          <cell r="BG277">
            <v>4760</v>
          </cell>
          <cell r="BH277">
            <v>4760</v>
          </cell>
          <cell r="BI277">
            <v>3400</v>
          </cell>
          <cell r="BJ277">
            <v>1.4000000000000001</v>
          </cell>
          <cell r="BK277">
            <v>0</v>
          </cell>
          <cell r="BL277">
            <v>238.00000000000003</v>
          </cell>
          <cell r="BM277">
            <v>3638</v>
          </cell>
          <cell r="BN277">
            <v>1.4000000000000001</v>
          </cell>
          <cell r="BO277">
            <v>1122</v>
          </cell>
          <cell r="BP277" t="str">
            <v>Y</v>
          </cell>
          <cell r="BQ277">
            <v>1</v>
          </cell>
          <cell r="BR277" t="str">
            <v>Y</v>
          </cell>
          <cell r="BS277">
            <v>3814.7999999999984</v>
          </cell>
          <cell r="BT277" t="str">
            <v>Done</v>
          </cell>
          <cell r="BU277">
            <v>170</v>
          </cell>
          <cell r="BV277">
            <v>2024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Nitin Saxena</v>
          </cell>
          <cell r="E278" t="str">
            <v>Nitin Saxena</v>
          </cell>
          <cell r="H278" t="str">
            <v>Hamza Ali</v>
          </cell>
          <cell r="J278" t="str">
            <v>ACH</v>
          </cell>
          <cell r="K278">
            <v>0</v>
          </cell>
          <cell r="L278" t="str">
            <v>Old</v>
          </cell>
          <cell r="M278">
            <v>45481</v>
          </cell>
          <cell r="N278">
            <v>3</v>
          </cell>
          <cell r="O278">
            <v>565</v>
          </cell>
          <cell r="P278" t="str">
            <v>-</v>
          </cell>
          <cell r="Q278">
            <v>45846</v>
          </cell>
          <cell r="R278" t="str">
            <v>PLC-3852</v>
          </cell>
          <cell r="S278" t="str">
            <v>Karthik Kurra</v>
          </cell>
          <cell r="T278" t="str">
            <v>Individual</v>
          </cell>
          <cell r="U278">
            <v>1099</v>
          </cell>
          <cell r="V278" t="str">
            <v>Genpact</v>
          </cell>
          <cell r="W278">
            <v>20</v>
          </cell>
          <cell r="X278">
            <v>30</v>
          </cell>
          <cell r="Y278" t="str">
            <v>USD</v>
          </cell>
          <cell r="Z278">
            <v>28</v>
          </cell>
          <cell r="AA278">
            <v>42</v>
          </cell>
          <cell r="AB278">
            <v>0</v>
          </cell>
          <cell r="AC278">
            <v>0</v>
          </cell>
          <cell r="AD278">
            <v>45762</v>
          </cell>
          <cell r="AE278">
            <v>22</v>
          </cell>
          <cell r="AF278">
            <v>46022</v>
          </cell>
          <cell r="AG278">
            <v>21.400000000000002</v>
          </cell>
          <cell r="AH278">
            <v>32.1</v>
          </cell>
          <cell r="AI278">
            <v>21.400000000000002</v>
          </cell>
          <cell r="AJ278">
            <v>28</v>
          </cell>
          <cell r="AK278">
            <v>42</v>
          </cell>
          <cell r="AL278">
            <v>9.8999999999999986</v>
          </cell>
          <cell r="AM278">
            <v>6.5999999999999979</v>
          </cell>
          <cell r="AN278">
            <v>9.8999999999999986</v>
          </cell>
          <cell r="AO278">
            <v>6.5999999999999979</v>
          </cell>
          <cell r="AP278">
            <v>9.8999999999999986</v>
          </cell>
          <cell r="AQ278">
            <v>6.5999999999999979</v>
          </cell>
          <cell r="AR278" t="str">
            <v>US_24847</v>
          </cell>
          <cell r="AS278">
            <v>10</v>
          </cell>
          <cell r="AT278">
            <v>150</v>
          </cell>
          <cell r="AU278">
            <v>150</v>
          </cell>
          <cell r="AV278">
            <v>98.999999999999986</v>
          </cell>
          <cell r="AW278">
            <v>989.99999999999966</v>
          </cell>
          <cell r="AX278">
            <v>1078.1099999999994</v>
          </cell>
          <cell r="AY278">
            <v>989.99999999999966</v>
          </cell>
          <cell r="AZ278">
            <v>106.25</v>
          </cell>
          <cell r="BA278">
            <v>22.439999999999991</v>
          </cell>
          <cell r="BB278">
            <v>3365.9999999999986</v>
          </cell>
          <cell r="BC278">
            <v>63</v>
          </cell>
          <cell r="BD278">
            <v>989.99999999999966</v>
          </cell>
          <cell r="BE278">
            <v>1187.9999999999995</v>
          </cell>
          <cell r="BF278">
            <v>1078.1099999999994</v>
          </cell>
          <cell r="BG278">
            <v>4200</v>
          </cell>
          <cell r="BH278">
            <v>4200</v>
          </cell>
          <cell r="BI278">
            <v>3000</v>
          </cell>
          <cell r="BJ278">
            <v>1.4000000000000001</v>
          </cell>
          <cell r="BK278">
            <v>0</v>
          </cell>
          <cell r="BL278">
            <v>210.00000000000003</v>
          </cell>
          <cell r="BM278">
            <v>3210</v>
          </cell>
          <cell r="BN278">
            <v>1.4000000000000001</v>
          </cell>
          <cell r="BO278">
            <v>990</v>
          </cell>
          <cell r="BP278" t="str">
            <v>Y</v>
          </cell>
          <cell r="BQ278">
            <v>2</v>
          </cell>
          <cell r="BR278" t="str">
            <v>Y</v>
          </cell>
          <cell r="BS278">
            <v>3365.9999999999986</v>
          </cell>
          <cell r="BT278" t="str">
            <v>Done</v>
          </cell>
          <cell r="BU278">
            <v>150</v>
          </cell>
          <cell r="BV278">
            <v>2024</v>
          </cell>
        </row>
        <row r="279">
          <cell r="A279" t="str">
            <v>Lucknow</v>
          </cell>
          <cell r="B279" t="str">
            <v>Titans</v>
          </cell>
          <cell r="C279" t="str">
            <v>Mid Level</v>
          </cell>
          <cell r="D279" t="str">
            <v>Abhishek Yadav</v>
          </cell>
          <cell r="E279" t="str">
            <v>Abhishek Yadav</v>
          </cell>
          <cell r="H279" t="str">
            <v>Shubham Tripathi</v>
          </cell>
          <cell r="L279" t="str">
            <v>New</v>
          </cell>
          <cell r="M279">
            <v>45721</v>
          </cell>
          <cell r="N279">
            <v>1</v>
          </cell>
          <cell r="O279">
            <v>325</v>
          </cell>
          <cell r="P279">
            <v>45930</v>
          </cell>
          <cell r="Q279">
            <v>46086</v>
          </cell>
          <cell r="R279" t="str">
            <v>PLC-4115</v>
          </cell>
          <cell r="S279" t="str">
            <v>Karthik Mashetty</v>
          </cell>
          <cell r="T279" t="str">
            <v>Individual</v>
          </cell>
          <cell r="U279" t="str">
            <v>C2C</v>
          </cell>
          <cell r="V279" t="str">
            <v>Genpact</v>
          </cell>
          <cell r="W279">
            <v>55</v>
          </cell>
          <cell r="X279">
            <v>0</v>
          </cell>
          <cell r="Y279" t="str">
            <v>CAD</v>
          </cell>
          <cell r="Z279">
            <v>72</v>
          </cell>
          <cell r="AA279">
            <v>0</v>
          </cell>
          <cell r="AB279">
            <v>0</v>
          </cell>
          <cell r="AC279">
            <v>0</v>
          </cell>
          <cell r="AD279">
            <v>45731</v>
          </cell>
          <cell r="AE279">
            <v>19</v>
          </cell>
          <cell r="AF279">
            <v>46022</v>
          </cell>
          <cell r="AG279">
            <v>39.049999999999997</v>
          </cell>
          <cell r="AH279">
            <v>0</v>
          </cell>
          <cell r="AI279">
            <v>39.049999999999997</v>
          </cell>
          <cell r="AJ279">
            <v>51.12</v>
          </cell>
          <cell r="AK279">
            <v>0</v>
          </cell>
          <cell r="AL279">
            <v>0</v>
          </cell>
          <cell r="AM279">
            <v>12.07</v>
          </cell>
          <cell r="AN279">
            <v>0</v>
          </cell>
          <cell r="AO279">
            <v>12.07</v>
          </cell>
          <cell r="AP279">
            <v>0</v>
          </cell>
          <cell r="AQ279">
            <v>12.07</v>
          </cell>
          <cell r="AR279" t="str">
            <v>CAD_1474</v>
          </cell>
          <cell r="AS279">
            <v>0</v>
          </cell>
          <cell r="AT279">
            <v>152</v>
          </cell>
          <cell r="AU279">
            <v>152</v>
          </cell>
          <cell r="AV279">
            <v>0</v>
          </cell>
          <cell r="AW279">
            <v>1834.64</v>
          </cell>
          <cell r="AX279">
            <v>1834.64</v>
          </cell>
          <cell r="AY279">
            <v>1834.64</v>
          </cell>
          <cell r="AZ279">
            <v>100</v>
          </cell>
          <cell r="BA279">
            <v>19.312000000000001</v>
          </cell>
          <cell r="BB279">
            <v>2935.424</v>
          </cell>
          <cell r="BC279">
            <v>102</v>
          </cell>
          <cell r="BD279">
            <v>1834.64</v>
          </cell>
          <cell r="BE279">
            <v>2935.4240000000004</v>
          </cell>
          <cell r="BF279">
            <v>1834.64</v>
          </cell>
          <cell r="BG279">
            <v>10944</v>
          </cell>
          <cell r="BH279">
            <v>7770.24</v>
          </cell>
          <cell r="BI279">
            <v>6193.924</v>
          </cell>
          <cell r="BJ279">
            <v>0</v>
          </cell>
          <cell r="BK279">
            <v>0</v>
          </cell>
          <cell r="BL279">
            <v>0</v>
          </cell>
          <cell r="BM279">
            <v>6193.924</v>
          </cell>
          <cell r="BN279">
            <v>0</v>
          </cell>
          <cell r="BO279">
            <v>1576.3159999999998</v>
          </cell>
          <cell r="BP279" t="str">
            <v>Y</v>
          </cell>
          <cell r="BQ279">
            <v>1</v>
          </cell>
          <cell r="BR279" t="str">
            <v>Y</v>
          </cell>
          <cell r="BS279">
            <v>2935.424</v>
          </cell>
          <cell r="BT279" t="str">
            <v>Done</v>
          </cell>
          <cell r="BU279">
            <v>152</v>
          </cell>
          <cell r="BV279">
            <v>2025</v>
          </cell>
        </row>
        <row r="280">
          <cell r="A280" t="str">
            <v>Lucknow</v>
          </cell>
          <cell r="B280" t="str">
            <v>Titans</v>
          </cell>
          <cell r="C280" t="str">
            <v>Mid Level</v>
          </cell>
          <cell r="D280" t="str">
            <v>Abhishek Yadav</v>
          </cell>
          <cell r="E280" t="str">
            <v>Abhishek Yadav</v>
          </cell>
          <cell r="H280" t="str">
            <v>Shubham Tripathi</v>
          </cell>
          <cell r="L280" t="str">
            <v>New</v>
          </cell>
          <cell r="M280">
            <v>45721</v>
          </cell>
          <cell r="N280">
            <v>1</v>
          </cell>
          <cell r="O280">
            <v>325</v>
          </cell>
          <cell r="P280">
            <v>45930</v>
          </cell>
          <cell r="Q280">
            <v>46086</v>
          </cell>
          <cell r="R280" t="str">
            <v>PLC-4115</v>
          </cell>
          <cell r="S280" t="str">
            <v>Karthik Mashetty</v>
          </cell>
          <cell r="T280" t="str">
            <v>Individual</v>
          </cell>
          <cell r="U280" t="str">
            <v>C2C</v>
          </cell>
          <cell r="V280" t="str">
            <v>Genpact</v>
          </cell>
          <cell r="W280">
            <v>55</v>
          </cell>
          <cell r="X280">
            <v>0</v>
          </cell>
          <cell r="Y280" t="str">
            <v>CAD</v>
          </cell>
          <cell r="Z280">
            <v>72</v>
          </cell>
          <cell r="AA280">
            <v>0</v>
          </cell>
          <cell r="AB280">
            <v>0</v>
          </cell>
          <cell r="AC280">
            <v>0</v>
          </cell>
          <cell r="AD280">
            <v>45762</v>
          </cell>
          <cell r="AE280">
            <v>22</v>
          </cell>
          <cell r="AF280">
            <v>46022</v>
          </cell>
          <cell r="AG280">
            <v>39.049999999999997</v>
          </cell>
          <cell r="AH280">
            <v>0</v>
          </cell>
          <cell r="AI280">
            <v>39.049999999999997</v>
          </cell>
          <cell r="AJ280">
            <v>51.12</v>
          </cell>
          <cell r="AK280">
            <v>0</v>
          </cell>
          <cell r="AL280">
            <v>0</v>
          </cell>
          <cell r="AM280">
            <v>12.07</v>
          </cell>
          <cell r="AN280">
            <v>0</v>
          </cell>
          <cell r="AO280">
            <v>12.07</v>
          </cell>
          <cell r="AP280">
            <v>0</v>
          </cell>
          <cell r="AQ280">
            <v>12.07</v>
          </cell>
          <cell r="AR280" t="str">
            <v>CAD_1497</v>
          </cell>
          <cell r="AS280">
            <v>0</v>
          </cell>
          <cell r="AT280">
            <v>168</v>
          </cell>
          <cell r="AU280">
            <v>168</v>
          </cell>
          <cell r="AV280">
            <v>0</v>
          </cell>
          <cell r="AW280">
            <v>2027.76</v>
          </cell>
          <cell r="AX280">
            <v>2027.76</v>
          </cell>
          <cell r="AY280">
            <v>2027.76</v>
          </cell>
          <cell r="AZ280">
            <v>100</v>
          </cell>
          <cell r="BA280">
            <v>19.312000000000001</v>
          </cell>
          <cell r="BB280">
            <v>3244.4160000000002</v>
          </cell>
          <cell r="BC280">
            <v>102</v>
          </cell>
          <cell r="BD280">
            <v>2027.76</v>
          </cell>
          <cell r="BE280">
            <v>3244.4159999999997</v>
          </cell>
          <cell r="BF280">
            <v>2027.76</v>
          </cell>
          <cell r="BG280">
            <v>12096</v>
          </cell>
          <cell r="BH280">
            <v>8588.16</v>
          </cell>
          <cell r="BI280">
            <v>6845.9160000000002</v>
          </cell>
          <cell r="BJ280">
            <v>0</v>
          </cell>
          <cell r="BK280">
            <v>0</v>
          </cell>
          <cell r="BL280">
            <v>0</v>
          </cell>
          <cell r="BM280">
            <v>6845.9160000000002</v>
          </cell>
          <cell r="BN280">
            <v>0</v>
          </cell>
          <cell r="BO280">
            <v>1742.2439999999997</v>
          </cell>
          <cell r="BP280" t="str">
            <v>Y</v>
          </cell>
          <cell r="BQ280">
            <v>2</v>
          </cell>
          <cell r="BR280" t="str">
            <v>N</v>
          </cell>
          <cell r="BS280">
            <v>3244.4160000000002</v>
          </cell>
          <cell r="BT280" t="str">
            <v>Done</v>
          </cell>
          <cell r="BU280">
            <v>168</v>
          </cell>
          <cell r="BV280">
            <v>2025</v>
          </cell>
        </row>
        <row r="281">
          <cell r="A281" t="str">
            <v>Noida</v>
          </cell>
          <cell r="B281" t="str">
            <v>Healthcare</v>
          </cell>
          <cell r="C281" t="str">
            <v>Mid Level</v>
          </cell>
          <cell r="D281" t="str">
            <v>Shailesh Sharma</v>
          </cell>
          <cell r="E281" t="str">
            <v>-</v>
          </cell>
          <cell r="H281" t="str">
            <v>Shivam Chaurasia</v>
          </cell>
          <cell r="J281" t="str">
            <v>ACH</v>
          </cell>
          <cell r="K281">
            <v>0</v>
          </cell>
          <cell r="L281" t="str">
            <v>Old</v>
          </cell>
          <cell r="M281">
            <v>45614</v>
          </cell>
          <cell r="N281">
            <v>4</v>
          </cell>
          <cell r="O281">
            <v>432</v>
          </cell>
          <cell r="P281">
            <v>45703</v>
          </cell>
          <cell r="Q281">
            <v>45979</v>
          </cell>
          <cell r="S281" t="str">
            <v>Kathleen A. Ransom</v>
          </cell>
          <cell r="T281" t="str">
            <v>Individual</v>
          </cell>
          <cell r="U281" t="str">
            <v>W2</v>
          </cell>
          <cell r="V281" t="str">
            <v>CSU</v>
          </cell>
          <cell r="W281">
            <v>23</v>
          </cell>
          <cell r="X281">
            <v>0</v>
          </cell>
          <cell r="Y281" t="str">
            <v>USD</v>
          </cell>
          <cell r="Z281">
            <v>34</v>
          </cell>
          <cell r="AA281">
            <v>0</v>
          </cell>
          <cell r="AB281">
            <v>0</v>
          </cell>
          <cell r="AC281">
            <v>0</v>
          </cell>
          <cell r="AD281">
            <v>45672</v>
          </cell>
          <cell r="AE281">
            <v>22</v>
          </cell>
          <cell r="AF281">
            <v>46022</v>
          </cell>
          <cell r="AG281">
            <v>26.45</v>
          </cell>
          <cell r="AH281">
            <v>0</v>
          </cell>
          <cell r="AI281">
            <v>26.45</v>
          </cell>
          <cell r="AJ281">
            <v>31.959999999999997</v>
          </cell>
          <cell r="AK281">
            <v>0</v>
          </cell>
          <cell r="AL281">
            <v>0</v>
          </cell>
          <cell r="AM281">
            <v>5.509999999999998</v>
          </cell>
          <cell r="AN281">
            <v>0</v>
          </cell>
          <cell r="AO281">
            <v>5.509999999999998</v>
          </cell>
          <cell r="AP281">
            <v>0</v>
          </cell>
          <cell r="AQ281">
            <v>5.509999999999998</v>
          </cell>
          <cell r="AU281">
            <v>176</v>
          </cell>
          <cell r="AY281">
            <v>969.75999999999965</v>
          </cell>
          <cell r="AZ281">
            <v>50</v>
          </cell>
          <cell r="BA281">
            <v>8.8159999999999972</v>
          </cell>
          <cell r="BC281">
            <v>57.142857142857139</v>
          </cell>
          <cell r="BH281">
            <v>5624.9599999999991</v>
          </cell>
          <cell r="BI281">
            <v>4048</v>
          </cell>
          <cell r="BJ281">
            <v>3.4499999999999997</v>
          </cell>
          <cell r="BK281">
            <v>0</v>
          </cell>
          <cell r="BL281">
            <v>607.19999999999993</v>
          </cell>
          <cell r="BM281">
            <v>4655.2</v>
          </cell>
          <cell r="BN281">
            <v>3.4499999999999997</v>
          </cell>
          <cell r="BO281">
            <v>969.7599999999992</v>
          </cell>
          <cell r="BQ281">
            <v>1</v>
          </cell>
          <cell r="BR281" t="str">
            <v>Y</v>
          </cell>
          <cell r="BS281">
            <v>1551.6159999999995</v>
          </cell>
          <cell r="BT281" t="str">
            <v>Pending</v>
          </cell>
          <cell r="BU281">
            <v>0</v>
          </cell>
          <cell r="BV281">
            <v>2024</v>
          </cell>
        </row>
        <row r="282">
          <cell r="A282" t="str">
            <v>Noida</v>
          </cell>
          <cell r="B282" t="str">
            <v>Healthcare</v>
          </cell>
          <cell r="C282" t="str">
            <v>Mid Level</v>
          </cell>
          <cell r="D282" t="str">
            <v>Shailesh Sharma</v>
          </cell>
          <cell r="E282" t="str">
            <v>-</v>
          </cell>
          <cell r="H282" t="str">
            <v>Shivam Chaurasia</v>
          </cell>
          <cell r="L282" t="str">
            <v>New</v>
          </cell>
          <cell r="M282">
            <v>45706</v>
          </cell>
          <cell r="N282">
            <v>1</v>
          </cell>
          <cell r="O282">
            <v>340</v>
          </cell>
          <cell r="P282">
            <v>45859</v>
          </cell>
          <cell r="Q282">
            <v>46071</v>
          </cell>
          <cell r="R282" t="str">
            <v>JPC - 21525</v>
          </cell>
          <cell r="S282" t="str">
            <v>Kathleen A. Ransom-2</v>
          </cell>
          <cell r="T282" t="str">
            <v>Individual</v>
          </cell>
          <cell r="U282" t="str">
            <v>W2</v>
          </cell>
          <cell r="V282" t="str">
            <v>CSU</v>
          </cell>
          <cell r="W282">
            <v>24.15</v>
          </cell>
          <cell r="X282">
            <v>0</v>
          </cell>
          <cell r="Y282" t="str">
            <v>USD</v>
          </cell>
          <cell r="Z282">
            <v>34</v>
          </cell>
          <cell r="AA282">
            <v>0</v>
          </cell>
          <cell r="AB282">
            <v>0</v>
          </cell>
          <cell r="AC282">
            <v>0</v>
          </cell>
          <cell r="AD282">
            <v>45703</v>
          </cell>
          <cell r="AE282">
            <v>9</v>
          </cell>
          <cell r="AF282">
            <v>46022</v>
          </cell>
          <cell r="AG282">
            <v>27.772499999999997</v>
          </cell>
          <cell r="AH282">
            <v>0</v>
          </cell>
          <cell r="AI282">
            <v>27.772499999999997</v>
          </cell>
          <cell r="AJ282">
            <v>31.959999999999997</v>
          </cell>
          <cell r="AK282">
            <v>0</v>
          </cell>
          <cell r="AL282">
            <v>0</v>
          </cell>
          <cell r="AM282">
            <v>4.1875</v>
          </cell>
          <cell r="AN282">
            <v>0</v>
          </cell>
          <cell r="AO282">
            <v>4.1875</v>
          </cell>
          <cell r="AP282">
            <v>0</v>
          </cell>
          <cell r="AQ282">
            <v>4.1875</v>
          </cell>
          <cell r="AU282">
            <v>72</v>
          </cell>
          <cell r="AY282">
            <v>301.5</v>
          </cell>
          <cell r="AZ282">
            <v>0</v>
          </cell>
          <cell r="BA282">
            <v>0</v>
          </cell>
          <cell r="BH282">
            <v>2301.12</v>
          </cell>
          <cell r="BI282">
            <v>1738.8</v>
          </cell>
          <cell r="BJ282">
            <v>3.6224999999999996</v>
          </cell>
          <cell r="BK282">
            <v>0</v>
          </cell>
          <cell r="BL282">
            <v>260.82</v>
          </cell>
          <cell r="BM282">
            <v>1999.62</v>
          </cell>
          <cell r="BN282">
            <v>3.6224999999999996</v>
          </cell>
          <cell r="BO282">
            <v>301.49999999999994</v>
          </cell>
          <cell r="BQ282">
            <v>1</v>
          </cell>
          <cell r="BR282" t="str">
            <v>Y</v>
          </cell>
          <cell r="BS282">
            <v>0</v>
          </cell>
          <cell r="BT282" t="str">
            <v>Pending</v>
          </cell>
          <cell r="BU282">
            <v>0</v>
          </cell>
          <cell r="BV282">
            <v>2025</v>
          </cell>
        </row>
        <row r="283">
          <cell r="A283" t="str">
            <v>Noida</v>
          </cell>
          <cell r="B283" t="str">
            <v>Healthcare</v>
          </cell>
          <cell r="C283" t="str">
            <v>Mid Level</v>
          </cell>
          <cell r="D283" t="str">
            <v>Shailesh Sharma</v>
          </cell>
          <cell r="E283" t="str">
            <v>-</v>
          </cell>
          <cell r="H283" t="str">
            <v>Shivam Chaurasia</v>
          </cell>
          <cell r="L283" t="str">
            <v>New</v>
          </cell>
          <cell r="M283">
            <v>45706</v>
          </cell>
          <cell r="N283">
            <v>1</v>
          </cell>
          <cell r="O283">
            <v>340</v>
          </cell>
          <cell r="P283">
            <v>45859</v>
          </cell>
          <cell r="Q283">
            <v>46071</v>
          </cell>
          <cell r="R283" t="str">
            <v>JPC - 21525</v>
          </cell>
          <cell r="S283" t="str">
            <v>Kathleen A. Ransom-2</v>
          </cell>
          <cell r="T283" t="str">
            <v>Individual</v>
          </cell>
          <cell r="U283" t="str">
            <v>W2</v>
          </cell>
          <cell r="V283" t="str">
            <v>CSU</v>
          </cell>
          <cell r="W283">
            <v>24.15</v>
          </cell>
          <cell r="X283">
            <v>0</v>
          </cell>
          <cell r="Y283" t="str">
            <v>USD</v>
          </cell>
          <cell r="Z283">
            <v>34</v>
          </cell>
          <cell r="AA283">
            <v>0</v>
          </cell>
          <cell r="AB283">
            <v>0</v>
          </cell>
          <cell r="AC283">
            <v>0</v>
          </cell>
          <cell r="AD283">
            <v>45731</v>
          </cell>
          <cell r="AE283">
            <v>21</v>
          </cell>
          <cell r="AF283">
            <v>46022</v>
          </cell>
          <cell r="AG283">
            <v>27.772499999999997</v>
          </cell>
          <cell r="AH283">
            <v>0</v>
          </cell>
          <cell r="AI283">
            <v>27.772499999999997</v>
          </cell>
          <cell r="AJ283">
            <v>31.959999999999997</v>
          </cell>
          <cell r="AK283">
            <v>0</v>
          </cell>
          <cell r="AL283">
            <v>0</v>
          </cell>
          <cell r="AM283">
            <v>4.1875</v>
          </cell>
          <cell r="AN283">
            <v>0</v>
          </cell>
          <cell r="AO283">
            <v>4.1875</v>
          </cell>
          <cell r="AP283">
            <v>0</v>
          </cell>
          <cell r="AQ283">
            <v>4.1875</v>
          </cell>
          <cell r="AU283">
            <v>168</v>
          </cell>
          <cell r="AY283">
            <v>703.5</v>
          </cell>
          <cell r="AZ283">
            <v>0</v>
          </cell>
          <cell r="BA283">
            <v>0</v>
          </cell>
          <cell r="BH283">
            <v>5369.28</v>
          </cell>
          <cell r="BI283">
            <v>4057.2</v>
          </cell>
          <cell r="BJ283">
            <v>3.6224999999999996</v>
          </cell>
          <cell r="BK283">
            <v>0</v>
          </cell>
          <cell r="BL283">
            <v>608.57999999999993</v>
          </cell>
          <cell r="BM283">
            <v>4665.78</v>
          </cell>
          <cell r="BN283">
            <v>3.6224999999999996</v>
          </cell>
          <cell r="BO283">
            <v>703.5</v>
          </cell>
          <cell r="BQ283">
            <v>1</v>
          </cell>
          <cell r="BR283" t="str">
            <v>Y</v>
          </cell>
          <cell r="BS283">
            <v>0</v>
          </cell>
          <cell r="BT283" t="str">
            <v>Pending</v>
          </cell>
          <cell r="BU283">
            <v>0</v>
          </cell>
          <cell r="BV283">
            <v>2025</v>
          </cell>
        </row>
        <row r="284">
          <cell r="A284" t="str">
            <v>Noida</v>
          </cell>
          <cell r="B284" t="str">
            <v>Healthcare</v>
          </cell>
          <cell r="C284" t="str">
            <v>Mid Level</v>
          </cell>
          <cell r="D284" t="str">
            <v>Shailesh Sharma</v>
          </cell>
          <cell r="E284" t="str">
            <v>-</v>
          </cell>
          <cell r="H284" t="str">
            <v>Shivam Chaurasia</v>
          </cell>
          <cell r="L284" t="str">
            <v>New</v>
          </cell>
          <cell r="M284">
            <v>45706</v>
          </cell>
          <cell r="N284">
            <v>1</v>
          </cell>
          <cell r="O284">
            <v>340</v>
          </cell>
          <cell r="P284">
            <v>45859</v>
          </cell>
          <cell r="Q284">
            <v>46071</v>
          </cell>
          <cell r="R284" t="str">
            <v>JPC - 21525</v>
          </cell>
          <cell r="S284" t="str">
            <v>Kathleen A. Ransom-2</v>
          </cell>
          <cell r="T284" t="str">
            <v>Individual</v>
          </cell>
          <cell r="U284" t="str">
            <v>W2</v>
          </cell>
          <cell r="V284" t="str">
            <v>CSU</v>
          </cell>
          <cell r="W284">
            <v>24.15</v>
          </cell>
          <cell r="X284">
            <v>0</v>
          </cell>
          <cell r="Y284" t="str">
            <v>USD</v>
          </cell>
          <cell r="Z284">
            <v>34</v>
          </cell>
          <cell r="AA284">
            <v>0</v>
          </cell>
          <cell r="AB284">
            <v>0</v>
          </cell>
          <cell r="AC284">
            <v>0</v>
          </cell>
          <cell r="AD284">
            <v>45762</v>
          </cell>
          <cell r="AE284">
            <v>22</v>
          </cell>
          <cell r="AF284">
            <v>46022</v>
          </cell>
          <cell r="AG284">
            <v>27.772499999999997</v>
          </cell>
          <cell r="AH284">
            <v>0</v>
          </cell>
          <cell r="AI284">
            <v>27.772499999999997</v>
          </cell>
          <cell r="AJ284">
            <v>31.959999999999997</v>
          </cell>
          <cell r="AK284">
            <v>0</v>
          </cell>
          <cell r="AL284">
            <v>0</v>
          </cell>
          <cell r="AM284">
            <v>4.1875</v>
          </cell>
          <cell r="AN284">
            <v>0</v>
          </cell>
          <cell r="AO284">
            <v>4.1875</v>
          </cell>
          <cell r="AP284">
            <v>0</v>
          </cell>
          <cell r="AQ284">
            <v>4.1875</v>
          </cell>
          <cell r="AU284">
            <v>176</v>
          </cell>
          <cell r="AY284">
            <v>737</v>
          </cell>
          <cell r="AZ284">
            <v>0</v>
          </cell>
          <cell r="BA284">
            <v>0</v>
          </cell>
          <cell r="BH284">
            <v>5624.9599999999991</v>
          </cell>
          <cell r="BI284">
            <v>4250.3999999999996</v>
          </cell>
          <cell r="BJ284">
            <v>3.6224999999999996</v>
          </cell>
          <cell r="BK284">
            <v>0</v>
          </cell>
          <cell r="BL284">
            <v>637.55999999999995</v>
          </cell>
          <cell r="BM284">
            <v>4887.9599999999991</v>
          </cell>
          <cell r="BN284">
            <v>3.6224999999999996</v>
          </cell>
          <cell r="BO284">
            <v>736.99999999999955</v>
          </cell>
          <cell r="BQ284">
            <v>2</v>
          </cell>
          <cell r="BR284" t="str">
            <v>Y</v>
          </cell>
          <cell r="BS284">
            <v>0</v>
          </cell>
          <cell r="BT284" t="str">
            <v>Pending</v>
          </cell>
          <cell r="BU284">
            <v>0</v>
          </cell>
          <cell r="BV284">
            <v>2025</v>
          </cell>
        </row>
        <row r="285">
          <cell r="A285" t="str">
            <v>Lucknow</v>
          </cell>
          <cell r="B285" t="str">
            <v>Pioneer</v>
          </cell>
          <cell r="C285" t="str">
            <v>Mid Level</v>
          </cell>
          <cell r="D285" t="str">
            <v>Lucky Jain</v>
          </cell>
          <cell r="E285" t="str">
            <v>-</v>
          </cell>
          <cell r="H285" t="str">
            <v>Abhishek Rajpoot</v>
          </cell>
          <cell r="J285" t="str">
            <v>ACH</v>
          </cell>
          <cell r="K285">
            <v>0</v>
          </cell>
          <cell r="L285" t="str">
            <v>Old</v>
          </cell>
          <cell r="M285">
            <v>45555</v>
          </cell>
          <cell r="N285">
            <v>3</v>
          </cell>
          <cell r="O285">
            <v>491</v>
          </cell>
          <cell r="P285">
            <v>45838</v>
          </cell>
          <cell r="Q285">
            <v>45920</v>
          </cell>
          <cell r="R285" t="str">
            <v>PLC-3972</v>
          </cell>
          <cell r="S285" t="str">
            <v>Kawaun Lovell Harvey</v>
          </cell>
          <cell r="T285" t="str">
            <v>Individual</v>
          </cell>
          <cell r="U285" t="str">
            <v>C2C</v>
          </cell>
          <cell r="V285" t="str">
            <v>Visionet</v>
          </cell>
          <cell r="W285">
            <v>70</v>
          </cell>
          <cell r="X285">
            <v>0</v>
          </cell>
          <cell r="Y285" t="str">
            <v>USD</v>
          </cell>
          <cell r="Z285">
            <v>85</v>
          </cell>
          <cell r="AA285">
            <v>0</v>
          </cell>
          <cell r="AB285">
            <v>0</v>
          </cell>
          <cell r="AC285">
            <v>0</v>
          </cell>
          <cell r="AD285">
            <v>45672</v>
          </cell>
          <cell r="AE285">
            <v>22</v>
          </cell>
          <cell r="AF285">
            <v>46022</v>
          </cell>
          <cell r="AG285">
            <v>70</v>
          </cell>
          <cell r="AH285">
            <v>0</v>
          </cell>
          <cell r="AI285">
            <v>70</v>
          </cell>
          <cell r="AJ285">
            <v>85</v>
          </cell>
          <cell r="AK285">
            <v>0</v>
          </cell>
          <cell r="AL285">
            <v>0</v>
          </cell>
          <cell r="AM285">
            <v>15</v>
          </cell>
          <cell r="AN285">
            <v>0</v>
          </cell>
          <cell r="AO285">
            <v>15</v>
          </cell>
          <cell r="AP285">
            <v>0</v>
          </cell>
          <cell r="AQ285">
            <v>15</v>
          </cell>
          <cell r="AR285" t="str">
            <v>US_24275</v>
          </cell>
          <cell r="AS285">
            <v>0</v>
          </cell>
          <cell r="AT285">
            <v>176</v>
          </cell>
          <cell r="AU285">
            <v>176</v>
          </cell>
          <cell r="AV285">
            <v>0</v>
          </cell>
          <cell r="AW285">
            <v>2640</v>
          </cell>
          <cell r="AX285">
            <v>2613.6</v>
          </cell>
          <cell r="AY285">
            <v>2640</v>
          </cell>
          <cell r="AZ285">
            <v>100</v>
          </cell>
          <cell r="BA285">
            <v>51</v>
          </cell>
          <cell r="BB285">
            <v>8976</v>
          </cell>
          <cell r="BD285">
            <v>2640</v>
          </cell>
          <cell r="BF285">
            <v>2613.6</v>
          </cell>
          <cell r="BG285">
            <v>14960</v>
          </cell>
          <cell r="BH285">
            <v>14960</v>
          </cell>
          <cell r="BI285">
            <v>12320</v>
          </cell>
          <cell r="BJ285">
            <v>0</v>
          </cell>
          <cell r="BK285">
            <v>0</v>
          </cell>
          <cell r="BL285">
            <v>0</v>
          </cell>
          <cell r="BM285">
            <v>12320</v>
          </cell>
          <cell r="BN285">
            <v>0</v>
          </cell>
          <cell r="BO285">
            <v>2640</v>
          </cell>
          <cell r="BP285" t="str">
            <v>Y</v>
          </cell>
          <cell r="BQ285">
            <v>1</v>
          </cell>
          <cell r="BR285" t="str">
            <v>Y</v>
          </cell>
          <cell r="BS285">
            <v>8976</v>
          </cell>
          <cell r="BT285" t="str">
            <v>Done</v>
          </cell>
          <cell r="BU285">
            <v>176</v>
          </cell>
          <cell r="BV285">
            <v>2024</v>
          </cell>
        </row>
        <row r="286">
          <cell r="A286" t="str">
            <v>Lucknow</v>
          </cell>
          <cell r="B286" t="str">
            <v>Pioneer</v>
          </cell>
          <cell r="C286" t="str">
            <v>Mid Level</v>
          </cell>
          <cell r="D286" t="str">
            <v>Lucky Jain</v>
          </cell>
          <cell r="E286" t="str">
            <v>-</v>
          </cell>
          <cell r="H286" t="str">
            <v>Abhishek Rajpoot</v>
          </cell>
          <cell r="J286" t="str">
            <v>ACH</v>
          </cell>
          <cell r="K286">
            <v>0</v>
          </cell>
          <cell r="L286" t="str">
            <v>Old</v>
          </cell>
          <cell r="M286">
            <v>45555</v>
          </cell>
          <cell r="N286">
            <v>3</v>
          </cell>
          <cell r="O286">
            <v>491</v>
          </cell>
          <cell r="P286">
            <v>45838</v>
          </cell>
          <cell r="Q286">
            <v>45920</v>
          </cell>
          <cell r="R286" t="str">
            <v>PLC-3972</v>
          </cell>
          <cell r="S286" t="str">
            <v>Kawaun Lovell Harvey</v>
          </cell>
          <cell r="T286" t="str">
            <v>Individual</v>
          </cell>
          <cell r="U286" t="str">
            <v>C2C</v>
          </cell>
          <cell r="V286" t="str">
            <v>Visionet</v>
          </cell>
          <cell r="W286">
            <v>70</v>
          </cell>
          <cell r="X286">
            <v>0</v>
          </cell>
          <cell r="Y286" t="str">
            <v>USD</v>
          </cell>
          <cell r="Z286">
            <v>85</v>
          </cell>
          <cell r="AA286">
            <v>0</v>
          </cell>
          <cell r="AB286">
            <v>0</v>
          </cell>
          <cell r="AC286">
            <v>0</v>
          </cell>
          <cell r="AD286">
            <v>45703</v>
          </cell>
          <cell r="AE286">
            <v>20</v>
          </cell>
          <cell r="AF286">
            <v>46022</v>
          </cell>
          <cell r="AG286">
            <v>70</v>
          </cell>
          <cell r="AH286">
            <v>0</v>
          </cell>
          <cell r="AI286">
            <v>70</v>
          </cell>
          <cell r="AJ286">
            <v>85</v>
          </cell>
          <cell r="AK286">
            <v>0</v>
          </cell>
          <cell r="AL286">
            <v>0</v>
          </cell>
          <cell r="AM286">
            <v>15</v>
          </cell>
          <cell r="AN286">
            <v>0</v>
          </cell>
          <cell r="AO286">
            <v>15</v>
          </cell>
          <cell r="AP286">
            <v>0</v>
          </cell>
          <cell r="AQ286">
            <v>15</v>
          </cell>
          <cell r="AR286" t="str">
            <v>US_24475</v>
          </cell>
          <cell r="AS286">
            <v>0</v>
          </cell>
          <cell r="AT286">
            <v>174</v>
          </cell>
          <cell r="AU286">
            <v>174</v>
          </cell>
          <cell r="AV286">
            <v>0</v>
          </cell>
          <cell r="AW286">
            <v>2610</v>
          </cell>
          <cell r="AX286">
            <v>2583.9</v>
          </cell>
          <cell r="AY286">
            <v>2610</v>
          </cell>
          <cell r="AZ286">
            <v>100</v>
          </cell>
          <cell r="BA286">
            <v>51</v>
          </cell>
          <cell r="BB286">
            <v>8874</v>
          </cell>
          <cell r="BD286">
            <v>2610</v>
          </cell>
          <cell r="BF286">
            <v>2583.9</v>
          </cell>
          <cell r="BG286">
            <v>14790</v>
          </cell>
          <cell r="BH286">
            <v>14790</v>
          </cell>
          <cell r="BI286">
            <v>12180</v>
          </cell>
          <cell r="BJ286">
            <v>0</v>
          </cell>
          <cell r="BK286">
            <v>0</v>
          </cell>
          <cell r="BL286">
            <v>0</v>
          </cell>
          <cell r="BM286">
            <v>12180</v>
          </cell>
          <cell r="BN286">
            <v>0</v>
          </cell>
          <cell r="BO286">
            <v>2610</v>
          </cell>
          <cell r="BP286" t="str">
            <v>Y</v>
          </cell>
          <cell r="BQ286">
            <v>1</v>
          </cell>
          <cell r="BR286" t="str">
            <v>Y</v>
          </cell>
          <cell r="BS286">
            <v>8874</v>
          </cell>
          <cell r="BT286" t="str">
            <v>Done</v>
          </cell>
          <cell r="BU286">
            <v>174</v>
          </cell>
          <cell r="BV286">
            <v>2024</v>
          </cell>
        </row>
        <row r="287">
          <cell r="A287" t="str">
            <v>Lucknow</v>
          </cell>
          <cell r="B287" t="str">
            <v>Pioneer</v>
          </cell>
          <cell r="C287" t="str">
            <v>Mid Level</v>
          </cell>
          <cell r="D287" t="str">
            <v>Lucky Jain</v>
          </cell>
          <cell r="E287" t="str">
            <v>-</v>
          </cell>
          <cell r="H287" t="str">
            <v>Abhishek Rajpoot</v>
          </cell>
          <cell r="J287" t="str">
            <v>ACH</v>
          </cell>
          <cell r="K287">
            <v>0</v>
          </cell>
          <cell r="L287" t="str">
            <v>Old</v>
          </cell>
          <cell r="M287">
            <v>45555</v>
          </cell>
          <cell r="N287">
            <v>3</v>
          </cell>
          <cell r="O287">
            <v>491</v>
          </cell>
          <cell r="P287">
            <v>45838</v>
          </cell>
          <cell r="Q287">
            <v>45920</v>
          </cell>
          <cell r="R287" t="str">
            <v>PLC-3972</v>
          </cell>
          <cell r="S287" t="str">
            <v>Kawaun Lovell Harvey</v>
          </cell>
          <cell r="T287" t="str">
            <v>Individual</v>
          </cell>
          <cell r="U287" t="str">
            <v>C2C</v>
          </cell>
          <cell r="V287" t="str">
            <v>Visionet</v>
          </cell>
          <cell r="W287">
            <v>70</v>
          </cell>
          <cell r="X287">
            <v>0</v>
          </cell>
          <cell r="Y287" t="str">
            <v>USD</v>
          </cell>
          <cell r="Z287">
            <v>85</v>
          </cell>
          <cell r="AA287">
            <v>0</v>
          </cell>
          <cell r="AB287">
            <v>0</v>
          </cell>
          <cell r="AC287">
            <v>0</v>
          </cell>
          <cell r="AD287">
            <v>45731</v>
          </cell>
          <cell r="AE287">
            <v>21</v>
          </cell>
          <cell r="AF287">
            <v>46022</v>
          </cell>
          <cell r="AG287">
            <v>70</v>
          </cell>
          <cell r="AH287">
            <v>0</v>
          </cell>
          <cell r="AI287">
            <v>70</v>
          </cell>
          <cell r="AJ287">
            <v>85</v>
          </cell>
          <cell r="AK287">
            <v>0</v>
          </cell>
          <cell r="AL287">
            <v>0</v>
          </cell>
          <cell r="AM287">
            <v>15</v>
          </cell>
          <cell r="AN287">
            <v>0</v>
          </cell>
          <cell r="AO287">
            <v>15</v>
          </cell>
          <cell r="AP287">
            <v>0</v>
          </cell>
          <cell r="AQ287">
            <v>15</v>
          </cell>
          <cell r="AR287" t="str">
            <v>US_24661</v>
          </cell>
          <cell r="AS287">
            <v>0</v>
          </cell>
          <cell r="AT287">
            <v>168</v>
          </cell>
          <cell r="AU287">
            <v>168</v>
          </cell>
          <cell r="AV287">
            <v>0</v>
          </cell>
          <cell r="AW287">
            <v>2520</v>
          </cell>
          <cell r="AX287">
            <v>2494.8000000000002</v>
          </cell>
          <cell r="AY287">
            <v>2520</v>
          </cell>
          <cell r="AZ287">
            <v>100</v>
          </cell>
          <cell r="BA287">
            <v>51</v>
          </cell>
          <cell r="BB287">
            <v>8568</v>
          </cell>
          <cell r="BD287">
            <v>2520</v>
          </cell>
          <cell r="BF287">
            <v>2494.8000000000002</v>
          </cell>
          <cell r="BG287">
            <v>14280</v>
          </cell>
          <cell r="BH287">
            <v>14280</v>
          </cell>
          <cell r="BI287">
            <v>11760</v>
          </cell>
          <cell r="BJ287">
            <v>0</v>
          </cell>
          <cell r="BK287">
            <v>0</v>
          </cell>
          <cell r="BL287">
            <v>0</v>
          </cell>
          <cell r="BM287">
            <v>11760</v>
          </cell>
          <cell r="BN287">
            <v>0</v>
          </cell>
          <cell r="BO287">
            <v>2520</v>
          </cell>
          <cell r="BP287" t="str">
            <v>Y</v>
          </cell>
          <cell r="BQ287">
            <v>1</v>
          </cell>
          <cell r="BR287" t="str">
            <v>Y</v>
          </cell>
          <cell r="BS287">
            <v>8568</v>
          </cell>
          <cell r="BT287" t="str">
            <v>Done</v>
          </cell>
          <cell r="BU287">
            <v>168</v>
          </cell>
          <cell r="BV287">
            <v>2024</v>
          </cell>
        </row>
        <row r="288">
          <cell r="A288" t="str">
            <v>Lucknow</v>
          </cell>
          <cell r="B288" t="str">
            <v>Pioneer</v>
          </cell>
          <cell r="C288" t="str">
            <v>Mid Level</v>
          </cell>
          <cell r="D288" t="str">
            <v>Lucky Jain</v>
          </cell>
          <cell r="E288" t="str">
            <v>-</v>
          </cell>
          <cell r="H288" t="str">
            <v>Abhishek Rajpoot</v>
          </cell>
          <cell r="J288" t="str">
            <v>ACH</v>
          </cell>
          <cell r="K288">
            <v>0</v>
          </cell>
          <cell r="L288" t="str">
            <v>Old</v>
          </cell>
          <cell r="M288">
            <v>45555</v>
          </cell>
          <cell r="N288">
            <v>3</v>
          </cell>
          <cell r="O288">
            <v>491</v>
          </cell>
          <cell r="P288">
            <v>45838</v>
          </cell>
          <cell r="Q288">
            <v>45920</v>
          </cell>
          <cell r="R288" t="str">
            <v>PLC-3972</v>
          </cell>
          <cell r="S288" t="str">
            <v>Kawaun Lovell Harvey</v>
          </cell>
          <cell r="T288" t="str">
            <v>Individual</v>
          </cell>
          <cell r="U288" t="str">
            <v>C2C</v>
          </cell>
          <cell r="V288" t="str">
            <v>Visionet</v>
          </cell>
          <cell r="W288">
            <v>70</v>
          </cell>
          <cell r="X288">
            <v>0</v>
          </cell>
          <cell r="Y288" t="str">
            <v>USD</v>
          </cell>
          <cell r="Z288">
            <v>85</v>
          </cell>
          <cell r="AA288">
            <v>0</v>
          </cell>
          <cell r="AB288">
            <v>0</v>
          </cell>
          <cell r="AC288">
            <v>0</v>
          </cell>
          <cell r="AD288">
            <v>45762</v>
          </cell>
          <cell r="AE288">
            <v>22</v>
          </cell>
          <cell r="AF288">
            <v>46022</v>
          </cell>
          <cell r="AG288">
            <v>70</v>
          </cell>
          <cell r="AH288">
            <v>0</v>
          </cell>
          <cell r="AI288">
            <v>70</v>
          </cell>
          <cell r="AJ288">
            <v>85</v>
          </cell>
          <cell r="AK288">
            <v>0</v>
          </cell>
          <cell r="AL288">
            <v>0</v>
          </cell>
          <cell r="AM288">
            <v>15</v>
          </cell>
          <cell r="AN288">
            <v>0</v>
          </cell>
          <cell r="AO288">
            <v>15</v>
          </cell>
          <cell r="AP288">
            <v>0</v>
          </cell>
          <cell r="AQ288">
            <v>15</v>
          </cell>
          <cell r="AR288" t="str">
            <v>US_24866</v>
          </cell>
          <cell r="AS288">
            <v>0</v>
          </cell>
          <cell r="AT288">
            <v>176</v>
          </cell>
          <cell r="AU288">
            <v>176</v>
          </cell>
          <cell r="AV288">
            <v>0</v>
          </cell>
          <cell r="AW288">
            <v>2640</v>
          </cell>
          <cell r="AX288">
            <v>2613.6</v>
          </cell>
          <cell r="AY288">
            <v>2640</v>
          </cell>
          <cell r="AZ288">
            <v>100</v>
          </cell>
          <cell r="BA288">
            <v>51</v>
          </cell>
          <cell r="BB288">
            <v>8976</v>
          </cell>
          <cell r="BD288">
            <v>2640</v>
          </cell>
          <cell r="BF288">
            <v>2613.6</v>
          </cell>
          <cell r="BG288">
            <v>14960</v>
          </cell>
          <cell r="BH288">
            <v>14960</v>
          </cell>
          <cell r="BI288">
            <v>12320</v>
          </cell>
          <cell r="BJ288">
            <v>0</v>
          </cell>
          <cell r="BK288">
            <v>0</v>
          </cell>
          <cell r="BL288">
            <v>0</v>
          </cell>
          <cell r="BM288">
            <v>12320</v>
          </cell>
          <cell r="BN288">
            <v>0</v>
          </cell>
          <cell r="BO288">
            <v>2640</v>
          </cell>
          <cell r="BP288" t="str">
            <v>Y</v>
          </cell>
          <cell r="BQ288">
            <v>2</v>
          </cell>
          <cell r="BR288" t="str">
            <v>N</v>
          </cell>
          <cell r="BS288">
            <v>8976</v>
          </cell>
          <cell r="BT288" t="str">
            <v>Done</v>
          </cell>
          <cell r="BU288">
            <v>176</v>
          </cell>
          <cell r="BV288">
            <v>2024</v>
          </cell>
        </row>
        <row r="289">
          <cell r="A289" t="str">
            <v>Lucknow</v>
          </cell>
          <cell r="B289" t="str">
            <v>Americas</v>
          </cell>
          <cell r="C289" t="str">
            <v>Mid Level</v>
          </cell>
          <cell r="D289" t="str">
            <v>Rajesh Khanna</v>
          </cell>
          <cell r="E289" t="str">
            <v>-</v>
          </cell>
          <cell r="H289" t="str">
            <v>Milan Mishra</v>
          </cell>
          <cell r="K289">
            <v>0</v>
          </cell>
          <cell r="L289" t="str">
            <v>Old</v>
          </cell>
          <cell r="M289">
            <v>45607</v>
          </cell>
          <cell r="N289">
            <v>4</v>
          </cell>
          <cell r="O289">
            <v>439</v>
          </cell>
          <cell r="P289">
            <v>45729</v>
          </cell>
          <cell r="Q289">
            <v>45972</v>
          </cell>
          <cell r="R289" t="str">
            <v>PLC-2181</v>
          </cell>
          <cell r="S289" t="str">
            <v>Keerthi Ageeru</v>
          </cell>
          <cell r="T289" t="str">
            <v>Individual</v>
          </cell>
          <cell r="U289" t="str">
            <v>C2C</v>
          </cell>
          <cell r="V289" t="str">
            <v>Fanatics</v>
          </cell>
          <cell r="W289">
            <v>10.5</v>
          </cell>
          <cell r="X289">
            <v>0</v>
          </cell>
          <cell r="Y289" t="str">
            <v>USD</v>
          </cell>
          <cell r="Z289">
            <v>35</v>
          </cell>
          <cell r="AA289">
            <v>0</v>
          </cell>
          <cell r="AB289">
            <v>0</v>
          </cell>
          <cell r="AC289">
            <v>9.5</v>
          </cell>
          <cell r="AD289">
            <v>45672</v>
          </cell>
          <cell r="AE289">
            <v>22</v>
          </cell>
          <cell r="AF289">
            <v>46022</v>
          </cell>
          <cell r="AG289">
            <v>10.5</v>
          </cell>
          <cell r="AH289">
            <v>0</v>
          </cell>
          <cell r="AI289">
            <v>20</v>
          </cell>
          <cell r="AJ289">
            <v>35</v>
          </cell>
          <cell r="AK289">
            <v>0</v>
          </cell>
          <cell r="AL289">
            <v>0</v>
          </cell>
          <cell r="AM289">
            <v>15</v>
          </cell>
          <cell r="AN289">
            <v>0</v>
          </cell>
          <cell r="AO289">
            <v>15</v>
          </cell>
          <cell r="AP289">
            <v>0</v>
          </cell>
          <cell r="AQ289">
            <v>15</v>
          </cell>
          <cell r="AR289" t="str">
            <v>US_24277</v>
          </cell>
          <cell r="AS289">
            <v>0</v>
          </cell>
          <cell r="AT289">
            <v>189</v>
          </cell>
          <cell r="AU289">
            <v>189</v>
          </cell>
          <cell r="AV289">
            <v>0</v>
          </cell>
          <cell r="AW289">
            <v>2835</v>
          </cell>
          <cell r="AX289">
            <v>2835</v>
          </cell>
          <cell r="AY289">
            <v>2835</v>
          </cell>
          <cell r="AZ289">
            <v>0</v>
          </cell>
          <cell r="BA289">
            <v>0</v>
          </cell>
          <cell r="BB289">
            <v>0</v>
          </cell>
          <cell r="BD289">
            <v>2835</v>
          </cell>
          <cell r="BF289">
            <v>2835</v>
          </cell>
          <cell r="BG289">
            <v>6615</v>
          </cell>
          <cell r="BH289">
            <v>6615</v>
          </cell>
          <cell r="BI289">
            <v>1984.5</v>
          </cell>
          <cell r="BJ289">
            <v>0</v>
          </cell>
          <cell r="BK289">
            <v>1795.5</v>
          </cell>
          <cell r="BL289">
            <v>0</v>
          </cell>
          <cell r="BM289">
            <v>3780</v>
          </cell>
          <cell r="BN289">
            <v>9.5</v>
          </cell>
          <cell r="BO289">
            <v>2835</v>
          </cell>
          <cell r="BP289" t="str">
            <v>Y</v>
          </cell>
          <cell r="BQ289">
            <v>1</v>
          </cell>
          <cell r="BR289" t="str">
            <v>N</v>
          </cell>
          <cell r="BS289">
            <v>0</v>
          </cell>
          <cell r="BT289" t="str">
            <v>Done</v>
          </cell>
          <cell r="BU289">
            <v>189</v>
          </cell>
          <cell r="BV289">
            <v>2024</v>
          </cell>
        </row>
        <row r="290">
          <cell r="A290" t="str">
            <v>Lucknow</v>
          </cell>
          <cell r="B290" t="str">
            <v>Americas</v>
          </cell>
          <cell r="C290" t="str">
            <v>Mid Level</v>
          </cell>
          <cell r="D290" t="str">
            <v>Rajesh Khanna</v>
          </cell>
          <cell r="E290" t="str">
            <v>-</v>
          </cell>
          <cell r="H290" t="str">
            <v>Milan Mishra</v>
          </cell>
          <cell r="K290">
            <v>0</v>
          </cell>
          <cell r="L290" t="str">
            <v>Old</v>
          </cell>
          <cell r="M290">
            <v>45607</v>
          </cell>
          <cell r="N290">
            <v>4</v>
          </cell>
          <cell r="O290">
            <v>439</v>
          </cell>
          <cell r="P290">
            <v>45729</v>
          </cell>
          <cell r="Q290">
            <v>45972</v>
          </cell>
          <cell r="R290" t="str">
            <v>PLC-2181</v>
          </cell>
          <cell r="S290" t="str">
            <v>Keerthi Ageeru</v>
          </cell>
          <cell r="T290" t="str">
            <v>Individual</v>
          </cell>
          <cell r="U290" t="str">
            <v>C2C</v>
          </cell>
          <cell r="V290" t="str">
            <v>Fanatics</v>
          </cell>
          <cell r="W290">
            <v>10.5</v>
          </cell>
          <cell r="X290">
            <v>0</v>
          </cell>
          <cell r="Y290" t="str">
            <v>USD</v>
          </cell>
          <cell r="Z290">
            <v>35</v>
          </cell>
          <cell r="AA290">
            <v>0</v>
          </cell>
          <cell r="AB290">
            <v>0</v>
          </cell>
          <cell r="AC290">
            <v>9.5</v>
          </cell>
          <cell r="AD290">
            <v>45703</v>
          </cell>
          <cell r="AE290">
            <v>20</v>
          </cell>
          <cell r="AF290">
            <v>46022</v>
          </cell>
          <cell r="AG290">
            <v>10.5</v>
          </cell>
          <cell r="AH290">
            <v>0</v>
          </cell>
          <cell r="AI290">
            <v>20</v>
          </cell>
          <cell r="AJ290">
            <v>35</v>
          </cell>
          <cell r="AK290">
            <v>0</v>
          </cell>
          <cell r="AL290">
            <v>0</v>
          </cell>
          <cell r="AM290">
            <v>15</v>
          </cell>
          <cell r="AN290">
            <v>0</v>
          </cell>
          <cell r="AO290">
            <v>15</v>
          </cell>
          <cell r="AP290">
            <v>0</v>
          </cell>
          <cell r="AQ290">
            <v>15</v>
          </cell>
          <cell r="AR290" t="str">
            <v>US_24477</v>
          </cell>
          <cell r="AS290">
            <v>0</v>
          </cell>
          <cell r="AT290">
            <v>180</v>
          </cell>
          <cell r="AU290">
            <v>180</v>
          </cell>
          <cell r="AV290">
            <v>0</v>
          </cell>
          <cell r="AW290">
            <v>2700</v>
          </cell>
          <cell r="AX290">
            <v>2700</v>
          </cell>
          <cell r="AY290">
            <v>2700</v>
          </cell>
          <cell r="AZ290">
            <v>0</v>
          </cell>
          <cell r="BA290">
            <v>0</v>
          </cell>
          <cell r="BB290">
            <v>0</v>
          </cell>
          <cell r="BD290">
            <v>2700</v>
          </cell>
          <cell r="BF290">
            <v>2700</v>
          </cell>
          <cell r="BG290">
            <v>6300</v>
          </cell>
          <cell r="BH290">
            <v>6300</v>
          </cell>
          <cell r="BI290">
            <v>1890</v>
          </cell>
          <cell r="BJ290">
            <v>0</v>
          </cell>
          <cell r="BK290">
            <v>1710</v>
          </cell>
          <cell r="BL290">
            <v>0</v>
          </cell>
          <cell r="BM290">
            <v>3600</v>
          </cell>
          <cell r="BN290">
            <v>9.5</v>
          </cell>
          <cell r="BO290">
            <v>2700</v>
          </cell>
          <cell r="BP290" t="str">
            <v>Y</v>
          </cell>
          <cell r="BQ290">
            <v>1</v>
          </cell>
          <cell r="BR290" t="str">
            <v>N</v>
          </cell>
          <cell r="BS290">
            <v>0</v>
          </cell>
          <cell r="BT290" t="str">
            <v>Done</v>
          </cell>
          <cell r="BU290">
            <v>180</v>
          </cell>
          <cell r="BV290">
            <v>2024</v>
          </cell>
        </row>
        <row r="291">
          <cell r="A291" t="str">
            <v>Lucknow</v>
          </cell>
          <cell r="B291" t="str">
            <v>Americas</v>
          </cell>
          <cell r="C291" t="str">
            <v>Mid Level</v>
          </cell>
          <cell r="D291" t="str">
            <v>Rajesh Khanna</v>
          </cell>
          <cell r="E291" t="str">
            <v>-</v>
          </cell>
          <cell r="H291" t="str">
            <v>Milan Mishra</v>
          </cell>
          <cell r="K291">
            <v>0</v>
          </cell>
          <cell r="L291" t="str">
            <v>Old</v>
          </cell>
          <cell r="M291">
            <v>45607</v>
          </cell>
          <cell r="N291">
            <v>4</v>
          </cell>
          <cell r="O291">
            <v>439</v>
          </cell>
          <cell r="P291">
            <v>45729</v>
          </cell>
          <cell r="Q291">
            <v>45972</v>
          </cell>
          <cell r="R291" t="str">
            <v>PLC-2181</v>
          </cell>
          <cell r="S291" t="str">
            <v>Keerthi Ageeru</v>
          </cell>
          <cell r="T291" t="str">
            <v>Individual</v>
          </cell>
          <cell r="U291" t="str">
            <v>C2C</v>
          </cell>
          <cell r="V291" t="str">
            <v>Fanatics</v>
          </cell>
          <cell r="W291">
            <v>10.5</v>
          </cell>
          <cell r="X291">
            <v>0</v>
          </cell>
          <cell r="Y291" t="str">
            <v>USD</v>
          </cell>
          <cell r="Z291">
            <v>35</v>
          </cell>
          <cell r="AA291">
            <v>0</v>
          </cell>
          <cell r="AB291">
            <v>0</v>
          </cell>
          <cell r="AC291">
            <v>9.5</v>
          </cell>
          <cell r="AD291">
            <v>45731</v>
          </cell>
          <cell r="AE291">
            <v>9</v>
          </cell>
          <cell r="AF291">
            <v>46022</v>
          </cell>
          <cell r="AG291">
            <v>10.5</v>
          </cell>
          <cell r="AH291">
            <v>0</v>
          </cell>
          <cell r="AI291">
            <v>20</v>
          </cell>
          <cell r="AJ291">
            <v>35</v>
          </cell>
          <cell r="AK291">
            <v>0</v>
          </cell>
          <cell r="AL291">
            <v>0</v>
          </cell>
          <cell r="AM291">
            <v>15</v>
          </cell>
          <cell r="AN291">
            <v>0</v>
          </cell>
          <cell r="AO291">
            <v>15</v>
          </cell>
          <cell r="AP291">
            <v>0</v>
          </cell>
          <cell r="AQ291">
            <v>15</v>
          </cell>
          <cell r="AR291" t="str">
            <v>US_24530</v>
          </cell>
          <cell r="AS291">
            <v>0</v>
          </cell>
          <cell r="AT291">
            <v>81</v>
          </cell>
          <cell r="AU291">
            <v>81</v>
          </cell>
          <cell r="AV291">
            <v>0</v>
          </cell>
          <cell r="AW291">
            <v>1215</v>
          </cell>
          <cell r="AX291">
            <v>1215</v>
          </cell>
          <cell r="AY291">
            <v>1215</v>
          </cell>
          <cell r="AZ291">
            <v>0</v>
          </cell>
          <cell r="BA291">
            <v>0</v>
          </cell>
          <cell r="BB291">
            <v>0</v>
          </cell>
          <cell r="BD291">
            <v>1215</v>
          </cell>
          <cell r="BF291">
            <v>1215</v>
          </cell>
          <cell r="BG291">
            <v>2835</v>
          </cell>
          <cell r="BH291">
            <v>2835</v>
          </cell>
          <cell r="BI291">
            <v>850.5</v>
          </cell>
          <cell r="BJ291">
            <v>0</v>
          </cell>
          <cell r="BK291">
            <v>769.5</v>
          </cell>
          <cell r="BL291">
            <v>0</v>
          </cell>
          <cell r="BM291">
            <v>1620</v>
          </cell>
          <cell r="BN291">
            <v>9.5</v>
          </cell>
          <cell r="BO291">
            <v>1215</v>
          </cell>
          <cell r="BP291" t="str">
            <v>Y</v>
          </cell>
          <cell r="BQ291">
            <v>1</v>
          </cell>
          <cell r="BR291" t="str">
            <v>N</v>
          </cell>
          <cell r="BS291">
            <v>0</v>
          </cell>
          <cell r="BT291" t="str">
            <v>Done</v>
          </cell>
          <cell r="BU291">
            <v>81</v>
          </cell>
          <cell r="BV291">
            <v>2024</v>
          </cell>
        </row>
        <row r="292">
          <cell r="A292" t="str">
            <v>Lucknow</v>
          </cell>
          <cell r="B292" t="str">
            <v>Titans</v>
          </cell>
          <cell r="C292" t="str">
            <v>Mid Level</v>
          </cell>
          <cell r="D292" t="str">
            <v>Nitin Saxena</v>
          </cell>
          <cell r="E292" t="str">
            <v>-</v>
          </cell>
          <cell r="H292" t="str">
            <v>Ratnesh Kashyap</v>
          </cell>
          <cell r="K292" t="str">
            <v>-</v>
          </cell>
          <cell r="L292" t="str">
            <v>New</v>
          </cell>
          <cell r="M292">
            <v>45712</v>
          </cell>
          <cell r="N292">
            <v>1</v>
          </cell>
          <cell r="O292">
            <v>334</v>
          </cell>
          <cell r="P292" t="str">
            <v>-</v>
          </cell>
          <cell r="Q292">
            <v>46077</v>
          </cell>
          <cell r="R292" t="str">
            <v>PLC-4151</v>
          </cell>
          <cell r="S292" t="str">
            <v>Kendall Wade</v>
          </cell>
          <cell r="T292" t="str">
            <v>Split</v>
          </cell>
          <cell r="U292" t="str">
            <v>FTE</v>
          </cell>
          <cell r="V292" t="str">
            <v>Cyient</v>
          </cell>
          <cell r="W292">
            <v>0</v>
          </cell>
          <cell r="X292">
            <v>0</v>
          </cell>
          <cell r="Y292" t="str">
            <v>USD</v>
          </cell>
          <cell r="Z292">
            <v>4500</v>
          </cell>
          <cell r="AA292">
            <v>0</v>
          </cell>
          <cell r="AB292">
            <v>0</v>
          </cell>
          <cell r="AC292">
            <v>0</v>
          </cell>
          <cell r="AD292">
            <v>45703</v>
          </cell>
          <cell r="AE292">
            <v>1</v>
          </cell>
          <cell r="AF292">
            <v>46022</v>
          </cell>
          <cell r="AG292">
            <v>0</v>
          </cell>
          <cell r="AH292">
            <v>0</v>
          </cell>
          <cell r="AI292">
            <v>0</v>
          </cell>
          <cell r="AJ292">
            <v>4500</v>
          </cell>
          <cell r="AK292">
            <v>0</v>
          </cell>
          <cell r="AL292">
            <v>0</v>
          </cell>
          <cell r="AM292">
            <v>4500</v>
          </cell>
          <cell r="AN292">
            <v>0</v>
          </cell>
          <cell r="AO292">
            <v>2250</v>
          </cell>
          <cell r="AP292">
            <v>0</v>
          </cell>
          <cell r="AQ292">
            <v>2250</v>
          </cell>
          <cell r="AR292" t="str">
            <v>US_24344</v>
          </cell>
          <cell r="AS292">
            <v>0</v>
          </cell>
          <cell r="AT292">
            <v>1</v>
          </cell>
          <cell r="AU292">
            <v>1</v>
          </cell>
          <cell r="AV292">
            <v>0</v>
          </cell>
          <cell r="AW292">
            <v>2250</v>
          </cell>
          <cell r="AX292">
            <v>2250</v>
          </cell>
          <cell r="AY292">
            <v>2250</v>
          </cell>
          <cell r="AZ292">
            <v>0</v>
          </cell>
          <cell r="BA292">
            <v>0</v>
          </cell>
          <cell r="BB292">
            <v>0</v>
          </cell>
          <cell r="BC292">
            <v>46</v>
          </cell>
          <cell r="BD292">
            <v>2250</v>
          </cell>
          <cell r="BE292">
            <v>1800</v>
          </cell>
          <cell r="BF292">
            <v>2250</v>
          </cell>
          <cell r="BG292">
            <v>2250</v>
          </cell>
          <cell r="BH292">
            <v>2250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2250</v>
          </cell>
          <cell r="BP292" t="str">
            <v>Y</v>
          </cell>
          <cell r="BQ292">
            <v>1</v>
          </cell>
          <cell r="BR292" t="str">
            <v>Y</v>
          </cell>
          <cell r="BS292">
            <v>0</v>
          </cell>
          <cell r="BT292" t="str">
            <v>Done</v>
          </cell>
          <cell r="BU292">
            <v>0</v>
          </cell>
          <cell r="BV292">
            <v>2025</v>
          </cell>
        </row>
        <row r="293">
          <cell r="A293" t="str">
            <v>Lucknow</v>
          </cell>
          <cell r="B293" t="str">
            <v>Titans</v>
          </cell>
          <cell r="C293" t="str">
            <v>Mid Level</v>
          </cell>
          <cell r="D293" t="str">
            <v>Aditya Yadav</v>
          </cell>
          <cell r="E293" t="str">
            <v>-</v>
          </cell>
          <cell r="H293" t="str">
            <v>Ratnesh Kashyap</v>
          </cell>
          <cell r="K293" t="str">
            <v>-</v>
          </cell>
          <cell r="L293" t="str">
            <v>New</v>
          </cell>
          <cell r="M293">
            <v>45712</v>
          </cell>
          <cell r="N293">
            <v>1</v>
          </cell>
          <cell r="O293">
            <v>334</v>
          </cell>
          <cell r="P293" t="str">
            <v>-</v>
          </cell>
          <cell r="Q293">
            <v>46077</v>
          </cell>
          <cell r="R293" t="str">
            <v>PLC-4151</v>
          </cell>
          <cell r="S293" t="str">
            <v>Kendall Wade</v>
          </cell>
          <cell r="T293" t="str">
            <v>Split</v>
          </cell>
          <cell r="U293" t="str">
            <v>FTE</v>
          </cell>
          <cell r="V293" t="str">
            <v>Cyient</v>
          </cell>
          <cell r="W293">
            <v>0</v>
          </cell>
          <cell r="X293">
            <v>0</v>
          </cell>
          <cell r="Y293" t="str">
            <v>USD</v>
          </cell>
          <cell r="Z293">
            <v>4500</v>
          </cell>
          <cell r="AA293">
            <v>0</v>
          </cell>
          <cell r="AB293">
            <v>0</v>
          </cell>
          <cell r="AC293">
            <v>0</v>
          </cell>
          <cell r="AD293">
            <v>45703</v>
          </cell>
          <cell r="AE293">
            <v>1</v>
          </cell>
          <cell r="AF293">
            <v>46022</v>
          </cell>
          <cell r="AG293">
            <v>0</v>
          </cell>
          <cell r="AH293">
            <v>0</v>
          </cell>
          <cell r="AI293">
            <v>0</v>
          </cell>
          <cell r="AJ293">
            <v>4500</v>
          </cell>
          <cell r="AK293">
            <v>0</v>
          </cell>
          <cell r="AL293">
            <v>0</v>
          </cell>
          <cell r="AM293">
            <v>4500</v>
          </cell>
          <cell r="AN293">
            <v>0</v>
          </cell>
          <cell r="AO293">
            <v>2250</v>
          </cell>
          <cell r="AP293">
            <v>0</v>
          </cell>
          <cell r="AQ293">
            <v>2250</v>
          </cell>
          <cell r="AR293" t="str">
            <v>US_24344</v>
          </cell>
          <cell r="AS293">
            <v>0</v>
          </cell>
          <cell r="AT293">
            <v>1</v>
          </cell>
          <cell r="AU293">
            <v>1</v>
          </cell>
          <cell r="AV293">
            <v>0</v>
          </cell>
          <cell r="AW293">
            <v>2250</v>
          </cell>
          <cell r="AX293">
            <v>2250</v>
          </cell>
          <cell r="AY293">
            <v>2250</v>
          </cell>
          <cell r="AZ293">
            <v>0</v>
          </cell>
          <cell r="BA293">
            <v>0</v>
          </cell>
          <cell r="BB293">
            <v>0</v>
          </cell>
          <cell r="BF293">
            <v>2250</v>
          </cell>
          <cell r="BG293">
            <v>2250</v>
          </cell>
          <cell r="BH293">
            <v>2250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2250</v>
          </cell>
          <cell r="BP293" t="str">
            <v>Y</v>
          </cell>
          <cell r="BQ293">
            <v>1</v>
          </cell>
          <cell r="BR293" t="str">
            <v>Y</v>
          </cell>
          <cell r="BS293">
            <v>0</v>
          </cell>
          <cell r="BT293" t="str">
            <v>Done</v>
          </cell>
          <cell r="BU293">
            <v>0</v>
          </cell>
          <cell r="BV293">
            <v>2025</v>
          </cell>
        </row>
        <row r="294">
          <cell r="A294" t="str">
            <v>Lucknow</v>
          </cell>
          <cell r="B294" t="str">
            <v>Trust</v>
          </cell>
          <cell r="C294" t="str">
            <v>Mid Level</v>
          </cell>
          <cell r="D294" t="str">
            <v>Shashank Yadav</v>
          </cell>
          <cell r="E294" t="str">
            <v>Shashank Yadav</v>
          </cell>
          <cell r="H294" t="str">
            <v>Vivek Mani Upadhyay</v>
          </cell>
          <cell r="K294">
            <v>0</v>
          </cell>
          <cell r="L294" t="str">
            <v>Old</v>
          </cell>
          <cell r="M294">
            <v>45441</v>
          </cell>
          <cell r="N294">
            <v>2</v>
          </cell>
          <cell r="O294">
            <v>605</v>
          </cell>
          <cell r="P294">
            <v>45891</v>
          </cell>
          <cell r="Q294">
            <v>45806</v>
          </cell>
          <cell r="R294" t="str">
            <v>PLC-3807</v>
          </cell>
          <cell r="S294" t="str">
            <v>Kenneth A Balangue</v>
          </cell>
          <cell r="T294" t="str">
            <v>Individual</v>
          </cell>
          <cell r="U294" t="str">
            <v>W2</v>
          </cell>
          <cell r="V294" t="str">
            <v>HII-NNS</v>
          </cell>
          <cell r="W294">
            <v>36.909999999999997</v>
          </cell>
          <cell r="X294">
            <v>55.37</v>
          </cell>
          <cell r="Y294" t="str">
            <v>USD</v>
          </cell>
          <cell r="Z294">
            <v>46.17</v>
          </cell>
          <cell r="AA294">
            <v>69.209999999999994</v>
          </cell>
          <cell r="AB294">
            <v>0</v>
          </cell>
          <cell r="AC294">
            <v>0</v>
          </cell>
          <cell r="AD294">
            <v>45672</v>
          </cell>
          <cell r="AE294">
            <v>23</v>
          </cell>
          <cell r="AF294">
            <v>46022</v>
          </cell>
          <cell r="AG294">
            <v>42.446499999999993</v>
          </cell>
          <cell r="AH294">
            <v>63.675499999999992</v>
          </cell>
          <cell r="AI294">
            <v>42.446499999999993</v>
          </cell>
          <cell r="AJ294">
            <v>46.17</v>
          </cell>
          <cell r="AK294">
            <v>69.209999999999994</v>
          </cell>
          <cell r="AL294">
            <v>5.5345000000000013</v>
          </cell>
          <cell r="AM294">
            <v>3.7235000000000085</v>
          </cell>
          <cell r="AN294">
            <v>5.5345000000000013</v>
          </cell>
          <cell r="AO294">
            <v>3.7235000000000085</v>
          </cell>
          <cell r="AP294">
            <v>5.5345000000000013</v>
          </cell>
          <cell r="AQ294">
            <v>3.7235000000000085</v>
          </cell>
          <cell r="AR294" t="str">
            <v>HI123</v>
          </cell>
          <cell r="AS294">
            <v>0</v>
          </cell>
          <cell r="AT294">
            <v>146</v>
          </cell>
          <cell r="AU294">
            <v>146</v>
          </cell>
          <cell r="AV294">
            <v>0</v>
          </cell>
          <cell r="AW294">
            <v>543.63100000000122</v>
          </cell>
          <cell r="AX294">
            <v>543.63100000000122</v>
          </cell>
          <cell r="AY294">
            <v>543.63100000000122</v>
          </cell>
          <cell r="AZ294">
            <v>50</v>
          </cell>
          <cell r="BA294">
            <v>5.9576000000000136</v>
          </cell>
          <cell r="BB294">
            <v>869.80960000000198</v>
          </cell>
          <cell r="BD294">
            <v>543.63100000000122</v>
          </cell>
          <cell r="BF294">
            <v>543.63100000000122</v>
          </cell>
          <cell r="BG294">
            <v>6740.8200000000006</v>
          </cell>
          <cell r="BH294">
            <v>6740.8200000000006</v>
          </cell>
          <cell r="BI294">
            <v>5388.86</v>
          </cell>
          <cell r="BJ294">
            <v>5.5364999999999993</v>
          </cell>
          <cell r="BK294">
            <v>0</v>
          </cell>
          <cell r="BL294">
            <v>808.32899999999995</v>
          </cell>
          <cell r="BM294">
            <v>6197.1889999999994</v>
          </cell>
          <cell r="BN294">
            <v>5.5364999999999993</v>
          </cell>
          <cell r="BO294">
            <v>543.63100000000099</v>
          </cell>
          <cell r="BP294" t="str">
            <v>Y</v>
          </cell>
          <cell r="BQ294">
            <v>1</v>
          </cell>
          <cell r="BR294" t="str">
            <v>N</v>
          </cell>
          <cell r="BS294">
            <v>869.80960000000198</v>
          </cell>
          <cell r="BT294" t="str">
            <v>Done</v>
          </cell>
          <cell r="BU294">
            <v>146</v>
          </cell>
          <cell r="BV294">
            <v>2024</v>
          </cell>
        </row>
        <row r="295">
          <cell r="A295" t="str">
            <v>Lucknow</v>
          </cell>
          <cell r="B295" t="str">
            <v>Trust</v>
          </cell>
          <cell r="C295" t="str">
            <v>Mid Level</v>
          </cell>
          <cell r="D295" t="str">
            <v>Shashank Yadav</v>
          </cell>
          <cell r="E295" t="str">
            <v>Shashank Yadav</v>
          </cell>
          <cell r="H295" t="str">
            <v>Vivek Mani Upadhyay</v>
          </cell>
          <cell r="K295">
            <v>0</v>
          </cell>
          <cell r="L295" t="str">
            <v>Old</v>
          </cell>
          <cell r="M295">
            <v>45441</v>
          </cell>
          <cell r="N295">
            <v>2</v>
          </cell>
          <cell r="O295">
            <v>605</v>
          </cell>
          <cell r="P295">
            <v>45891</v>
          </cell>
          <cell r="Q295">
            <v>45806</v>
          </cell>
          <cell r="R295" t="str">
            <v>PLC-3807</v>
          </cell>
          <cell r="S295" t="str">
            <v>Kenneth A Balangue</v>
          </cell>
          <cell r="T295" t="str">
            <v>Individual</v>
          </cell>
          <cell r="U295" t="str">
            <v>W2</v>
          </cell>
          <cell r="V295" t="str">
            <v>HII-NNS</v>
          </cell>
          <cell r="W295">
            <v>36.909999999999997</v>
          </cell>
          <cell r="X295">
            <v>55.37</v>
          </cell>
          <cell r="Y295" t="str">
            <v>USD</v>
          </cell>
          <cell r="Z295">
            <v>46.17</v>
          </cell>
          <cell r="AA295">
            <v>69.209999999999994</v>
          </cell>
          <cell r="AB295">
            <v>0</v>
          </cell>
          <cell r="AC295">
            <v>0</v>
          </cell>
          <cell r="AD295">
            <v>45703</v>
          </cell>
          <cell r="AE295">
            <v>20</v>
          </cell>
          <cell r="AF295">
            <v>46022</v>
          </cell>
          <cell r="AG295">
            <v>42.446499999999993</v>
          </cell>
          <cell r="AH295">
            <v>63.675499999999992</v>
          </cell>
          <cell r="AI295">
            <v>42.446499999999993</v>
          </cell>
          <cell r="AJ295">
            <v>46.17</v>
          </cell>
          <cell r="AK295">
            <v>69.209999999999994</v>
          </cell>
          <cell r="AL295">
            <v>5.5345000000000013</v>
          </cell>
          <cell r="AM295">
            <v>3.7235000000000085</v>
          </cell>
          <cell r="AN295">
            <v>5.5345000000000013</v>
          </cell>
          <cell r="AO295">
            <v>3.7235000000000085</v>
          </cell>
          <cell r="AP295">
            <v>5.5345000000000013</v>
          </cell>
          <cell r="AQ295">
            <v>3.7235000000000085</v>
          </cell>
          <cell r="AR295" t="str">
            <v>HI124</v>
          </cell>
          <cell r="AS295">
            <v>0</v>
          </cell>
          <cell r="AT295">
            <v>152.5</v>
          </cell>
          <cell r="AU295">
            <v>152.5</v>
          </cell>
          <cell r="AV295">
            <v>0</v>
          </cell>
          <cell r="AW295">
            <v>567.83375000000126</v>
          </cell>
          <cell r="AX295">
            <v>567.83375000000126</v>
          </cell>
          <cell r="AY295">
            <v>567.83375000000126</v>
          </cell>
          <cell r="AZ295">
            <v>50</v>
          </cell>
          <cell r="BA295">
            <v>5.9576000000000136</v>
          </cell>
          <cell r="BB295">
            <v>908.53400000000204</v>
          </cell>
          <cell r="BD295">
            <v>567.83375000000126</v>
          </cell>
          <cell r="BF295">
            <v>567.83375000000126</v>
          </cell>
          <cell r="BG295">
            <v>7040.9250000000002</v>
          </cell>
          <cell r="BH295">
            <v>7040.9250000000002</v>
          </cell>
          <cell r="BI295">
            <v>5628.7749999999996</v>
          </cell>
          <cell r="BJ295">
            <v>5.5364999999999993</v>
          </cell>
          <cell r="BK295">
            <v>0</v>
          </cell>
          <cell r="BL295">
            <v>844.31624999999985</v>
          </cell>
          <cell r="BM295">
            <v>6473.0912499999995</v>
          </cell>
          <cell r="BN295">
            <v>5.5364999999999993</v>
          </cell>
          <cell r="BO295">
            <v>567.83375000000069</v>
          </cell>
          <cell r="BP295" t="str">
            <v>Y</v>
          </cell>
          <cell r="BQ295">
            <v>1</v>
          </cell>
          <cell r="BR295" t="str">
            <v>N</v>
          </cell>
          <cell r="BS295">
            <v>908.53400000000204</v>
          </cell>
          <cell r="BT295" t="str">
            <v>Done</v>
          </cell>
          <cell r="BU295">
            <v>152.5</v>
          </cell>
          <cell r="BV295">
            <v>2024</v>
          </cell>
        </row>
        <row r="296">
          <cell r="A296" t="str">
            <v>Lucknow</v>
          </cell>
          <cell r="B296" t="str">
            <v>Trust</v>
          </cell>
          <cell r="C296" t="str">
            <v>Mid Level</v>
          </cell>
          <cell r="D296" t="str">
            <v>Shashank Yadav</v>
          </cell>
          <cell r="E296" t="str">
            <v>Shashank Yadav</v>
          </cell>
          <cell r="H296" t="str">
            <v>Vivek Mani Upadhyay</v>
          </cell>
          <cell r="K296">
            <v>0</v>
          </cell>
          <cell r="L296" t="str">
            <v>Old</v>
          </cell>
          <cell r="M296">
            <v>45441</v>
          </cell>
          <cell r="N296">
            <v>2</v>
          </cell>
          <cell r="O296">
            <v>605</v>
          </cell>
          <cell r="P296">
            <v>45891</v>
          </cell>
          <cell r="Q296">
            <v>45806</v>
          </cell>
          <cell r="R296" t="str">
            <v>PLC-3807</v>
          </cell>
          <cell r="S296" t="str">
            <v>Kenneth A Balangue</v>
          </cell>
          <cell r="T296" t="str">
            <v>Individual</v>
          </cell>
          <cell r="U296" t="str">
            <v>W2</v>
          </cell>
          <cell r="V296" t="str">
            <v>HII-NNS</v>
          </cell>
          <cell r="W296">
            <v>36.909999999999997</v>
          </cell>
          <cell r="X296">
            <v>55.37</v>
          </cell>
          <cell r="Y296" t="str">
            <v>USD</v>
          </cell>
          <cell r="Z296">
            <v>46.17</v>
          </cell>
          <cell r="AA296">
            <v>69.209999999999994</v>
          </cell>
          <cell r="AB296">
            <v>0</v>
          </cell>
          <cell r="AC296">
            <v>0</v>
          </cell>
          <cell r="AD296">
            <v>45731</v>
          </cell>
          <cell r="AE296">
            <v>21</v>
          </cell>
          <cell r="AF296">
            <v>46022</v>
          </cell>
          <cell r="AG296">
            <v>42.446499999999993</v>
          </cell>
          <cell r="AH296">
            <v>63.675499999999992</v>
          </cell>
          <cell r="AI296">
            <v>42.446499999999993</v>
          </cell>
          <cell r="AJ296">
            <v>46.17</v>
          </cell>
          <cell r="AK296">
            <v>69.209999999999994</v>
          </cell>
          <cell r="AL296">
            <v>5.5345000000000013</v>
          </cell>
          <cell r="AM296">
            <v>3.7235000000000085</v>
          </cell>
          <cell r="AN296">
            <v>5.5345000000000013</v>
          </cell>
          <cell r="AO296">
            <v>3.7235000000000085</v>
          </cell>
          <cell r="AP296">
            <v>5.5345000000000013</v>
          </cell>
          <cell r="AQ296">
            <v>3.7235000000000085</v>
          </cell>
          <cell r="AR296" t="str">
            <v>HI125</v>
          </cell>
          <cell r="AS296">
            <v>0</v>
          </cell>
          <cell r="AT296">
            <v>147.5</v>
          </cell>
          <cell r="AU296">
            <v>147.5</v>
          </cell>
          <cell r="AV296">
            <v>0</v>
          </cell>
          <cell r="AW296">
            <v>549.2162500000012</v>
          </cell>
          <cell r="AX296">
            <v>549.2162500000012</v>
          </cell>
          <cell r="AY296">
            <v>549.2162500000012</v>
          </cell>
          <cell r="AZ296">
            <v>50</v>
          </cell>
          <cell r="BA296">
            <v>5.9576000000000136</v>
          </cell>
          <cell r="BB296">
            <v>878.74600000000203</v>
          </cell>
          <cell r="BD296">
            <v>549.2162500000012</v>
          </cell>
          <cell r="BF296">
            <v>549.2162500000012</v>
          </cell>
          <cell r="BG296">
            <v>6810.0749999999998</v>
          </cell>
          <cell r="BH296">
            <v>6810.0749999999998</v>
          </cell>
          <cell r="BI296">
            <v>5444.2249999999995</v>
          </cell>
          <cell r="BJ296">
            <v>5.5364999999999993</v>
          </cell>
          <cell r="BK296">
            <v>0</v>
          </cell>
          <cell r="BL296">
            <v>816.63374999999985</v>
          </cell>
          <cell r="BM296">
            <v>6260.8587499999994</v>
          </cell>
          <cell r="BN296">
            <v>5.5364999999999993</v>
          </cell>
          <cell r="BO296">
            <v>549.21625000000051</v>
          </cell>
          <cell r="BP296" t="str">
            <v>Y</v>
          </cell>
          <cell r="BQ296">
            <v>1</v>
          </cell>
          <cell r="BR296" t="str">
            <v>N</v>
          </cell>
          <cell r="BS296">
            <v>878.74600000000203</v>
          </cell>
          <cell r="BT296" t="str">
            <v>Done</v>
          </cell>
          <cell r="BU296">
            <v>147.5</v>
          </cell>
          <cell r="BV296">
            <v>2024</v>
          </cell>
        </row>
        <row r="297">
          <cell r="A297" t="str">
            <v>Lucknow</v>
          </cell>
          <cell r="B297" t="str">
            <v>Trust</v>
          </cell>
          <cell r="C297" t="str">
            <v>Mid Level</v>
          </cell>
          <cell r="D297" t="str">
            <v>Shashank Yadav</v>
          </cell>
          <cell r="E297" t="str">
            <v>Shashank Yadav</v>
          </cell>
          <cell r="H297" t="str">
            <v>Vivek Mani Upadhyay</v>
          </cell>
          <cell r="K297">
            <v>0</v>
          </cell>
          <cell r="L297" t="str">
            <v>Old</v>
          </cell>
          <cell r="M297">
            <v>45441</v>
          </cell>
          <cell r="N297">
            <v>2</v>
          </cell>
          <cell r="O297">
            <v>605</v>
          </cell>
          <cell r="P297">
            <v>45891</v>
          </cell>
          <cell r="Q297">
            <v>45806</v>
          </cell>
          <cell r="R297" t="str">
            <v>PLC-3807</v>
          </cell>
          <cell r="S297" t="str">
            <v>Kenneth A Balangue</v>
          </cell>
          <cell r="T297" t="str">
            <v>Individual</v>
          </cell>
          <cell r="U297" t="str">
            <v>W2</v>
          </cell>
          <cell r="V297" t="str">
            <v>HII-NNS</v>
          </cell>
          <cell r="W297">
            <v>36.909999999999997</v>
          </cell>
          <cell r="X297">
            <v>55.37</v>
          </cell>
          <cell r="Y297" t="str">
            <v>USD</v>
          </cell>
          <cell r="Z297">
            <v>46.17</v>
          </cell>
          <cell r="AA297">
            <v>69.209999999999994</v>
          </cell>
          <cell r="AB297">
            <v>0</v>
          </cell>
          <cell r="AC297">
            <v>0</v>
          </cell>
          <cell r="AD297">
            <v>45762</v>
          </cell>
          <cell r="AE297">
            <v>22</v>
          </cell>
          <cell r="AF297">
            <v>46022</v>
          </cell>
          <cell r="AG297">
            <v>42.446499999999993</v>
          </cell>
          <cell r="AH297">
            <v>63.675499999999992</v>
          </cell>
          <cell r="AI297">
            <v>42.446499999999993</v>
          </cell>
          <cell r="AJ297">
            <v>46.17</v>
          </cell>
          <cell r="AK297">
            <v>69.209999999999994</v>
          </cell>
          <cell r="AL297">
            <v>5.5345000000000013</v>
          </cell>
          <cell r="AM297">
            <v>3.7235000000000085</v>
          </cell>
          <cell r="AN297">
            <v>5.5345000000000013</v>
          </cell>
          <cell r="AO297">
            <v>3.7235000000000085</v>
          </cell>
          <cell r="AP297">
            <v>5.5345000000000013</v>
          </cell>
          <cell r="AQ297">
            <v>3.7235000000000085</v>
          </cell>
          <cell r="AR297" t="str">
            <v>HI126</v>
          </cell>
          <cell r="AS297">
            <v>0</v>
          </cell>
          <cell r="AT297">
            <v>160</v>
          </cell>
          <cell r="AU297">
            <v>160</v>
          </cell>
          <cell r="AV297">
            <v>0</v>
          </cell>
          <cell r="AW297">
            <v>595.76000000000136</v>
          </cell>
          <cell r="AX297">
            <v>595.76000000000136</v>
          </cell>
          <cell r="AY297">
            <v>595.76000000000136</v>
          </cell>
          <cell r="AZ297">
            <v>50</v>
          </cell>
          <cell r="BA297">
            <v>5.9576000000000136</v>
          </cell>
          <cell r="BB297">
            <v>953.21600000000217</v>
          </cell>
          <cell r="BD297">
            <v>595.76000000000136</v>
          </cell>
          <cell r="BF297">
            <v>595.76000000000136</v>
          </cell>
          <cell r="BG297">
            <v>7387.2000000000007</v>
          </cell>
          <cell r="BH297">
            <v>7387.2000000000007</v>
          </cell>
          <cell r="BI297">
            <v>5905.5999999999995</v>
          </cell>
          <cell r="BJ297">
            <v>5.5364999999999993</v>
          </cell>
          <cell r="BK297">
            <v>0</v>
          </cell>
          <cell r="BL297">
            <v>885.83999999999992</v>
          </cell>
          <cell r="BM297">
            <v>6791.44</v>
          </cell>
          <cell r="BN297">
            <v>5.5364999999999993</v>
          </cell>
          <cell r="BO297">
            <v>595.76000000000136</v>
          </cell>
          <cell r="BP297" t="str">
            <v>Y</v>
          </cell>
          <cell r="BQ297">
            <v>2</v>
          </cell>
          <cell r="BR297" t="str">
            <v>N</v>
          </cell>
          <cell r="BS297">
            <v>953.21600000000217</v>
          </cell>
          <cell r="BT297" t="str">
            <v>Done</v>
          </cell>
          <cell r="BU297">
            <v>160</v>
          </cell>
          <cell r="BV297">
            <v>2024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Nitin Saxena</v>
          </cell>
          <cell r="H298" t="str">
            <v>Hamza Ali</v>
          </cell>
          <cell r="J298" t="str">
            <v>ACH</v>
          </cell>
          <cell r="L298" t="str">
            <v>New</v>
          </cell>
          <cell r="M298">
            <v>45740</v>
          </cell>
          <cell r="N298">
            <v>1</v>
          </cell>
          <cell r="O298">
            <v>306</v>
          </cell>
          <cell r="P298">
            <v>46037</v>
          </cell>
          <cell r="Q298">
            <v>46105</v>
          </cell>
          <cell r="R298" t="str">
            <v>PLC-4190</v>
          </cell>
          <cell r="S298" t="str">
            <v>Keris Collier</v>
          </cell>
          <cell r="T298" t="str">
            <v>Individual</v>
          </cell>
          <cell r="U298">
            <v>1099</v>
          </cell>
          <cell r="V298" t="str">
            <v>Genpact</v>
          </cell>
          <cell r="W298">
            <v>21</v>
          </cell>
          <cell r="X298">
            <v>31.5</v>
          </cell>
          <cell r="Y298" t="str">
            <v>USD</v>
          </cell>
          <cell r="Z298">
            <v>28</v>
          </cell>
          <cell r="AA298">
            <v>42</v>
          </cell>
          <cell r="AB298">
            <v>0</v>
          </cell>
          <cell r="AC298">
            <v>0</v>
          </cell>
          <cell r="AD298">
            <v>45731</v>
          </cell>
          <cell r="AE298">
            <v>6</v>
          </cell>
          <cell r="AF298">
            <v>46022</v>
          </cell>
          <cell r="AG298">
            <v>22.470000000000002</v>
          </cell>
          <cell r="AH298">
            <v>33.705000000000005</v>
          </cell>
          <cell r="AI298">
            <v>22.470000000000002</v>
          </cell>
          <cell r="AJ298">
            <v>28</v>
          </cell>
          <cell r="AK298">
            <v>42</v>
          </cell>
          <cell r="AL298">
            <v>8.2949999999999946</v>
          </cell>
          <cell r="AM298">
            <v>5.5299999999999976</v>
          </cell>
          <cell r="AN298">
            <v>8.2949999999999946</v>
          </cell>
          <cell r="AO298">
            <v>5.5299999999999976</v>
          </cell>
          <cell r="AP298">
            <v>8.2949999999999946</v>
          </cell>
          <cell r="AQ298">
            <v>5.5299999999999976</v>
          </cell>
          <cell r="AR298" t="str">
            <v>US_24663</v>
          </cell>
          <cell r="AS298">
            <v>0</v>
          </cell>
          <cell r="AT298">
            <v>48</v>
          </cell>
          <cell r="AU298">
            <v>48</v>
          </cell>
          <cell r="AV298">
            <v>0</v>
          </cell>
          <cell r="AW298">
            <v>265.43999999999988</v>
          </cell>
          <cell r="AX298">
            <v>262.78559999999987</v>
          </cell>
          <cell r="AY298">
            <v>265.43999999999988</v>
          </cell>
          <cell r="AZ298">
            <v>250</v>
          </cell>
          <cell r="BA298">
            <v>8.8479999999999954</v>
          </cell>
          <cell r="BB298">
            <v>424.70399999999978</v>
          </cell>
          <cell r="BC298">
            <v>46</v>
          </cell>
          <cell r="BD298">
            <v>265.43999999999988</v>
          </cell>
          <cell r="BE298">
            <v>212.35199999999989</v>
          </cell>
          <cell r="BF298">
            <v>262.78559999999987</v>
          </cell>
          <cell r="BG298">
            <v>1344</v>
          </cell>
          <cell r="BH298">
            <v>1344</v>
          </cell>
          <cell r="BI298">
            <v>1008</v>
          </cell>
          <cell r="BJ298">
            <v>1.4700000000000002</v>
          </cell>
          <cell r="BK298">
            <v>0</v>
          </cell>
          <cell r="BL298">
            <v>70.56</v>
          </cell>
          <cell r="BM298">
            <v>1078.56</v>
          </cell>
          <cell r="BN298">
            <v>1.4700000000000002</v>
          </cell>
          <cell r="BO298">
            <v>265.44</v>
          </cell>
          <cell r="BP298" t="str">
            <v>Y</v>
          </cell>
          <cell r="BQ298">
            <v>1</v>
          </cell>
          <cell r="BR298" t="str">
            <v>Y</v>
          </cell>
          <cell r="BS298">
            <v>424.70399999999978</v>
          </cell>
          <cell r="BT298" t="str">
            <v>Done</v>
          </cell>
          <cell r="BU298">
            <v>48</v>
          </cell>
          <cell r="BV298">
            <v>2025</v>
          </cell>
        </row>
        <row r="299">
          <cell r="A299" t="str">
            <v>Lucknow</v>
          </cell>
          <cell r="B299" t="str">
            <v>Titans</v>
          </cell>
          <cell r="C299" t="str">
            <v>Mid Level</v>
          </cell>
          <cell r="D299" t="str">
            <v>Nitin Saxena</v>
          </cell>
          <cell r="E299" t="str">
            <v>Nitin Saxena</v>
          </cell>
          <cell r="H299" t="str">
            <v>Hamza Ali</v>
          </cell>
          <cell r="J299" t="str">
            <v>ACH</v>
          </cell>
          <cell r="L299" t="str">
            <v>New</v>
          </cell>
          <cell r="M299">
            <v>45740</v>
          </cell>
          <cell r="N299">
            <v>1</v>
          </cell>
          <cell r="O299">
            <v>306</v>
          </cell>
          <cell r="P299">
            <v>46037</v>
          </cell>
          <cell r="Q299">
            <v>46105</v>
          </cell>
          <cell r="R299" t="str">
            <v>PLC-4190</v>
          </cell>
          <cell r="S299" t="str">
            <v>Keris Collier</v>
          </cell>
          <cell r="T299" t="str">
            <v>Individual</v>
          </cell>
          <cell r="U299">
            <v>1099</v>
          </cell>
          <cell r="V299" t="str">
            <v>Genpact</v>
          </cell>
          <cell r="W299">
            <v>21</v>
          </cell>
          <cell r="X299">
            <v>31.5</v>
          </cell>
          <cell r="Y299" t="str">
            <v>USD</v>
          </cell>
          <cell r="Z299">
            <v>28</v>
          </cell>
          <cell r="AA299">
            <v>42</v>
          </cell>
          <cell r="AB299">
            <v>0</v>
          </cell>
          <cell r="AC299">
            <v>0</v>
          </cell>
          <cell r="AD299">
            <v>45762</v>
          </cell>
          <cell r="AE299">
            <v>22</v>
          </cell>
          <cell r="AF299">
            <v>46022</v>
          </cell>
          <cell r="AG299">
            <v>22.470000000000002</v>
          </cell>
          <cell r="AH299">
            <v>33.705000000000005</v>
          </cell>
          <cell r="AI299">
            <v>22.470000000000002</v>
          </cell>
          <cell r="AJ299">
            <v>28</v>
          </cell>
          <cell r="AK299">
            <v>42</v>
          </cell>
          <cell r="AL299">
            <v>8.2949999999999946</v>
          </cell>
          <cell r="AM299">
            <v>5.5299999999999976</v>
          </cell>
          <cell r="AN299">
            <v>8.2949999999999946</v>
          </cell>
          <cell r="AO299">
            <v>5.5299999999999976</v>
          </cell>
          <cell r="AP299">
            <v>8.2949999999999946</v>
          </cell>
          <cell r="AQ299">
            <v>5.5299999999999976</v>
          </cell>
          <cell r="AR299" t="str">
            <v>US_24868</v>
          </cell>
          <cell r="AS299">
            <v>0</v>
          </cell>
          <cell r="AT299">
            <v>140</v>
          </cell>
          <cell r="AU299">
            <v>140</v>
          </cell>
          <cell r="AV299">
            <v>0</v>
          </cell>
          <cell r="AW299">
            <v>774.1999999999997</v>
          </cell>
          <cell r="AX299">
            <v>766.45799999999974</v>
          </cell>
          <cell r="AY299">
            <v>774.1999999999997</v>
          </cell>
          <cell r="AZ299">
            <v>250</v>
          </cell>
          <cell r="BA299">
            <v>8.8479999999999954</v>
          </cell>
          <cell r="BB299">
            <v>1238.7199999999993</v>
          </cell>
          <cell r="BC299">
            <v>46</v>
          </cell>
          <cell r="BD299">
            <v>774.1999999999997</v>
          </cell>
          <cell r="BE299">
            <v>619.35999999999979</v>
          </cell>
          <cell r="BF299">
            <v>766.45799999999974</v>
          </cell>
          <cell r="BG299">
            <v>3920</v>
          </cell>
          <cell r="BH299">
            <v>3920</v>
          </cell>
          <cell r="BI299">
            <v>2940</v>
          </cell>
          <cell r="BJ299">
            <v>1.4700000000000002</v>
          </cell>
          <cell r="BK299">
            <v>0</v>
          </cell>
          <cell r="BL299">
            <v>205.80000000000004</v>
          </cell>
          <cell r="BM299">
            <v>3145.8</v>
          </cell>
          <cell r="BN299">
            <v>1.4700000000000002</v>
          </cell>
          <cell r="BO299">
            <v>774.19999999999993</v>
          </cell>
          <cell r="BP299" t="str">
            <v>Y</v>
          </cell>
          <cell r="BQ299">
            <v>2</v>
          </cell>
          <cell r="BR299" t="str">
            <v>Y</v>
          </cell>
          <cell r="BS299">
            <v>1238.7199999999993</v>
          </cell>
          <cell r="BT299" t="str">
            <v>Done</v>
          </cell>
          <cell r="BU299">
            <v>140</v>
          </cell>
          <cell r="BV299">
            <v>2025</v>
          </cell>
        </row>
        <row r="300">
          <cell r="A300" t="str">
            <v>Lucknow</v>
          </cell>
          <cell r="B300" t="str">
            <v>Mavericks</v>
          </cell>
          <cell r="C300" t="str">
            <v>Mid Level</v>
          </cell>
          <cell r="D300" t="str">
            <v>Kashif Nabi</v>
          </cell>
          <cell r="E300" t="str">
            <v>-</v>
          </cell>
          <cell r="F300" t="str">
            <v>-</v>
          </cell>
          <cell r="G300" t="str">
            <v>-</v>
          </cell>
          <cell r="H300" t="str">
            <v>Ubaid Rahman</v>
          </cell>
          <cell r="J300" t="str">
            <v>ACH</v>
          </cell>
          <cell r="K300" t="str">
            <v>-</v>
          </cell>
          <cell r="L300" t="str">
            <v>New</v>
          </cell>
          <cell r="M300">
            <v>45768</v>
          </cell>
          <cell r="N300">
            <v>2</v>
          </cell>
          <cell r="O300">
            <v>278</v>
          </cell>
          <cell r="P300">
            <v>45930</v>
          </cell>
          <cell r="Q300">
            <v>46133</v>
          </cell>
          <cell r="R300" t="str">
            <v>PLC-4186</v>
          </cell>
          <cell r="S300" t="str">
            <v>Kevin Scott Campbell</v>
          </cell>
          <cell r="T300" t="str">
            <v>Individual</v>
          </cell>
          <cell r="U300" t="str">
            <v>C2C</v>
          </cell>
          <cell r="V300" t="str">
            <v>GRI</v>
          </cell>
          <cell r="W300">
            <v>60</v>
          </cell>
          <cell r="X300">
            <v>0</v>
          </cell>
          <cell r="Y300" t="str">
            <v>USD</v>
          </cell>
          <cell r="Z300">
            <v>75</v>
          </cell>
          <cell r="AA300">
            <v>0</v>
          </cell>
          <cell r="AB300">
            <v>0</v>
          </cell>
          <cell r="AC300">
            <v>0</v>
          </cell>
          <cell r="AD300">
            <v>45762</v>
          </cell>
          <cell r="AE300">
            <v>8</v>
          </cell>
          <cell r="AF300">
            <v>46022</v>
          </cell>
          <cell r="AG300">
            <v>60</v>
          </cell>
          <cell r="AH300">
            <v>0</v>
          </cell>
          <cell r="AI300">
            <v>60</v>
          </cell>
          <cell r="AJ300">
            <v>73.215000000000003</v>
          </cell>
          <cell r="AK300">
            <v>0</v>
          </cell>
          <cell r="AL300">
            <v>0</v>
          </cell>
          <cell r="AM300">
            <v>13.215000000000003</v>
          </cell>
          <cell r="AN300">
            <v>0</v>
          </cell>
          <cell r="AO300">
            <v>13.215000000000003</v>
          </cell>
          <cell r="AP300">
            <v>0</v>
          </cell>
          <cell r="AQ300">
            <v>13.215000000000003</v>
          </cell>
          <cell r="AR300" t="str">
            <v>GRI074</v>
          </cell>
          <cell r="AS300">
            <v>0</v>
          </cell>
          <cell r="AT300">
            <v>136</v>
          </cell>
          <cell r="AU300">
            <v>136</v>
          </cell>
          <cell r="AV300">
            <v>0</v>
          </cell>
          <cell r="AW300">
            <v>1797.2400000000005</v>
          </cell>
          <cell r="AX300">
            <v>1779.2676000000004</v>
          </cell>
          <cell r="AY300">
            <v>1797.2400000000005</v>
          </cell>
          <cell r="AZ300">
            <v>100</v>
          </cell>
          <cell r="BA300">
            <v>21.144000000000005</v>
          </cell>
          <cell r="BB300">
            <v>2875.5840000000007</v>
          </cell>
          <cell r="BF300">
            <v>1779.2676000000004</v>
          </cell>
          <cell r="BG300">
            <v>10200</v>
          </cell>
          <cell r="BH300">
            <v>9957.24</v>
          </cell>
          <cell r="BI300">
            <v>8160</v>
          </cell>
          <cell r="BJ300">
            <v>0</v>
          </cell>
          <cell r="BK300">
            <v>0</v>
          </cell>
          <cell r="BL300">
            <v>0</v>
          </cell>
          <cell r="BM300">
            <v>8160</v>
          </cell>
          <cell r="BN300">
            <v>0</v>
          </cell>
          <cell r="BO300">
            <v>1797.2399999999998</v>
          </cell>
          <cell r="BP300" t="str">
            <v>Y</v>
          </cell>
          <cell r="BQ300">
            <v>2</v>
          </cell>
          <cell r="BR300" t="str">
            <v>Y</v>
          </cell>
          <cell r="BS300">
            <v>2875.5840000000007</v>
          </cell>
          <cell r="BT300" t="str">
            <v>Done</v>
          </cell>
          <cell r="BU300">
            <v>136</v>
          </cell>
          <cell r="BV300">
            <v>2025</v>
          </cell>
        </row>
        <row r="301">
          <cell r="A301" t="str">
            <v>Lucknow</v>
          </cell>
          <cell r="B301" t="str">
            <v>Vantedge</v>
          </cell>
          <cell r="C301" t="str">
            <v>Senior</v>
          </cell>
          <cell r="D301" t="str">
            <v>Mayank Saxena</v>
          </cell>
          <cell r="E301" t="str">
            <v>Rashmi Bhatnagar</v>
          </cell>
          <cell r="H301" t="str">
            <v>Shruti Shukla</v>
          </cell>
          <cell r="K301" t="str">
            <v>Richa Srivastava</v>
          </cell>
          <cell r="L301" t="str">
            <v>New</v>
          </cell>
          <cell r="M301">
            <v>45726</v>
          </cell>
          <cell r="N301">
            <v>1</v>
          </cell>
          <cell r="O301">
            <v>320</v>
          </cell>
          <cell r="P301" t="str">
            <v>-</v>
          </cell>
          <cell r="Q301">
            <v>46091</v>
          </cell>
          <cell r="S301" t="str">
            <v>Kishore Ramakrishnan</v>
          </cell>
          <cell r="T301" t="str">
            <v>Individual</v>
          </cell>
          <cell r="U301" t="str">
            <v>FTE</v>
          </cell>
          <cell r="V301" t="str">
            <v>Tredence</v>
          </cell>
          <cell r="W301">
            <v>0</v>
          </cell>
          <cell r="X301">
            <v>0</v>
          </cell>
          <cell r="Y301" t="str">
            <v>USD</v>
          </cell>
          <cell r="Z301">
            <v>12320</v>
          </cell>
          <cell r="AA301">
            <v>0</v>
          </cell>
          <cell r="AB301">
            <v>0</v>
          </cell>
          <cell r="AC301">
            <v>0</v>
          </cell>
          <cell r="AD301">
            <v>45731</v>
          </cell>
          <cell r="AE301">
            <v>1</v>
          </cell>
          <cell r="AF301">
            <v>46022</v>
          </cell>
          <cell r="AG301">
            <v>0</v>
          </cell>
          <cell r="AH301">
            <v>0</v>
          </cell>
          <cell r="AI301">
            <v>0</v>
          </cell>
          <cell r="AJ301">
            <v>12320</v>
          </cell>
          <cell r="AK301">
            <v>0</v>
          </cell>
          <cell r="AL301">
            <v>0</v>
          </cell>
          <cell r="AM301">
            <v>12320</v>
          </cell>
          <cell r="AN301">
            <v>0</v>
          </cell>
          <cell r="AO301">
            <v>12320</v>
          </cell>
          <cell r="AP301">
            <v>0</v>
          </cell>
          <cell r="AQ301">
            <v>12320</v>
          </cell>
          <cell r="AR301" t="str">
            <v>US_24720</v>
          </cell>
          <cell r="AS301">
            <v>0</v>
          </cell>
          <cell r="AT301">
            <v>1</v>
          </cell>
          <cell r="AU301">
            <v>1</v>
          </cell>
          <cell r="AV301">
            <v>0</v>
          </cell>
          <cell r="AW301">
            <v>12320</v>
          </cell>
          <cell r="AX301">
            <v>12320</v>
          </cell>
          <cell r="AY301">
            <v>12320</v>
          </cell>
          <cell r="AZ301">
            <v>0</v>
          </cell>
          <cell r="BA301">
            <v>0</v>
          </cell>
          <cell r="BB301">
            <v>0</v>
          </cell>
          <cell r="BC301">
            <v>82</v>
          </cell>
          <cell r="BD301">
            <v>12320</v>
          </cell>
          <cell r="BE301">
            <v>14784</v>
          </cell>
          <cell r="BF301">
            <v>12320</v>
          </cell>
          <cell r="BG301">
            <v>12320</v>
          </cell>
          <cell r="BH301">
            <v>12320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12320</v>
          </cell>
          <cell r="BP301" t="str">
            <v>Y</v>
          </cell>
          <cell r="BQ301">
            <v>1</v>
          </cell>
          <cell r="BR301" t="str">
            <v>Y</v>
          </cell>
          <cell r="BS301">
            <v>0</v>
          </cell>
          <cell r="BT301" t="str">
            <v>Done</v>
          </cell>
          <cell r="BU301">
            <v>0</v>
          </cell>
          <cell r="BV301">
            <v>2025</v>
          </cell>
        </row>
        <row r="302">
          <cell r="A302" t="str">
            <v>Lucknow</v>
          </cell>
          <cell r="B302" t="str">
            <v>RPO</v>
          </cell>
          <cell r="C302" t="str">
            <v>Mid Level</v>
          </cell>
          <cell r="D302" t="str">
            <v>Ankit Pandey</v>
          </cell>
          <cell r="E302" t="str">
            <v>-</v>
          </cell>
          <cell r="H302" t="str">
            <v>Vanshika Srivastava</v>
          </cell>
          <cell r="K302" t="str">
            <v>Ankit Pandey</v>
          </cell>
          <cell r="L302" t="str">
            <v>New</v>
          </cell>
          <cell r="M302">
            <v>45663</v>
          </cell>
          <cell r="N302">
            <v>1</v>
          </cell>
          <cell r="O302">
            <v>383</v>
          </cell>
          <cell r="P302" t="str">
            <v>-</v>
          </cell>
          <cell r="Q302">
            <v>46028</v>
          </cell>
          <cell r="R302" t="str">
            <v>PLC-4087</v>
          </cell>
          <cell r="S302" t="str">
            <v>Krishna Mohan Bolineni</v>
          </cell>
          <cell r="T302" t="str">
            <v>Individual</v>
          </cell>
          <cell r="U302" t="str">
            <v>FTE</v>
          </cell>
          <cell r="V302" t="str">
            <v>GPC RPO</v>
          </cell>
          <cell r="W302">
            <v>0</v>
          </cell>
          <cell r="X302">
            <v>0</v>
          </cell>
          <cell r="Y302" t="str">
            <v>USD</v>
          </cell>
          <cell r="Z302">
            <v>3000</v>
          </cell>
          <cell r="AA302">
            <v>0</v>
          </cell>
          <cell r="AB302">
            <v>0</v>
          </cell>
          <cell r="AC302">
            <v>0</v>
          </cell>
          <cell r="AD302">
            <v>45672</v>
          </cell>
          <cell r="AE302">
            <v>1</v>
          </cell>
          <cell r="AF302">
            <v>46022</v>
          </cell>
          <cell r="AG302">
            <v>0</v>
          </cell>
          <cell r="AH302">
            <v>0</v>
          </cell>
          <cell r="AI302">
            <v>0</v>
          </cell>
          <cell r="AJ302">
            <v>3000</v>
          </cell>
          <cell r="AK302">
            <v>0</v>
          </cell>
          <cell r="AL302">
            <v>0</v>
          </cell>
          <cell r="AM302">
            <v>3000</v>
          </cell>
          <cell r="AN302">
            <v>0</v>
          </cell>
          <cell r="AO302">
            <v>3000</v>
          </cell>
          <cell r="AP302">
            <v>0</v>
          </cell>
          <cell r="AQ302">
            <v>3000</v>
          </cell>
          <cell r="AR302" t="str">
            <v>US_24188</v>
          </cell>
          <cell r="AS302">
            <v>0</v>
          </cell>
          <cell r="AT302">
            <v>1</v>
          </cell>
          <cell r="AU302">
            <v>1</v>
          </cell>
          <cell r="AV302">
            <v>0</v>
          </cell>
          <cell r="AW302">
            <v>3000</v>
          </cell>
          <cell r="AX302">
            <v>3000</v>
          </cell>
          <cell r="AY302">
            <v>3000</v>
          </cell>
          <cell r="AZ302">
            <v>0</v>
          </cell>
          <cell r="BA302">
            <v>0</v>
          </cell>
          <cell r="BB302">
            <v>0</v>
          </cell>
          <cell r="BF302">
            <v>3000</v>
          </cell>
          <cell r="BG302">
            <v>3000</v>
          </cell>
          <cell r="BH302">
            <v>3000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3000</v>
          </cell>
          <cell r="BP302" t="str">
            <v>Y</v>
          </cell>
          <cell r="BQ302">
            <v>1</v>
          </cell>
          <cell r="BR302" t="str">
            <v>Y</v>
          </cell>
          <cell r="BS302">
            <v>0</v>
          </cell>
          <cell r="BT302" t="str">
            <v>Done</v>
          </cell>
          <cell r="BU302">
            <v>0</v>
          </cell>
          <cell r="BV302">
            <v>2025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Mohammad Fakhrul</v>
          </cell>
          <cell r="E303" t="str">
            <v>-</v>
          </cell>
          <cell r="H303" t="str">
            <v>Vaibhav Kumar</v>
          </cell>
          <cell r="L303" t="str">
            <v>New</v>
          </cell>
          <cell r="M303">
            <v>45698</v>
          </cell>
          <cell r="N303">
            <v>1</v>
          </cell>
          <cell r="O303">
            <v>348</v>
          </cell>
          <cell r="P303">
            <v>45838</v>
          </cell>
          <cell r="Q303">
            <v>46063</v>
          </cell>
          <cell r="R303" t="str">
            <v>PLC-4114</v>
          </cell>
          <cell r="S303" t="str">
            <v>Krishna Priya Gadiraju</v>
          </cell>
          <cell r="T303" t="str">
            <v>Individual</v>
          </cell>
          <cell r="U303" t="str">
            <v>W2</v>
          </cell>
          <cell r="V303" t="str">
            <v>Quess GTS</v>
          </cell>
          <cell r="W303">
            <v>60</v>
          </cell>
          <cell r="X303">
            <v>0</v>
          </cell>
          <cell r="Y303" t="str">
            <v>USD</v>
          </cell>
          <cell r="Z303">
            <v>80</v>
          </cell>
          <cell r="AA303">
            <v>0</v>
          </cell>
          <cell r="AB303">
            <v>0</v>
          </cell>
          <cell r="AC303">
            <v>0</v>
          </cell>
          <cell r="AD303">
            <v>45703</v>
          </cell>
          <cell r="AE303">
            <v>15</v>
          </cell>
          <cell r="AF303">
            <v>46022</v>
          </cell>
          <cell r="AG303">
            <v>69</v>
          </cell>
          <cell r="AH303">
            <v>0</v>
          </cell>
          <cell r="AI303">
            <v>69</v>
          </cell>
          <cell r="AJ303">
            <v>80</v>
          </cell>
          <cell r="AK303">
            <v>0</v>
          </cell>
          <cell r="AL303">
            <v>0</v>
          </cell>
          <cell r="AM303">
            <v>11</v>
          </cell>
          <cell r="AN303">
            <v>0</v>
          </cell>
          <cell r="AO303">
            <v>11</v>
          </cell>
          <cell r="AP303">
            <v>0</v>
          </cell>
          <cell r="AQ303">
            <v>11</v>
          </cell>
          <cell r="AR303" t="str">
            <v>US_24352</v>
          </cell>
          <cell r="AS303">
            <v>0</v>
          </cell>
          <cell r="AT303">
            <v>112</v>
          </cell>
          <cell r="AU303">
            <v>112</v>
          </cell>
          <cell r="AV303">
            <v>0</v>
          </cell>
          <cell r="AW303">
            <v>1232</v>
          </cell>
          <cell r="AX303">
            <v>1232</v>
          </cell>
          <cell r="AY303">
            <v>1232</v>
          </cell>
          <cell r="AZ303">
            <v>37.5</v>
          </cell>
          <cell r="BA303">
            <v>13.2</v>
          </cell>
          <cell r="BB303">
            <v>1478.3999999999999</v>
          </cell>
          <cell r="BF303">
            <v>1232</v>
          </cell>
          <cell r="BG303">
            <v>8960</v>
          </cell>
          <cell r="BH303">
            <v>8960</v>
          </cell>
          <cell r="BI303">
            <v>6720</v>
          </cell>
          <cell r="BJ303">
            <v>9</v>
          </cell>
          <cell r="BK303">
            <v>0</v>
          </cell>
          <cell r="BL303">
            <v>1008</v>
          </cell>
          <cell r="BM303">
            <v>7728</v>
          </cell>
          <cell r="BN303">
            <v>9</v>
          </cell>
          <cell r="BO303">
            <v>1232</v>
          </cell>
          <cell r="BP303" t="str">
            <v>Y</v>
          </cell>
          <cell r="BQ303">
            <v>1</v>
          </cell>
          <cell r="BR303" t="str">
            <v>Y</v>
          </cell>
          <cell r="BS303">
            <v>1478.3999999999999</v>
          </cell>
          <cell r="BT303" t="str">
            <v>Done</v>
          </cell>
          <cell r="BU303">
            <v>112</v>
          </cell>
          <cell r="BV303">
            <v>2025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H304" t="str">
            <v>Vaibhav Kumar</v>
          </cell>
          <cell r="L304" t="str">
            <v>New</v>
          </cell>
          <cell r="M304">
            <v>45698</v>
          </cell>
          <cell r="N304">
            <v>1</v>
          </cell>
          <cell r="O304">
            <v>348</v>
          </cell>
          <cell r="P304">
            <v>45838</v>
          </cell>
          <cell r="Q304">
            <v>46063</v>
          </cell>
          <cell r="R304" t="str">
            <v>PLC-4114</v>
          </cell>
          <cell r="S304" t="str">
            <v>Krishna Priya Gadiraju</v>
          </cell>
          <cell r="T304" t="str">
            <v>Individual</v>
          </cell>
          <cell r="U304" t="str">
            <v>W2</v>
          </cell>
          <cell r="V304" t="str">
            <v>Quess GTS</v>
          </cell>
          <cell r="W304">
            <v>60</v>
          </cell>
          <cell r="X304">
            <v>0</v>
          </cell>
          <cell r="Y304" t="str">
            <v>USD</v>
          </cell>
          <cell r="Z304">
            <v>80</v>
          </cell>
          <cell r="AA304">
            <v>0</v>
          </cell>
          <cell r="AB304">
            <v>0</v>
          </cell>
          <cell r="AC304">
            <v>0</v>
          </cell>
          <cell r="AD304">
            <v>45731</v>
          </cell>
          <cell r="AE304">
            <v>21</v>
          </cell>
          <cell r="AF304">
            <v>46022</v>
          </cell>
          <cell r="AG304">
            <v>69</v>
          </cell>
          <cell r="AH304">
            <v>0</v>
          </cell>
          <cell r="AI304">
            <v>69</v>
          </cell>
          <cell r="AJ304">
            <v>80</v>
          </cell>
          <cell r="AK304">
            <v>0</v>
          </cell>
          <cell r="AL304">
            <v>0</v>
          </cell>
          <cell r="AM304">
            <v>11</v>
          </cell>
          <cell r="AN304">
            <v>0</v>
          </cell>
          <cell r="AO304">
            <v>11</v>
          </cell>
          <cell r="AP304">
            <v>0</v>
          </cell>
          <cell r="AQ304">
            <v>11</v>
          </cell>
          <cell r="AR304" t="str">
            <v>US_24549</v>
          </cell>
          <cell r="AS304">
            <v>0</v>
          </cell>
          <cell r="AT304">
            <v>120</v>
          </cell>
          <cell r="AU304">
            <v>120</v>
          </cell>
          <cell r="AV304">
            <v>0</v>
          </cell>
          <cell r="AW304">
            <v>1320</v>
          </cell>
          <cell r="AX304">
            <v>1320</v>
          </cell>
          <cell r="AY304">
            <v>1320</v>
          </cell>
          <cell r="AZ304">
            <v>37.5</v>
          </cell>
          <cell r="BA304">
            <v>13.2</v>
          </cell>
          <cell r="BB304">
            <v>1584</v>
          </cell>
          <cell r="BF304">
            <v>1320</v>
          </cell>
          <cell r="BG304">
            <v>9600</v>
          </cell>
          <cell r="BH304">
            <v>9600</v>
          </cell>
          <cell r="BI304">
            <v>7200</v>
          </cell>
          <cell r="BJ304">
            <v>9</v>
          </cell>
          <cell r="BK304">
            <v>0</v>
          </cell>
          <cell r="BL304">
            <v>1080</v>
          </cell>
          <cell r="BM304">
            <v>8280</v>
          </cell>
          <cell r="BN304">
            <v>9</v>
          </cell>
          <cell r="BO304">
            <v>1320</v>
          </cell>
          <cell r="BP304" t="str">
            <v>Y</v>
          </cell>
          <cell r="BQ304">
            <v>1</v>
          </cell>
          <cell r="BR304" t="str">
            <v>Y</v>
          </cell>
          <cell r="BS304">
            <v>1584</v>
          </cell>
          <cell r="BT304" t="str">
            <v>Done</v>
          </cell>
          <cell r="BU304">
            <v>120</v>
          </cell>
          <cell r="BV304">
            <v>2025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H305" t="str">
            <v>Vaibhav Kumar</v>
          </cell>
          <cell r="L305" t="str">
            <v>New</v>
          </cell>
          <cell r="M305">
            <v>45698</v>
          </cell>
          <cell r="N305">
            <v>1</v>
          </cell>
          <cell r="O305">
            <v>348</v>
          </cell>
          <cell r="P305">
            <v>45838</v>
          </cell>
          <cell r="Q305">
            <v>46063</v>
          </cell>
          <cell r="R305" t="str">
            <v>PLC-4114</v>
          </cell>
          <cell r="S305" t="str">
            <v>Krishna Priya Gadiraju</v>
          </cell>
          <cell r="T305" t="str">
            <v>Individual</v>
          </cell>
          <cell r="U305" t="str">
            <v>W2</v>
          </cell>
          <cell r="V305" t="str">
            <v>Quess GTS</v>
          </cell>
          <cell r="W305">
            <v>60</v>
          </cell>
          <cell r="X305">
            <v>0</v>
          </cell>
          <cell r="Y305" t="str">
            <v>USD</v>
          </cell>
          <cell r="Z305">
            <v>80</v>
          </cell>
          <cell r="AA305">
            <v>0</v>
          </cell>
          <cell r="AB305">
            <v>0</v>
          </cell>
          <cell r="AC305">
            <v>0</v>
          </cell>
          <cell r="AD305">
            <v>45762</v>
          </cell>
          <cell r="AE305">
            <v>22</v>
          </cell>
          <cell r="AF305">
            <v>46022</v>
          </cell>
          <cell r="AG305">
            <v>69</v>
          </cell>
          <cell r="AH305">
            <v>0</v>
          </cell>
          <cell r="AI305">
            <v>69</v>
          </cell>
          <cell r="AJ305">
            <v>80</v>
          </cell>
          <cell r="AK305">
            <v>0</v>
          </cell>
          <cell r="AL305">
            <v>0</v>
          </cell>
          <cell r="AM305">
            <v>11</v>
          </cell>
          <cell r="AN305">
            <v>0</v>
          </cell>
          <cell r="AO305">
            <v>11</v>
          </cell>
          <cell r="AP305">
            <v>0</v>
          </cell>
          <cell r="AQ305">
            <v>11</v>
          </cell>
          <cell r="AR305" t="str">
            <v>US_24766</v>
          </cell>
          <cell r="AS305">
            <v>0</v>
          </cell>
          <cell r="AT305">
            <v>176</v>
          </cell>
          <cell r="AU305">
            <v>176</v>
          </cell>
          <cell r="AV305">
            <v>0</v>
          </cell>
          <cell r="AW305">
            <v>1936</v>
          </cell>
          <cell r="AX305">
            <v>1936</v>
          </cell>
          <cell r="AY305">
            <v>1936</v>
          </cell>
          <cell r="AZ305">
            <v>37.5</v>
          </cell>
          <cell r="BA305">
            <v>13.2</v>
          </cell>
          <cell r="BB305">
            <v>2323.1999999999998</v>
          </cell>
          <cell r="BF305">
            <v>1936</v>
          </cell>
          <cell r="BG305">
            <v>14080</v>
          </cell>
          <cell r="BH305">
            <v>14080</v>
          </cell>
          <cell r="BI305">
            <v>10560</v>
          </cell>
          <cell r="BJ305">
            <v>9</v>
          </cell>
          <cell r="BK305">
            <v>0</v>
          </cell>
          <cell r="BL305">
            <v>1584</v>
          </cell>
          <cell r="BM305">
            <v>12144</v>
          </cell>
          <cell r="BN305">
            <v>9</v>
          </cell>
          <cell r="BO305">
            <v>1936</v>
          </cell>
          <cell r="BP305" t="str">
            <v>Y</v>
          </cell>
          <cell r="BQ305">
            <v>2</v>
          </cell>
          <cell r="BR305" t="str">
            <v>N</v>
          </cell>
          <cell r="BS305">
            <v>2323.1999999999998</v>
          </cell>
          <cell r="BT305" t="str">
            <v>Done</v>
          </cell>
          <cell r="BU305">
            <v>176</v>
          </cell>
          <cell r="BV305">
            <v>2025</v>
          </cell>
        </row>
        <row r="306">
          <cell r="A306" t="str">
            <v>Lucknow</v>
          </cell>
          <cell r="B306" t="str">
            <v>TRUST</v>
          </cell>
          <cell r="C306" t="str">
            <v>Mid Level</v>
          </cell>
          <cell r="D306" t="str">
            <v>Bhanu Pratap Singh</v>
          </cell>
          <cell r="E306" t="str">
            <v>-</v>
          </cell>
          <cell r="H306" t="str">
            <v>Sarfaraz Azam Ansari</v>
          </cell>
          <cell r="K306" t="str">
            <v>Sarfaraz Azam Ansari</v>
          </cell>
          <cell r="L306" t="str">
            <v>New</v>
          </cell>
          <cell r="M306">
            <v>45691</v>
          </cell>
          <cell r="N306">
            <v>1</v>
          </cell>
          <cell r="O306">
            <v>355</v>
          </cell>
          <cell r="P306" t="str">
            <v>-</v>
          </cell>
          <cell r="Q306">
            <v>46056</v>
          </cell>
          <cell r="R306" t="str">
            <v>PLC-4111</v>
          </cell>
          <cell r="S306" t="str">
            <v>Kshipra Jawdekar</v>
          </cell>
          <cell r="T306" t="str">
            <v>Individual</v>
          </cell>
          <cell r="U306" t="str">
            <v>FTE</v>
          </cell>
          <cell r="V306" t="str">
            <v>Infosys</v>
          </cell>
          <cell r="W306">
            <v>0</v>
          </cell>
          <cell r="X306">
            <v>0</v>
          </cell>
          <cell r="Y306" t="str">
            <v>USD</v>
          </cell>
          <cell r="Z306">
            <v>3500</v>
          </cell>
          <cell r="AA306">
            <v>0</v>
          </cell>
          <cell r="AB306">
            <v>0</v>
          </cell>
          <cell r="AC306">
            <v>0</v>
          </cell>
          <cell r="AD306">
            <v>45703</v>
          </cell>
          <cell r="AE306">
            <v>1</v>
          </cell>
          <cell r="AF306">
            <v>46022</v>
          </cell>
          <cell r="AG306">
            <v>0</v>
          </cell>
          <cell r="AH306">
            <v>0</v>
          </cell>
          <cell r="AI306">
            <v>0</v>
          </cell>
          <cell r="AJ306">
            <v>3500</v>
          </cell>
          <cell r="AK306">
            <v>0</v>
          </cell>
          <cell r="AL306">
            <v>0</v>
          </cell>
          <cell r="AM306">
            <v>3500</v>
          </cell>
          <cell r="AN306">
            <v>0</v>
          </cell>
          <cell r="AO306">
            <v>3500</v>
          </cell>
          <cell r="AP306">
            <v>0</v>
          </cell>
          <cell r="AQ306">
            <v>3500</v>
          </cell>
          <cell r="AR306" t="str">
            <v>US_24724</v>
          </cell>
          <cell r="AS306">
            <v>0</v>
          </cell>
          <cell r="AT306">
            <v>1</v>
          </cell>
          <cell r="AU306">
            <v>1</v>
          </cell>
          <cell r="AV306">
            <v>0</v>
          </cell>
          <cell r="AW306">
            <v>3500</v>
          </cell>
          <cell r="AX306">
            <v>3500</v>
          </cell>
          <cell r="AY306">
            <v>3500</v>
          </cell>
          <cell r="AZ306">
            <v>0</v>
          </cell>
          <cell r="BA306">
            <v>0</v>
          </cell>
          <cell r="BB306">
            <v>0</v>
          </cell>
          <cell r="BF306">
            <v>3500</v>
          </cell>
          <cell r="BG306">
            <v>3500</v>
          </cell>
          <cell r="BH306">
            <v>3500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3500</v>
          </cell>
          <cell r="BP306" t="str">
            <v>Y</v>
          </cell>
          <cell r="BQ306">
            <v>1</v>
          </cell>
          <cell r="BR306" t="str">
            <v>Y</v>
          </cell>
          <cell r="BS306">
            <v>0</v>
          </cell>
          <cell r="BT306" t="str">
            <v>Done</v>
          </cell>
          <cell r="BU306">
            <v>0</v>
          </cell>
          <cell r="BV306">
            <v>2025</v>
          </cell>
        </row>
        <row r="307">
          <cell r="A307" t="str">
            <v>Lucknow</v>
          </cell>
          <cell r="B307" t="str">
            <v>Mavericks</v>
          </cell>
          <cell r="C307" t="str">
            <v>Mid Level</v>
          </cell>
          <cell r="D307" t="str">
            <v>Kashif Nabi</v>
          </cell>
          <cell r="E307" t="str">
            <v>-</v>
          </cell>
          <cell r="H307" t="str">
            <v>Pass Through</v>
          </cell>
          <cell r="J307" t="str">
            <v>ACH</v>
          </cell>
          <cell r="L307" t="str">
            <v>New</v>
          </cell>
          <cell r="M307">
            <v>45736</v>
          </cell>
          <cell r="N307">
            <v>1</v>
          </cell>
          <cell r="O307">
            <v>310</v>
          </cell>
          <cell r="P307">
            <v>45779</v>
          </cell>
          <cell r="Q307">
            <v>46101</v>
          </cell>
          <cell r="S307" t="str">
            <v>Kunal Khanna</v>
          </cell>
          <cell r="T307" t="str">
            <v>Individual</v>
          </cell>
          <cell r="U307">
            <v>1099</v>
          </cell>
          <cell r="V307" t="str">
            <v>GRI</v>
          </cell>
          <cell r="W307">
            <v>102</v>
          </cell>
          <cell r="X307">
            <v>0</v>
          </cell>
          <cell r="Y307" t="str">
            <v>USD</v>
          </cell>
          <cell r="Z307">
            <v>120</v>
          </cell>
          <cell r="AA307">
            <v>0</v>
          </cell>
          <cell r="AB307">
            <v>0</v>
          </cell>
          <cell r="AC307">
            <v>0</v>
          </cell>
          <cell r="AD307">
            <v>45731</v>
          </cell>
          <cell r="AE307">
            <v>8</v>
          </cell>
          <cell r="AF307">
            <v>46022</v>
          </cell>
          <cell r="AG307">
            <v>109.14</v>
          </cell>
          <cell r="AH307">
            <v>0</v>
          </cell>
          <cell r="AI307">
            <v>109.14</v>
          </cell>
          <cell r="AJ307">
            <v>117.14399999999999</v>
          </cell>
          <cell r="AK307">
            <v>0</v>
          </cell>
          <cell r="AL307">
            <v>0</v>
          </cell>
          <cell r="AM307">
            <v>8.0039999999999907</v>
          </cell>
          <cell r="AN307">
            <v>0</v>
          </cell>
          <cell r="AO307">
            <v>8.0039999999999907</v>
          </cell>
          <cell r="AP307">
            <v>0</v>
          </cell>
          <cell r="AQ307">
            <v>8.0039999999999907</v>
          </cell>
          <cell r="AR307" t="str">
            <v>GRI080</v>
          </cell>
          <cell r="AS307">
            <v>0</v>
          </cell>
          <cell r="AT307">
            <v>64</v>
          </cell>
          <cell r="AU307">
            <v>64</v>
          </cell>
          <cell r="AV307">
            <v>0</v>
          </cell>
          <cell r="AW307">
            <v>512.2559999999994</v>
          </cell>
          <cell r="AX307">
            <v>507.13343999999938</v>
          </cell>
          <cell r="AY307">
            <v>512.2559999999994</v>
          </cell>
          <cell r="AZ307">
            <v>0</v>
          </cell>
          <cell r="BA307">
            <v>0</v>
          </cell>
          <cell r="BB307">
            <v>0</v>
          </cell>
          <cell r="BF307">
            <v>507.13343999999938</v>
          </cell>
          <cell r="BG307">
            <v>7680</v>
          </cell>
          <cell r="BH307">
            <v>7497.2159999999994</v>
          </cell>
          <cell r="BI307">
            <v>6528</v>
          </cell>
          <cell r="BJ307">
            <v>7.1400000000000006</v>
          </cell>
          <cell r="BK307">
            <v>0</v>
          </cell>
          <cell r="BL307">
            <v>456.96000000000004</v>
          </cell>
          <cell r="BM307">
            <v>6984.96</v>
          </cell>
          <cell r="BN307">
            <v>7.1400000000000006</v>
          </cell>
          <cell r="BO307">
            <v>512.2559999999994</v>
          </cell>
          <cell r="BP307" t="str">
            <v>Y</v>
          </cell>
          <cell r="BQ307">
            <v>1</v>
          </cell>
          <cell r="BR307" t="str">
            <v>Y</v>
          </cell>
          <cell r="BS307">
            <v>0</v>
          </cell>
          <cell r="BT307" t="str">
            <v>Done</v>
          </cell>
          <cell r="BU307">
            <v>64</v>
          </cell>
          <cell r="BV307">
            <v>2025</v>
          </cell>
        </row>
        <row r="308">
          <cell r="A308" t="str">
            <v>Lucknow</v>
          </cell>
          <cell r="B308" t="str">
            <v>Mavericks</v>
          </cell>
          <cell r="C308" t="str">
            <v>Mid Level</v>
          </cell>
          <cell r="D308" t="str">
            <v>Kashif Nabi</v>
          </cell>
          <cell r="E308" t="str">
            <v>-</v>
          </cell>
          <cell r="H308" t="str">
            <v>Pass Through</v>
          </cell>
          <cell r="J308" t="str">
            <v>ACH</v>
          </cell>
          <cell r="L308" t="str">
            <v>New</v>
          </cell>
          <cell r="M308">
            <v>45736</v>
          </cell>
          <cell r="N308">
            <v>1</v>
          </cell>
          <cell r="O308">
            <v>310</v>
          </cell>
          <cell r="P308">
            <v>45779</v>
          </cell>
          <cell r="Q308">
            <v>46101</v>
          </cell>
          <cell r="S308" t="str">
            <v>Kunal Khanna</v>
          </cell>
          <cell r="T308" t="str">
            <v>Individual</v>
          </cell>
          <cell r="U308">
            <v>1099</v>
          </cell>
          <cell r="V308" t="str">
            <v>GRI</v>
          </cell>
          <cell r="W308">
            <v>102</v>
          </cell>
          <cell r="X308">
            <v>0</v>
          </cell>
          <cell r="Y308" t="str">
            <v>USD</v>
          </cell>
          <cell r="Z308">
            <v>120</v>
          </cell>
          <cell r="AA308">
            <v>0</v>
          </cell>
          <cell r="AB308">
            <v>0</v>
          </cell>
          <cell r="AC308">
            <v>0</v>
          </cell>
          <cell r="AD308">
            <v>45762</v>
          </cell>
          <cell r="AE308">
            <v>22</v>
          </cell>
          <cell r="AF308">
            <v>46022</v>
          </cell>
          <cell r="AG308">
            <v>109.14</v>
          </cell>
          <cell r="AH308">
            <v>0</v>
          </cell>
          <cell r="AI308">
            <v>109.14</v>
          </cell>
          <cell r="AJ308">
            <v>117.14399999999999</v>
          </cell>
          <cell r="AK308">
            <v>0</v>
          </cell>
          <cell r="AL308">
            <v>0</v>
          </cell>
          <cell r="AM308">
            <v>8.0039999999999907</v>
          </cell>
          <cell r="AN308">
            <v>0</v>
          </cell>
          <cell r="AO308">
            <v>8.0039999999999907</v>
          </cell>
          <cell r="AP308">
            <v>0</v>
          </cell>
          <cell r="AQ308">
            <v>8.0039999999999907</v>
          </cell>
          <cell r="AR308" t="str">
            <v>GRI081</v>
          </cell>
          <cell r="AS308">
            <v>0</v>
          </cell>
          <cell r="AT308">
            <v>168</v>
          </cell>
          <cell r="AU308">
            <v>168</v>
          </cell>
          <cell r="AV308">
            <v>0</v>
          </cell>
          <cell r="AW308">
            <v>1344.6719999999984</v>
          </cell>
          <cell r="AX308">
            <v>1331.2252799999985</v>
          </cell>
          <cell r="AY308">
            <v>1344.6719999999984</v>
          </cell>
          <cell r="AZ308">
            <v>0</v>
          </cell>
          <cell r="BA308">
            <v>0</v>
          </cell>
          <cell r="BB308">
            <v>0</v>
          </cell>
          <cell r="BF308">
            <v>1331.2252799999985</v>
          </cell>
          <cell r="BG308">
            <v>20160</v>
          </cell>
          <cell r="BH308">
            <v>19680.191999999999</v>
          </cell>
          <cell r="BI308">
            <v>17136</v>
          </cell>
          <cell r="BJ308">
            <v>7.1400000000000006</v>
          </cell>
          <cell r="BK308">
            <v>0</v>
          </cell>
          <cell r="BL308">
            <v>1199.52</v>
          </cell>
          <cell r="BM308">
            <v>18335.52</v>
          </cell>
          <cell r="BN308">
            <v>7.1400000000000006</v>
          </cell>
          <cell r="BO308">
            <v>1344.6719999999991</v>
          </cell>
          <cell r="BP308" t="str">
            <v>Y</v>
          </cell>
          <cell r="BQ308">
            <v>2</v>
          </cell>
          <cell r="BR308" t="str">
            <v>Y</v>
          </cell>
          <cell r="BS308">
            <v>0</v>
          </cell>
          <cell r="BT308" t="str">
            <v>Done</v>
          </cell>
          <cell r="BU308">
            <v>168</v>
          </cell>
          <cell r="BV308">
            <v>2025</v>
          </cell>
        </row>
        <row r="309">
          <cell r="A309" t="str">
            <v>Lucknow</v>
          </cell>
          <cell r="B309" t="str">
            <v>RPO</v>
          </cell>
          <cell r="C309" t="str">
            <v>Mid Level</v>
          </cell>
          <cell r="D309" t="str">
            <v>Ankit Pandey</v>
          </cell>
          <cell r="E309" t="str">
            <v>-</v>
          </cell>
          <cell r="H309" t="str">
            <v>Sagar Chandani</v>
          </cell>
          <cell r="K309" t="str">
            <v>Ankit Pandey</v>
          </cell>
          <cell r="L309" t="str">
            <v>New</v>
          </cell>
          <cell r="M309">
            <v>45663</v>
          </cell>
          <cell r="N309">
            <v>1</v>
          </cell>
          <cell r="O309">
            <v>383</v>
          </cell>
          <cell r="P309" t="str">
            <v>-</v>
          </cell>
          <cell r="Q309">
            <v>46028</v>
          </cell>
          <cell r="R309" t="str">
            <v>PLC-4090</v>
          </cell>
          <cell r="S309" t="str">
            <v>Kyle Nichols</v>
          </cell>
          <cell r="T309" t="str">
            <v>Individual</v>
          </cell>
          <cell r="U309" t="str">
            <v>FTE</v>
          </cell>
          <cell r="V309" t="str">
            <v>GPC RPO</v>
          </cell>
          <cell r="W309">
            <v>0</v>
          </cell>
          <cell r="X309">
            <v>0</v>
          </cell>
          <cell r="Y309" t="str">
            <v>USD</v>
          </cell>
          <cell r="Z309">
            <v>300</v>
          </cell>
          <cell r="AA309">
            <v>0</v>
          </cell>
          <cell r="AB309">
            <v>0</v>
          </cell>
          <cell r="AC309">
            <v>0</v>
          </cell>
          <cell r="AD309">
            <v>45672</v>
          </cell>
          <cell r="AE309">
            <v>1</v>
          </cell>
          <cell r="AF309">
            <v>46022</v>
          </cell>
          <cell r="AG309">
            <v>0</v>
          </cell>
          <cell r="AH309">
            <v>0</v>
          </cell>
          <cell r="AI309">
            <v>0</v>
          </cell>
          <cell r="AJ309">
            <v>300</v>
          </cell>
          <cell r="AK309">
            <v>0</v>
          </cell>
          <cell r="AL309">
            <v>0</v>
          </cell>
          <cell r="AM309">
            <v>300</v>
          </cell>
          <cell r="AN309">
            <v>0</v>
          </cell>
          <cell r="AO309">
            <v>300</v>
          </cell>
          <cell r="AP309">
            <v>0</v>
          </cell>
          <cell r="AQ309">
            <v>300</v>
          </cell>
          <cell r="AR309" t="str">
            <v>US_24188</v>
          </cell>
          <cell r="AS309">
            <v>0</v>
          </cell>
          <cell r="AT309">
            <v>1</v>
          </cell>
          <cell r="AU309">
            <v>1</v>
          </cell>
          <cell r="AV309">
            <v>0</v>
          </cell>
          <cell r="AW309">
            <v>300</v>
          </cell>
          <cell r="AX309">
            <v>300</v>
          </cell>
          <cell r="AY309">
            <v>300</v>
          </cell>
          <cell r="AZ309">
            <v>116.3</v>
          </cell>
          <cell r="BA309">
            <v>480</v>
          </cell>
          <cell r="BB309">
            <v>480</v>
          </cell>
          <cell r="BF309">
            <v>300</v>
          </cell>
          <cell r="BG309">
            <v>300</v>
          </cell>
          <cell r="BH309">
            <v>300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300</v>
          </cell>
          <cell r="BP309" t="str">
            <v>Y</v>
          </cell>
          <cell r="BQ309">
            <v>1</v>
          </cell>
          <cell r="BR309" t="str">
            <v>Y</v>
          </cell>
          <cell r="BS309">
            <v>480</v>
          </cell>
          <cell r="BT309" t="str">
            <v>Done</v>
          </cell>
          <cell r="BU309">
            <v>0</v>
          </cell>
          <cell r="BV309">
            <v>2025</v>
          </cell>
        </row>
        <row r="310">
          <cell r="A310" t="str">
            <v>Lucknow</v>
          </cell>
          <cell r="B310" t="str">
            <v>Healthcare</v>
          </cell>
          <cell r="C310" t="str">
            <v>Mid Level</v>
          </cell>
          <cell r="D310" t="str">
            <v>Ranveer Kumar</v>
          </cell>
          <cell r="E310" t="str">
            <v>-</v>
          </cell>
          <cell r="H310" t="str">
            <v>Ananya Agarwal</v>
          </cell>
          <cell r="J310" t="str">
            <v>ACH</v>
          </cell>
          <cell r="L310" t="str">
            <v>New</v>
          </cell>
          <cell r="M310">
            <v>45712</v>
          </cell>
          <cell r="N310">
            <v>1</v>
          </cell>
          <cell r="O310">
            <v>334</v>
          </cell>
          <cell r="P310">
            <v>45800</v>
          </cell>
          <cell r="Q310">
            <v>46077</v>
          </cell>
          <cell r="S310" t="str">
            <v>Labria Dominque Miller</v>
          </cell>
          <cell r="T310" t="str">
            <v>Individual</v>
          </cell>
          <cell r="U310" t="str">
            <v>W2</v>
          </cell>
          <cell r="V310" t="str">
            <v>CSU</v>
          </cell>
          <cell r="W310">
            <v>7.25</v>
          </cell>
          <cell r="X310">
            <v>0</v>
          </cell>
          <cell r="Y310" t="str">
            <v>USD</v>
          </cell>
          <cell r="Z310">
            <v>34</v>
          </cell>
          <cell r="AA310">
            <v>0</v>
          </cell>
          <cell r="AB310">
            <v>0</v>
          </cell>
          <cell r="AC310">
            <v>0</v>
          </cell>
          <cell r="AD310">
            <v>45703</v>
          </cell>
          <cell r="AE310">
            <v>5</v>
          </cell>
          <cell r="AF310">
            <v>46022</v>
          </cell>
          <cell r="AG310">
            <v>8.3374999999999986</v>
          </cell>
          <cell r="AH310">
            <v>0</v>
          </cell>
          <cell r="AI310">
            <v>8.3374999999999986</v>
          </cell>
          <cell r="AJ310">
            <v>31.959999999999997</v>
          </cell>
          <cell r="AK310">
            <v>0</v>
          </cell>
          <cell r="AL310">
            <v>0</v>
          </cell>
          <cell r="AM310">
            <v>23.622499999999999</v>
          </cell>
          <cell r="AN310">
            <v>0</v>
          </cell>
          <cell r="AO310">
            <v>23.622499999999999</v>
          </cell>
          <cell r="AP310">
            <v>0</v>
          </cell>
          <cell r="AQ310">
            <v>20</v>
          </cell>
          <cell r="AU310">
            <v>40</v>
          </cell>
          <cell r="AY310">
            <v>944.9</v>
          </cell>
          <cell r="AZ310">
            <v>0</v>
          </cell>
          <cell r="BA310">
            <v>0</v>
          </cell>
          <cell r="BH310">
            <v>1278.3999999999999</v>
          </cell>
          <cell r="BI310">
            <v>290</v>
          </cell>
          <cell r="BJ310">
            <v>1.0874999999999999</v>
          </cell>
          <cell r="BK310">
            <v>0</v>
          </cell>
          <cell r="BL310">
            <v>43.5</v>
          </cell>
          <cell r="BM310">
            <v>333.5</v>
          </cell>
          <cell r="BN310">
            <v>1.0874999999999999</v>
          </cell>
          <cell r="BO310">
            <v>944.89999999999986</v>
          </cell>
          <cell r="BQ310">
            <v>1</v>
          </cell>
          <cell r="BR310" t="str">
            <v>Y</v>
          </cell>
          <cell r="BS310">
            <v>0</v>
          </cell>
          <cell r="BT310" t="str">
            <v>Pending</v>
          </cell>
          <cell r="BU310">
            <v>0</v>
          </cell>
          <cell r="BV310">
            <v>2025</v>
          </cell>
        </row>
        <row r="311">
          <cell r="A311" t="str">
            <v>Lucknow</v>
          </cell>
          <cell r="B311" t="str">
            <v>Healthcare</v>
          </cell>
          <cell r="C311" t="str">
            <v>Mid Level</v>
          </cell>
          <cell r="D311" t="str">
            <v>Ranveer Kumar</v>
          </cell>
          <cell r="E311" t="str">
            <v>-</v>
          </cell>
          <cell r="H311" t="str">
            <v>Ananya Agarwal</v>
          </cell>
          <cell r="J311" t="str">
            <v>ACH</v>
          </cell>
          <cell r="L311" t="str">
            <v>New</v>
          </cell>
          <cell r="M311">
            <v>45712</v>
          </cell>
          <cell r="N311">
            <v>1</v>
          </cell>
          <cell r="O311">
            <v>334</v>
          </cell>
          <cell r="P311">
            <v>45800</v>
          </cell>
          <cell r="Q311">
            <v>46077</v>
          </cell>
          <cell r="S311" t="str">
            <v>Labria Dominque Miller</v>
          </cell>
          <cell r="T311" t="str">
            <v>Individual</v>
          </cell>
          <cell r="U311" t="str">
            <v>W2</v>
          </cell>
          <cell r="V311" t="str">
            <v>CSU</v>
          </cell>
          <cell r="W311">
            <v>7.25</v>
          </cell>
          <cell r="X311">
            <v>0</v>
          </cell>
          <cell r="Y311" t="str">
            <v>USD</v>
          </cell>
          <cell r="Z311">
            <v>34</v>
          </cell>
          <cell r="AA311">
            <v>0</v>
          </cell>
          <cell r="AB311">
            <v>0</v>
          </cell>
          <cell r="AC311">
            <v>0</v>
          </cell>
          <cell r="AD311">
            <v>45731</v>
          </cell>
          <cell r="AE311">
            <v>21</v>
          </cell>
          <cell r="AF311">
            <v>46022</v>
          </cell>
          <cell r="AG311">
            <v>8.3374999999999986</v>
          </cell>
          <cell r="AH311">
            <v>0</v>
          </cell>
          <cell r="AI311">
            <v>8.3374999999999986</v>
          </cell>
          <cell r="AJ311">
            <v>31.959999999999997</v>
          </cell>
          <cell r="AK311">
            <v>0</v>
          </cell>
          <cell r="AL311">
            <v>0</v>
          </cell>
          <cell r="AM311">
            <v>23.622499999999999</v>
          </cell>
          <cell r="AN311">
            <v>0</v>
          </cell>
          <cell r="AO311">
            <v>23.622499999999999</v>
          </cell>
          <cell r="AP311">
            <v>0</v>
          </cell>
          <cell r="AQ311">
            <v>20</v>
          </cell>
          <cell r="AU311">
            <v>168</v>
          </cell>
          <cell r="AY311">
            <v>3968.58</v>
          </cell>
          <cell r="AZ311">
            <v>0</v>
          </cell>
          <cell r="BA311">
            <v>0</v>
          </cell>
          <cell r="BH311">
            <v>5369.28</v>
          </cell>
          <cell r="BI311">
            <v>1218</v>
          </cell>
          <cell r="BJ311">
            <v>1.0874999999999999</v>
          </cell>
          <cell r="BK311">
            <v>0</v>
          </cell>
          <cell r="BL311">
            <v>182.7</v>
          </cell>
          <cell r="BM311">
            <v>1400.7</v>
          </cell>
          <cell r="BN311">
            <v>1.0874999999999999</v>
          </cell>
          <cell r="BO311">
            <v>3968.58</v>
          </cell>
          <cell r="BQ311">
            <v>1</v>
          </cell>
          <cell r="BR311" t="str">
            <v>Y</v>
          </cell>
          <cell r="BS311">
            <v>0</v>
          </cell>
          <cell r="BT311" t="str">
            <v>Pending</v>
          </cell>
          <cell r="BU311">
            <v>0</v>
          </cell>
          <cell r="BV311">
            <v>2025</v>
          </cell>
        </row>
        <row r="312">
          <cell r="A312" t="str">
            <v>Lucknow</v>
          </cell>
          <cell r="B312" t="str">
            <v>Healthcare</v>
          </cell>
          <cell r="C312" t="str">
            <v>Mid Level</v>
          </cell>
          <cell r="D312" t="str">
            <v>Ranveer Kumar</v>
          </cell>
          <cell r="E312" t="str">
            <v>-</v>
          </cell>
          <cell r="H312" t="str">
            <v>Ananya Agarwal</v>
          </cell>
          <cell r="J312" t="str">
            <v>ACH</v>
          </cell>
          <cell r="L312" t="str">
            <v>New</v>
          </cell>
          <cell r="M312">
            <v>45712</v>
          </cell>
          <cell r="N312">
            <v>1</v>
          </cell>
          <cell r="O312">
            <v>334</v>
          </cell>
          <cell r="P312">
            <v>45800</v>
          </cell>
          <cell r="Q312">
            <v>46077</v>
          </cell>
          <cell r="S312" t="str">
            <v>Labria Dominque Miller</v>
          </cell>
          <cell r="T312" t="str">
            <v>Individual</v>
          </cell>
          <cell r="U312" t="str">
            <v>W2</v>
          </cell>
          <cell r="V312" t="str">
            <v>CSU</v>
          </cell>
          <cell r="W312">
            <v>7.25</v>
          </cell>
          <cell r="X312">
            <v>0</v>
          </cell>
          <cell r="Y312" t="str">
            <v>USD</v>
          </cell>
          <cell r="Z312">
            <v>34</v>
          </cell>
          <cell r="AA312">
            <v>0</v>
          </cell>
          <cell r="AB312">
            <v>0</v>
          </cell>
          <cell r="AC312">
            <v>0</v>
          </cell>
          <cell r="AD312">
            <v>45762</v>
          </cell>
          <cell r="AE312">
            <v>22</v>
          </cell>
          <cell r="AF312">
            <v>46022</v>
          </cell>
          <cell r="AG312">
            <v>8.3374999999999986</v>
          </cell>
          <cell r="AH312">
            <v>0</v>
          </cell>
          <cell r="AI312">
            <v>8.3374999999999986</v>
          </cell>
          <cell r="AJ312">
            <v>31.959999999999997</v>
          </cell>
          <cell r="AK312">
            <v>0</v>
          </cell>
          <cell r="AL312">
            <v>0</v>
          </cell>
          <cell r="AM312">
            <v>23.622499999999999</v>
          </cell>
          <cell r="AN312">
            <v>0</v>
          </cell>
          <cell r="AO312">
            <v>23.622499999999999</v>
          </cell>
          <cell r="AP312">
            <v>0</v>
          </cell>
          <cell r="AQ312">
            <v>20</v>
          </cell>
          <cell r="AU312">
            <v>176</v>
          </cell>
          <cell r="AY312">
            <v>4157.5599999999995</v>
          </cell>
          <cell r="AZ312">
            <v>0</v>
          </cell>
          <cell r="BA312">
            <v>0</v>
          </cell>
          <cell r="BH312">
            <v>5624.9599999999991</v>
          </cell>
          <cell r="BI312">
            <v>1276</v>
          </cell>
          <cell r="BJ312">
            <v>1.0874999999999999</v>
          </cell>
          <cell r="BK312">
            <v>0</v>
          </cell>
          <cell r="BL312">
            <v>191.39999999999998</v>
          </cell>
          <cell r="BM312">
            <v>1467.4</v>
          </cell>
          <cell r="BN312">
            <v>1.0874999999999999</v>
          </cell>
          <cell r="BO312">
            <v>4157.5599999999995</v>
          </cell>
          <cell r="BQ312">
            <v>2</v>
          </cell>
          <cell r="BR312" t="str">
            <v>Y</v>
          </cell>
          <cell r="BS312">
            <v>0</v>
          </cell>
          <cell r="BT312" t="str">
            <v>Pending</v>
          </cell>
          <cell r="BU312">
            <v>0</v>
          </cell>
          <cell r="BV312">
            <v>2025</v>
          </cell>
        </row>
        <row r="313">
          <cell r="A313" t="str">
            <v>Lucknow</v>
          </cell>
          <cell r="B313" t="str">
            <v>RPO</v>
          </cell>
          <cell r="C313" t="str">
            <v>Mid Level</v>
          </cell>
          <cell r="D313" t="str">
            <v>Ankit Pandey</v>
          </cell>
          <cell r="E313" t="str">
            <v>-</v>
          </cell>
          <cell r="H313" t="str">
            <v>Shubham Rastogi</v>
          </cell>
          <cell r="K313" t="str">
            <v>Ankit Pandey</v>
          </cell>
          <cell r="L313" t="str">
            <v>New</v>
          </cell>
          <cell r="M313">
            <v>45671</v>
          </cell>
          <cell r="N313">
            <v>1</v>
          </cell>
          <cell r="O313">
            <v>375</v>
          </cell>
          <cell r="P313" t="str">
            <v>-</v>
          </cell>
          <cell r="Q313">
            <v>46036</v>
          </cell>
          <cell r="R313" t="str">
            <v>PLC-4098</v>
          </cell>
          <cell r="S313" t="str">
            <v>Lahari Vemana</v>
          </cell>
          <cell r="T313" t="str">
            <v>Individual</v>
          </cell>
          <cell r="U313" t="str">
            <v>FTE</v>
          </cell>
          <cell r="V313" t="str">
            <v>GPC RPO</v>
          </cell>
          <cell r="W313">
            <v>0</v>
          </cell>
          <cell r="X313">
            <v>0</v>
          </cell>
          <cell r="Y313" t="str">
            <v>USD</v>
          </cell>
          <cell r="Z313">
            <v>300</v>
          </cell>
          <cell r="AA313">
            <v>0</v>
          </cell>
          <cell r="AB313">
            <v>0</v>
          </cell>
          <cell r="AC313">
            <v>0</v>
          </cell>
          <cell r="AD313">
            <v>45672</v>
          </cell>
          <cell r="AE313">
            <v>1</v>
          </cell>
          <cell r="AF313">
            <v>46022</v>
          </cell>
          <cell r="AG313">
            <v>0</v>
          </cell>
          <cell r="AH313">
            <v>0</v>
          </cell>
          <cell r="AI313">
            <v>0</v>
          </cell>
          <cell r="AJ313">
            <v>300</v>
          </cell>
          <cell r="AK313">
            <v>0</v>
          </cell>
          <cell r="AL313">
            <v>0</v>
          </cell>
          <cell r="AM313">
            <v>300</v>
          </cell>
          <cell r="AN313">
            <v>0</v>
          </cell>
          <cell r="AO313">
            <v>300</v>
          </cell>
          <cell r="AP313">
            <v>0</v>
          </cell>
          <cell r="AQ313">
            <v>300</v>
          </cell>
          <cell r="AR313" t="str">
            <v>US_24188</v>
          </cell>
          <cell r="AS313">
            <v>0</v>
          </cell>
          <cell r="AT313">
            <v>1</v>
          </cell>
          <cell r="AU313">
            <v>1</v>
          </cell>
          <cell r="AV313">
            <v>0</v>
          </cell>
          <cell r="AW313">
            <v>300</v>
          </cell>
          <cell r="AX313">
            <v>300</v>
          </cell>
          <cell r="AY313">
            <v>300</v>
          </cell>
          <cell r="AZ313">
            <v>103.75000000000001</v>
          </cell>
          <cell r="BA313">
            <v>480</v>
          </cell>
          <cell r="BB313">
            <v>480</v>
          </cell>
          <cell r="BF313">
            <v>300</v>
          </cell>
          <cell r="BG313">
            <v>300</v>
          </cell>
          <cell r="BH313">
            <v>300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300</v>
          </cell>
          <cell r="BP313" t="str">
            <v>Y</v>
          </cell>
          <cell r="BQ313">
            <v>1</v>
          </cell>
          <cell r="BR313" t="str">
            <v>Y</v>
          </cell>
          <cell r="BS313">
            <v>480</v>
          </cell>
          <cell r="BT313" t="str">
            <v>Done</v>
          </cell>
          <cell r="BU313">
            <v>0</v>
          </cell>
          <cell r="BV313">
            <v>2025</v>
          </cell>
        </row>
        <row r="314">
          <cell r="A314" t="str">
            <v>Noida</v>
          </cell>
          <cell r="B314" t="str">
            <v>Noida IT</v>
          </cell>
          <cell r="C314" t="str">
            <v>Mid Level</v>
          </cell>
          <cell r="D314" t="str">
            <v>Akash Saxena</v>
          </cell>
          <cell r="E314" t="str">
            <v>-</v>
          </cell>
          <cell r="H314" t="str">
            <v>Akash Saxena</v>
          </cell>
          <cell r="J314" t="str">
            <v>ACH</v>
          </cell>
          <cell r="L314" t="str">
            <v>New</v>
          </cell>
          <cell r="M314">
            <v>45665</v>
          </cell>
          <cell r="N314">
            <v>1</v>
          </cell>
          <cell r="O314">
            <v>381</v>
          </cell>
          <cell r="P314">
            <v>45835</v>
          </cell>
          <cell r="Q314">
            <v>46030</v>
          </cell>
          <cell r="R314" t="str">
            <v>PLC-3525</v>
          </cell>
          <cell r="S314" t="str">
            <v>Lakshmi Narayana Reddy Munnangi</v>
          </cell>
          <cell r="T314" t="str">
            <v>Individual</v>
          </cell>
          <cell r="U314" t="str">
            <v>C2C</v>
          </cell>
          <cell r="V314" t="str">
            <v>Citius Tech</v>
          </cell>
          <cell r="W314">
            <v>125</v>
          </cell>
          <cell r="X314">
            <v>0</v>
          </cell>
          <cell r="Y314" t="str">
            <v>USD</v>
          </cell>
          <cell r="Z314">
            <v>127</v>
          </cell>
          <cell r="AA314">
            <v>0</v>
          </cell>
          <cell r="AB314">
            <v>0</v>
          </cell>
          <cell r="AC314">
            <v>0</v>
          </cell>
          <cell r="AD314">
            <v>45672</v>
          </cell>
          <cell r="AE314">
            <v>18</v>
          </cell>
          <cell r="AF314">
            <v>46022</v>
          </cell>
          <cell r="AG314">
            <v>125</v>
          </cell>
          <cell r="AH314">
            <v>0</v>
          </cell>
          <cell r="AI314">
            <v>125</v>
          </cell>
          <cell r="AJ314">
            <v>127</v>
          </cell>
          <cell r="AK314">
            <v>0</v>
          </cell>
          <cell r="AL314">
            <v>0</v>
          </cell>
          <cell r="AM314">
            <v>2</v>
          </cell>
          <cell r="AN314">
            <v>0</v>
          </cell>
          <cell r="AO314">
            <v>2</v>
          </cell>
          <cell r="AP314">
            <v>0</v>
          </cell>
          <cell r="AQ314">
            <v>2</v>
          </cell>
          <cell r="AR314" t="str">
            <v>US_24327</v>
          </cell>
          <cell r="AS314">
            <v>0</v>
          </cell>
          <cell r="AT314">
            <v>128</v>
          </cell>
          <cell r="AU314">
            <v>128</v>
          </cell>
          <cell r="AV314">
            <v>0</v>
          </cell>
          <cell r="AW314">
            <v>256</v>
          </cell>
          <cell r="AX314">
            <v>253.44</v>
          </cell>
          <cell r="AY314">
            <v>256</v>
          </cell>
          <cell r="AZ314">
            <v>0</v>
          </cell>
          <cell r="BA314">
            <v>0</v>
          </cell>
          <cell r="BB314">
            <v>0</v>
          </cell>
          <cell r="BC314">
            <v>49</v>
          </cell>
          <cell r="BD314">
            <v>256</v>
          </cell>
          <cell r="BE314">
            <v>204.8</v>
          </cell>
          <cell r="BF314">
            <v>253.44</v>
          </cell>
          <cell r="BG314">
            <v>16256</v>
          </cell>
          <cell r="BH314">
            <v>16256</v>
          </cell>
          <cell r="BI314">
            <v>16000</v>
          </cell>
          <cell r="BJ314">
            <v>0</v>
          </cell>
          <cell r="BK314">
            <v>0</v>
          </cell>
          <cell r="BL314">
            <v>0</v>
          </cell>
          <cell r="BM314">
            <v>16000</v>
          </cell>
          <cell r="BN314">
            <v>0</v>
          </cell>
          <cell r="BO314">
            <v>256</v>
          </cell>
          <cell r="BP314" t="str">
            <v>Y</v>
          </cell>
          <cell r="BQ314">
            <v>1</v>
          </cell>
          <cell r="BR314" t="str">
            <v>Y</v>
          </cell>
          <cell r="BS314">
            <v>0</v>
          </cell>
          <cell r="BT314" t="str">
            <v>Done</v>
          </cell>
          <cell r="BU314">
            <v>128</v>
          </cell>
          <cell r="BV314">
            <v>2025</v>
          </cell>
        </row>
        <row r="315">
          <cell r="A315" t="str">
            <v>Noida</v>
          </cell>
          <cell r="B315" t="str">
            <v>Noida IT</v>
          </cell>
          <cell r="C315" t="str">
            <v>Mid Level</v>
          </cell>
          <cell r="D315" t="str">
            <v>Akash Saxena</v>
          </cell>
          <cell r="E315" t="str">
            <v>-</v>
          </cell>
          <cell r="H315" t="str">
            <v>Akash Saxena</v>
          </cell>
          <cell r="J315" t="str">
            <v>ACH</v>
          </cell>
          <cell r="L315" t="str">
            <v>New</v>
          </cell>
          <cell r="M315">
            <v>45665</v>
          </cell>
          <cell r="N315">
            <v>1</v>
          </cell>
          <cell r="O315">
            <v>381</v>
          </cell>
          <cell r="P315">
            <v>45835</v>
          </cell>
          <cell r="Q315">
            <v>46030</v>
          </cell>
          <cell r="R315" t="str">
            <v>PLC-3525</v>
          </cell>
          <cell r="S315" t="str">
            <v>Lakshmi Narayana Reddy Munnangi</v>
          </cell>
          <cell r="T315" t="str">
            <v>Individual</v>
          </cell>
          <cell r="U315" t="str">
            <v>C2C</v>
          </cell>
          <cell r="V315" t="str">
            <v>Citius Tech</v>
          </cell>
          <cell r="W315">
            <v>125</v>
          </cell>
          <cell r="X315">
            <v>0</v>
          </cell>
          <cell r="Y315" t="str">
            <v>USD</v>
          </cell>
          <cell r="Z315">
            <v>127</v>
          </cell>
          <cell r="AA315">
            <v>0</v>
          </cell>
          <cell r="AB315">
            <v>0</v>
          </cell>
          <cell r="AC315">
            <v>0</v>
          </cell>
          <cell r="AD315">
            <v>45703</v>
          </cell>
          <cell r="AE315">
            <v>20</v>
          </cell>
          <cell r="AF315">
            <v>46022</v>
          </cell>
          <cell r="AG315">
            <v>125</v>
          </cell>
          <cell r="AH315">
            <v>0</v>
          </cell>
          <cell r="AI315">
            <v>125</v>
          </cell>
          <cell r="AJ315">
            <v>127</v>
          </cell>
          <cell r="AK315">
            <v>0</v>
          </cell>
          <cell r="AL315">
            <v>0</v>
          </cell>
          <cell r="AM315">
            <v>2</v>
          </cell>
          <cell r="AN315">
            <v>0</v>
          </cell>
          <cell r="AO315">
            <v>2</v>
          </cell>
          <cell r="AP315">
            <v>0</v>
          </cell>
          <cell r="AQ315">
            <v>2</v>
          </cell>
          <cell r="AR315" t="str">
            <v>US_24517</v>
          </cell>
          <cell r="AS315">
            <v>0</v>
          </cell>
          <cell r="AT315">
            <v>160</v>
          </cell>
          <cell r="AU315">
            <v>160</v>
          </cell>
          <cell r="AV315">
            <v>0</v>
          </cell>
          <cell r="AW315">
            <v>320</v>
          </cell>
          <cell r="AX315">
            <v>316.8</v>
          </cell>
          <cell r="AY315">
            <v>320</v>
          </cell>
          <cell r="AZ315">
            <v>0</v>
          </cell>
          <cell r="BA315">
            <v>0</v>
          </cell>
          <cell r="BB315">
            <v>0</v>
          </cell>
          <cell r="BC315">
            <v>49</v>
          </cell>
          <cell r="BD315">
            <v>320</v>
          </cell>
          <cell r="BE315">
            <v>256</v>
          </cell>
          <cell r="BF315">
            <v>316.8</v>
          </cell>
          <cell r="BG315">
            <v>20320</v>
          </cell>
          <cell r="BH315">
            <v>20320</v>
          </cell>
          <cell r="BI315">
            <v>20000</v>
          </cell>
          <cell r="BJ315">
            <v>0</v>
          </cell>
          <cell r="BK315">
            <v>0</v>
          </cell>
          <cell r="BL315">
            <v>0</v>
          </cell>
          <cell r="BM315">
            <v>20000</v>
          </cell>
          <cell r="BN315">
            <v>0</v>
          </cell>
          <cell r="BO315">
            <v>320</v>
          </cell>
          <cell r="BP315" t="str">
            <v>Y</v>
          </cell>
          <cell r="BQ315">
            <v>1</v>
          </cell>
          <cell r="BR315" t="str">
            <v>Y</v>
          </cell>
          <cell r="BS315">
            <v>0</v>
          </cell>
          <cell r="BT315" t="str">
            <v>Done</v>
          </cell>
          <cell r="BU315">
            <v>160</v>
          </cell>
          <cell r="BV315">
            <v>2025</v>
          </cell>
        </row>
        <row r="316">
          <cell r="A316" t="str">
            <v>Noida</v>
          </cell>
          <cell r="B316" t="str">
            <v>Noida IT</v>
          </cell>
          <cell r="C316" t="str">
            <v>Mid Level</v>
          </cell>
          <cell r="D316" t="str">
            <v>Akash Saxena</v>
          </cell>
          <cell r="E316" t="str">
            <v>-</v>
          </cell>
          <cell r="H316" t="str">
            <v>Akash Saxena</v>
          </cell>
          <cell r="J316" t="str">
            <v>ACH</v>
          </cell>
          <cell r="L316" t="str">
            <v>New</v>
          </cell>
          <cell r="M316">
            <v>45665</v>
          </cell>
          <cell r="N316">
            <v>1</v>
          </cell>
          <cell r="O316">
            <v>381</v>
          </cell>
          <cell r="P316">
            <v>45835</v>
          </cell>
          <cell r="Q316">
            <v>46030</v>
          </cell>
          <cell r="R316" t="str">
            <v>PLC-3525</v>
          </cell>
          <cell r="S316" t="str">
            <v>Lakshmi Narayana Reddy Munnangi</v>
          </cell>
          <cell r="T316" t="str">
            <v>Individual</v>
          </cell>
          <cell r="U316" t="str">
            <v>C2C</v>
          </cell>
          <cell r="V316" t="str">
            <v>Citius Tech</v>
          </cell>
          <cell r="W316">
            <v>125</v>
          </cell>
          <cell r="X316">
            <v>0</v>
          </cell>
          <cell r="Y316" t="str">
            <v>USD</v>
          </cell>
          <cell r="Z316">
            <v>127</v>
          </cell>
          <cell r="AA316">
            <v>0</v>
          </cell>
          <cell r="AB316">
            <v>0</v>
          </cell>
          <cell r="AC316">
            <v>0</v>
          </cell>
          <cell r="AD316">
            <v>45731</v>
          </cell>
          <cell r="AE316">
            <v>21</v>
          </cell>
          <cell r="AF316">
            <v>46022</v>
          </cell>
          <cell r="AG316">
            <v>125</v>
          </cell>
          <cell r="AH316">
            <v>0</v>
          </cell>
          <cell r="AI316">
            <v>125</v>
          </cell>
          <cell r="AJ316">
            <v>127</v>
          </cell>
          <cell r="AK316">
            <v>0</v>
          </cell>
          <cell r="AL316">
            <v>0</v>
          </cell>
          <cell r="AM316">
            <v>2</v>
          </cell>
          <cell r="AN316">
            <v>0</v>
          </cell>
          <cell r="AO316">
            <v>2</v>
          </cell>
          <cell r="AP316">
            <v>0</v>
          </cell>
          <cell r="AQ316">
            <v>2</v>
          </cell>
          <cell r="AR316" t="str">
            <v>US_24694</v>
          </cell>
          <cell r="AS316">
            <v>0</v>
          </cell>
          <cell r="AT316">
            <v>176</v>
          </cell>
          <cell r="AU316">
            <v>176</v>
          </cell>
          <cell r="AV316">
            <v>0</v>
          </cell>
          <cell r="AW316">
            <v>352</v>
          </cell>
          <cell r="AX316">
            <v>348.48</v>
          </cell>
          <cell r="AY316">
            <v>352</v>
          </cell>
          <cell r="AZ316">
            <v>0</v>
          </cell>
          <cell r="BA316">
            <v>0</v>
          </cell>
          <cell r="BB316">
            <v>0</v>
          </cell>
          <cell r="BC316">
            <v>49</v>
          </cell>
          <cell r="BD316">
            <v>352</v>
          </cell>
          <cell r="BE316">
            <v>281.60000000000002</v>
          </cell>
          <cell r="BF316">
            <v>348.48</v>
          </cell>
          <cell r="BG316">
            <v>22352</v>
          </cell>
          <cell r="BH316">
            <v>22352</v>
          </cell>
          <cell r="BI316">
            <v>22000</v>
          </cell>
          <cell r="BJ316">
            <v>0</v>
          </cell>
          <cell r="BK316">
            <v>0</v>
          </cell>
          <cell r="BL316">
            <v>0</v>
          </cell>
          <cell r="BM316">
            <v>22000</v>
          </cell>
          <cell r="BN316">
            <v>0</v>
          </cell>
          <cell r="BO316">
            <v>352</v>
          </cell>
          <cell r="BP316" t="str">
            <v>Y</v>
          </cell>
          <cell r="BQ316">
            <v>1</v>
          </cell>
          <cell r="BR316" t="str">
            <v>Y</v>
          </cell>
          <cell r="BS316">
            <v>0</v>
          </cell>
          <cell r="BT316" t="str">
            <v>Done</v>
          </cell>
          <cell r="BU316">
            <v>176</v>
          </cell>
          <cell r="BV316">
            <v>2025</v>
          </cell>
        </row>
        <row r="317">
          <cell r="A317" t="str">
            <v>Noida</v>
          </cell>
          <cell r="B317" t="str">
            <v>Noida IT</v>
          </cell>
          <cell r="C317" t="str">
            <v>Mid Level</v>
          </cell>
          <cell r="D317" t="str">
            <v>Akash Saxena</v>
          </cell>
          <cell r="E317" t="str">
            <v>-</v>
          </cell>
          <cell r="H317" t="str">
            <v>Akash Saxena</v>
          </cell>
          <cell r="J317" t="str">
            <v>ACH</v>
          </cell>
          <cell r="L317" t="str">
            <v>New</v>
          </cell>
          <cell r="M317">
            <v>45665</v>
          </cell>
          <cell r="N317">
            <v>1</v>
          </cell>
          <cell r="O317">
            <v>381</v>
          </cell>
          <cell r="P317">
            <v>45835</v>
          </cell>
          <cell r="Q317">
            <v>46030</v>
          </cell>
          <cell r="R317" t="str">
            <v>PLC-3525</v>
          </cell>
          <cell r="S317" t="str">
            <v>Lakshmi Narayana Reddy Munnangi</v>
          </cell>
          <cell r="T317" t="str">
            <v>Individual</v>
          </cell>
          <cell r="U317" t="str">
            <v>C2C</v>
          </cell>
          <cell r="V317" t="str">
            <v>Citius Tech</v>
          </cell>
          <cell r="W317">
            <v>125</v>
          </cell>
          <cell r="X317">
            <v>0</v>
          </cell>
          <cell r="Y317" t="str">
            <v>USD</v>
          </cell>
          <cell r="Z317">
            <v>127</v>
          </cell>
          <cell r="AA317">
            <v>0</v>
          </cell>
          <cell r="AB317">
            <v>0</v>
          </cell>
          <cell r="AC317">
            <v>0</v>
          </cell>
          <cell r="AD317">
            <v>45762</v>
          </cell>
          <cell r="AE317">
            <v>22</v>
          </cell>
          <cell r="AF317">
            <v>46022</v>
          </cell>
          <cell r="AG317">
            <v>125</v>
          </cell>
          <cell r="AH317">
            <v>0</v>
          </cell>
          <cell r="AI317">
            <v>125</v>
          </cell>
          <cell r="AJ317">
            <v>127</v>
          </cell>
          <cell r="AK317">
            <v>0</v>
          </cell>
          <cell r="AL317">
            <v>0</v>
          </cell>
          <cell r="AM317">
            <v>2</v>
          </cell>
          <cell r="AN317">
            <v>0</v>
          </cell>
          <cell r="AO317">
            <v>2</v>
          </cell>
          <cell r="AP317">
            <v>0</v>
          </cell>
          <cell r="AQ317">
            <v>2</v>
          </cell>
          <cell r="AR317" t="str">
            <v>US_24895</v>
          </cell>
          <cell r="AS317">
            <v>0</v>
          </cell>
          <cell r="AT317">
            <v>80</v>
          </cell>
          <cell r="AU317">
            <v>80</v>
          </cell>
          <cell r="AV317">
            <v>0</v>
          </cell>
          <cell r="AW317">
            <v>160</v>
          </cell>
          <cell r="AX317">
            <v>158.4</v>
          </cell>
          <cell r="AY317">
            <v>160</v>
          </cell>
          <cell r="AZ317">
            <v>0</v>
          </cell>
          <cell r="BA317">
            <v>0</v>
          </cell>
          <cell r="BB317">
            <v>0</v>
          </cell>
          <cell r="BC317">
            <v>49</v>
          </cell>
          <cell r="BD317">
            <v>160</v>
          </cell>
          <cell r="BE317">
            <v>128</v>
          </cell>
          <cell r="BF317">
            <v>158.4</v>
          </cell>
          <cell r="BG317">
            <v>10160</v>
          </cell>
          <cell r="BH317">
            <v>10160</v>
          </cell>
          <cell r="BI317">
            <v>10000</v>
          </cell>
          <cell r="BJ317">
            <v>0</v>
          </cell>
          <cell r="BK317">
            <v>0</v>
          </cell>
          <cell r="BL317">
            <v>0</v>
          </cell>
          <cell r="BM317">
            <v>10000</v>
          </cell>
          <cell r="BN317">
            <v>0</v>
          </cell>
          <cell r="BO317">
            <v>160</v>
          </cell>
          <cell r="BP317" t="str">
            <v>Y</v>
          </cell>
          <cell r="BQ317">
            <v>2</v>
          </cell>
          <cell r="BR317" t="str">
            <v>Y</v>
          </cell>
          <cell r="BS317">
            <v>0</v>
          </cell>
          <cell r="BT317" t="str">
            <v>Done</v>
          </cell>
          <cell r="BU317">
            <v>80</v>
          </cell>
          <cell r="BV317">
            <v>2025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Rohit Gupta</v>
          </cell>
          <cell r="E318" t="str">
            <v>-</v>
          </cell>
          <cell r="H318" t="str">
            <v>Yogesh Bisht</v>
          </cell>
          <cell r="J318" t="str">
            <v>ACH</v>
          </cell>
          <cell r="L318" t="str">
            <v>New</v>
          </cell>
          <cell r="M318">
            <v>45727</v>
          </cell>
          <cell r="N318">
            <v>1</v>
          </cell>
          <cell r="O318">
            <v>319</v>
          </cell>
          <cell r="P318" t="str">
            <v>-</v>
          </cell>
          <cell r="Q318">
            <v>46092</v>
          </cell>
          <cell r="R318" t="str">
            <v>PLC-4167</v>
          </cell>
          <cell r="S318" t="str">
            <v>Leonid Lamburt</v>
          </cell>
          <cell r="T318" t="str">
            <v>Individual</v>
          </cell>
          <cell r="U318" t="str">
            <v>C2C</v>
          </cell>
          <cell r="V318" t="str">
            <v>Coforge</v>
          </cell>
          <cell r="W318">
            <v>95</v>
          </cell>
          <cell r="X318">
            <v>0</v>
          </cell>
          <cell r="Y318" t="str">
            <v>USD</v>
          </cell>
          <cell r="Z318">
            <v>100</v>
          </cell>
          <cell r="AA318">
            <v>0</v>
          </cell>
          <cell r="AB318">
            <v>0</v>
          </cell>
          <cell r="AC318">
            <v>0</v>
          </cell>
          <cell r="AD318">
            <v>45731</v>
          </cell>
          <cell r="AE318">
            <v>15</v>
          </cell>
          <cell r="AF318">
            <v>46022</v>
          </cell>
          <cell r="AG318">
            <v>95</v>
          </cell>
          <cell r="AH318">
            <v>0</v>
          </cell>
          <cell r="AI318">
            <v>95</v>
          </cell>
          <cell r="AJ318">
            <v>100</v>
          </cell>
          <cell r="AK318">
            <v>0</v>
          </cell>
          <cell r="AL318">
            <v>0</v>
          </cell>
          <cell r="AM318">
            <v>5</v>
          </cell>
          <cell r="AN318">
            <v>0</v>
          </cell>
          <cell r="AO318">
            <v>5</v>
          </cell>
          <cell r="AP318">
            <v>0</v>
          </cell>
          <cell r="AQ318">
            <v>5</v>
          </cell>
          <cell r="AR318" t="str">
            <v>US_24597</v>
          </cell>
          <cell r="AS318">
            <v>0</v>
          </cell>
          <cell r="AT318">
            <v>120</v>
          </cell>
          <cell r="AU318">
            <v>120</v>
          </cell>
          <cell r="AV318">
            <v>0</v>
          </cell>
          <cell r="AW318">
            <v>600</v>
          </cell>
          <cell r="AX318">
            <v>594</v>
          </cell>
          <cell r="AY318">
            <v>600</v>
          </cell>
          <cell r="AZ318">
            <v>62.5</v>
          </cell>
          <cell r="BA318">
            <v>6</v>
          </cell>
          <cell r="BB318">
            <v>720</v>
          </cell>
          <cell r="BF318">
            <v>594</v>
          </cell>
          <cell r="BG318">
            <v>12000</v>
          </cell>
          <cell r="BH318">
            <v>12000</v>
          </cell>
          <cell r="BI318">
            <v>11400</v>
          </cell>
          <cell r="BJ318">
            <v>0</v>
          </cell>
          <cell r="BK318">
            <v>0</v>
          </cell>
          <cell r="BL318">
            <v>0</v>
          </cell>
          <cell r="BM318">
            <v>11400</v>
          </cell>
          <cell r="BN318">
            <v>0</v>
          </cell>
          <cell r="BO318">
            <v>600</v>
          </cell>
          <cell r="BP318" t="str">
            <v>Y</v>
          </cell>
          <cell r="BQ318">
            <v>1</v>
          </cell>
          <cell r="BR318" t="str">
            <v>Y</v>
          </cell>
          <cell r="BS318">
            <v>720</v>
          </cell>
          <cell r="BT318" t="str">
            <v>Done</v>
          </cell>
          <cell r="BU318">
            <v>120</v>
          </cell>
          <cell r="BV318">
            <v>2025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Rohit Gupta</v>
          </cell>
          <cell r="E319" t="str">
            <v>-</v>
          </cell>
          <cell r="H319" t="str">
            <v>Yogesh Bisht</v>
          </cell>
          <cell r="J319" t="str">
            <v>ACH</v>
          </cell>
          <cell r="L319" t="str">
            <v>New</v>
          </cell>
          <cell r="M319">
            <v>45727</v>
          </cell>
          <cell r="N319">
            <v>1</v>
          </cell>
          <cell r="O319">
            <v>319</v>
          </cell>
          <cell r="P319" t="str">
            <v>-</v>
          </cell>
          <cell r="Q319">
            <v>46092</v>
          </cell>
          <cell r="R319" t="str">
            <v>PLC-4167</v>
          </cell>
          <cell r="S319" t="str">
            <v>Leonid Lamburt</v>
          </cell>
          <cell r="T319" t="str">
            <v>Individual</v>
          </cell>
          <cell r="U319" t="str">
            <v>C2C</v>
          </cell>
          <cell r="V319" t="str">
            <v>Coforge</v>
          </cell>
          <cell r="W319">
            <v>95</v>
          </cell>
          <cell r="X319">
            <v>0</v>
          </cell>
          <cell r="Y319" t="str">
            <v>USD</v>
          </cell>
          <cell r="Z319">
            <v>100</v>
          </cell>
          <cell r="AA319">
            <v>0</v>
          </cell>
          <cell r="AB319">
            <v>0</v>
          </cell>
          <cell r="AC319">
            <v>0</v>
          </cell>
          <cell r="AD319">
            <v>45762</v>
          </cell>
          <cell r="AE319">
            <v>22</v>
          </cell>
          <cell r="AF319">
            <v>46022</v>
          </cell>
          <cell r="AG319">
            <v>95</v>
          </cell>
          <cell r="AH319">
            <v>0</v>
          </cell>
          <cell r="AI319">
            <v>95</v>
          </cell>
          <cell r="AJ319">
            <v>100</v>
          </cell>
          <cell r="AK319">
            <v>0</v>
          </cell>
          <cell r="AL319">
            <v>0</v>
          </cell>
          <cell r="AM319">
            <v>5</v>
          </cell>
          <cell r="AN319">
            <v>0</v>
          </cell>
          <cell r="AO319">
            <v>5</v>
          </cell>
          <cell r="AP319">
            <v>0</v>
          </cell>
          <cell r="AQ319">
            <v>5</v>
          </cell>
          <cell r="AR319" t="str">
            <v>US_24811</v>
          </cell>
          <cell r="AS319">
            <v>0</v>
          </cell>
          <cell r="AT319">
            <v>163</v>
          </cell>
          <cell r="AU319">
            <v>163</v>
          </cell>
          <cell r="AV319">
            <v>0</v>
          </cell>
          <cell r="AW319">
            <v>815</v>
          </cell>
          <cell r="AX319">
            <v>806.85</v>
          </cell>
          <cell r="AY319">
            <v>815</v>
          </cell>
          <cell r="AZ319">
            <v>62.5</v>
          </cell>
          <cell r="BA319">
            <v>6</v>
          </cell>
          <cell r="BB319">
            <v>978</v>
          </cell>
          <cell r="BF319">
            <v>806.85</v>
          </cell>
          <cell r="BG319">
            <v>16300</v>
          </cell>
          <cell r="BH319">
            <v>16300</v>
          </cell>
          <cell r="BI319">
            <v>15485</v>
          </cell>
          <cell r="BJ319">
            <v>0</v>
          </cell>
          <cell r="BK319">
            <v>0</v>
          </cell>
          <cell r="BL319">
            <v>0</v>
          </cell>
          <cell r="BM319">
            <v>15485</v>
          </cell>
          <cell r="BN319">
            <v>0</v>
          </cell>
          <cell r="BO319">
            <v>815</v>
          </cell>
          <cell r="BP319" t="str">
            <v>Y</v>
          </cell>
          <cell r="BQ319">
            <v>2</v>
          </cell>
          <cell r="BR319" t="str">
            <v>Y</v>
          </cell>
          <cell r="BS319">
            <v>978</v>
          </cell>
          <cell r="BT319" t="str">
            <v>Done</v>
          </cell>
          <cell r="BU319">
            <v>163</v>
          </cell>
          <cell r="BV319">
            <v>2025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Rohit Gupta</v>
          </cell>
          <cell r="E320" t="str">
            <v>-</v>
          </cell>
          <cell r="H320" t="str">
            <v>Nilesh Shahi</v>
          </cell>
          <cell r="K320">
            <v>0</v>
          </cell>
          <cell r="L320" t="str">
            <v>Old</v>
          </cell>
          <cell r="M320">
            <v>45572</v>
          </cell>
          <cell r="N320">
            <v>4</v>
          </cell>
          <cell r="O320">
            <v>474</v>
          </cell>
          <cell r="P320" t="str">
            <v>-</v>
          </cell>
          <cell r="Q320">
            <v>45937</v>
          </cell>
          <cell r="R320" t="str">
            <v>PLC-3997</v>
          </cell>
          <cell r="S320" t="str">
            <v>Madhavi Gummadi</v>
          </cell>
          <cell r="T320" t="str">
            <v>Individual</v>
          </cell>
          <cell r="U320" t="str">
            <v>C2C</v>
          </cell>
          <cell r="V320" t="str">
            <v>Coforge</v>
          </cell>
          <cell r="W320">
            <v>65</v>
          </cell>
          <cell r="X320">
            <v>0</v>
          </cell>
          <cell r="Y320" t="str">
            <v>USD</v>
          </cell>
          <cell r="Z320">
            <v>77</v>
          </cell>
          <cell r="AA320">
            <v>0</v>
          </cell>
          <cell r="AB320">
            <v>0</v>
          </cell>
          <cell r="AC320">
            <v>0</v>
          </cell>
          <cell r="AD320">
            <v>45672</v>
          </cell>
          <cell r="AE320">
            <v>23</v>
          </cell>
          <cell r="AF320">
            <v>46022</v>
          </cell>
          <cell r="AG320">
            <v>65</v>
          </cell>
          <cell r="AH320">
            <v>0</v>
          </cell>
          <cell r="AI320">
            <v>65</v>
          </cell>
          <cell r="AJ320">
            <v>77</v>
          </cell>
          <cell r="AK320">
            <v>0</v>
          </cell>
          <cell r="AL320">
            <v>0</v>
          </cell>
          <cell r="AM320">
            <v>12</v>
          </cell>
          <cell r="AN320">
            <v>0</v>
          </cell>
          <cell r="AO320">
            <v>12</v>
          </cell>
          <cell r="AP320">
            <v>0</v>
          </cell>
          <cell r="AQ320">
            <v>12</v>
          </cell>
          <cell r="AR320" t="str">
            <v>US_24281</v>
          </cell>
          <cell r="AS320">
            <v>0</v>
          </cell>
          <cell r="AT320">
            <v>160</v>
          </cell>
          <cell r="AU320">
            <v>160</v>
          </cell>
          <cell r="AV320">
            <v>0</v>
          </cell>
          <cell r="AW320">
            <v>1920</v>
          </cell>
          <cell r="AX320">
            <v>1920</v>
          </cell>
          <cell r="AY320">
            <v>1920</v>
          </cell>
          <cell r="AZ320">
            <v>62.5</v>
          </cell>
          <cell r="BA320">
            <v>26.4</v>
          </cell>
          <cell r="BB320">
            <v>4224</v>
          </cell>
          <cell r="BC320">
            <v>38.28125</v>
          </cell>
          <cell r="BD320">
            <v>1920</v>
          </cell>
          <cell r="BE320">
            <v>1536</v>
          </cell>
          <cell r="BF320">
            <v>1920</v>
          </cell>
          <cell r="BG320">
            <v>12320</v>
          </cell>
          <cell r="BH320">
            <v>12320</v>
          </cell>
          <cell r="BI320">
            <v>10400</v>
          </cell>
          <cell r="BJ320">
            <v>0</v>
          </cell>
          <cell r="BK320">
            <v>0</v>
          </cell>
          <cell r="BL320">
            <v>0</v>
          </cell>
          <cell r="BM320">
            <v>10400</v>
          </cell>
          <cell r="BN320">
            <v>0</v>
          </cell>
          <cell r="BO320">
            <v>1920</v>
          </cell>
          <cell r="BP320" t="str">
            <v>Y</v>
          </cell>
          <cell r="BQ320">
            <v>1</v>
          </cell>
          <cell r="BR320" t="str">
            <v>N</v>
          </cell>
          <cell r="BS320">
            <v>4224</v>
          </cell>
          <cell r="BT320" t="str">
            <v>Done</v>
          </cell>
          <cell r="BU320">
            <v>160</v>
          </cell>
          <cell r="BV320">
            <v>2024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Rohit Gupta</v>
          </cell>
          <cell r="E321" t="str">
            <v>-</v>
          </cell>
          <cell r="H321" t="str">
            <v>Nilesh Shahi</v>
          </cell>
          <cell r="K321">
            <v>0</v>
          </cell>
          <cell r="L321" t="str">
            <v>Old</v>
          </cell>
          <cell r="M321">
            <v>45572</v>
          </cell>
          <cell r="N321">
            <v>4</v>
          </cell>
          <cell r="O321">
            <v>474</v>
          </cell>
          <cell r="P321" t="str">
            <v>-</v>
          </cell>
          <cell r="Q321">
            <v>45937</v>
          </cell>
          <cell r="R321" t="str">
            <v>PLC-3997</v>
          </cell>
          <cell r="S321" t="str">
            <v>Madhavi Gummadi</v>
          </cell>
          <cell r="T321" t="str">
            <v>Individual</v>
          </cell>
          <cell r="U321" t="str">
            <v>C2C</v>
          </cell>
          <cell r="V321" t="str">
            <v>Coforge</v>
          </cell>
          <cell r="W321">
            <v>65</v>
          </cell>
          <cell r="X321">
            <v>0</v>
          </cell>
          <cell r="Y321" t="str">
            <v>USD</v>
          </cell>
          <cell r="Z321">
            <v>77</v>
          </cell>
          <cell r="AA321">
            <v>0</v>
          </cell>
          <cell r="AB321">
            <v>0</v>
          </cell>
          <cell r="AC321">
            <v>0</v>
          </cell>
          <cell r="AD321">
            <v>45703</v>
          </cell>
          <cell r="AE321">
            <v>20</v>
          </cell>
          <cell r="AF321">
            <v>46022</v>
          </cell>
          <cell r="AG321">
            <v>65</v>
          </cell>
          <cell r="AH321">
            <v>0</v>
          </cell>
          <cell r="AI321">
            <v>65</v>
          </cell>
          <cell r="AJ321">
            <v>77</v>
          </cell>
          <cell r="AK321">
            <v>0</v>
          </cell>
          <cell r="AL321">
            <v>0</v>
          </cell>
          <cell r="AM321">
            <v>12</v>
          </cell>
          <cell r="AN321">
            <v>0</v>
          </cell>
          <cell r="AO321">
            <v>12</v>
          </cell>
          <cell r="AP321">
            <v>0</v>
          </cell>
          <cell r="AQ321">
            <v>12</v>
          </cell>
          <cell r="AR321" t="str">
            <v>US_24481</v>
          </cell>
          <cell r="AS321">
            <v>0</v>
          </cell>
          <cell r="AT321">
            <v>152</v>
          </cell>
          <cell r="AU321">
            <v>152</v>
          </cell>
          <cell r="AV321">
            <v>0</v>
          </cell>
          <cell r="AW321">
            <v>1824</v>
          </cell>
          <cell r="AX321">
            <v>1824</v>
          </cell>
          <cell r="AY321">
            <v>1824</v>
          </cell>
          <cell r="AZ321">
            <v>62.5</v>
          </cell>
          <cell r="BA321">
            <v>26.4</v>
          </cell>
          <cell r="BB321">
            <v>4012.7999999999997</v>
          </cell>
          <cell r="BC321">
            <v>38.28125</v>
          </cell>
          <cell r="BD321">
            <v>1824</v>
          </cell>
          <cell r="BE321">
            <v>1459.2</v>
          </cell>
          <cell r="BF321">
            <v>1824</v>
          </cell>
          <cell r="BG321">
            <v>11704</v>
          </cell>
          <cell r="BH321">
            <v>11704</v>
          </cell>
          <cell r="BI321">
            <v>9880</v>
          </cell>
          <cell r="BJ321">
            <v>0</v>
          </cell>
          <cell r="BK321">
            <v>0</v>
          </cell>
          <cell r="BL321">
            <v>0</v>
          </cell>
          <cell r="BM321">
            <v>9880</v>
          </cell>
          <cell r="BN321">
            <v>0</v>
          </cell>
          <cell r="BO321">
            <v>1824</v>
          </cell>
          <cell r="BP321" t="str">
            <v>Y</v>
          </cell>
          <cell r="BQ321">
            <v>1</v>
          </cell>
          <cell r="BR321" t="str">
            <v>N</v>
          </cell>
          <cell r="BS321">
            <v>4012.7999999999997</v>
          </cell>
          <cell r="BT321" t="str">
            <v>Done</v>
          </cell>
          <cell r="BU321">
            <v>152</v>
          </cell>
          <cell r="BV321">
            <v>2024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Rohit Gupta</v>
          </cell>
          <cell r="E322" t="str">
            <v>-</v>
          </cell>
          <cell r="H322" t="str">
            <v>Nilesh Shahi</v>
          </cell>
          <cell r="K322">
            <v>0</v>
          </cell>
          <cell r="L322" t="str">
            <v>Old</v>
          </cell>
          <cell r="M322">
            <v>45572</v>
          </cell>
          <cell r="N322">
            <v>4</v>
          </cell>
          <cell r="O322">
            <v>474</v>
          </cell>
          <cell r="P322" t="str">
            <v>-</v>
          </cell>
          <cell r="Q322">
            <v>45937</v>
          </cell>
          <cell r="R322" t="str">
            <v>PLC-3997</v>
          </cell>
          <cell r="S322" t="str">
            <v>Madhavi Gummadi</v>
          </cell>
          <cell r="T322" t="str">
            <v>Individual</v>
          </cell>
          <cell r="U322" t="str">
            <v>C2C</v>
          </cell>
          <cell r="V322" t="str">
            <v>Coforge</v>
          </cell>
          <cell r="W322">
            <v>65</v>
          </cell>
          <cell r="X322">
            <v>0</v>
          </cell>
          <cell r="Y322" t="str">
            <v>USD</v>
          </cell>
          <cell r="Z322">
            <v>77</v>
          </cell>
          <cell r="AA322">
            <v>0</v>
          </cell>
          <cell r="AB322">
            <v>0</v>
          </cell>
          <cell r="AC322">
            <v>0</v>
          </cell>
          <cell r="AD322">
            <v>45731</v>
          </cell>
          <cell r="AE322">
            <v>21</v>
          </cell>
          <cell r="AF322">
            <v>46022</v>
          </cell>
          <cell r="AG322">
            <v>65</v>
          </cell>
          <cell r="AH322">
            <v>0</v>
          </cell>
          <cell r="AI322">
            <v>65</v>
          </cell>
          <cell r="AJ322">
            <v>77</v>
          </cell>
          <cell r="AK322">
            <v>0</v>
          </cell>
          <cell r="AL322">
            <v>0</v>
          </cell>
          <cell r="AM322">
            <v>12</v>
          </cell>
          <cell r="AN322">
            <v>0</v>
          </cell>
          <cell r="AO322">
            <v>12</v>
          </cell>
          <cell r="AP322">
            <v>0</v>
          </cell>
          <cell r="AQ322">
            <v>12</v>
          </cell>
          <cell r="AR322" t="str">
            <v>US_24667</v>
          </cell>
          <cell r="AS322">
            <v>0</v>
          </cell>
          <cell r="AT322">
            <v>168</v>
          </cell>
          <cell r="AU322">
            <v>168</v>
          </cell>
          <cell r="AV322">
            <v>0</v>
          </cell>
          <cell r="AW322">
            <v>2016</v>
          </cell>
          <cell r="AX322">
            <v>2016</v>
          </cell>
          <cell r="AY322">
            <v>2016</v>
          </cell>
          <cell r="AZ322">
            <v>62.5</v>
          </cell>
          <cell r="BA322">
            <v>26.4</v>
          </cell>
          <cell r="BB322">
            <v>4435.2</v>
          </cell>
          <cell r="BC322">
            <v>38.28125</v>
          </cell>
          <cell r="BD322">
            <v>2016</v>
          </cell>
          <cell r="BE322">
            <v>1612.8</v>
          </cell>
          <cell r="BF322">
            <v>2016</v>
          </cell>
          <cell r="BG322">
            <v>12936</v>
          </cell>
          <cell r="BH322">
            <v>12936</v>
          </cell>
          <cell r="BI322">
            <v>10920</v>
          </cell>
          <cell r="BJ322">
            <v>0</v>
          </cell>
          <cell r="BK322">
            <v>0</v>
          </cell>
          <cell r="BL322">
            <v>0</v>
          </cell>
          <cell r="BM322">
            <v>10920</v>
          </cell>
          <cell r="BN322">
            <v>0</v>
          </cell>
          <cell r="BO322">
            <v>2016</v>
          </cell>
          <cell r="BP322" t="str">
            <v>Y</v>
          </cell>
          <cell r="BQ322">
            <v>1</v>
          </cell>
          <cell r="BR322" t="str">
            <v>N</v>
          </cell>
          <cell r="BS322">
            <v>4435.2</v>
          </cell>
          <cell r="BT322" t="str">
            <v>Done</v>
          </cell>
          <cell r="BU322">
            <v>168</v>
          </cell>
          <cell r="BV322">
            <v>2024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H323" t="str">
            <v>Nilesh Shahi</v>
          </cell>
          <cell r="K323">
            <v>0</v>
          </cell>
          <cell r="L323" t="str">
            <v>Old</v>
          </cell>
          <cell r="M323">
            <v>45572</v>
          </cell>
          <cell r="N323">
            <v>4</v>
          </cell>
          <cell r="O323">
            <v>474</v>
          </cell>
          <cell r="P323" t="str">
            <v>-</v>
          </cell>
          <cell r="Q323">
            <v>45937</v>
          </cell>
          <cell r="R323" t="str">
            <v>PLC-3997</v>
          </cell>
          <cell r="S323" t="str">
            <v>Madhavi Gummadi</v>
          </cell>
          <cell r="T323" t="str">
            <v>Individual</v>
          </cell>
          <cell r="U323" t="str">
            <v>C2C</v>
          </cell>
          <cell r="V323" t="str">
            <v>Coforge</v>
          </cell>
          <cell r="W323">
            <v>65</v>
          </cell>
          <cell r="X323">
            <v>0</v>
          </cell>
          <cell r="Y323" t="str">
            <v>USD</v>
          </cell>
          <cell r="Z323">
            <v>77</v>
          </cell>
          <cell r="AA323">
            <v>0</v>
          </cell>
          <cell r="AB323">
            <v>0</v>
          </cell>
          <cell r="AC323">
            <v>0</v>
          </cell>
          <cell r="AD323">
            <v>45762</v>
          </cell>
          <cell r="AE323">
            <v>22</v>
          </cell>
          <cell r="AF323">
            <v>46022</v>
          </cell>
          <cell r="AG323">
            <v>65</v>
          </cell>
          <cell r="AH323">
            <v>0</v>
          </cell>
          <cell r="AI323">
            <v>65</v>
          </cell>
          <cell r="AJ323">
            <v>77</v>
          </cell>
          <cell r="AK323">
            <v>0</v>
          </cell>
          <cell r="AL323">
            <v>0</v>
          </cell>
          <cell r="AM323">
            <v>12</v>
          </cell>
          <cell r="AN323">
            <v>0</v>
          </cell>
          <cell r="AO323">
            <v>12</v>
          </cell>
          <cell r="AP323">
            <v>0</v>
          </cell>
          <cell r="AQ323">
            <v>12</v>
          </cell>
          <cell r="AR323" t="str">
            <v>US_24872</v>
          </cell>
          <cell r="AS323">
            <v>0</v>
          </cell>
          <cell r="AT323">
            <v>168</v>
          </cell>
          <cell r="AU323">
            <v>168</v>
          </cell>
          <cell r="AV323">
            <v>0</v>
          </cell>
          <cell r="AW323">
            <v>2016</v>
          </cell>
          <cell r="AX323">
            <v>2016</v>
          </cell>
          <cell r="AY323">
            <v>2016</v>
          </cell>
          <cell r="AZ323">
            <v>62.5</v>
          </cell>
          <cell r="BA323">
            <v>26.4</v>
          </cell>
          <cell r="BB323">
            <v>4435.2</v>
          </cell>
          <cell r="BC323">
            <v>38.28125</v>
          </cell>
          <cell r="BD323">
            <v>2016</v>
          </cell>
          <cell r="BE323">
            <v>1612.8</v>
          </cell>
          <cell r="BF323">
            <v>2016</v>
          </cell>
          <cell r="BG323">
            <v>12936</v>
          </cell>
          <cell r="BH323">
            <v>12936</v>
          </cell>
          <cell r="BI323">
            <v>10920</v>
          </cell>
          <cell r="BJ323">
            <v>0</v>
          </cell>
          <cell r="BK323">
            <v>0</v>
          </cell>
          <cell r="BL323">
            <v>0</v>
          </cell>
          <cell r="BM323">
            <v>10920</v>
          </cell>
          <cell r="BN323">
            <v>0</v>
          </cell>
          <cell r="BO323">
            <v>2016</v>
          </cell>
          <cell r="BP323" t="str">
            <v>Y</v>
          </cell>
          <cell r="BQ323">
            <v>2</v>
          </cell>
          <cell r="BR323" t="str">
            <v>N</v>
          </cell>
          <cell r="BS323">
            <v>4435.2</v>
          </cell>
          <cell r="BT323" t="str">
            <v>Done</v>
          </cell>
          <cell r="BU323">
            <v>168</v>
          </cell>
          <cell r="BV323">
            <v>2024</v>
          </cell>
        </row>
        <row r="324">
          <cell r="A324" t="str">
            <v>Lucknow</v>
          </cell>
          <cell r="B324" t="str">
            <v>Trust</v>
          </cell>
          <cell r="C324" t="str">
            <v>Mid Level</v>
          </cell>
          <cell r="D324" t="str">
            <v>Bhanu Pratap Singh</v>
          </cell>
          <cell r="E324" t="str">
            <v>Bhanu Pratap Singh</v>
          </cell>
          <cell r="H324" t="str">
            <v>Pass Through</v>
          </cell>
          <cell r="L324" t="str">
            <v>New</v>
          </cell>
          <cell r="M324">
            <v>45728</v>
          </cell>
          <cell r="N324">
            <v>1</v>
          </cell>
          <cell r="O324">
            <v>318</v>
          </cell>
          <cell r="P324" t="str">
            <v>-</v>
          </cell>
          <cell r="Q324">
            <v>46093</v>
          </cell>
          <cell r="R324" t="str">
            <v>PLC-4174</v>
          </cell>
          <cell r="S324" t="str">
            <v>Maher Mere</v>
          </cell>
          <cell r="T324" t="str">
            <v>Individual</v>
          </cell>
          <cell r="U324" t="str">
            <v>C2C</v>
          </cell>
          <cell r="V324" t="str">
            <v>Birlasoft</v>
          </cell>
          <cell r="W324">
            <v>97</v>
          </cell>
          <cell r="X324">
            <v>146</v>
          </cell>
          <cell r="Y324" t="str">
            <v>USD</v>
          </cell>
          <cell r="Z324">
            <v>104</v>
          </cell>
          <cell r="AA324">
            <v>156</v>
          </cell>
          <cell r="AB324">
            <v>0</v>
          </cell>
          <cell r="AC324">
            <v>0</v>
          </cell>
          <cell r="AD324">
            <v>45731</v>
          </cell>
          <cell r="AE324">
            <v>14</v>
          </cell>
          <cell r="AF324">
            <v>46022</v>
          </cell>
          <cell r="AG324">
            <v>97</v>
          </cell>
          <cell r="AH324">
            <v>146</v>
          </cell>
          <cell r="AI324">
            <v>97</v>
          </cell>
          <cell r="AJ324">
            <v>104</v>
          </cell>
          <cell r="AK324">
            <v>156</v>
          </cell>
          <cell r="AL324">
            <v>10</v>
          </cell>
          <cell r="AM324">
            <v>7</v>
          </cell>
          <cell r="AN324">
            <v>10</v>
          </cell>
          <cell r="AO324">
            <v>7</v>
          </cell>
          <cell r="AP324">
            <v>10</v>
          </cell>
          <cell r="AQ324">
            <v>7</v>
          </cell>
          <cell r="AR324" t="str">
            <v>US_24711</v>
          </cell>
          <cell r="AS324">
            <v>0</v>
          </cell>
          <cell r="AT324">
            <v>25</v>
          </cell>
          <cell r="AU324">
            <v>25</v>
          </cell>
          <cell r="AV324">
            <v>0</v>
          </cell>
          <cell r="AW324">
            <v>175</v>
          </cell>
          <cell r="AX324">
            <v>175</v>
          </cell>
          <cell r="AY324">
            <v>175</v>
          </cell>
          <cell r="AZ324">
            <v>0</v>
          </cell>
          <cell r="BA324">
            <v>0</v>
          </cell>
          <cell r="BB324">
            <v>0</v>
          </cell>
          <cell r="BF324">
            <v>175</v>
          </cell>
          <cell r="BG324">
            <v>2600</v>
          </cell>
          <cell r="BH324">
            <v>2600</v>
          </cell>
          <cell r="BI324">
            <v>2425</v>
          </cell>
          <cell r="BJ324">
            <v>0</v>
          </cell>
          <cell r="BK324">
            <v>0</v>
          </cell>
          <cell r="BL324">
            <v>0</v>
          </cell>
          <cell r="BM324">
            <v>2425</v>
          </cell>
          <cell r="BN324">
            <v>0</v>
          </cell>
          <cell r="BO324">
            <v>175</v>
          </cell>
          <cell r="BP324" t="str">
            <v>Y</v>
          </cell>
          <cell r="BQ324">
            <v>1</v>
          </cell>
          <cell r="BR324" t="str">
            <v>Y</v>
          </cell>
          <cell r="BS324">
            <v>0</v>
          </cell>
          <cell r="BT324" t="str">
            <v>Done</v>
          </cell>
          <cell r="BU324">
            <v>25</v>
          </cell>
          <cell r="BV324">
            <v>2025</v>
          </cell>
        </row>
        <row r="325">
          <cell r="A325" t="str">
            <v>Lucknow</v>
          </cell>
          <cell r="B325" t="str">
            <v>Trust</v>
          </cell>
          <cell r="C325" t="str">
            <v>Mid Level</v>
          </cell>
          <cell r="D325" t="str">
            <v>Bhanu Pratap Singh</v>
          </cell>
          <cell r="E325" t="str">
            <v>Bhanu Pratap Singh</v>
          </cell>
          <cell r="H325" t="str">
            <v>Pass Through</v>
          </cell>
          <cell r="L325" t="str">
            <v>New</v>
          </cell>
          <cell r="M325">
            <v>45728</v>
          </cell>
          <cell r="N325">
            <v>1</v>
          </cell>
          <cell r="O325">
            <v>318</v>
          </cell>
          <cell r="P325" t="str">
            <v>-</v>
          </cell>
          <cell r="Q325">
            <v>46093</v>
          </cell>
          <cell r="R325" t="str">
            <v>PLC-4174</v>
          </cell>
          <cell r="S325" t="str">
            <v>Maher Mere</v>
          </cell>
          <cell r="T325" t="str">
            <v>Individual</v>
          </cell>
          <cell r="U325" t="str">
            <v>C2C</v>
          </cell>
          <cell r="V325" t="str">
            <v>Birlasoft</v>
          </cell>
          <cell r="W325">
            <v>97</v>
          </cell>
          <cell r="X325">
            <v>146</v>
          </cell>
          <cell r="Y325" t="str">
            <v>USD</v>
          </cell>
          <cell r="Z325">
            <v>104</v>
          </cell>
          <cell r="AA325">
            <v>156</v>
          </cell>
          <cell r="AB325">
            <v>0</v>
          </cell>
          <cell r="AC325">
            <v>0</v>
          </cell>
          <cell r="AD325">
            <v>45762</v>
          </cell>
          <cell r="AE325">
            <v>22</v>
          </cell>
          <cell r="AF325">
            <v>46022</v>
          </cell>
          <cell r="AG325">
            <v>97</v>
          </cell>
          <cell r="AH325">
            <v>146</v>
          </cell>
          <cell r="AI325">
            <v>97</v>
          </cell>
          <cell r="AJ325">
            <v>104</v>
          </cell>
          <cell r="AK325">
            <v>156</v>
          </cell>
          <cell r="AL325">
            <v>10</v>
          </cell>
          <cell r="AM325">
            <v>7</v>
          </cell>
          <cell r="AN325">
            <v>10</v>
          </cell>
          <cell r="AO325">
            <v>7</v>
          </cell>
          <cell r="AP325">
            <v>10</v>
          </cell>
          <cell r="AQ325">
            <v>7</v>
          </cell>
          <cell r="AR325" t="str">
            <v>US_24908</v>
          </cell>
          <cell r="AS325">
            <v>0</v>
          </cell>
          <cell r="AT325">
            <v>25</v>
          </cell>
          <cell r="AU325">
            <v>25</v>
          </cell>
          <cell r="AV325">
            <v>0</v>
          </cell>
          <cell r="AW325">
            <v>175</v>
          </cell>
          <cell r="AX325">
            <v>175</v>
          </cell>
          <cell r="AY325">
            <v>175</v>
          </cell>
          <cell r="AZ325">
            <v>0</v>
          </cell>
          <cell r="BA325">
            <v>0</v>
          </cell>
          <cell r="BB325">
            <v>0</v>
          </cell>
          <cell r="BF325">
            <v>175</v>
          </cell>
          <cell r="BG325">
            <v>2600</v>
          </cell>
          <cell r="BH325">
            <v>2600</v>
          </cell>
          <cell r="BI325">
            <v>2425</v>
          </cell>
          <cell r="BJ325">
            <v>0</v>
          </cell>
          <cell r="BK325">
            <v>0</v>
          </cell>
          <cell r="BL325">
            <v>0</v>
          </cell>
          <cell r="BM325">
            <v>2425</v>
          </cell>
          <cell r="BN325">
            <v>0</v>
          </cell>
          <cell r="BO325">
            <v>175</v>
          </cell>
          <cell r="BP325" t="str">
            <v>Y</v>
          </cell>
          <cell r="BQ325">
            <v>2</v>
          </cell>
          <cell r="BR325" t="str">
            <v>Y</v>
          </cell>
          <cell r="BS325">
            <v>0</v>
          </cell>
          <cell r="BT325" t="str">
            <v>Done</v>
          </cell>
          <cell r="BU325">
            <v>25</v>
          </cell>
          <cell r="BV325">
            <v>2025</v>
          </cell>
        </row>
        <row r="326">
          <cell r="A326" t="str">
            <v>Lucknow</v>
          </cell>
          <cell r="B326" t="str">
            <v>Mavericks</v>
          </cell>
          <cell r="C326" t="str">
            <v>Mid Level</v>
          </cell>
          <cell r="D326" t="str">
            <v>Rohit Gupta</v>
          </cell>
          <cell r="E326" t="str">
            <v>-</v>
          </cell>
          <cell r="H326" t="str">
            <v>Vaibhav Kumar</v>
          </cell>
          <cell r="K326">
            <v>0</v>
          </cell>
          <cell r="L326" t="str">
            <v>Old</v>
          </cell>
          <cell r="M326">
            <v>45509</v>
          </cell>
          <cell r="N326">
            <v>3</v>
          </cell>
          <cell r="O326">
            <v>537</v>
          </cell>
          <cell r="P326" t="str">
            <v>-</v>
          </cell>
          <cell r="Q326">
            <v>45874</v>
          </cell>
          <cell r="R326" t="str">
            <v>PLC-3904</v>
          </cell>
          <cell r="S326" t="str">
            <v>Mahita Adapa</v>
          </cell>
          <cell r="T326" t="str">
            <v>Individual</v>
          </cell>
          <cell r="U326" t="str">
            <v>C2C</v>
          </cell>
          <cell r="V326" t="str">
            <v>ReWorld /Covanta</v>
          </cell>
          <cell r="W326">
            <v>80</v>
          </cell>
          <cell r="X326">
            <v>0</v>
          </cell>
          <cell r="Y326" t="str">
            <v>USD</v>
          </cell>
          <cell r="Z326">
            <v>105</v>
          </cell>
          <cell r="AA326">
            <v>0</v>
          </cell>
          <cell r="AB326">
            <v>0</v>
          </cell>
          <cell r="AC326">
            <v>10</v>
          </cell>
          <cell r="AD326">
            <v>45672</v>
          </cell>
          <cell r="AE326">
            <v>23</v>
          </cell>
          <cell r="AF326">
            <v>46022</v>
          </cell>
          <cell r="AG326">
            <v>80</v>
          </cell>
          <cell r="AH326">
            <v>0</v>
          </cell>
          <cell r="AI326">
            <v>90</v>
          </cell>
          <cell r="AJ326">
            <v>105</v>
          </cell>
          <cell r="AK326">
            <v>0</v>
          </cell>
          <cell r="AL326">
            <v>0</v>
          </cell>
          <cell r="AM326">
            <v>15</v>
          </cell>
          <cell r="AN326">
            <v>0</v>
          </cell>
          <cell r="AO326">
            <v>15</v>
          </cell>
          <cell r="AP326">
            <v>0</v>
          </cell>
          <cell r="AQ326">
            <v>15</v>
          </cell>
          <cell r="AR326" t="str">
            <v>US_24148</v>
          </cell>
          <cell r="AS326">
            <v>0</v>
          </cell>
          <cell r="AT326">
            <v>168</v>
          </cell>
          <cell r="AU326">
            <v>168</v>
          </cell>
          <cell r="AV326">
            <v>0</v>
          </cell>
          <cell r="AW326">
            <v>2520</v>
          </cell>
          <cell r="AX326">
            <v>2520</v>
          </cell>
          <cell r="AY326">
            <v>2520</v>
          </cell>
          <cell r="AZ326">
            <v>14.285714285714285</v>
          </cell>
          <cell r="BA326">
            <v>24</v>
          </cell>
          <cell r="BB326">
            <v>4032</v>
          </cell>
          <cell r="BC326">
            <v>38.28125</v>
          </cell>
          <cell r="BD326">
            <v>2520</v>
          </cell>
          <cell r="BE326">
            <v>2016</v>
          </cell>
          <cell r="BF326">
            <v>2520</v>
          </cell>
          <cell r="BG326">
            <v>17640</v>
          </cell>
          <cell r="BH326">
            <v>17640</v>
          </cell>
          <cell r="BI326">
            <v>13440</v>
          </cell>
          <cell r="BJ326">
            <v>0</v>
          </cell>
          <cell r="BK326">
            <v>1680</v>
          </cell>
          <cell r="BL326">
            <v>0</v>
          </cell>
          <cell r="BM326">
            <v>15120</v>
          </cell>
          <cell r="BN326">
            <v>10</v>
          </cell>
          <cell r="BO326">
            <v>2520</v>
          </cell>
          <cell r="BP326" t="str">
            <v>Y</v>
          </cell>
          <cell r="BQ326">
            <v>1</v>
          </cell>
          <cell r="BR326" t="str">
            <v>Y</v>
          </cell>
          <cell r="BS326">
            <v>4032</v>
          </cell>
          <cell r="BT326" t="str">
            <v>Done</v>
          </cell>
          <cell r="BU326">
            <v>168</v>
          </cell>
          <cell r="BV326">
            <v>2024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H327" t="str">
            <v>Vaibhav Kumar</v>
          </cell>
          <cell r="K327">
            <v>0</v>
          </cell>
          <cell r="L327" t="str">
            <v>Old</v>
          </cell>
          <cell r="M327">
            <v>45509</v>
          </cell>
          <cell r="N327">
            <v>3</v>
          </cell>
          <cell r="O327">
            <v>537</v>
          </cell>
          <cell r="P327" t="str">
            <v>-</v>
          </cell>
          <cell r="Q327">
            <v>45874</v>
          </cell>
          <cell r="R327" t="str">
            <v>PLC-3904</v>
          </cell>
          <cell r="S327" t="str">
            <v>Mahita Adapa</v>
          </cell>
          <cell r="T327" t="str">
            <v>Individual</v>
          </cell>
          <cell r="U327" t="str">
            <v>C2C</v>
          </cell>
          <cell r="V327" t="str">
            <v>ReWorld /Covanta</v>
          </cell>
          <cell r="W327">
            <v>80</v>
          </cell>
          <cell r="X327">
            <v>0</v>
          </cell>
          <cell r="Y327" t="str">
            <v>USD</v>
          </cell>
          <cell r="Z327">
            <v>105</v>
          </cell>
          <cell r="AA327">
            <v>0</v>
          </cell>
          <cell r="AB327">
            <v>0</v>
          </cell>
          <cell r="AC327">
            <v>10</v>
          </cell>
          <cell r="AD327">
            <v>45703</v>
          </cell>
          <cell r="AE327">
            <v>20</v>
          </cell>
          <cell r="AF327">
            <v>46022</v>
          </cell>
          <cell r="AG327">
            <v>80</v>
          </cell>
          <cell r="AH327">
            <v>0</v>
          </cell>
          <cell r="AI327">
            <v>90</v>
          </cell>
          <cell r="AJ327">
            <v>105</v>
          </cell>
          <cell r="AK327">
            <v>0</v>
          </cell>
          <cell r="AL327">
            <v>0</v>
          </cell>
          <cell r="AM327">
            <v>15</v>
          </cell>
          <cell r="AN327">
            <v>0</v>
          </cell>
          <cell r="AO327">
            <v>15</v>
          </cell>
          <cell r="AP327">
            <v>0</v>
          </cell>
          <cell r="AQ327">
            <v>15</v>
          </cell>
          <cell r="AR327" t="str">
            <v>US_24357</v>
          </cell>
          <cell r="AS327">
            <v>0</v>
          </cell>
          <cell r="AT327">
            <v>152</v>
          </cell>
          <cell r="AU327">
            <v>152</v>
          </cell>
          <cell r="AV327">
            <v>0</v>
          </cell>
          <cell r="AW327">
            <v>2280</v>
          </cell>
          <cell r="AX327">
            <v>2280</v>
          </cell>
          <cell r="AY327">
            <v>2280</v>
          </cell>
          <cell r="AZ327">
            <v>14.285714285714285</v>
          </cell>
          <cell r="BA327">
            <v>24</v>
          </cell>
          <cell r="BB327">
            <v>3648</v>
          </cell>
          <cell r="BC327">
            <v>38.28125</v>
          </cell>
          <cell r="BD327">
            <v>2280</v>
          </cell>
          <cell r="BE327">
            <v>1824</v>
          </cell>
          <cell r="BF327">
            <v>2280</v>
          </cell>
          <cell r="BG327">
            <v>15960</v>
          </cell>
          <cell r="BH327">
            <v>15960</v>
          </cell>
          <cell r="BI327">
            <v>12160</v>
          </cell>
          <cell r="BJ327">
            <v>0</v>
          </cell>
          <cell r="BK327">
            <v>1520</v>
          </cell>
          <cell r="BL327">
            <v>0</v>
          </cell>
          <cell r="BM327">
            <v>13680</v>
          </cell>
          <cell r="BN327">
            <v>10</v>
          </cell>
          <cell r="BO327">
            <v>2280</v>
          </cell>
          <cell r="BP327" t="str">
            <v>Y</v>
          </cell>
          <cell r="BQ327">
            <v>1</v>
          </cell>
          <cell r="BR327" t="str">
            <v>Y</v>
          </cell>
          <cell r="BS327">
            <v>3648</v>
          </cell>
          <cell r="BT327" t="str">
            <v>Done</v>
          </cell>
          <cell r="BU327">
            <v>152</v>
          </cell>
          <cell r="BV327">
            <v>2024</v>
          </cell>
        </row>
        <row r="328">
          <cell r="A328" t="str">
            <v>Lucknow</v>
          </cell>
          <cell r="B328" t="str">
            <v>Mavericks</v>
          </cell>
          <cell r="C328" t="str">
            <v>Mid Level</v>
          </cell>
          <cell r="D328" t="str">
            <v>Rohit Gupta</v>
          </cell>
          <cell r="E328" t="str">
            <v>-</v>
          </cell>
          <cell r="H328" t="str">
            <v>Vaibhav Kumar</v>
          </cell>
          <cell r="K328">
            <v>0</v>
          </cell>
          <cell r="L328" t="str">
            <v>Old</v>
          </cell>
          <cell r="M328">
            <v>45509</v>
          </cell>
          <cell r="N328">
            <v>3</v>
          </cell>
          <cell r="O328">
            <v>537</v>
          </cell>
          <cell r="P328" t="str">
            <v>-</v>
          </cell>
          <cell r="Q328">
            <v>45874</v>
          </cell>
          <cell r="R328" t="str">
            <v>PLC-3904</v>
          </cell>
          <cell r="S328" t="str">
            <v>Mahita Adapa</v>
          </cell>
          <cell r="T328" t="str">
            <v>Individual</v>
          </cell>
          <cell r="U328" t="str">
            <v>C2C</v>
          </cell>
          <cell r="V328" t="str">
            <v>ReWorld /Covanta</v>
          </cell>
          <cell r="W328">
            <v>80</v>
          </cell>
          <cell r="X328">
            <v>0</v>
          </cell>
          <cell r="Y328" t="str">
            <v>USD</v>
          </cell>
          <cell r="Z328">
            <v>105</v>
          </cell>
          <cell r="AA328">
            <v>0</v>
          </cell>
          <cell r="AB328">
            <v>0</v>
          </cell>
          <cell r="AC328">
            <v>10</v>
          </cell>
          <cell r="AD328">
            <v>45731</v>
          </cell>
          <cell r="AE328">
            <v>21</v>
          </cell>
          <cell r="AF328">
            <v>46022</v>
          </cell>
          <cell r="AG328">
            <v>80</v>
          </cell>
          <cell r="AH328">
            <v>0</v>
          </cell>
          <cell r="AI328">
            <v>90</v>
          </cell>
          <cell r="AJ328">
            <v>105</v>
          </cell>
          <cell r="AK328">
            <v>0</v>
          </cell>
          <cell r="AL328">
            <v>0</v>
          </cell>
          <cell r="AM328">
            <v>15</v>
          </cell>
          <cell r="AN328">
            <v>0</v>
          </cell>
          <cell r="AO328">
            <v>15</v>
          </cell>
          <cell r="AP328">
            <v>0</v>
          </cell>
          <cell r="AQ328">
            <v>15</v>
          </cell>
          <cell r="AR328" t="str">
            <v>US_24553</v>
          </cell>
          <cell r="AS328">
            <v>0</v>
          </cell>
          <cell r="AT328">
            <v>168</v>
          </cell>
          <cell r="AU328">
            <v>168</v>
          </cell>
          <cell r="AV328">
            <v>0</v>
          </cell>
          <cell r="AW328">
            <v>2520</v>
          </cell>
          <cell r="AX328">
            <v>2520</v>
          </cell>
          <cell r="AY328">
            <v>2520</v>
          </cell>
          <cell r="AZ328">
            <v>14.285714285714285</v>
          </cell>
          <cell r="BA328">
            <v>24</v>
          </cell>
          <cell r="BB328">
            <v>4032</v>
          </cell>
          <cell r="BC328">
            <v>38.28125</v>
          </cell>
          <cell r="BD328">
            <v>2520</v>
          </cell>
          <cell r="BE328">
            <v>2016</v>
          </cell>
          <cell r="BF328">
            <v>2520</v>
          </cell>
          <cell r="BG328">
            <v>17640</v>
          </cell>
          <cell r="BH328">
            <v>17640</v>
          </cell>
          <cell r="BI328">
            <v>13440</v>
          </cell>
          <cell r="BJ328">
            <v>0</v>
          </cell>
          <cell r="BK328">
            <v>1680</v>
          </cell>
          <cell r="BL328">
            <v>0</v>
          </cell>
          <cell r="BM328">
            <v>15120</v>
          </cell>
          <cell r="BN328">
            <v>10</v>
          </cell>
          <cell r="BO328">
            <v>2520</v>
          </cell>
          <cell r="BP328" t="str">
            <v>Y</v>
          </cell>
          <cell r="BQ328">
            <v>1</v>
          </cell>
          <cell r="BR328" t="str">
            <v>Y</v>
          </cell>
          <cell r="BS328">
            <v>4032</v>
          </cell>
          <cell r="BT328" t="str">
            <v>Done</v>
          </cell>
          <cell r="BU328">
            <v>168</v>
          </cell>
          <cell r="BV328">
            <v>2024</v>
          </cell>
        </row>
        <row r="329">
          <cell r="A329" t="str">
            <v>Lucknow</v>
          </cell>
          <cell r="B329" t="str">
            <v>Mavericks</v>
          </cell>
          <cell r="C329" t="str">
            <v>Mid Level</v>
          </cell>
          <cell r="D329" t="str">
            <v>Rohit Gupta</v>
          </cell>
          <cell r="E329" t="str">
            <v>-</v>
          </cell>
          <cell r="H329" t="str">
            <v>Vaibhav Kumar</v>
          </cell>
          <cell r="K329">
            <v>0</v>
          </cell>
          <cell r="L329" t="str">
            <v>Old</v>
          </cell>
          <cell r="M329">
            <v>45509</v>
          </cell>
          <cell r="N329">
            <v>3</v>
          </cell>
          <cell r="O329">
            <v>537</v>
          </cell>
          <cell r="P329" t="str">
            <v>-</v>
          </cell>
          <cell r="Q329">
            <v>45874</v>
          </cell>
          <cell r="R329" t="str">
            <v>PLC-3904</v>
          </cell>
          <cell r="S329" t="str">
            <v>Mahita Adapa</v>
          </cell>
          <cell r="T329" t="str">
            <v>Individual</v>
          </cell>
          <cell r="U329" t="str">
            <v>C2C</v>
          </cell>
          <cell r="V329" t="str">
            <v>ReWorld /Covanta</v>
          </cell>
          <cell r="W329">
            <v>80</v>
          </cell>
          <cell r="X329">
            <v>0</v>
          </cell>
          <cell r="Y329" t="str">
            <v>USD</v>
          </cell>
          <cell r="Z329">
            <v>105</v>
          </cell>
          <cell r="AA329">
            <v>0</v>
          </cell>
          <cell r="AB329">
            <v>0</v>
          </cell>
          <cell r="AC329">
            <v>10</v>
          </cell>
          <cell r="AD329">
            <v>45762</v>
          </cell>
          <cell r="AE329">
            <v>22</v>
          </cell>
          <cell r="AF329">
            <v>46022</v>
          </cell>
          <cell r="AG329">
            <v>80</v>
          </cell>
          <cell r="AH329">
            <v>0</v>
          </cell>
          <cell r="AI329">
            <v>90</v>
          </cell>
          <cell r="AJ329">
            <v>105</v>
          </cell>
          <cell r="AK329">
            <v>0</v>
          </cell>
          <cell r="AL329">
            <v>0</v>
          </cell>
          <cell r="AM329">
            <v>15</v>
          </cell>
          <cell r="AN329">
            <v>0</v>
          </cell>
          <cell r="AO329">
            <v>15</v>
          </cell>
          <cell r="AP329">
            <v>0</v>
          </cell>
          <cell r="AQ329">
            <v>15</v>
          </cell>
          <cell r="AR329" t="str">
            <v>US_24770</v>
          </cell>
          <cell r="AS329">
            <v>0</v>
          </cell>
          <cell r="AT329">
            <v>176</v>
          </cell>
          <cell r="AU329">
            <v>176</v>
          </cell>
          <cell r="AV329">
            <v>0</v>
          </cell>
          <cell r="AW329">
            <v>2640</v>
          </cell>
          <cell r="AX329">
            <v>2640</v>
          </cell>
          <cell r="AY329">
            <v>2640</v>
          </cell>
          <cell r="AZ329">
            <v>14.285714285714285</v>
          </cell>
          <cell r="BA329">
            <v>24</v>
          </cell>
          <cell r="BB329">
            <v>4224</v>
          </cell>
          <cell r="BC329">
            <v>38.28125</v>
          </cell>
          <cell r="BD329">
            <v>2640</v>
          </cell>
          <cell r="BE329">
            <v>2112</v>
          </cell>
          <cell r="BF329">
            <v>2640</v>
          </cell>
          <cell r="BG329">
            <v>18480</v>
          </cell>
          <cell r="BH329">
            <v>18480</v>
          </cell>
          <cell r="BI329">
            <v>14080</v>
          </cell>
          <cell r="BJ329">
            <v>0</v>
          </cell>
          <cell r="BK329">
            <v>1760</v>
          </cell>
          <cell r="BL329">
            <v>0</v>
          </cell>
          <cell r="BM329">
            <v>15840</v>
          </cell>
          <cell r="BN329">
            <v>10</v>
          </cell>
          <cell r="BO329">
            <v>2640</v>
          </cell>
          <cell r="BP329" t="str">
            <v>Y</v>
          </cell>
          <cell r="BQ329">
            <v>2</v>
          </cell>
          <cell r="BR329" t="str">
            <v>N</v>
          </cell>
          <cell r="BS329">
            <v>4224</v>
          </cell>
          <cell r="BT329" t="str">
            <v>Done</v>
          </cell>
          <cell r="BU329">
            <v>176</v>
          </cell>
          <cell r="BV329">
            <v>2024</v>
          </cell>
        </row>
        <row r="330">
          <cell r="A330" t="str">
            <v>Lucknow</v>
          </cell>
          <cell r="B330" t="str">
            <v>Mavericks</v>
          </cell>
          <cell r="C330" t="str">
            <v>Mid Level</v>
          </cell>
          <cell r="D330" t="str">
            <v>Rohit Gupta</v>
          </cell>
          <cell r="E330" t="str">
            <v>-</v>
          </cell>
          <cell r="H330" t="str">
            <v>Akhilesh Gupta</v>
          </cell>
          <cell r="J330" t="str">
            <v>ACH</v>
          </cell>
          <cell r="L330" t="str">
            <v>New</v>
          </cell>
          <cell r="M330">
            <v>45684</v>
          </cell>
          <cell r="N330">
            <v>1</v>
          </cell>
          <cell r="O330">
            <v>362</v>
          </cell>
          <cell r="P330" t="str">
            <v>-</v>
          </cell>
          <cell r="Q330">
            <v>46049</v>
          </cell>
          <cell r="R330" t="str">
            <v>PLC-4096</v>
          </cell>
          <cell r="S330" t="str">
            <v>Manaswiny Podduturi</v>
          </cell>
          <cell r="T330" t="str">
            <v>Individual</v>
          </cell>
          <cell r="U330" t="str">
            <v>C2C</v>
          </cell>
          <cell r="V330" t="str">
            <v>Coforge</v>
          </cell>
          <cell r="W330">
            <v>62</v>
          </cell>
          <cell r="X330">
            <v>0</v>
          </cell>
          <cell r="Y330" t="str">
            <v>USD</v>
          </cell>
          <cell r="Z330">
            <v>75</v>
          </cell>
          <cell r="AA330">
            <v>0</v>
          </cell>
          <cell r="AB330">
            <v>0</v>
          </cell>
          <cell r="AC330">
            <v>0</v>
          </cell>
          <cell r="AD330">
            <v>45672</v>
          </cell>
          <cell r="AE330">
            <v>5</v>
          </cell>
          <cell r="AF330">
            <v>46022</v>
          </cell>
          <cell r="AG330">
            <v>62</v>
          </cell>
          <cell r="AH330">
            <v>0</v>
          </cell>
          <cell r="AI330">
            <v>62</v>
          </cell>
          <cell r="AJ330">
            <v>75</v>
          </cell>
          <cell r="AK330">
            <v>0</v>
          </cell>
          <cell r="AL330">
            <v>0</v>
          </cell>
          <cell r="AM330">
            <v>13</v>
          </cell>
          <cell r="AN330">
            <v>0</v>
          </cell>
          <cell r="AO330">
            <v>13</v>
          </cell>
          <cell r="AP330">
            <v>0</v>
          </cell>
          <cell r="AQ330">
            <v>13</v>
          </cell>
          <cell r="AR330" t="str">
            <v>US_24329</v>
          </cell>
          <cell r="AS330">
            <v>0</v>
          </cell>
          <cell r="AT330">
            <v>40</v>
          </cell>
          <cell r="AU330">
            <v>40</v>
          </cell>
          <cell r="AV330">
            <v>0</v>
          </cell>
          <cell r="AW330">
            <v>520</v>
          </cell>
          <cell r="AX330">
            <v>514.79999999999995</v>
          </cell>
          <cell r="AY330">
            <v>520</v>
          </cell>
          <cell r="AZ330">
            <v>83.333333333333343</v>
          </cell>
          <cell r="BA330">
            <v>20.8</v>
          </cell>
          <cell r="BB330">
            <v>832</v>
          </cell>
          <cell r="BF330">
            <v>514.79999999999995</v>
          </cell>
          <cell r="BG330">
            <v>3000</v>
          </cell>
          <cell r="BH330">
            <v>3000</v>
          </cell>
          <cell r="BI330">
            <v>2480</v>
          </cell>
          <cell r="BJ330">
            <v>0</v>
          </cell>
          <cell r="BK330">
            <v>0</v>
          </cell>
          <cell r="BL330">
            <v>0</v>
          </cell>
          <cell r="BM330">
            <v>2480</v>
          </cell>
          <cell r="BN330">
            <v>0</v>
          </cell>
          <cell r="BO330">
            <v>520</v>
          </cell>
          <cell r="BP330" t="str">
            <v>Y</v>
          </cell>
          <cell r="BQ330">
            <v>1</v>
          </cell>
          <cell r="BR330" t="str">
            <v>Y</v>
          </cell>
          <cell r="BS330">
            <v>832</v>
          </cell>
          <cell r="BT330" t="str">
            <v>Done</v>
          </cell>
          <cell r="BU330">
            <v>40</v>
          </cell>
          <cell r="BV330">
            <v>2025</v>
          </cell>
        </row>
        <row r="331">
          <cell r="A331" t="str">
            <v>Lucknow</v>
          </cell>
          <cell r="B331" t="str">
            <v>Mavericks</v>
          </cell>
          <cell r="C331" t="str">
            <v>Mid Level</v>
          </cell>
          <cell r="D331" t="str">
            <v>Rohit Gupta</v>
          </cell>
          <cell r="E331" t="str">
            <v>-</v>
          </cell>
          <cell r="H331" t="str">
            <v>Akhilesh Gupta</v>
          </cell>
          <cell r="J331" t="str">
            <v>ACH</v>
          </cell>
          <cell r="L331" t="str">
            <v>New</v>
          </cell>
          <cell r="M331">
            <v>45684</v>
          </cell>
          <cell r="N331">
            <v>1</v>
          </cell>
          <cell r="O331">
            <v>362</v>
          </cell>
          <cell r="P331" t="str">
            <v>-</v>
          </cell>
          <cell r="Q331">
            <v>46049</v>
          </cell>
          <cell r="R331" t="str">
            <v>PLC-4096</v>
          </cell>
          <cell r="S331" t="str">
            <v>Manaswiny Podduturi</v>
          </cell>
          <cell r="T331" t="str">
            <v>Individual</v>
          </cell>
          <cell r="U331" t="str">
            <v>C2C</v>
          </cell>
          <cell r="V331" t="str">
            <v>Coforge</v>
          </cell>
          <cell r="W331">
            <v>62</v>
          </cell>
          <cell r="X331">
            <v>0</v>
          </cell>
          <cell r="Y331" t="str">
            <v>USD</v>
          </cell>
          <cell r="Z331">
            <v>75</v>
          </cell>
          <cell r="AA331">
            <v>0</v>
          </cell>
          <cell r="AB331">
            <v>0</v>
          </cell>
          <cell r="AC331">
            <v>0</v>
          </cell>
          <cell r="AD331">
            <v>45703</v>
          </cell>
          <cell r="AE331">
            <v>20</v>
          </cell>
          <cell r="AF331">
            <v>46022</v>
          </cell>
          <cell r="AG331">
            <v>62</v>
          </cell>
          <cell r="AH331">
            <v>0</v>
          </cell>
          <cell r="AI331">
            <v>62</v>
          </cell>
          <cell r="AJ331">
            <v>75</v>
          </cell>
          <cell r="AK331">
            <v>0</v>
          </cell>
          <cell r="AL331">
            <v>0</v>
          </cell>
          <cell r="AM331">
            <v>13</v>
          </cell>
          <cell r="AN331">
            <v>0</v>
          </cell>
          <cell r="AO331">
            <v>13</v>
          </cell>
          <cell r="AP331">
            <v>0</v>
          </cell>
          <cell r="AQ331">
            <v>13</v>
          </cell>
          <cell r="AR331" t="str">
            <v>US_24519</v>
          </cell>
          <cell r="AS331">
            <v>0</v>
          </cell>
          <cell r="AT331">
            <v>160</v>
          </cell>
          <cell r="AU331">
            <v>160</v>
          </cell>
          <cell r="AV331">
            <v>0</v>
          </cell>
          <cell r="AW331">
            <v>2080</v>
          </cell>
          <cell r="AX331">
            <v>2059.1999999999998</v>
          </cell>
          <cell r="AY331">
            <v>2080</v>
          </cell>
          <cell r="AZ331">
            <v>83.333333333333343</v>
          </cell>
          <cell r="BA331">
            <v>20.8</v>
          </cell>
          <cell r="BB331">
            <v>3328</v>
          </cell>
          <cell r="BF331">
            <v>2059.1999999999998</v>
          </cell>
          <cell r="BG331">
            <v>12000</v>
          </cell>
          <cell r="BH331">
            <v>12000</v>
          </cell>
          <cell r="BI331">
            <v>9920</v>
          </cell>
          <cell r="BJ331">
            <v>0</v>
          </cell>
          <cell r="BK331">
            <v>0</v>
          </cell>
          <cell r="BL331">
            <v>0</v>
          </cell>
          <cell r="BM331">
            <v>9920</v>
          </cell>
          <cell r="BN331">
            <v>0</v>
          </cell>
          <cell r="BO331">
            <v>2080</v>
          </cell>
          <cell r="BP331" t="str">
            <v>Y</v>
          </cell>
          <cell r="BQ331">
            <v>1</v>
          </cell>
          <cell r="BR331" t="str">
            <v>Y</v>
          </cell>
          <cell r="BS331">
            <v>3328</v>
          </cell>
          <cell r="BT331" t="str">
            <v>Done</v>
          </cell>
          <cell r="BU331">
            <v>160</v>
          </cell>
          <cell r="BV331">
            <v>2025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Rohit Gupta</v>
          </cell>
          <cell r="E332" t="str">
            <v>-</v>
          </cell>
          <cell r="H332" t="str">
            <v>Akhilesh Gupta</v>
          </cell>
          <cell r="J332" t="str">
            <v>ACH</v>
          </cell>
          <cell r="L332" t="str">
            <v>New</v>
          </cell>
          <cell r="M332">
            <v>45684</v>
          </cell>
          <cell r="N332">
            <v>1</v>
          </cell>
          <cell r="O332">
            <v>362</v>
          </cell>
          <cell r="P332" t="str">
            <v>-</v>
          </cell>
          <cell r="Q332">
            <v>46049</v>
          </cell>
          <cell r="R332" t="str">
            <v>PLC-4096</v>
          </cell>
          <cell r="S332" t="str">
            <v>Manaswiny Podduturi</v>
          </cell>
          <cell r="T332" t="str">
            <v>Individual</v>
          </cell>
          <cell r="U332" t="str">
            <v>C2C</v>
          </cell>
          <cell r="V332" t="str">
            <v>Coforge</v>
          </cell>
          <cell r="W332">
            <v>62</v>
          </cell>
          <cell r="X332">
            <v>0</v>
          </cell>
          <cell r="Y332" t="str">
            <v>USD</v>
          </cell>
          <cell r="Z332">
            <v>75</v>
          </cell>
          <cell r="AA332">
            <v>0</v>
          </cell>
          <cell r="AB332">
            <v>0</v>
          </cell>
          <cell r="AC332">
            <v>0</v>
          </cell>
          <cell r="AD332">
            <v>45731</v>
          </cell>
          <cell r="AE332">
            <v>21</v>
          </cell>
          <cell r="AF332">
            <v>46022</v>
          </cell>
          <cell r="AG332">
            <v>62</v>
          </cell>
          <cell r="AH332">
            <v>0</v>
          </cell>
          <cell r="AI332">
            <v>62</v>
          </cell>
          <cell r="AJ332">
            <v>75</v>
          </cell>
          <cell r="AK332">
            <v>0</v>
          </cell>
          <cell r="AL332">
            <v>0</v>
          </cell>
          <cell r="AM332">
            <v>13</v>
          </cell>
          <cell r="AN332">
            <v>0</v>
          </cell>
          <cell r="AO332">
            <v>13</v>
          </cell>
          <cell r="AP332">
            <v>0</v>
          </cell>
          <cell r="AQ332">
            <v>13</v>
          </cell>
          <cell r="AR332" t="str">
            <v>US_24695</v>
          </cell>
          <cell r="AS332">
            <v>0</v>
          </cell>
          <cell r="AT332">
            <v>168</v>
          </cell>
          <cell r="AU332">
            <v>168</v>
          </cell>
          <cell r="AV332">
            <v>0</v>
          </cell>
          <cell r="AW332">
            <v>2184</v>
          </cell>
          <cell r="AX332">
            <v>2162.16</v>
          </cell>
          <cell r="AY332">
            <v>2184</v>
          </cell>
          <cell r="AZ332">
            <v>83.333333333333343</v>
          </cell>
          <cell r="BA332">
            <v>20.8</v>
          </cell>
          <cell r="BB332">
            <v>3494.4</v>
          </cell>
          <cell r="BF332">
            <v>2162.16</v>
          </cell>
          <cell r="BG332">
            <v>12600</v>
          </cell>
          <cell r="BH332">
            <v>12600</v>
          </cell>
          <cell r="BI332">
            <v>10416</v>
          </cell>
          <cell r="BJ332">
            <v>0</v>
          </cell>
          <cell r="BK332">
            <v>0</v>
          </cell>
          <cell r="BL332">
            <v>0</v>
          </cell>
          <cell r="BM332">
            <v>10416</v>
          </cell>
          <cell r="BN332">
            <v>0</v>
          </cell>
          <cell r="BO332">
            <v>2184</v>
          </cell>
          <cell r="BP332" t="str">
            <v>Y</v>
          </cell>
          <cell r="BQ332">
            <v>1</v>
          </cell>
          <cell r="BR332" t="str">
            <v>Y</v>
          </cell>
          <cell r="BS332">
            <v>3494.4</v>
          </cell>
          <cell r="BT332" t="str">
            <v>Done</v>
          </cell>
          <cell r="BU332">
            <v>168</v>
          </cell>
          <cell r="BV332">
            <v>2025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Rohit Gupta</v>
          </cell>
          <cell r="E333" t="str">
            <v>-</v>
          </cell>
          <cell r="H333" t="str">
            <v>Akhilesh Gupta</v>
          </cell>
          <cell r="J333" t="str">
            <v>ACH</v>
          </cell>
          <cell r="L333" t="str">
            <v>New</v>
          </cell>
          <cell r="M333">
            <v>45684</v>
          </cell>
          <cell r="N333">
            <v>1</v>
          </cell>
          <cell r="O333">
            <v>362</v>
          </cell>
          <cell r="P333" t="str">
            <v>-</v>
          </cell>
          <cell r="Q333">
            <v>46049</v>
          </cell>
          <cell r="R333" t="str">
            <v>PLC-4096</v>
          </cell>
          <cell r="S333" t="str">
            <v>Manaswiny Podduturi</v>
          </cell>
          <cell r="T333" t="str">
            <v>Individual</v>
          </cell>
          <cell r="U333" t="str">
            <v>C2C</v>
          </cell>
          <cell r="V333" t="str">
            <v>Coforge</v>
          </cell>
          <cell r="W333">
            <v>62</v>
          </cell>
          <cell r="X333">
            <v>0</v>
          </cell>
          <cell r="Y333" t="str">
            <v>USD</v>
          </cell>
          <cell r="Z333">
            <v>75</v>
          </cell>
          <cell r="AA333">
            <v>0</v>
          </cell>
          <cell r="AB333">
            <v>0</v>
          </cell>
          <cell r="AC333">
            <v>0</v>
          </cell>
          <cell r="AD333">
            <v>45762</v>
          </cell>
          <cell r="AE333">
            <v>22</v>
          </cell>
          <cell r="AF333">
            <v>46022</v>
          </cell>
          <cell r="AG333">
            <v>62</v>
          </cell>
          <cell r="AH333">
            <v>0</v>
          </cell>
          <cell r="AI333">
            <v>62</v>
          </cell>
          <cell r="AJ333">
            <v>75</v>
          </cell>
          <cell r="AK333">
            <v>0</v>
          </cell>
          <cell r="AL333">
            <v>0</v>
          </cell>
          <cell r="AM333">
            <v>13</v>
          </cell>
          <cell r="AN333">
            <v>0</v>
          </cell>
          <cell r="AO333">
            <v>13</v>
          </cell>
          <cell r="AP333">
            <v>0</v>
          </cell>
          <cell r="AQ333">
            <v>13</v>
          </cell>
          <cell r="AR333" t="str">
            <v>US_24896</v>
          </cell>
          <cell r="AS333">
            <v>0</v>
          </cell>
          <cell r="AT333">
            <v>180</v>
          </cell>
          <cell r="AU333">
            <v>180</v>
          </cell>
          <cell r="AV333">
            <v>0</v>
          </cell>
          <cell r="AW333">
            <v>2340</v>
          </cell>
          <cell r="AX333">
            <v>2316.6</v>
          </cell>
          <cell r="AY333">
            <v>2340</v>
          </cell>
          <cell r="AZ333">
            <v>83.333333333333343</v>
          </cell>
          <cell r="BA333">
            <v>20.8</v>
          </cell>
          <cell r="BB333">
            <v>3744</v>
          </cell>
          <cell r="BF333">
            <v>2316.6</v>
          </cell>
          <cell r="BG333">
            <v>13500</v>
          </cell>
          <cell r="BH333">
            <v>13500</v>
          </cell>
          <cell r="BI333">
            <v>11160</v>
          </cell>
          <cell r="BJ333">
            <v>0</v>
          </cell>
          <cell r="BK333">
            <v>0</v>
          </cell>
          <cell r="BL333">
            <v>0</v>
          </cell>
          <cell r="BM333">
            <v>11160</v>
          </cell>
          <cell r="BN333">
            <v>0</v>
          </cell>
          <cell r="BO333">
            <v>2340</v>
          </cell>
          <cell r="BP333" t="str">
            <v>Y</v>
          </cell>
          <cell r="BQ333">
            <v>2</v>
          </cell>
          <cell r="BR333" t="str">
            <v>N</v>
          </cell>
          <cell r="BS333">
            <v>3744</v>
          </cell>
          <cell r="BT333" t="str">
            <v>Done</v>
          </cell>
          <cell r="BU333">
            <v>180</v>
          </cell>
          <cell r="BV333">
            <v>2025</v>
          </cell>
        </row>
        <row r="334">
          <cell r="A334" t="str">
            <v>Noida</v>
          </cell>
          <cell r="B334" t="str">
            <v>Noida IT</v>
          </cell>
          <cell r="C334" t="str">
            <v>Mid Level</v>
          </cell>
          <cell r="D334" t="str">
            <v>Akash Saxena</v>
          </cell>
          <cell r="E334" t="str">
            <v>N/A</v>
          </cell>
          <cell r="H334" t="str">
            <v>Pass Through</v>
          </cell>
          <cell r="K334">
            <v>0</v>
          </cell>
          <cell r="L334" t="str">
            <v>Old</v>
          </cell>
          <cell r="M334">
            <v>45432</v>
          </cell>
          <cell r="N334">
            <v>2</v>
          </cell>
          <cell r="O334">
            <v>614</v>
          </cell>
          <cell r="P334">
            <v>45807</v>
          </cell>
          <cell r="Q334">
            <v>45797</v>
          </cell>
          <cell r="R334" t="str">
            <v>PLC-Passthrough</v>
          </cell>
          <cell r="S334" t="str">
            <v>Manpreet Singh Mutti</v>
          </cell>
          <cell r="T334" t="str">
            <v>Individual</v>
          </cell>
          <cell r="U334" t="str">
            <v>C2C</v>
          </cell>
          <cell r="V334" t="str">
            <v>Citius Tech</v>
          </cell>
          <cell r="W334">
            <v>70</v>
          </cell>
          <cell r="X334">
            <v>70</v>
          </cell>
          <cell r="Y334" t="str">
            <v>USD</v>
          </cell>
          <cell r="Z334">
            <v>72</v>
          </cell>
          <cell r="AA334">
            <v>72</v>
          </cell>
          <cell r="AB334">
            <v>0</v>
          </cell>
          <cell r="AC334">
            <v>0</v>
          </cell>
          <cell r="AD334">
            <v>45672</v>
          </cell>
          <cell r="AE334">
            <v>22</v>
          </cell>
          <cell r="AF334">
            <v>46022</v>
          </cell>
          <cell r="AG334">
            <v>70</v>
          </cell>
          <cell r="AH334">
            <v>70</v>
          </cell>
          <cell r="AI334">
            <v>70</v>
          </cell>
          <cell r="AJ334">
            <v>72</v>
          </cell>
          <cell r="AK334">
            <v>72</v>
          </cell>
          <cell r="AL334">
            <v>2</v>
          </cell>
          <cell r="AM334">
            <v>2</v>
          </cell>
          <cell r="AN334">
            <v>2</v>
          </cell>
          <cell r="AO334">
            <v>2</v>
          </cell>
          <cell r="AP334">
            <v>2</v>
          </cell>
          <cell r="AQ334">
            <v>2</v>
          </cell>
          <cell r="AR334" t="str">
            <v>US_24235</v>
          </cell>
          <cell r="AS334">
            <v>0</v>
          </cell>
          <cell r="AT334">
            <v>168</v>
          </cell>
          <cell r="AU334">
            <v>168</v>
          </cell>
          <cell r="AV334">
            <v>0</v>
          </cell>
          <cell r="AW334">
            <v>336</v>
          </cell>
          <cell r="AX334">
            <v>336</v>
          </cell>
          <cell r="AY334">
            <v>336</v>
          </cell>
          <cell r="AZ334">
            <v>0</v>
          </cell>
          <cell r="BA334">
            <v>0</v>
          </cell>
          <cell r="BB334">
            <v>0</v>
          </cell>
          <cell r="BD334">
            <v>336</v>
          </cell>
          <cell r="BF334">
            <v>336</v>
          </cell>
          <cell r="BG334">
            <v>12096</v>
          </cell>
          <cell r="BH334">
            <v>12096</v>
          </cell>
          <cell r="BI334">
            <v>11760</v>
          </cell>
          <cell r="BJ334">
            <v>0</v>
          </cell>
          <cell r="BK334">
            <v>0</v>
          </cell>
          <cell r="BL334">
            <v>0</v>
          </cell>
          <cell r="BM334">
            <v>11760</v>
          </cell>
          <cell r="BN334">
            <v>0</v>
          </cell>
          <cell r="BO334">
            <v>336</v>
          </cell>
          <cell r="BP334" t="str">
            <v>Y</v>
          </cell>
          <cell r="BQ334">
            <v>1</v>
          </cell>
          <cell r="BR334" t="str">
            <v>Y</v>
          </cell>
          <cell r="BS334">
            <v>0</v>
          </cell>
          <cell r="BT334" t="str">
            <v>Done</v>
          </cell>
          <cell r="BU334">
            <v>168</v>
          </cell>
          <cell r="BV334">
            <v>2024</v>
          </cell>
        </row>
        <row r="335">
          <cell r="A335" t="str">
            <v>Noida</v>
          </cell>
          <cell r="B335" t="str">
            <v>Noida IT</v>
          </cell>
          <cell r="C335" t="str">
            <v>Mid Level</v>
          </cell>
          <cell r="D335" t="str">
            <v>Akash Saxena</v>
          </cell>
          <cell r="E335" t="str">
            <v>N/A</v>
          </cell>
          <cell r="H335" t="str">
            <v>Pass Through</v>
          </cell>
          <cell r="K335">
            <v>0</v>
          </cell>
          <cell r="L335" t="str">
            <v>Old</v>
          </cell>
          <cell r="M335">
            <v>45432</v>
          </cell>
          <cell r="N335">
            <v>2</v>
          </cell>
          <cell r="O335">
            <v>614</v>
          </cell>
          <cell r="P335">
            <v>45807</v>
          </cell>
          <cell r="Q335">
            <v>45797</v>
          </cell>
          <cell r="R335" t="str">
            <v>PLC-Passthrough</v>
          </cell>
          <cell r="S335" t="str">
            <v>Manpreet Singh Mutti</v>
          </cell>
          <cell r="T335" t="str">
            <v>Individual</v>
          </cell>
          <cell r="U335" t="str">
            <v>C2C</v>
          </cell>
          <cell r="V335" t="str">
            <v>Citius Tech</v>
          </cell>
          <cell r="W335">
            <v>70</v>
          </cell>
          <cell r="X335">
            <v>70</v>
          </cell>
          <cell r="Y335" t="str">
            <v>USD</v>
          </cell>
          <cell r="Z335">
            <v>72</v>
          </cell>
          <cell r="AA335">
            <v>72</v>
          </cell>
          <cell r="AB335">
            <v>0</v>
          </cell>
          <cell r="AC335">
            <v>0</v>
          </cell>
          <cell r="AD335">
            <v>45703</v>
          </cell>
          <cell r="AE335">
            <v>20</v>
          </cell>
          <cell r="AF335">
            <v>46022</v>
          </cell>
          <cell r="AG335">
            <v>70</v>
          </cell>
          <cell r="AH335">
            <v>70</v>
          </cell>
          <cell r="AI335">
            <v>70</v>
          </cell>
          <cell r="AJ335">
            <v>72</v>
          </cell>
          <cell r="AK335">
            <v>72</v>
          </cell>
          <cell r="AL335">
            <v>2</v>
          </cell>
          <cell r="AM335">
            <v>2</v>
          </cell>
          <cell r="AN335">
            <v>2</v>
          </cell>
          <cell r="AO335">
            <v>2</v>
          </cell>
          <cell r="AP335">
            <v>2</v>
          </cell>
          <cell r="AQ335">
            <v>2</v>
          </cell>
          <cell r="AR335" t="str">
            <v>US_24441</v>
          </cell>
          <cell r="AS335">
            <v>0</v>
          </cell>
          <cell r="AT335">
            <v>160</v>
          </cell>
          <cell r="AU335">
            <v>160</v>
          </cell>
          <cell r="AV335">
            <v>0</v>
          </cell>
          <cell r="AW335">
            <v>320</v>
          </cell>
          <cell r="AX335">
            <v>320</v>
          </cell>
          <cell r="AY335">
            <v>320</v>
          </cell>
          <cell r="AZ335">
            <v>0</v>
          </cell>
          <cell r="BA335">
            <v>0</v>
          </cell>
          <cell r="BB335">
            <v>0</v>
          </cell>
          <cell r="BD335">
            <v>320</v>
          </cell>
          <cell r="BF335">
            <v>320</v>
          </cell>
          <cell r="BG335">
            <v>11520</v>
          </cell>
          <cell r="BH335">
            <v>11520</v>
          </cell>
          <cell r="BI335">
            <v>11200</v>
          </cell>
          <cell r="BJ335">
            <v>0</v>
          </cell>
          <cell r="BK335">
            <v>0</v>
          </cell>
          <cell r="BL335">
            <v>0</v>
          </cell>
          <cell r="BM335">
            <v>11200</v>
          </cell>
          <cell r="BN335">
            <v>0</v>
          </cell>
          <cell r="BO335">
            <v>320</v>
          </cell>
          <cell r="BP335" t="str">
            <v>Y</v>
          </cell>
          <cell r="BQ335">
            <v>1</v>
          </cell>
          <cell r="BR335" t="str">
            <v>Y</v>
          </cell>
          <cell r="BS335">
            <v>0</v>
          </cell>
          <cell r="BT335" t="str">
            <v>Done</v>
          </cell>
          <cell r="BU335">
            <v>160</v>
          </cell>
          <cell r="BV335">
            <v>2024</v>
          </cell>
        </row>
        <row r="336">
          <cell r="A336" t="str">
            <v>Noida</v>
          </cell>
          <cell r="B336" t="str">
            <v>Noida IT</v>
          </cell>
          <cell r="C336" t="str">
            <v>Mid Level</v>
          </cell>
          <cell r="D336" t="str">
            <v>Akash Saxena</v>
          </cell>
          <cell r="E336" t="str">
            <v>N/A</v>
          </cell>
          <cell r="H336" t="str">
            <v>Pass Through</v>
          </cell>
          <cell r="K336">
            <v>0</v>
          </cell>
          <cell r="L336" t="str">
            <v>Old</v>
          </cell>
          <cell r="M336">
            <v>45432</v>
          </cell>
          <cell r="N336">
            <v>2</v>
          </cell>
          <cell r="O336">
            <v>614</v>
          </cell>
          <cell r="P336">
            <v>45807</v>
          </cell>
          <cell r="Q336">
            <v>45797</v>
          </cell>
          <cell r="R336" t="str">
            <v>PLC-Passthrough</v>
          </cell>
          <cell r="S336" t="str">
            <v>Manpreet Singh Mutti</v>
          </cell>
          <cell r="T336" t="str">
            <v>Individual</v>
          </cell>
          <cell r="U336" t="str">
            <v>C2C</v>
          </cell>
          <cell r="V336" t="str">
            <v>Citius Tech</v>
          </cell>
          <cell r="W336">
            <v>70</v>
          </cell>
          <cell r="X336">
            <v>70</v>
          </cell>
          <cell r="Y336" t="str">
            <v>USD</v>
          </cell>
          <cell r="Z336">
            <v>72</v>
          </cell>
          <cell r="AA336">
            <v>72</v>
          </cell>
          <cell r="AB336">
            <v>0</v>
          </cell>
          <cell r="AC336">
            <v>0</v>
          </cell>
          <cell r="AD336">
            <v>45731</v>
          </cell>
          <cell r="AE336">
            <v>21</v>
          </cell>
          <cell r="AF336">
            <v>46022</v>
          </cell>
          <cell r="AG336">
            <v>70</v>
          </cell>
          <cell r="AH336">
            <v>70</v>
          </cell>
          <cell r="AI336">
            <v>70</v>
          </cell>
          <cell r="AJ336">
            <v>72</v>
          </cell>
          <cell r="AK336">
            <v>72</v>
          </cell>
          <cell r="AL336">
            <v>2</v>
          </cell>
          <cell r="AM336">
            <v>2</v>
          </cell>
          <cell r="AN336">
            <v>2</v>
          </cell>
          <cell r="AO336">
            <v>2</v>
          </cell>
          <cell r="AP336">
            <v>2</v>
          </cell>
          <cell r="AQ336">
            <v>2</v>
          </cell>
          <cell r="AR336" t="str">
            <v>US_24631</v>
          </cell>
          <cell r="AS336">
            <v>0</v>
          </cell>
          <cell r="AT336">
            <v>144</v>
          </cell>
          <cell r="AU336">
            <v>144</v>
          </cell>
          <cell r="AV336">
            <v>0</v>
          </cell>
          <cell r="AW336">
            <v>288</v>
          </cell>
          <cell r="AX336">
            <v>288</v>
          </cell>
          <cell r="AY336">
            <v>288</v>
          </cell>
          <cell r="AZ336">
            <v>0</v>
          </cell>
          <cell r="BA336">
            <v>0</v>
          </cell>
          <cell r="BB336">
            <v>0</v>
          </cell>
          <cell r="BD336">
            <v>288</v>
          </cell>
          <cell r="BF336">
            <v>288</v>
          </cell>
          <cell r="BG336">
            <v>10368</v>
          </cell>
          <cell r="BH336">
            <v>10368</v>
          </cell>
          <cell r="BI336">
            <v>10080</v>
          </cell>
          <cell r="BJ336">
            <v>0</v>
          </cell>
          <cell r="BK336">
            <v>0</v>
          </cell>
          <cell r="BL336">
            <v>0</v>
          </cell>
          <cell r="BM336">
            <v>10080</v>
          </cell>
          <cell r="BN336">
            <v>0</v>
          </cell>
          <cell r="BO336">
            <v>288</v>
          </cell>
          <cell r="BP336" t="str">
            <v>Y</v>
          </cell>
          <cell r="BQ336">
            <v>1</v>
          </cell>
          <cell r="BR336" t="str">
            <v>Y</v>
          </cell>
          <cell r="BS336">
            <v>0</v>
          </cell>
          <cell r="BT336" t="str">
            <v>Done</v>
          </cell>
          <cell r="BU336">
            <v>144</v>
          </cell>
          <cell r="BV336">
            <v>2024</v>
          </cell>
        </row>
        <row r="337">
          <cell r="A337" t="str">
            <v>Noida</v>
          </cell>
          <cell r="B337" t="str">
            <v>Noida IT</v>
          </cell>
          <cell r="C337" t="str">
            <v>Mid Level</v>
          </cell>
          <cell r="D337" t="str">
            <v>Akash Saxena</v>
          </cell>
          <cell r="E337" t="str">
            <v>N/A</v>
          </cell>
          <cell r="H337" t="str">
            <v>Pass Through</v>
          </cell>
          <cell r="K337">
            <v>0</v>
          </cell>
          <cell r="L337" t="str">
            <v>Old</v>
          </cell>
          <cell r="M337">
            <v>45432</v>
          </cell>
          <cell r="N337">
            <v>2</v>
          </cell>
          <cell r="O337">
            <v>614</v>
          </cell>
          <cell r="P337">
            <v>45807</v>
          </cell>
          <cell r="Q337">
            <v>45797</v>
          </cell>
          <cell r="R337" t="str">
            <v>PLC-Passthrough</v>
          </cell>
          <cell r="S337" t="str">
            <v>Manpreet Singh Mutti</v>
          </cell>
          <cell r="T337" t="str">
            <v>Individual</v>
          </cell>
          <cell r="U337" t="str">
            <v>C2C</v>
          </cell>
          <cell r="V337" t="str">
            <v>Citius Tech</v>
          </cell>
          <cell r="W337">
            <v>70</v>
          </cell>
          <cell r="X337">
            <v>70</v>
          </cell>
          <cell r="Y337" t="str">
            <v>USD</v>
          </cell>
          <cell r="Z337">
            <v>72</v>
          </cell>
          <cell r="AA337">
            <v>72</v>
          </cell>
          <cell r="AB337">
            <v>0</v>
          </cell>
          <cell r="AC337">
            <v>0</v>
          </cell>
          <cell r="AD337">
            <v>45762</v>
          </cell>
          <cell r="AE337">
            <v>22</v>
          </cell>
          <cell r="AF337">
            <v>46022</v>
          </cell>
          <cell r="AG337">
            <v>70</v>
          </cell>
          <cell r="AH337">
            <v>70</v>
          </cell>
          <cell r="AI337">
            <v>70</v>
          </cell>
          <cell r="AJ337">
            <v>72</v>
          </cell>
          <cell r="AK337">
            <v>72</v>
          </cell>
          <cell r="AL337">
            <v>2</v>
          </cell>
          <cell r="AM337">
            <v>2</v>
          </cell>
          <cell r="AN337">
            <v>2</v>
          </cell>
          <cell r="AO337">
            <v>2</v>
          </cell>
          <cell r="AP337">
            <v>2</v>
          </cell>
          <cell r="AQ337">
            <v>2</v>
          </cell>
          <cell r="AR337" t="str">
            <v>US_24839</v>
          </cell>
          <cell r="AS337">
            <v>0</v>
          </cell>
          <cell r="AT337">
            <v>176</v>
          </cell>
          <cell r="AU337">
            <v>176</v>
          </cell>
          <cell r="AV337">
            <v>0</v>
          </cell>
          <cell r="AW337">
            <v>352</v>
          </cell>
          <cell r="AX337">
            <v>352</v>
          </cell>
          <cell r="AY337">
            <v>352</v>
          </cell>
          <cell r="AZ337">
            <v>0</v>
          </cell>
          <cell r="BA337">
            <v>0</v>
          </cell>
          <cell r="BB337">
            <v>0</v>
          </cell>
          <cell r="BD337">
            <v>352</v>
          </cell>
          <cell r="BF337">
            <v>352</v>
          </cell>
          <cell r="BG337">
            <v>12672</v>
          </cell>
          <cell r="BH337">
            <v>12672</v>
          </cell>
          <cell r="BI337">
            <v>12320</v>
          </cell>
          <cell r="BJ337">
            <v>0</v>
          </cell>
          <cell r="BK337">
            <v>0</v>
          </cell>
          <cell r="BL337">
            <v>0</v>
          </cell>
          <cell r="BM337">
            <v>12320</v>
          </cell>
          <cell r="BN337">
            <v>0</v>
          </cell>
          <cell r="BO337">
            <v>352</v>
          </cell>
          <cell r="BP337" t="str">
            <v>Y</v>
          </cell>
          <cell r="BQ337">
            <v>2</v>
          </cell>
          <cell r="BR337" t="str">
            <v>Y</v>
          </cell>
          <cell r="BS337">
            <v>0</v>
          </cell>
          <cell r="BT337" t="str">
            <v>Done</v>
          </cell>
          <cell r="BU337">
            <v>176</v>
          </cell>
          <cell r="BV337">
            <v>2024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Rohit Gupta</v>
          </cell>
          <cell r="E338" t="str">
            <v>-</v>
          </cell>
          <cell r="H338" t="str">
            <v>Nilesh Shahi</v>
          </cell>
          <cell r="K338">
            <v>0</v>
          </cell>
          <cell r="L338" t="str">
            <v>Old</v>
          </cell>
          <cell r="M338">
            <v>45383</v>
          </cell>
          <cell r="N338">
            <v>2</v>
          </cell>
          <cell r="O338">
            <v>663</v>
          </cell>
          <cell r="P338">
            <v>45820</v>
          </cell>
          <cell r="Q338">
            <v>45748</v>
          </cell>
          <cell r="R338" t="str">
            <v>PLC-3708</v>
          </cell>
          <cell r="S338" t="str">
            <v>Marcela Donato</v>
          </cell>
          <cell r="T338" t="str">
            <v>Individual</v>
          </cell>
          <cell r="U338" t="str">
            <v>W2</v>
          </cell>
          <cell r="V338" t="str">
            <v>Xceedence</v>
          </cell>
          <cell r="W338">
            <v>17</v>
          </cell>
          <cell r="X338">
            <v>0</v>
          </cell>
          <cell r="Y338" t="str">
            <v>USD</v>
          </cell>
          <cell r="Z338">
            <v>25</v>
          </cell>
          <cell r="AA338">
            <v>0</v>
          </cell>
          <cell r="AB338">
            <v>0</v>
          </cell>
          <cell r="AC338">
            <v>0</v>
          </cell>
          <cell r="AD338">
            <v>45672</v>
          </cell>
          <cell r="AE338">
            <v>22</v>
          </cell>
          <cell r="AF338">
            <v>46022</v>
          </cell>
          <cell r="AG338">
            <v>19.549999999999997</v>
          </cell>
          <cell r="AH338">
            <v>0</v>
          </cell>
          <cell r="AI338">
            <v>19.549999999999997</v>
          </cell>
          <cell r="AJ338">
            <v>25</v>
          </cell>
          <cell r="AK338">
            <v>0</v>
          </cell>
          <cell r="AL338">
            <v>0</v>
          </cell>
          <cell r="AM338">
            <v>5.4500000000000028</v>
          </cell>
          <cell r="AN338">
            <v>0</v>
          </cell>
          <cell r="AO338">
            <v>5.4500000000000028</v>
          </cell>
          <cell r="AP338">
            <v>0</v>
          </cell>
          <cell r="AQ338">
            <v>5.4500000000000028</v>
          </cell>
          <cell r="AR338" t="str">
            <v>US_24222</v>
          </cell>
          <cell r="AS338">
            <v>0</v>
          </cell>
          <cell r="AT338">
            <v>123.95</v>
          </cell>
          <cell r="AU338">
            <v>123.95</v>
          </cell>
          <cell r="AV338">
            <v>0</v>
          </cell>
          <cell r="AW338">
            <v>675.52750000000037</v>
          </cell>
          <cell r="AX338">
            <v>675.52750000000037</v>
          </cell>
          <cell r="AY338">
            <v>675.52750000000037</v>
          </cell>
          <cell r="AZ338">
            <v>62.5</v>
          </cell>
          <cell r="BA338">
            <v>11.990000000000007</v>
          </cell>
          <cell r="BB338">
            <v>1486.1605000000009</v>
          </cell>
          <cell r="BC338">
            <v>38.28125</v>
          </cell>
          <cell r="BD338">
            <v>675.52750000000037</v>
          </cell>
          <cell r="BE338">
            <v>540.42200000000025</v>
          </cell>
          <cell r="BF338">
            <v>675.52750000000037</v>
          </cell>
          <cell r="BG338">
            <v>3098.75</v>
          </cell>
          <cell r="BH338">
            <v>3098.75</v>
          </cell>
          <cell r="BI338">
            <v>2107.15</v>
          </cell>
          <cell r="BJ338">
            <v>2.5499999999999998</v>
          </cell>
          <cell r="BK338">
            <v>0</v>
          </cell>
          <cell r="BL338">
            <v>316.07249999999999</v>
          </cell>
          <cell r="BM338">
            <v>2423.2224999999999</v>
          </cell>
          <cell r="BN338">
            <v>2.5499999999999998</v>
          </cell>
          <cell r="BO338">
            <v>675.52749999999992</v>
          </cell>
          <cell r="BP338" t="str">
            <v>Y</v>
          </cell>
          <cell r="BQ338">
            <v>1</v>
          </cell>
          <cell r="BR338" t="str">
            <v>N</v>
          </cell>
          <cell r="BS338">
            <v>1486.1605000000009</v>
          </cell>
          <cell r="BT338" t="str">
            <v>Done</v>
          </cell>
          <cell r="BU338">
            <v>123.95</v>
          </cell>
          <cell r="BV338">
            <v>2024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Rohit Gupta</v>
          </cell>
          <cell r="E339" t="str">
            <v>-</v>
          </cell>
          <cell r="H339" t="str">
            <v>Nilesh Shahi</v>
          </cell>
          <cell r="K339">
            <v>0</v>
          </cell>
          <cell r="L339" t="str">
            <v>Old</v>
          </cell>
          <cell r="M339">
            <v>45383</v>
          </cell>
          <cell r="N339">
            <v>2</v>
          </cell>
          <cell r="O339">
            <v>663</v>
          </cell>
          <cell r="P339">
            <v>45820</v>
          </cell>
          <cell r="Q339">
            <v>45748</v>
          </cell>
          <cell r="R339" t="str">
            <v>PLC-3708</v>
          </cell>
          <cell r="S339" t="str">
            <v>Marcela Donato</v>
          </cell>
          <cell r="T339" t="str">
            <v>Individual</v>
          </cell>
          <cell r="U339" t="str">
            <v>W2</v>
          </cell>
          <cell r="V339" t="str">
            <v>Xceedence</v>
          </cell>
          <cell r="W339">
            <v>17</v>
          </cell>
          <cell r="X339">
            <v>0</v>
          </cell>
          <cell r="Y339" t="str">
            <v>USD</v>
          </cell>
          <cell r="Z339">
            <v>25</v>
          </cell>
          <cell r="AA339">
            <v>0</v>
          </cell>
          <cell r="AB339">
            <v>0</v>
          </cell>
          <cell r="AC339">
            <v>0</v>
          </cell>
          <cell r="AD339">
            <v>45703</v>
          </cell>
          <cell r="AE339">
            <v>20</v>
          </cell>
          <cell r="AF339">
            <v>46022</v>
          </cell>
          <cell r="AG339">
            <v>19.549999999999997</v>
          </cell>
          <cell r="AH339">
            <v>0</v>
          </cell>
          <cell r="AI339">
            <v>19.549999999999997</v>
          </cell>
          <cell r="AJ339">
            <v>25</v>
          </cell>
          <cell r="AK339">
            <v>0</v>
          </cell>
          <cell r="AL339">
            <v>0</v>
          </cell>
          <cell r="AM339">
            <v>5.4500000000000028</v>
          </cell>
          <cell r="AN339">
            <v>0</v>
          </cell>
          <cell r="AO339">
            <v>5.4500000000000028</v>
          </cell>
          <cell r="AP339">
            <v>0</v>
          </cell>
          <cell r="AQ339">
            <v>5.4500000000000028</v>
          </cell>
          <cell r="AR339" t="str">
            <v>US_24429</v>
          </cell>
          <cell r="AS339">
            <v>0</v>
          </cell>
          <cell r="AT339">
            <v>131.22</v>
          </cell>
          <cell r="AU339">
            <v>131.22</v>
          </cell>
          <cell r="AV339">
            <v>0</v>
          </cell>
          <cell r="AW339">
            <v>715.14900000000034</v>
          </cell>
          <cell r="AX339">
            <v>715.14900000000034</v>
          </cell>
          <cell r="AY339">
            <v>715.14900000000034</v>
          </cell>
          <cell r="AZ339">
            <v>62.5</v>
          </cell>
          <cell r="BA339">
            <v>11.990000000000007</v>
          </cell>
          <cell r="BB339">
            <v>1573.3278000000009</v>
          </cell>
          <cell r="BC339">
            <v>38.28125</v>
          </cell>
          <cell r="BD339">
            <v>715.14900000000034</v>
          </cell>
          <cell r="BE339">
            <v>572.11920000000032</v>
          </cell>
          <cell r="BF339">
            <v>715.14900000000034</v>
          </cell>
          <cell r="BG339">
            <v>3280.5</v>
          </cell>
          <cell r="BH339">
            <v>3280.5</v>
          </cell>
          <cell r="BI339">
            <v>2230.7399999999998</v>
          </cell>
          <cell r="BJ339">
            <v>2.5499999999999998</v>
          </cell>
          <cell r="BK339">
            <v>0</v>
          </cell>
          <cell r="BL339">
            <v>334.61099999999999</v>
          </cell>
          <cell r="BM339">
            <v>2565.3509999999997</v>
          </cell>
          <cell r="BN339">
            <v>2.5499999999999998</v>
          </cell>
          <cell r="BO339">
            <v>715.14900000000023</v>
          </cell>
          <cell r="BP339" t="str">
            <v>Y</v>
          </cell>
          <cell r="BQ339">
            <v>1</v>
          </cell>
          <cell r="BR339" t="str">
            <v>N</v>
          </cell>
          <cell r="BS339">
            <v>1573.3278000000009</v>
          </cell>
          <cell r="BT339" t="str">
            <v>Done</v>
          </cell>
          <cell r="BU339">
            <v>131.22</v>
          </cell>
          <cell r="BV339">
            <v>2024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Rohit Gupta</v>
          </cell>
          <cell r="E340" t="str">
            <v>-</v>
          </cell>
          <cell r="H340" t="str">
            <v>Nilesh Shahi</v>
          </cell>
          <cell r="K340">
            <v>0</v>
          </cell>
          <cell r="L340" t="str">
            <v>Old</v>
          </cell>
          <cell r="M340">
            <v>45383</v>
          </cell>
          <cell r="N340">
            <v>2</v>
          </cell>
          <cell r="O340">
            <v>663</v>
          </cell>
          <cell r="P340">
            <v>45820</v>
          </cell>
          <cell r="Q340">
            <v>45748</v>
          </cell>
          <cell r="R340" t="str">
            <v>PLC-3708</v>
          </cell>
          <cell r="S340" t="str">
            <v>Marcela Donato</v>
          </cell>
          <cell r="T340" t="str">
            <v>Individual</v>
          </cell>
          <cell r="U340" t="str">
            <v>W2</v>
          </cell>
          <cell r="V340" t="str">
            <v>Xceedence</v>
          </cell>
          <cell r="W340">
            <v>17</v>
          </cell>
          <cell r="X340">
            <v>0</v>
          </cell>
          <cell r="Y340" t="str">
            <v>USD</v>
          </cell>
          <cell r="Z340">
            <v>25</v>
          </cell>
          <cell r="AA340">
            <v>0</v>
          </cell>
          <cell r="AB340">
            <v>0</v>
          </cell>
          <cell r="AC340">
            <v>0</v>
          </cell>
          <cell r="AD340">
            <v>45731</v>
          </cell>
          <cell r="AE340">
            <v>21</v>
          </cell>
          <cell r="AF340">
            <v>46022</v>
          </cell>
          <cell r="AG340">
            <v>19.549999999999997</v>
          </cell>
          <cell r="AH340">
            <v>0</v>
          </cell>
          <cell r="AI340">
            <v>19.549999999999997</v>
          </cell>
          <cell r="AJ340">
            <v>25</v>
          </cell>
          <cell r="AK340">
            <v>0</v>
          </cell>
          <cell r="AL340">
            <v>0</v>
          </cell>
          <cell r="AM340">
            <v>5.4500000000000028</v>
          </cell>
          <cell r="AN340">
            <v>0</v>
          </cell>
          <cell r="AO340">
            <v>5.4500000000000028</v>
          </cell>
          <cell r="AP340">
            <v>0</v>
          </cell>
          <cell r="AQ340">
            <v>5.4500000000000028</v>
          </cell>
          <cell r="AR340" t="str">
            <v>US_24621</v>
          </cell>
          <cell r="AS340">
            <v>0</v>
          </cell>
          <cell r="AT340">
            <v>141.54999999999998</v>
          </cell>
          <cell r="AU340">
            <v>141.54999999999998</v>
          </cell>
          <cell r="AV340">
            <v>0</v>
          </cell>
          <cell r="AW340">
            <v>771.44750000000033</v>
          </cell>
          <cell r="AX340">
            <v>771.44750000000033</v>
          </cell>
          <cell r="AY340">
            <v>771.44750000000033</v>
          </cell>
          <cell r="AZ340">
            <v>62.5</v>
          </cell>
          <cell r="BA340">
            <v>11.990000000000007</v>
          </cell>
          <cell r="BB340">
            <v>1697.1845000000008</v>
          </cell>
          <cell r="BC340">
            <v>38.28125</v>
          </cell>
          <cell r="BD340">
            <v>771.44750000000033</v>
          </cell>
          <cell r="BE340">
            <v>617.15800000000024</v>
          </cell>
          <cell r="BF340">
            <v>771.44750000000033</v>
          </cell>
          <cell r="BG340">
            <v>3538.7499999999995</v>
          </cell>
          <cell r="BH340">
            <v>3538.7499999999995</v>
          </cell>
          <cell r="BI340">
            <v>2406.35</v>
          </cell>
          <cell r="BJ340">
            <v>2.5499999999999998</v>
          </cell>
          <cell r="BK340">
            <v>0</v>
          </cell>
          <cell r="BL340">
            <v>360.95249999999993</v>
          </cell>
          <cell r="BM340">
            <v>2767.3024999999998</v>
          </cell>
          <cell r="BN340">
            <v>2.5499999999999998</v>
          </cell>
          <cell r="BO340">
            <v>771.44749999999976</v>
          </cell>
          <cell r="BP340" t="str">
            <v>Y</v>
          </cell>
          <cell r="BQ340">
            <v>1</v>
          </cell>
          <cell r="BR340" t="str">
            <v>N</v>
          </cell>
          <cell r="BS340">
            <v>1697.1845000000008</v>
          </cell>
          <cell r="BT340" t="str">
            <v>Done</v>
          </cell>
          <cell r="BU340">
            <v>141.54999999999998</v>
          </cell>
          <cell r="BV340">
            <v>2024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Rohit Gupta</v>
          </cell>
          <cell r="E341" t="str">
            <v>-</v>
          </cell>
          <cell r="H341" t="str">
            <v>Nilesh Shahi</v>
          </cell>
          <cell r="K341">
            <v>0</v>
          </cell>
          <cell r="L341" t="str">
            <v>Old</v>
          </cell>
          <cell r="M341">
            <v>45383</v>
          </cell>
          <cell r="N341">
            <v>2</v>
          </cell>
          <cell r="O341">
            <v>663</v>
          </cell>
          <cell r="P341">
            <v>45820</v>
          </cell>
          <cell r="Q341">
            <v>45748</v>
          </cell>
          <cell r="R341" t="str">
            <v>PLC-3708</v>
          </cell>
          <cell r="S341" t="str">
            <v>Marcela Donato</v>
          </cell>
          <cell r="T341" t="str">
            <v>Individual</v>
          </cell>
          <cell r="U341" t="str">
            <v>W2</v>
          </cell>
          <cell r="V341" t="str">
            <v>Xceedence</v>
          </cell>
          <cell r="W341">
            <v>17</v>
          </cell>
          <cell r="X341">
            <v>0</v>
          </cell>
          <cell r="Y341" t="str">
            <v>USD</v>
          </cell>
          <cell r="Z341">
            <v>25</v>
          </cell>
          <cell r="AA341">
            <v>0</v>
          </cell>
          <cell r="AB341">
            <v>0</v>
          </cell>
          <cell r="AC341">
            <v>0</v>
          </cell>
          <cell r="AD341">
            <v>45762</v>
          </cell>
          <cell r="AE341">
            <v>22</v>
          </cell>
          <cell r="AF341">
            <v>46022</v>
          </cell>
          <cell r="AG341">
            <v>19.549999999999997</v>
          </cell>
          <cell r="AH341">
            <v>0</v>
          </cell>
          <cell r="AI341">
            <v>19.549999999999997</v>
          </cell>
          <cell r="AJ341">
            <v>25</v>
          </cell>
          <cell r="AK341">
            <v>0</v>
          </cell>
          <cell r="AL341">
            <v>0</v>
          </cell>
          <cell r="AM341">
            <v>5.4500000000000028</v>
          </cell>
          <cell r="AN341">
            <v>0</v>
          </cell>
          <cell r="AO341">
            <v>5.4500000000000028</v>
          </cell>
          <cell r="AP341">
            <v>0</v>
          </cell>
          <cell r="AQ341">
            <v>5.4500000000000028</v>
          </cell>
          <cell r="AR341" t="str">
            <v>US_24830</v>
          </cell>
          <cell r="AS341">
            <v>0</v>
          </cell>
          <cell r="AT341">
            <v>100.81</v>
          </cell>
          <cell r="AU341">
            <v>100.81</v>
          </cell>
          <cell r="AV341">
            <v>0</v>
          </cell>
          <cell r="AW341">
            <v>549.41450000000032</v>
          </cell>
          <cell r="AX341">
            <v>549.41450000000032</v>
          </cell>
          <cell r="AY341">
            <v>549.41450000000032</v>
          </cell>
          <cell r="AZ341">
            <v>62.5</v>
          </cell>
          <cell r="BA341">
            <v>11.990000000000007</v>
          </cell>
          <cell r="BB341">
            <v>0</v>
          </cell>
          <cell r="BC341">
            <v>38.28125</v>
          </cell>
          <cell r="BD341">
            <v>0</v>
          </cell>
          <cell r="BE341">
            <v>0</v>
          </cell>
          <cell r="BF341">
            <v>0</v>
          </cell>
          <cell r="BG341">
            <v>2520.25</v>
          </cell>
          <cell r="BH341">
            <v>2520.25</v>
          </cell>
          <cell r="BI341">
            <v>1713.77</v>
          </cell>
          <cell r="BJ341">
            <v>2.5499999999999998</v>
          </cell>
          <cell r="BK341">
            <v>0</v>
          </cell>
          <cell r="BL341">
            <v>257.06549999999999</v>
          </cell>
          <cell r="BM341">
            <v>1970.8354999999999</v>
          </cell>
          <cell r="BN341">
            <v>2.5499999999999998</v>
          </cell>
          <cell r="BO341">
            <v>549.41450000000009</v>
          </cell>
          <cell r="BP341" t="str">
            <v>Y</v>
          </cell>
          <cell r="BQ341">
            <v>2</v>
          </cell>
          <cell r="BR341" t="str">
            <v>N</v>
          </cell>
          <cell r="BS341">
            <v>0</v>
          </cell>
          <cell r="BT341" t="str">
            <v>Done</v>
          </cell>
          <cell r="BU341">
            <v>100.81</v>
          </cell>
          <cell r="BV341">
            <v>2024</v>
          </cell>
        </row>
        <row r="342">
          <cell r="A342" t="str">
            <v>Lucknow</v>
          </cell>
          <cell r="B342" t="str">
            <v>Titans</v>
          </cell>
          <cell r="C342" t="str">
            <v>Mid Level</v>
          </cell>
          <cell r="D342" t="str">
            <v>Nitin Saxena</v>
          </cell>
          <cell r="E342" t="str">
            <v>Nitin Saxena</v>
          </cell>
          <cell r="H342" t="str">
            <v>Ratnesh Kashyap</v>
          </cell>
          <cell r="J342" t="str">
            <v>ACH</v>
          </cell>
          <cell r="K342">
            <v>0</v>
          </cell>
          <cell r="L342" t="str">
            <v>Old</v>
          </cell>
          <cell r="M342">
            <v>45589</v>
          </cell>
          <cell r="N342">
            <v>4</v>
          </cell>
          <cell r="O342">
            <v>457</v>
          </cell>
          <cell r="P342">
            <v>45660</v>
          </cell>
          <cell r="Q342">
            <v>45954</v>
          </cell>
          <cell r="R342" t="str">
            <v>PLC-4035</v>
          </cell>
          <cell r="S342" t="str">
            <v>Marco Antonio Razon</v>
          </cell>
          <cell r="T342" t="str">
            <v>Individual</v>
          </cell>
          <cell r="U342">
            <v>1099</v>
          </cell>
          <cell r="V342" t="str">
            <v>Genpact</v>
          </cell>
          <cell r="W342">
            <v>75</v>
          </cell>
          <cell r="X342">
            <v>75</v>
          </cell>
          <cell r="Y342" t="str">
            <v>USD</v>
          </cell>
          <cell r="Z342">
            <v>93</v>
          </cell>
          <cell r="AA342">
            <v>93</v>
          </cell>
          <cell r="AB342">
            <v>0</v>
          </cell>
          <cell r="AC342">
            <v>0</v>
          </cell>
          <cell r="AD342">
            <v>45672</v>
          </cell>
          <cell r="AE342">
            <v>3</v>
          </cell>
          <cell r="AF342">
            <v>46022</v>
          </cell>
          <cell r="AG342">
            <v>80.25</v>
          </cell>
          <cell r="AH342">
            <v>80.25</v>
          </cell>
          <cell r="AI342">
            <v>80.25</v>
          </cell>
          <cell r="AJ342">
            <v>93</v>
          </cell>
          <cell r="AK342">
            <v>93</v>
          </cell>
          <cell r="AL342">
            <v>12.75</v>
          </cell>
          <cell r="AM342">
            <v>12.75</v>
          </cell>
          <cell r="AN342">
            <v>12.75</v>
          </cell>
          <cell r="AO342">
            <v>12.75</v>
          </cell>
          <cell r="AP342">
            <v>12.75</v>
          </cell>
          <cell r="AQ342">
            <v>12.75</v>
          </cell>
          <cell r="AR342" t="str">
            <v>US_24291</v>
          </cell>
          <cell r="AS342">
            <v>4</v>
          </cell>
          <cell r="AT342">
            <v>20</v>
          </cell>
          <cell r="AU342">
            <v>20</v>
          </cell>
          <cell r="AV342">
            <v>51</v>
          </cell>
          <cell r="AW342">
            <v>255</v>
          </cell>
          <cell r="AX342">
            <v>302.94</v>
          </cell>
          <cell r="AY342">
            <v>255</v>
          </cell>
          <cell r="AZ342">
            <v>57.142857142857139</v>
          </cell>
          <cell r="BA342">
            <v>28.05</v>
          </cell>
          <cell r="BB342">
            <v>561</v>
          </cell>
          <cell r="BC342">
            <v>63</v>
          </cell>
          <cell r="BD342">
            <v>255</v>
          </cell>
          <cell r="BE342">
            <v>306</v>
          </cell>
          <cell r="BF342">
            <v>302.94</v>
          </cell>
          <cell r="BG342">
            <v>1860</v>
          </cell>
          <cell r="BH342">
            <v>1860</v>
          </cell>
          <cell r="BI342">
            <v>1500</v>
          </cell>
          <cell r="BJ342">
            <v>5.2500000000000009</v>
          </cell>
          <cell r="BK342">
            <v>0</v>
          </cell>
          <cell r="BL342">
            <v>105.00000000000001</v>
          </cell>
          <cell r="BM342">
            <v>1605</v>
          </cell>
          <cell r="BN342">
            <v>5.2500000000000009</v>
          </cell>
          <cell r="BO342">
            <v>255</v>
          </cell>
          <cell r="BP342" t="str">
            <v>Y</v>
          </cell>
          <cell r="BQ342">
            <v>1</v>
          </cell>
          <cell r="BR342" t="str">
            <v>Y</v>
          </cell>
          <cell r="BS342">
            <v>561</v>
          </cell>
          <cell r="BT342" t="str">
            <v>Done</v>
          </cell>
          <cell r="BU342">
            <v>20</v>
          </cell>
          <cell r="BV342">
            <v>2024</v>
          </cell>
        </row>
        <row r="343">
          <cell r="A343" t="str">
            <v>Noida</v>
          </cell>
          <cell r="B343" t="str">
            <v>Healthcare</v>
          </cell>
          <cell r="C343" t="str">
            <v>Mid Level</v>
          </cell>
          <cell r="D343" t="str">
            <v>Shailesh Sharma</v>
          </cell>
          <cell r="E343" t="str">
            <v>-</v>
          </cell>
          <cell r="H343" t="str">
            <v>Neha Belal</v>
          </cell>
          <cell r="J343" t="str">
            <v>ACH</v>
          </cell>
          <cell r="K343">
            <v>0</v>
          </cell>
          <cell r="L343" t="str">
            <v>Old</v>
          </cell>
          <cell r="M343">
            <v>45628</v>
          </cell>
          <cell r="N343">
            <v>4</v>
          </cell>
          <cell r="O343">
            <v>418</v>
          </cell>
          <cell r="P343">
            <v>45716</v>
          </cell>
          <cell r="Q343">
            <v>45993</v>
          </cell>
          <cell r="S343" t="str">
            <v>Maria E Deduro</v>
          </cell>
          <cell r="T343" t="str">
            <v>Individual</v>
          </cell>
          <cell r="U343" t="str">
            <v>W2</v>
          </cell>
          <cell r="V343" t="str">
            <v>CSU</v>
          </cell>
          <cell r="W343">
            <v>51</v>
          </cell>
          <cell r="X343">
            <v>76.5</v>
          </cell>
          <cell r="Y343" t="str">
            <v>USD</v>
          </cell>
          <cell r="Z343">
            <v>72</v>
          </cell>
          <cell r="AA343">
            <v>108</v>
          </cell>
          <cell r="AB343">
            <v>0</v>
          </cell>
          <cell r="AC343">
            <v>0</v>
          </cell>
          <cell r="AD343">
            <v>45672</v>
          </cell>
          <cell r="AE343">
            <v>22</v>
          </cell>
          <cell r="AF343">
            <v>46022</v>
          </cell>
          <cell r="AG343">
            <v>58.65</v>
          </cell>
          <cell r="AH343">
            <v>87.974999999999994</v>
          </cell>
          <cell r="AI343">
            <v>58.65</v>
          </cell>
          <cell r="AJ343">
            <v>67.679999999999993</v>
          </cell>
          <cell r="AK343">
            <v>102.6</v>
          </cell>
          <cell r="AL343">
            <v>14.625</v>
          </cell>
          <cell r="AM343">
            <v>9.029999999999994</v>
          </cell>
          <cell r="AN343">
            <v>14.625</v>
          </cell>
          <cell r="AO343">
            <v>9.029999999999994</v>
          </cell>
          <cell r="AP343">
            <v>14.625</v>
          </cell>
          <cell r="AQ343">
            <v>9.029999999999994</v>
          </cell>
          <cell r="AU343">
            <v>176</v>
          </cell>
          <cell r="AY343">
            <v>1589.2799999999988</v>
          </cell>
          <cell r="AZ343">
            <v>0</v>
          </cell>
          <cell r="BA343">
            <v>0</v>
          </cell>
          <cell r="BC343">
            <v>57.142857142857139</v>
          </cell>
          <cell r="BH343">
            <v>11911.679999999998</v>
          </cell>
          <cell r="BI343">
            <v>8976</v>
          </cell>
          <cell r="BJ343">
            <v>7.6499999999999995</v>
          </cell>
          <cell r="BK343">
            <v>0</v>
          </cell>
          <cell r="BL343">
            <v>1346.3999999999999</v>
          </cell>
          <cell r="BM343">
            <v>10322.4</v>
          </cell>
          <cell r="BN343">
            <v>7.6499999999999995</v>
          </cell>
          <cell r="BO343">
            <v>1589.2799999999986</v>
          </cell>
          <cell r="BQ343">
            <v>1</v>
          </cell>
          <cell r="BR343" t="str">
            <v>N</v>
          </cell>
          <cell r="BS343">
            <v>0</v>
          </cell>
          <cell r="BT343" t="str">
            <v>Pending</v>
          </cell>
          <cell r="BU343">
            <v>0</v>
          </cell>
          <cell r="BV343">
            <v>2024</v>
          </cell>
        </row>
        <row r="344">
          <cell r="A344" t="str">
            <v>Noida</v>
          </cell>
          <cell r="B344" t="str">
            <v>Healthcare</v>
          </cell>
          <cell r="C344" t="str">
            <v>Mid Level</v>
          </cell>
          <cell r="D344" t="str">
            <v>Shailesh Sharma</v>
          </cell>
          <cell r="E344" t="str">
            <v>-</v>
          </cell>
          <cell r="H344" t="str">
            <v>Neha Belal</v>
          </cell>
          <cell r="J344" t="str">
            <v>ACH</v>
          </cell>
          <cell r="K344">
            <v>0</v>
          </cell>
          <cell r="L344" t="str">
            <v>Old</v>
          </cell>
          <cell r="M344">
            <v>45628</v>
          </cell>
          <cell r="N344">
            <v>4</v>
          </cell>
          <cell r="O344">
            <v>418</v>
          </cell>
          <cell r="P344">
            <v>45716</v>
          </cell>
          <cell r="Q344">
            <v>45993</v>
          </cell>
          <cell r="S344" t="str">
            <v>Maria E Deduro</v>
          </cell>
          <cell r="T344" t="str">
            <v>Individual</v>
          </cell>
          <cell r="U344" t="str">
            <v>W2</v>
          </cell>
          <cell r="V344" t="str">
            <v>CSU</v>
          </cell>
          <cell r="W344">
            <v>51</v>
          </cell>
          <cell r="X344">
            <v>76.5</v>
          </cell>
          <cell r="Y344" t="str">
            <v>USD</v>
          </cell>
          <cell r="Z344">
            <v>72</v>
          </cell>
          <cell r="AA344">
            <v>108</v>
          </cell>
          <cell r="AB344">
            <v>0</v>
          </cell>
          <cell r="AC344">
            <v>0</v>
          </cell>
          <cell r="AD344">
            <v>45703</v>
          </cell>
          <cell r="AE344">
            <v>20</v>
          </cell>
          <cell r="AF344">
            <v>46022</v>
          </cell>
          <cell r="AG344">
            <v>58.65</v>
          </cell>
          <cell r="AH344">
            <v>87.974999999999994</v>
          </cell>
          <cell r="AI344">
            <v>58.65</v>
          </cell>
          <cell r="AJ344">
            <v>67.679999999999993</v>
          </cell>
          <cell r="AK344">
            <v>102.6</v>
          </cell>
          <cell r="AL344">
            <v>14.625</v>
          </cell>
          <cell r="AM344">
            <v>9.029999999999994</v>
          </cell>
          <cell r="AN344">
            <v>14.625</v>
          </cell>
          <cell r="AO344">
            <v>9.029999999999994</v>
          </cell>
          <cell r="AP344">
            <v>14.625</v>
          </cell>
          <cell r="AQ344">
            <v>9.029999999999994</v>
          </cell>
          <cell r="AU344">
            <v>160</v>
          </cell>
          <cell r="AY344">
            <v>1444.799999999999</v>
          </cell>
          <cell r="AZ344">
            <v>0</v>
          </cell>
          <cell r="BA344">
            <v>0</v>
          </cell>
          <cell r="BC344">
            <v>57.142857142857139</v>
          </cell>
          <cell r="BH344">
            <v>10828.8</v>
          </cell>
          <cell r="BI344">
            <v>8160</v>
          </cell>
          <cell r="BJ344">
            <v>7.6499999999999995</v>
          </cell>
          <cell r="BK344">
            <v>0</v>
          </cell>
          <cell r="BL344">
            <v>1224</v>
          </cell>
          <cell r="BM344">
            <v>9384</v>
          </cell>
          <cell r="BN344">
            <v>7.6499999999999995</v>
          </cell>
          <cell r="BO344">
            <v>1444.7999999999993</v>
          </cell>
          <cell r="BQ344">
            <v>1</v>
          </cell>
          <cell r="BR344" t="str">
            <v>N</v>
          </cell>
          <cell r="BS344">
            <v>0</v>
          </cell>
          <cell r="BT344" t="str">
            <v>Pending</v>
          </cell>
          <cell r="BU344">
            <v>0</v>
          </cell>
          <cell r="BV344">
            <v>2024</v>
          </cell>
        </row>
        <row r="345">
          <cell r="A345" t="str">
            <v>Lucknow</v>
          </cell>
          <cell r="B345" t="str">
            <v>Vantedge</v>
          </cell>
          <cell r="C345" t="str">
            <v>Senior</v>
          </cell>
          <cell r="D345" t="str">
            <v>Alok Mishra</v>
          </cell>
          <cell r="E345" t="str">
            <v>-</v>
          </cell>
          <cell r="F345" t="str">
            <v>-</v>
          </cell>
          <cell r="G345" t="str">
            <v>-</v>
          </cell>
          <cell r="H345" t="str">
            <v>Alok Mishra</v>
          </cell>
          <cell r="K345" t="str">
            <v>Rohini Parihar</v>
          </cell>
          <cell r="L345" t="str">
            <v>New</v>
          </cell>
          <cell r="M345">
            <v>45754</v>
          </cell>
          <cell r="N345">
            <v>2</v>
          </cell>
          <cell r="O345">
            <v>292</v>
          </cell>
          <cell r="P345" t="str">
            <v>-</v>
          </cell>
          <cell r="Q345">
            <v>46119</v>
          </cell>
          <cell r="R345" t="str">
            <v>PLC-4212</v>
          </cell>
          <cell r="S345" t="str">
            <v>Maria Flock</v>
          </cell>
          <cell r="T345" t="str">
            <v>Individual</v>
          </cell>
          <cell r="U345" t="str">
            <v>FTE</v>
          </cell>
          <cell r="V345" t="str">
            <v>Sutherland</v>
          </cell>
          <cell r="W345">
            <v>0</v>
          </cell>
          <cell r="X345">
            <v>0</v>
          </cell>
          <cell r="Y345" t="str">
            <v>USD</v>
          </cell>
          <cell r="Z345">
            <v>65000</v>
          </cell>
          <cell r="AA345">
            <v>0</v>
          </cell>
          <cell r="AB345">
            <v>0</v>
          </cell>
          <cell r="AC345">
            <v>0</v>
          </cell>
          <cell r="AD345">
            <v>45762</v>
          </cell>
          <cell r="AE345">
            <v>1</v>
          </cell>
          <cell r="AF345">
            <v>46022</v>
          </cell>
          <cell r="AG345">
            <v>0</v>
          </cell>
          <cell r="AH345">
            <v>0</v>
          </cell>
          <cell r="AI345">
            <v>0</v>
          </cell>
          <cell r="AJ345">
            <v>65000</v>
          </cell>
          <cell r="AK345">
            <v>0</v>
          </cell>
          <cell r="AL345">
            <v>0</v>
          </cell>
          <cell r="AM345">
            <v>65000</v>
          </cell>
          <cell r="AN345">
            <v>0</v>
          </cell>
          <cell r="AO345">
            <v>65000</v>
          </cell>
          <cell r="AP345">
            <v>0</v>
          </cell>
          <cell r="AQ345">
            <v>65000</v>
          </cell>
          <cell r="AR345" t="str">
            <v>US_24688</v>
          </cell>
          <cell r="AS345">
            <v>0</v>
          </cell>
          <cell r="AT345">
            <v>1</v>
          </cell>
          <cell r="AU345">
            <v>1</v>
          </cell>
          <cell r="AV345">
            <v>0</v>
          </cell>
          <cell r="AW345">
            <v>65000</v>
          </cell>
          <cell r="AX345">
            <v>65000</v>
          </cell>
          <cell r="AY345">
            <v>65000</v>
          </cell>
          <cell r="AZ345">
            <v>0</v>
          </cell>
          <cell r="BA345">
            <v>0</v>
          </cell>
          <cell r="BB345">
            <v>0</v>
          </cell>
          <cell r="BF345">
            <v>65000</v>
          </cell>
          <cell r="BG345">
            <v>65000</v>
          </cell>
          <cell r="BH345">
            <v>65000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65000</v>
          </cell>
          <cell r="BP345" t="str">
            <v>Y</v>
          </cell>
          <cell r="BQ345">
            <v>2</v>
          </cell>
          <cell r="BR345" t="str">
            <v>Y</v>
          </cell>
          <cell r="BS345">
            <v>0</v>
          </cell>
          <cell r="BT345" t="str">
            <v>Done</v>
          </cell>
          <cell r="BU345">
            <v>0</v>
          </cell>
          <cell r="BV345">
            <v>2025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Nitin Saxena</v>
          </cell>
          <cell r="E346" t="str">
            <v>-</v>
          </cell>
          <cell r="F346" t="str">
            <v>-</v>
          </cell>
          <cell r="G346" t="str">
            <v>-</v>
          </cell>
          <cell r="H346" t="str">
            <v>Aman Bajpai</v>
          </cell>
          <cell r="J346" t="str">
            <v>ACH</v>
          </cell>
          <cell r="K346" t="str">
            <v>-</v>
          </cell>
          <cell r="L346" t="str">
            <v>New</v>
          </cell>
          <cell r="M346">
            <v>45776</v>
          </cell>
          <cell r="N346">
            <v>2</v>
          </cell>
          <cell r="O346">
            <v>270</v>
          </cell>
          <cell r="P346">
            <v>45953</v>
          </cell>
          <cell r="Q346">
            <v>46141</v>
          </cell>
          <cell r="R346" t="str">
            <v>PLC-4241</v>
          </cell>
          <cell r="S346" t="str">
            <v>Markian Ougrin</v>
          </cell>
          <cell r="T346" t="str">
            <v>Individual</v>
          </cell>
          <cell r="U346">
            <v>1099</v>
          </cell>
          <cell r="V346" t="str">
            <v>Genpact</v>
          </cell>
          <cell r="W346">
            <v>19</v>
          </cell>
          <cell r="X346">
            <v>0</v>
          </cell>
          <cell r="Y346" t="str">
            <v>USD</v>
          </cell>
          <cell r="Z346">
            <v>28</v>
          </cell>
          <cell r="AA346">
            <v>0</v>
          </cell>
          <cell r="AB346">
            <v>0</v>
          </cell>
          <cell r="AC346">
            <v>0</v>
          </cell>
          <cell r="AD346">
            <v>45762</v>
          </cell>
          <cell r="AE346">
            <v>2</v>
          </cell>
          <cell r="AF346">
            <v>46022</v>
          </cell>
          <cell r="AG346">
            <v>20.330000000000002</v>
          </cell>
          <cell r="AH346">
            <v>0</v>
          </cell>
          <cell r="AI346">
            <v>20.330000000000002</v>
          </cell>
          <cell r="AJ346">
            <v>28</v>
          </cell>
          <cell r="AK346">
            <v>0</v>
          </cell>
          <cell r="AL346">
            <v>0</v>
          </cell>
          <cell r="AM346">
            <v>7.6699999999999982</v>
          </cell>
          <cell r="AN346">
            <v>0</v>
          </cell>
          <cell r="AO346">
            <v>7.6699999999999982</v>
          </cell>
          <cell r="AP346">
            <v>0</v>
          </cell>
          <cell r="AQ346">
            <v>7.6699999999999982</v>
          </cell>
          <cell r="AR346" t="str">
            <v>US_24949</v>
          </cell>
          <cell r="AS346">
            <v>0</v>
          </cell>
          <cell r="AT346">
            <v>16</v>
          </cell>
          <cell r="AU346">
            <v>16</v>
          </cell>
          <cell r="AV346">
            <v>0</v>
          </cell>
          <cell r="AW346">
            <v>122.71999999999997</v>
          </cell>
          <cell r="AX346">
            <v>121.49279999999997</v>
          </cell>
          <cell r="AY346">
            <v>122.71999999999997</v>
          </cell>
          <cell r="AZ346">
            <v>50</v>
          </cell>
          <cell r="BA346">
            <v>9.2039999999999971</v>
          </cell>
          <cell r="BB346">
            <v>147.26399999999995</v>
          </cell>
          <cell r="BC346">
            <v>46</v>
          </cell>
          <cell r="BD346">
            <v>122.71999999999997</v>
          </cell>
          <cell r="BE346">
            <v>98.175999999999988</v>
          </cell>
          <cell r="BF346">
            <v>121.49279999999997</v>
          </cell>
          <cell r="BG346">
            <v>448</v>
          </cell>
          <cell r="BH346">
            <v>448</v>
          </cell>
          <cell r="BI346">
            <v>304</v>
          </cell>
          <cell r="BJ346">
            <v>1.33</v>
          </cell>
          <cell r="BK346">
            <v>0</v>
          </cell>
          <cell r="BL346">
            <v>21.28</v>
          </cell>
          <cell r="BM346">
            <v>325.27999999999997</v>
          </cell>
          <cell r="BN346">
            <v>1.33</v>
          </cell>
          <cell r="BO346">
            <v>122.72</v>
          </cell>
          <cell r="BP346" t="str">
            <v>Y</v>
          </cell>
          <cell r="BQ346">
            <v>2</v>
          </cell>
          <cell r="BR346" t="str">
            <v>Y</v>
          </cell>
          <cell r="BS346">
            <v>147.26399999999995</v>
          </cell>
          <cell r="BT346" t="str">
            <v>Done</v>
          </cell>
          <cell r="BU346">
            <v>16</v>
          </cell>
          <cell r="BV346">
            <v>2025</v>
          </cell>
        </row>
        <row r="347">
          <cell r="A347" t="str">
            <v>Lucknow</v>
          </cell>
          <cell r="B347" t="str">
            <v>Healthcare</v>
          </cell>
          <cell r="C347" t="str">
            <v>Mid Level</v>
          </cell>
          <cell r="D347" t="str">
            <v>Abhishek Singh</v>
          </cell>
          <cell r="E347" t="str">
            <v>-</v>
          </cell>
          <cell r="H347" t="str">
            <v>Abdullah Farooqi</v>
          </cell>
          <cell r="J347" t="str">
            <v>ACH</v>
          </cell>
          <cell r="K347">
            <v>0</v>
          </cell>
          <cell r="L347" t="str">
            <v>Old</v>
          </cell>
          <cell r="M347">
            <v>45600</v>
          </cell>
          <cell r="N347">
            <v>4</v>
          </cell>
          <cell r="O347">
            <v>446</v>
          </cell>
          <cell r="P347">
            <v>45688</v>
          </cell>
          <cell r="Q347">
            <v>45965</v>
          </cell>
          <cell r="R347" t="str">
            <v>PLC-2</v>
          </cell>
          <cell r="S347" t="str">
            <v>Mary Rose Gonzales</v>
          </cell>
          <cell r="T347" t="str">
            <v>Individual</v>
          </cell>
          <cell r="U347" t="str">
            <v>W2</v>
          </cell>
          <cell r="V347" t="str">
            <v>Hallmark</v>
          </cell>
          <cell r="W347">
            <v>18.28</v>
          </cell>
          <cell r="X347">
            <v>27.42</v>
          </cell>
          <cell r="Y347" t="str">
            <v>USD</v>
          </cell>
          <cell r="Z347">
            <v>85</v>
          </cell>
          <cell r="AA347">
            <v>127.5</v>
          </cell>
          <cell r="AB347">
            <v>0</v>
          </cell>
          <cell r="AC347">
            <v>44.72</v>
          </cell>
          <cell r="AD347">
            <v>45672</v>
          </cell>
          <cell r="AE347">
            <v>22</v>
          </cell>
          <cell r="AF347">
            <v>46022</v>
          </cell>
          <cell r="AG347">
            <v>21.021999999999998</v>
          </cell>
          <cell r="AH347">
            <v>31.533000000000001</v>
          </cell>
          <cell r="AI347">
            <v>65.74199999999999</v>
          </cell>
          <cell r="AJ347">
            <v>85</v>
          </cell>
          <cell r="AK347">
            <v>127.5</v>
          </cell>
          <cell r="AL347">
            <v>95.966999999999999</v>
          </cell>
          <cell r="AM347">
            <v>19.25800000000001</v>
          </cell>
          <cell r="AN347">
            <v>95.966999999999999</v>
          </cell>
          <cell r="AO347">
            <v>19.25800000000001</v>
          </cell>
          <cell r="AP347">
            <v>20</v>
          </cell>
          <cell r="AQ347">
            <v>19.25800000000001</v>
          </cell>
          <cell r="AU347">
            <v>176</v>
          </cell>
          <cell r="AY347">
            <v>3389.4080000000017</v>
          </cell>
          <cell r="AZ347">
            <v>0</v>
          </cell>
          <cell r="BA347">
            <v>0</v>
          </cell>
          <cell r="BH347">
            <v>14960</v>
          </cell>
          <cell r="BI347">
            <v>3217.28</v>
          </cell>
          <cell r="BJ347">
            <v>2.742</v>
          </cell>
          <cell r="BK347">
            <v>7870.7199999999993</v>
          </cell>
          <cell r="BL347">
            <v>482.59199999999998</v>
          </cell>
          <cell r="BM347">
            <v>11570.592000000001</v>
          </cell>
          <cell r="BN347">
            <v>47.461999999999996</v>
          </cell>
          <cell r="BO347">
            <v>3389.4079999999994</v>
          </cell>
          <cell r="BQ347">
            <v>1</v>
          </cell>
          <cell r="BR347" t="str">
            <v>N</v>
          </cell>
          <cell r="BS347">
            <v>0</v>
          </cell>
          <cell r="BT347" t="str">
            <v>Pending</v>
          </cell>
          <cell r="BU347">
            <v>0</v>
          </cell>
          <cell r="BV347">
            <v>2024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H348" t="str">
            <v>Samad Quraishi</v>
          </cell>
          <cell r="L348" t="str">
            <v>New</v>
          </cell>
          <cell r="M348">
            <v>45747</v>
          </cell>
          <cell r="N348">
            <v>1</v>
          </cell>
          <cell r="O348">
            <v>299</v>
          </cell>
          <cell r="P348" t="str">
            <v>-</v>
          </cell>
          <cell r="Q348">
            <v>46112</v>
          </cell>
          <cell r="R348" t="str">
            <v>PLC-4200</v>
          </cell>
          <cell r="S348" t="str">
            <v>Marysol Serrano</v>
          </cell>
          <cell r="T348" t="str">
            <v>Individual</v>
          </cell>
          <cell r="U348" t="str">
            <v>FTE</v>
          </cell>
          <cell r="V348" t="str">
            <v>WNS</v>
          </cell>
          <cell r="W348">
            <v>0</v>
          </cell>
          <cell r="X348">
            <v>0</v>
          </cell>
          <cell r="Y348" t="str">
            <v>USD</v>
          </cell>
          <cell r="Z348">
            <v>5200</v>
          </cell>
          <cell r="AA348">
            <v>0</v>
          </cell>
          <cell r="AB348">
            <v>0</v>
          </cell>
          <cell r="AC348">
            <v>0</v>
          </cell>
          <cell r="AD348">
            <v>45731</v>
          </cell>
          <cell r="AE348">
            <v>1</v>
          </cell>
          <cell r="AF348">
            <v>46022</v>
          </cell>
          <cell r="AG348">
            <v>0</v>
          </cell>
          <cell r="AH348">
            <v>0</v>
          </cell>
          <cell r="AI348">
            <v>0</v>
          </cell>
          <cell r="AJ348">
            <v>5200</v>
          </cell>
          <cell r="AK348">
            <v>0</v>
          </cell>
          <cell r="AL348">
            <v>0</v>
          </cell>
          <cell r="AM348">
            <v>5200</v>
          </cell>
          <cell r="AN348">
            <v>0</v>
          </cell>
          <cell r="AO348">
            <v>5200</v>
          </cell>
          <cell r="AP348">
            <v>0</v>
          </cell>
          <cell r="AQ348">
            <v>5200</v>
          </cell>
          <cell r="AR348" t="str">
            <v>US_24722</v>
          </cell>
          <cell r="AS348">
            <v>0</v>
          </cell>
          <cell r="AT348">
            <v>1</v>
          </cell>
          <cell r="AU348">
            <v>1</v>
          </cell>
          <cell r="AV348">
            <v>0</v>
          </cell>
          <cell r="AW348">
            <v>5200</v>
          </cell>
          <cell r="AX348">
            <v>5200</v>
          </cell>
          <cell r="AY348">
            <v>5200</v>
          </cell>
          <cell r="AZ348">
            <v>125</v>
          </cell>
          <cell r="BA348">
            <v>8320</v>
          </cell>
          <cell r="BB348">
            <v>8320</v>
          </cell>
          <cell r="BC348">
            <v>46</v>
          </cell>
          <cell r="BD348">
            <v>5200</v>
          </cell>
          <cell r="BE348">
            <v>4160</v>
          </cell>
          <cell r="BF348">
            <v>5200</v>
          </cell>
          <cell r="BG348">
            <v>5200</v>
          </cell>
          <cell r="BH348">
            <v>5200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5200</v>
          </cell>
          <cell r="BP348" t="str">
            <v>Y</v>
          </cell>
          <cell r="BQ348">
            <v>1</v>
          </cell>
          <cell r="BR348" t="str">
            <v>Y</v>
          </cell>
          <cell r="BS348">
            <v>8320</v>
          </cell>
          <cell r="BT348" t="str">
            <v>Done</v>
          </cell>
          <cell r="BU348">
            <v>0</v>
          </cell>
          <cell r="BV348">
            <v>2025</v>
          </cell>
        </row>
        <row r="349">
          <cell r="A349" t="str">
            <v>Lucknow</v>
          </cell>
          <cell r="B349" t="str">
            <v>Healthcare</v>
          </cell>
          <cell r="C349" t="str">
            <v>Mid Level</v>
          </cell>
          <cell r="D349" t="str">
            <v>Abhishek Singh</v>
          </cell>
          <cell r="E349" t="str">
            <v>Abhishek Singh</v>
          </cell>
          <cell r="H349" t="str">
            <v>Vishal Jaiswal</v>
          </cell>
          <cell r="J349" t="str">
            <v>ACH</v>
          </cell>
          <cell r="L349" t="str">
            <v>New</v>
          </cell>
          <cell r="M349">
            <v>45741</v>
          </cell>
          <cell r="N349">
            <v>1</v>
          </cell>
          <cell r="O349">
            <v>305</v>
          </cell>
          <cell r="P349">
            <v>45761</v>
          </cell>
          <cell r="Q349">
            <v>46106</v>
          </cell>
          <cell r="R349" t="str">
            <v>PLC-15</v>
          </cell>
          <cell r="S349" t="str">
            <v>Maurice Ford</v>
          </cell>
          <cell r="T349" t="str">
            <v>Individual</v>
          </cell>
          <cell r="U349" t="str">
            <v>W2</v>
          </cell>
          <cell r="V349" t="str">
            <v>Prime Healthcare</v>
          </cell>
          <cell r="W349">
            <v>62</v>
          </cell>
          <cell r="X349">
            <v>0</v>
          </cell>
          <cell r="Y349" t="str">
            <v>USD</v>
          </cell>
          <cell r="Z349">
            <v>80</v>
          </cell>
          <cell r="AA349">
            <v>0</v>
          </cell>
          <cell r="AB349">
            <v>0</v>
          </cell>
          <cell r="AC349">
            <v>0</v>
          </cell>
          <cell r="AD349">
            <v>45731</v>
          </cell>
          <cell r="AE349">
            <v>5</v>
          </cell>
          <cell r="AF349">
            <v>46022</v>
          </cell>
          <cell r="AG349">
            <v>71.3</v>
          </cell>
          <cell r="AH349">
            <v>0</v>
          </cell>
          <cell r="AI349">
            <v>71.3</v>
          </cell>
          <cell r="AJ349">
            <v>80</v>
          </cell>
          <cell r="AK349">
            <v>0</v>
          </cell>
          <cell r="AL349">
            <v>0</v>
          </cell>
          <cell r="AM349">
            <v>8.7000000000000028</v>
          </cell>
          <cell r="AN349">
            <v>0</v>
          </cell>
          <cell r="AO349">
            <v>8.7000000000000028</v>
          </cell>
          <cell r="AP349">
            <v>0</v>
          </cell>
          <cell r="AQ349">
            <v>8.7000000000000028</v>
          </cell>
          <cell r="AU349">
            <v>40</v>
          </cell>
          <cell r="AY349">
            <v>348.00000000000011</v>
          </cell>
          <cell r="AZ349">
            <v>0</v>
          </cell>
          <cell r="BA349">
            <v>0</v>
          </cell>
          <cell r="BH349">
            <v>3200</v>
          </cell>
          <cell r="BI349">
            <v>2480</v>
          </cell>
          <cell r="BJ349">
            <v>9.2999999999999989</v>
          </cell>
          <cell r="BK349">
            <v>0</v>
          </cell>
          <cell r="BL349">
            <v>371.99999999999994</v>
          </cell>
          <cell r="BM349">
            <v>2852</v>
          </cell>
          <cell r="BN349">
            <v>9.2999999999999989</v>
          </cell>
          <cell r="BO349">
            <v>348.00000000000006</v>
          </cell>
          <cell r="BQ349">
            <v>1</v>
          </cell>
          <cell r="BR349" t="str">
            <v>Y</v>
          </cell>
          <cell r="BS349">
            <v>0</v>
          </cell>
          <cell r="BT349" t="str">
            <v>Pending</v>
          </cell>
          <cell r="BU349">
            <v>0</v>
          </cell>
          <cell r="BV349">
            <v>2025</v>
          </cell>
        </row>
        <row r="350">
          <cell r="A350" t="str">
            <v>Lucknow</v>
          </cell>
          <cell r="B350" t="str">
            <v>Healthcare</v>
          </cell>
          <cell r="C350" t="str">
            <v>Mid Level</v>
          </cell>
          <cell r="D350" t="str">
            <v>Abhishek Singh</v>
          </cell>
          <cell r="E350" t="str">
            <v>Abhishek Singh</v>
          </cell>
          <cell r="H350" t="str">
            <v>Vishal Jaiswal</v>
          </cell>
          <cell r="J350" t="str">
            <v>ACH</v>
          </cell>
          <cell r="L350" t="str">
            <v>New</v>
          </cell>
          <cell r="M350">
            <v>45741</v>
          </cell>
          <cell r="N350">
            <v>1</v>
          </cell>
          <cell r="O350">
            <v>305</v>
          </cell>
          <cell r="P350">
            <v>45761</v>
          </cell>
          <cell r="Q350">
            <v>46106</v>
          </cell>
          <cell r="R350" t="str">
            <v>PLC-15</v>
          </cell>
          <cell r="S350" t="str">
            <v>Maurice Ford</v>
          </cell>
          <cell r="T350" t="str">
            <v>Individual</v>
          </cell>
          <cell r="U350" t="str">
            <v>W2</v>
          </cell>
          <cell r="V350" t="str">
            <v>Prime Healthcare</v>
          </cell>
          <cell r="W350">
            <v>62</v>
          </cell>
          <cell r="X350">
            <v>0</v>
          </cell>
          <cell r="Y350" t="str">
            <v>USD</v>
          </cell>
          <cell r="Z350">
            <v>80</v>
          </cell>
          <cell r="AA350">
            <v>0</v>
          </cell>
          <cell r="AB350">
            <v>0</v>
          </cell>
          <cell r="AC350">
            <v>0</v>
          </cell>
          <cell r="AD350">
            <v>45762</v>
          </cell>
          <cell r="AE350">
            <v>10</v>
          </cell>
          <cell r="AF350">
            <v>46022</v>
          </cell>
          <cell r="AG350">
            <v>71.3</v>
          </cell>
          <cell r="AH350">
            <v>0</v>
          </cell>
          <cell r="AI350">
            <v>71.3</v>
          </cell>
          <cell r="AJ350">
            <v>80</v>
          </cell>
          <cell r="AK350">
            <v>0</v>
          </cell>
          <cell r="AL350">
            <v>0</v>
          </cell>
          <cell r="AM350">
            <v>8.7000000000000028</v>
          </cell>
          <cell r="AN350">
            <v>0</v>
          </cell>
          <cell r="AO350">
            <v>8.7000000000000028</v>
          </cell>
          <cell r="AP350">
            <v>0</v>
          </cell>
          <cell r="AQ350">
            <v>8.7000000000000028</v>
          </cell>
          <cell r="AU350">
            <v>80</v>
          </cell>
          <cell r="AY350">
            <v>696.00000000000023</v>
          </cell>
          <cell r="AZ350">
            <v>0</v>
          </cell>
          <cell r="BA350">
            <v>0</v>
          </cell>
          <cell r="BH350">
            <v>6400</v>
          </cell>
          <cell r="BI350">
            <v>4960</v>
          </cell>
          <cell r="BJ350">
            <v>9.2999999999999989</v>
          </cell>
          <cell r="BK350">
            <v>0</v>
          </cell>
          <cell r="BL350">
            <v>743.99999999999989</v>
          </cell>
          <cell r="BM350">
            <v>5704</v>
          </cell>
          <cell r="BN350">
            <v>9.2999999999999989</v>
          </cell>
          <cell r="BO350">
            <v>696.00000000000011</v>
          </cell>
          <cell r="BQ350">
            <v>2</v>
          </cell>
          <cell r="BR350" t="str">
            <v>Y</v>
          </cell>
          <cell r="BS350">
            <v>0</v>
          </cell>
          <cell r="BT350" t="str">
            <v>Pending</v>
          </cell>
          <cell r="BU350">
            <v>0</v>
          </cell>
          <cell r="BV350">
            <v>2025</v>
          </cell>
        </row>
        <row r="351">
          <cell r="A351" t="str">
            <v>Lucknow</v>
          </cell>
          <cell r="B351" t="str">
            <v>Healthcare</v>
          </cell>
          <cell r="C351" t="str">
            <v>Mid Level</v>
          </cell>
          <cell r="D351" t="str">
            <v>Ranveer Kumar</v>
          </cell>
          <cell r="E351" t="str">
            <v>-</v>
          </cell>
          <cell r="H351" t="str">
            <v>Uttam Chandra</v>
          </cell>
          <cell r="J351" t="str">
            <v>ACH</v>
          </cell>
          <cell r="K351">
            <v>0</v>
          </cell>
          <cell r="L351" t="str">
            <v>Old</v>
          </cell>
          <cell r="M351">
            <v>45628</v>
          </cell>
          <cell r="N351">
            <v>4</v>
          </cell>
          <cell r="O351">
            <v>418</v>
          </cell>
          <cell r="P351">
            <v>45717</v>
          </cell>
          <cell r="Q351">
            <v>45993</v>
          </cell>
          <cell r="R351" t="str">
            <v>PLC-7</v>
          </cell>
          <cell r="S351" t="str">
            <v>Meshell S Fajardo</v>
          </cell>
          <cell r="T351" t="str">
            <v>Individual</v>
          </cell>
          <cell r="U351" t="str">
            <v>W2</v>
          </cell>
          <cell r="V351" t="str">
            <v>Hallmark</v>
          </cell>
          <cell r="W351">
            <v>16.39</v>
          </cell>
          <cell r="X351">
            <v>0</v>
          </cell>
          <cell r="Y351" t="str">
            <v>USD</v>
          </cell>
          <cell r="Z351">
            <v>90</v>
          </cell>
          <cell r="AA351">
            <v>0</v>
          </cell>
          <cell r="AB351">
            <v>0</v>
          </cell>
          <cell r="AC351">
            <v>48.61</v>
          </cell>
          <cell r="AD351">
            <v>45672</v>
          </cell>
          <cell r="AE351">
            <v>22</v>
          </cell>
          <cell r="AF351">
            <v>46022</v>
          </cell>
          <cell r="AG351">
            <v>18.848499999999998</v>
          </cell>
          <cell r="AH351">
            <v>0</v>
          </cell>
          <cell r="AI351">
            <v>67.458500000000001</v>
          </cell>
          <cell r="AJ351">
            <v>90</v>
          </cell>
          <cell r="AK351">
            <v>0</v>
          </cell>
          <cell r="AL351">
            <v>0</v>
          </cell>
          <cell r="AM351">
            <v>22.541499999999999</v>
          </cell>
          <cell r="AN351">
            <v>0</v>
          </cell>
          <cell r="AO351">
            <v>22.541499999999999</v>
          </cell>
          <cell r="AP351">
            <v>0</v>
          </cell>
          <cell r="AQ351">
            <v>20</v>
          </cell>
          <cell r="AU351">
            <v>176</v>
          </cell>
          <cell r="AY351">
            <v>3967.3040000000001</v>
          </cell>
          <cell r="AZ351">
            <v>71.400000000000006</v>
          </cell>
          <cell r="BA351">
            <v>56</v>
          </cell>
          <cell r="BH351">
            <v>15840</v>
          </cell>
          <cell r="BI351">
            <v>2884.6400000000003</v>
          </cell>
          <cell r="BJ351">
            <v>2.4584999999999999</v>
          </cell>
          <cell r="BK351">
            <v>8555.36</v>
          </cell>
          <cell r="BL351">
            <v>432.69599999999997</v>
          </cell>
          <cell r="BM351">
            <v>11872.696</v>
          </cell>
          <cell r="BN351">
            <v>51.0685</v>
          </cell>
          <cell r="BO351">
            <v>3967.3040000000001</v>
          </cell>
          <cell r="BQ351">
            <v>1</v>
          </cell>
          <cell r="BR351" t="str">
            <v>Y</v>
          </cell>
          <cell r="BS351">
            <v>9856</v>
          </cell>
          <cell r="BT351" t="str">
            <v>Pending</v>
          </cell>
          <cell r="BU351">
            <v>0</v>
          </cell>
          <cell r="BV351">
            <v>2024</v>
          </cell>
        </row>
        <row r="352">
          <cell r="A352" t="str">
            <v>Lucknow</v>
          </cell>
          <cell r="B352" t="str">
            <v>Healthcare</v>
          </cell>
          <cell r="C352" t="str">
            <v>Mid Level</v>
          </cell>
          <cell r="D352" t="str">
            <v>Ranveer Kumar</v>
          </cell>
          <cell r="E352" t="str">
            <v>-</v>
          </cell>
          <cell r="H352" t="str">
            <v>Uttam Chandra</v>
          </cell>
          <cell r="J352" t="str">
            <v>ACH</v>
          </cell>
          <cell r="K352">
            <v>0</v>
          </cell>
          <cell r="L352" t="str">
            <v>Old</v>
          </cell>
          <cell r="M352">
            <v>45628</v>
          </cell>
          <cell r="N352">
            <v>4</v>
          </cell>
          <cell r="O352">
            <v>418</v>
          </cell>
          <cell r="P352">
            <v>45717</v>
          </cell>
          <cell r="Q352">
            <v>45993</v>
          </cell>
          <cell r="R352" t="str">
            <v>PLC-7</v>
          </cell>
          <cell r="S352" t="str">
            <v>Meshell S Fajardo</v>
          </cell>
          <cell r="T352" t="str">
            <v>Individual</v>
          </cell>
          <cell r="U352" t="str">
            <v>W2</v>
          </cell>
          <cell r="V352" t="str">
            <v>Hallmark</v>
          </cell>
          <cell r="W352">
            <v>16.39</v>
          </cell>
          <cell r="X352">
            <v>0</v>
          </cell>
          <cell r="Y352" t="str">
            <v>USD</v>
          </cell>
          <cell r="Z352">
            <v>90</v>
          </cell>
          <cell r="AA352">
            <v>0</v>
          </cell>
          <cell r="AB352">
            <v>0</v>
          </cell>
          <cell r="AC352">
            <v>48.61</v>
          </cell>
          <cell r="AD352">
            <v>45703</v>
          </cell>
          <cell r="AE352">
            <v>20</v>
          </cell>
          <cell r="AF352">
            <v>46022</v>
          </cell>
          <cell r="AG352">
            <v>18.848499999999998</v>
          </cell>
          <cell r="AH352">
            <v>0</v>
          </cell>
          <cell r="AI352">
            <v>67.458500000000001</v>
          </cell>
          <cell r="AJ352">
            <v>90</v>
          </cell>
          <cell r="AK352">
            <v>0</v>
          </cell>
          <cell r="AL352">
            <v>0</v>
          </cell>
          <cell r="AM352">
            <v>22.541499999999999</v>
          </cell>
          <cell r="AN352">
            <v>0</v>
          </cell>
          <cell r="AO352">
            <v>22.541499999999999</v>
          </cell>
          <cell r="AP352">
            <v>0</v>
          </cell>
          <cell r="AQ352">
            <v>20</v>
          </cell>
          <cell r="AU352">
            <v>160</v>
          </cell>
          <cell r="AY352">
            <v>3606.64</v>
          </cell>
          <cell r="AZ352">
            <v>71.400000000000006</v>
          </cell>
          <cell r="BA352">
            <v>56</v>
          </cell>
          <cell r="BH352">
            <v>14400</v>
          </cell>
          <cell r="BI352">
            <v>2622.4</v>
          </cell>
          <cell r="BJ352">
            <v>2.4584999999999999</v>
          </cell>
          <cell r="BK352">
            <v>7777.6</v>
          </cell>
          <cell r="BL352">
            <v>393.36</v>
          </cell>
          <cell r="BM352">
            <v>10793.36</v>
          </cell>
          <cell r="BN352">
            <v>51.0685</v>
          </cell>
          <cell r="BO352">
            <v>3606.6399999999994</v>
          </cell>
          <cell r="BQ352">
            <v>1</v>
          </cell>
          <cell r="BR352" t="str">
            <v>Y</v>
          </cell>
          <cell r="BS352">
            <v>8960</v>
          </cell>
          <cell r="BT352" t="str">
            <v>Pending</v>
          </cell>
          <cell r="BU352">
            <v>0</v>
          </cell>
          <cell r="BV352">
            <v>2024</v>
          </cell>
        </row>
        <row r="353">
          <cell r="A353" t="str">
            <v>Lucknow</v>
          </cell>
          <cell r="B353" t="str">
            <v>Titans</v>
          </cell>
          <cell r="C353" t="str">
            <v>Mid Level</v>
          </cell>
          <cell r="D353" t="str">
            <v>Nitin Saxena</v>
          </cell>
          <cell r="E353" t="str">
            <v>Nitin Saxena</v>
          </cell>
          <cell r="H353" t="str">
            <v>Tushar Bisht</v>
          </cell>
          <cell r="K353">
            <v>0</v>
          </cell>
          <cell r="L353" t="str">
            <v>Old</v>
          </cell>
          <cell r="M353">
            <v>45457</v>
          </cell>
          <cell r="N353">
            <v>2</v>
          </cell>
          <cell r="O353">
            <v>589</v>
          </cell>
          <cell r="P353">
            <v>45863</v>
          </cell>
          <cell r="Q353">
            <v>45822</v>
          </cell>
          <cell r="R353" t="str">
            <v>PLC-3823</v>
          </cell>
          <cell r="S353" t="str">
            <v>Michael Champagne</v>
          </cell>
          <cell r="T353" t="str">
            <v>Individual</v>
          </cell>
          <cell r="U353" t="str">
            <v>C2C</v>
          </cell>
          <cell r="V353" t="str">
            <v>Genpact</v>
          </cell>
          <cell r="W353">
            <v>80</v>
          </cell>
          <cell r="X353">
            <v>120</v>
          </cell>
          <cell r="Y353" t="str">
            <v>CAD</v>
          </cell>
          <cell r="Z353">
            <v>103</v>
          </cell>
          <cell r="AA353">
            <v>154</v>
          </cell>
          <cell r="AB353">
            <v>0</v>
          </cell>
          <cell r="AC353">
            <v>0</v>
          </cell>
          <cell r="AD353">
            <v>45672</v>
          </cell>
          <cell r="AE353">
            <v>22</v>
          </cell>
          <cell r="AF353">
            <v>46022</v>
          </cell>
          <cell r="AG353">
            <v>56.8</v>
          </cell>
          <cell r="AH353">
            <v>88.908000000000001</v>
          </cell>
          <cell r="AI353">
            <v>56.8</v>
          </cell>
          <cell r="AJ353">
            <v>73.13</v>
          </cell>
          <cell r="AK353">
            <v>114.0986</v>
          </cell>
          <cell r="AL353">
            <v>25.190600000000003</v>
          </cell>
          <cell r="AM353">
            <v>16.329999999999998</v>
          </cell>
          <cell r="AN353">
            <v>25.190600000000003</v>
          </cell>
          <cell r="AO353">
            <v>16.329999999999998</v>
          </cell>
          <cell r="AP353">
            <v>20</v>
          </cell>
          <cell r="AQ353">
            <v>16.329999999999998</v>
          </cell>
          <cell r="AR353" t="str">
            <v>CAD_1407</v>
          </cell>
          <cell r="AS353">
            <v>0</v>
          </cell>
          <cell r="AT353">
            <v>176</v>
          </cell>
          <cell r="AU353">
            <v>176</v>
          </cell>
          <cell r="AV353">
            <v>0</v>
          </cell>
          <cell r="AW353">
            <v>2874.08</v>
          </cell>
          <cell r="AX353">
            <v>2874.08</v>
          </cell>
          <cell r="AY353">
            <v>2874.08</v>
          </cell>
          <cell r="AZ353">
            <v>0</v>
          </cell>
          <cell r="BA353">
            <v>0</v>
          </cell>
          <cell r="BB353">
            <v>0</v>
          </cell>
          <cell r="BC353">
            <v>63</v>
          </cell>
          <cell r="BD353">
            <v>2874.08</v>
          </cell>
          <cell r="BE353">
            <v>3448.8959999999997</v>
          </cell>
          <cell r="BF353">
            <v>2874.08</v>
          </cell>
          <cell r="BG353">
            <v>18128</v>
          </cell>
          <cell r="BH353">
            <v>12870.88</v>
          </cell>
          <cell r="BI353">
            <v>10431.871999999999</v>
          </cell>
          <cell r="BJ353">
            <v>0</v>
          </cell>
          <cell r="BK353">
            <v>0</v>
          </cell>
          <cell r="BL353">
            <v>0</v>
          </cell>
          <cell r="BM353">
            <v>10431.871999999999</v>
          </cell>
          <cell r="BN353">
            <v>0</v>
          </cell>
          <cell r="BO353">
            <v>2439.0079999999998</v>
          </cell>
          <cell r="BP353" t="str">
            <v>Y</v>
          </cell>
          <cell r="BQ353">
            <v>1</v>
          </cell>
          <cell r="BR353" t="str">
            <v>N</v>
          </cell>
          <cell r="BS353">
            <v>0</v>
          </cell>
          <cell r="BT353" t="str">
            <v>Done</v>
          </cell>
          <cell r="BU353">
            <v>176</v>
          </cell>
          <cell r="BV353">
            <v>2024</v>
          </cell>
        </row>
        <row r="354">
          <cell r="A354" t="str">
            <v>Lucknow</v>
          </cell>
          <cell r="B354" t="str">
            <v>Titans</v>
          </cell>
          <cell r="C354" t="str">
            <v>Mid Level</v>
          </cell>
          <cell r="D354" t="str">
            <v>Nitin Saxena</v>
          </cell>
          <cell r="E354" t="str">
            <v>Nitin Saxena</v>
          </cell>
          <cell r="H354" t="str">
            <v>Tushar Bisht</v>
          </cell>
          <cell r="K354">
            <v>0</v>
          </cell>
          <cell r="L354" t="str">
            <v>Old</v>
          </cell>
          <cell r="M354">
            <v>45457</v>
          </cell>
          <cell r="N354">
            <v>2</v>
          </cell>
          <cell r="O354">
            <v>589</v>
          </cell>
          <cell r="P354">
            <v>45863</v>
          </cell>
          <cell r="Q354">
            <v>45822</v>
          </cell>
          <cell r="R354" t="str">
            <v>PLC-3823</v>
          </cell>
          <cell r="S354" t="str">
            <v>Michael Champagne</v>
          </cell>
          <cell r="T354" t="str">
            <v>Individual</v>
          </cell>
          <cell r="U354" t="str">
            <v>C2C</v>
          </cell>
          <cell r="V354" t="str">
            <v>Genpact</v>
          </cell>
          <cell r="W354">
            <v>80</v>
          </cell>
          <cell r="X354">
            <v>120</v>
          </cell>
          <cell r="Y354" t="str">
            <v>CAD</v>
          </cell>
          <cell r="Z354">
            <v>103</v>
          </cell>
          <cell r="AA354">
            <v>154</v>
          </cell>
          <cell r="AB354">
            <v>0</v>
          </cell>
          <cell r="AC354">
            <v>0</v>
          </cell>
          <cell r="AD354">
            <v>45703</v>
          </cell>
          <cell r="AE354">
            <v>20</v>
          </cell>
          <cell r="AF354">
            <v>46022</v>
          </cell>
          <cell r="AG354">
            <v>56.8</v>
          </cell>
          <cell r="AH354">
            <v>88.908000000000001</v>
          </cell>
          <cell r="AI354">
            <v>56.8</v>
          </cell>
          <cell r="AJ354">
            <v>73.13</v>
          </cell>
          <cell r="AK354">
            <v>114.0986</v>
          </cell>
          <cell r="AL354">
            <v>25.190600000000003</v>
          </cell>
          <cell r="AM354">
            <v>16.329999999999998</v>
          </cell>
          <cell r="AN354">
            <v>25.190600000000003</v>
          </cell>
          <cell r="AO354">
            <v>16.329999999999998</v>
          </cell>
          <cell r="AP354">
            <v>20</v>
          </cell>
          <cell r="AQ354">
            <v>16.329999999999998</v>
          </cell>
          <cell r="AR354" t="str">
            <v>CAD_1433</v>
          </cell>
          <cell r="AS354">
            <v>0</v>
          </cell>
          <cell r="AT354">
            <v>152</v>
          </cell>
          <cell r="AU354">
            <v>152</v>
          </cell>
          <cell r="AV354">
            <v>0</v>
          </cell>
          <cell r="AW354">
            <v>2482.16</v>
          </cell>
          <cell r="AX354">
            <v>2482.16</v>
          </cell>
          <cell r="AY354">
            <v>2482.16</v>
          </cell>
          <cell r="AZ354">
            <v>0</v>
          </cell>
          <cell r="BA354">
            <v>0</v>
          </cell>
          <cell r="BB354">
            <v>0</v>
          </cell>
          <cell r="BC354">
            <v>63</v>
          </cell>
          <cell r="BD354">
            <v>2482.16</v>
          </cell>
          <cell r="BE354">
            <v>2978.5919999999996</v>
          </cell>
          <cell r="BF354">
            <v>2482.16</v>
          </cell>
          <cell r="BG354">
            <v>15656</v>
          </cell>
          <cell r="BH354">
            <v>11115.759999999998</v>
          </cell>
          <cell r="BI354">
            <v>9009.3439999999991</v>
          </cell>
          <cell r="BJ354">
            <v>0</v>
          </cell>
          <cell r="BK354">
            <v>0</v>
          </cell>
          <cell r="BL354">
            <v>0</v>
          </cell>
          <cell r="BM354">
            <v>9009.3439999999991</v>
          </cell>
          <cell r="BN354">
            <v>0</v>
          </cell>
          <cell r="BO354">
            <v>2106.4159999999993</v>
          </cell>
          <cell r="BP354" t="str">
            <v>Y</v>
          </cell>
          <cell r="BQ354">
            <v>1</v>
          </cell>
          <cell r="BR354" t="str">
            <v>N</v>
          </cell>
          <cell r="BS354">
            <v>0</v>
          </cell>
          <cell r="BT354" t="str">
            <v>Done</v>
          </cell>
          <cell r="BU354">
            <v>152</v>
          </cell>
          <cell r="BV354">
            <v>2024</v>
          </cell>
        </row>
        <row r="355">
          <cell r="A355" t="str">
            <v>Lucknow</v>
          </cell>
          <cell r="B355" t="str">
            <v>Titans</v>
          </cell>
          <cell r="C355" t="str">
            <v>Mid Level</v>
          </cell>
          <cell r="D355" t="str">
            <v>Nitin Saxena</v>
          </cell>
          <cell r="E355" t="str">
            <v>Nitin Saxena</v>
          </cell>
          <cell r="H355" t="str">
            <v>Tushar Bisht</v>
          </cell>
          <cell r="K355">
            <v>0</v>
          </cell>
          <cell r="L355" t="str">
            <v>Old</v>
          </cell>
          <cell r="M355">
            <v>45457</v>
          </cell>
          <cell r="N355">
            <v>2</v>
          </cell>
          <cell r="O355">
            <v>589</v>
          </cell>
          <cell r="P355">
            <v>45863</v>
          </cell>
          <cell r="Q355">
            <v>45822</v>
          </cell>
          <cell r="R355" t="str">
            <v>PLC-3823</v>
          </cell>
          <cell r="S355" t="str">
            <v>Michael Champagne</v>
          </cell>
          <cell r="T355" t="str">
            <v>Individual</v>
          </cell>
          <cell r="U355" t="str">
            <v>C2C</v>
          </cell>
          <cell r="V355" t="str">
            <v>Genpact</v>
          </cell>
          <cell r="W355">
            <v>80</v>
          </cell>
          <cell r="X355">
            <v>120</v>
          </cell>
          <cell r="Y355" t="str">
            <v>CAD</v>
          </cell>
          <cell r="Z355">
            <v>103</v>
          </cell>
          <cell r="AA355">
            <v>154</v>
          </cell>
          <cell r="AB355">
            <v>0</v>
          </cell>
          <cell r="AC355">
            <v>0</v>
          </cell>
          <cell r="AD355">
            <v>45731</v>
          </cell>
          <cell r="AE355">
            <v>21</v>
          </cell>
          <cell r="AF355">
            <v>46022</v>
          </cell>
          <cell r="AG355">
            <v>56.8</v>
          </cell>
          <cell r="AH355">
            <v>88.908000000000001</v>
          </cell>
          <cell r="AI355">
            <v>56.8</v>
          </cell>
          <cell r="AJ355">
            <v>73.13</v>
          </cell>
          <cell r="AK355">
            <v>114.0986</v>
          </cell>
          <cell r="AL355">
            <v>25.190600000000003</v>
          </cell>
          <cell r="AM355">
            <v>16.329999999999998</v>
          </cell>
          <cell r="AN355">
            <v>25.190600000000003</v>
          </cell>
          <cell r="AO355">
            <v>16.329999999999998</v>
          </cell>
          <cell r="AP355">
            <v>20</v>
          </cell>
          <cell r="AQ355">
            <v>16.329999999999998</v>
          </cell>
          <cell r="AR355" t="str">
            <v>CAD_1458</v>
          </cell>
          <cell r="AS355">
            <v>0</v>
          </cell>
          <cell r="AT355">
            <v>168</v>
          </cell>
          <cell r="AU355">
            <v>168</v>
          </cell>
          <cell r="AV355">
            <v>0</v>
          </cell>
          <cell r="AW355">
            <v>2743.4399999999996</v>
          </cell>
          <cell r="AX355">
            <v>2743.4399999999996</v>
          </cell>
          <cell r="AY355">
            <v>2743.4399999999996</v>
          </cell>
          <cell r="AZ355">
            <v>0</v>
          </cell>
          <cell r="BA355">
            <v>0</v>
          </cell>
          <cell r="BB355">
            <v>0</v>
          </cell>
          <cell r="BC355">
            <v>63</v>
          </cell>
          <cell r="BD355">
            <v>2743.4399999999996</v>
          </cell>
          <cell r="BE355">
            <v>3292.1279999999992</v>
          </cell>
          <cell r="BF355">
            <v>2743.4399999999996</v>
          </cell>
          <cell r="BG355">
            <v>17304</v>
          </cell>
          <cell r="BH355">
            <v>12285.84</v>
          </cell>
          <cell r="BI355">
            <v>9957.6959999999999</v>
          </cell>
          <cell r="BJ355">
            <v>0</v>
          </cell>
          <cell r="BK355">
            <v>0</v>
          </cell>
          <cell r="BL355">
            <v>0</v>
          </cell>
          <cell r="BM355">
            <v>9957.6959999999999</v>
          </cell>
          <cell r="BN355">
            <v>0</v>
          </cell>
          <cell r="BO355">
            <v>2328.1440000000002</v>
          </cell>
          <cell r="BP355" t="str">
            <v>Y</v>
          </cell>
          <cell r="BQ355">
            <v>1</v>
          </cell>
          <cell r="BR355" t="str">
            <v>N</v>
          </cell>
          <cell r="BS355">
            <v>0</v>
          </cell>
          <cell r="BT355" t="str">
            <v>Done</v>
          </cell>
          <cell r="BU355">
            <v>168</v>
          </cell>
          <cell r="BV355">
            <v>2024</v>
          </cell>
        </row>
        <row r="356">
          <cell r="A356" t="str">
            <v>Lucknow</v>
          </cell>
          <cell r="B356" t="str">
            <v>Titans</v>
          </cell>
          <cell r="C356" t="str">
            <v>Mid Level</v>
          </cell>
          <cell r="D356" t="str">
            <v>Nitin Saxena</v>
          </cell>
          <cell r="E356" t="str">
            <v>Nitin Saxena</v>
          </cell>
          <cell r="H356" t="str">
            <v>Tushar Bisht</v>
          </cell>
          <cell r="K356">
            <v>0</v>
          </cell>
          <cell r="L356" t="str">
            <v>Old</v>
          </cell>
          <cell r="M356">
            <v>45457</v>
          </cell>
          <cell r="N356">
            <v>2</v>
          </cell>
          <cell r="O356">
            <v>589</v>
          </cell>
          <cell r="P356">
            <v>45863</v>
          </cell>
          <cell r="Q356">
            <v>45822</v>
          </cell>
          <cell r="R356" t="str">
            <v>PLC-3823</v>
          </cell>
          <cell r="S356" t="str">
            <v>Michael Champagne</v>
          </cell>
          <cell r="T356" t="str">
            <v>Individual</v>
          </cell>
          <cell r="U356" t="str">
            <v>C2C</v>
          </cell>
          <cell r="V356" t="str">
            <v>Genpact</v>
          </cell>
          <cell r="W356">
            <v>80</v>
          </cell>
          <cell r="X356">
            <v>120</v>
          </cell>
          <cell r="Y356" t="str">
            <v>CAD</v>
          </cell>
          <cell r="Z356">
            <v>103</v>
          </cell>
          <cell r="AA356">
            <v>154</v>
          </cell>
          <cell r="AB356">
            <v>0</v>
          </cell>
          <cell r="AC356">
            <v>0</v>
          </cell>
          <cell r="AD356">
            <v>45762</v>
          </cell>
          <cell r="AE356">
            <v>22</v>
          </cell>
          <cell r="AF356">
            <v>46022</v>
          </cell>
          <cell r="AG356">
            <v>56.8</v>
          </cell>
          <cell r="AH356">
            <v>88.908000000000001</v>
          </cell>
          <cell r="AI356">
            <v>56.8</v>
          </cell>
          <cell r="AJ356">
            <v>73.13</v>
          </cell>
          <cell r="AK356">
            <v>114.0986</v>
          </cell>
          <cell r="AL356">
            <v>25.190600000000003</v>
          </cell>
          <cell r="AM356">
            <v>16.329999999999998</v>
          </cell>
          <cell r="AN356">
            <v>25.190600000000003</v>
          </cell>
          <cell r="AO356">
            <v>16.329999999999998</v>
          </cell>
          <cell r="AP356">
            <v>20</v>
          </cell>
          <cell r="AQ356">
            <v>16.329999999999998</v>
          </cell>
          <cell r="AR356" t="str">
            <v>CAD_1483</v>
          </cell>
          <cell r="AS356">
            <v>0</v>
          </cell>
          <cell r="AT356">
            <v>168</v>
          </cell>
          <cell r="AU356">
            <v>168</v>
          </cell>
          <cell r="AV356">
            <v>0</v>
          </cell>
          <cell r="AW356">
            <v>2743.4399999999996</v>
          </cell>
          <cell r="AX356">
            <v>2743.4399999999996</v>
          </cell>
          <cell r="AY356">
            <v>2743.4399999999996</v>
          </cell>
          <cell r="AZ356">
            <v>0</v>
          </cell>
          <cell r="BA356">
            <v>0</v>
          </cell>
          <cell r="BB356">
            <v>0</v>
          </cell>
          <cell r="BC356">
            <v>63</v>
          </cell>
          <cell r="BD356">
            <v>2743.4399999999996</v>
          </cell>
          <cell r="BE356">
            <v>3292.1279999999992</v>
          </cell>
          <cell r="BF356">
            <v>2743.4399999999996</v>
          </cell>
          <cell r="BG356">
            <v>17304</v>
          </cell>
          <cell r="BH356">
            <v>12285.84</v>
          </cell>
          <cell r="BI356">
            <v>9957.6959999999999</v>
          </cell>
          <cell r="BJ356">
            <v>0</v>
          </cell>
          <cell r="BK356">
            <v>0</v>
          </cell>
          <cell r="BL356">
            <v>0</v>
          </cell>
          <cell r="BM356">
            <v>9957.6959999999999</v>
          </cell>
          <cell r="BN356">
            <v>0</v>
          </cell>
          <cell r="BO356">
            <v>2328.1440000000002</v>
          </cell>
          <cell r="BP356" t="str">
            <v>Y</v>
          </cell>
          <cell r="BQ356">
            <v>2</v>
          </cell>
          <cell r="BR356" t="str">
            <v>N</v>
          </cell>
          <cell r="BS356">
            <v>0</v>
          </cell>
          <cell r="BT356" t="str">
            <v>Done</v>
          </cell>
          <cell r="BU356">
            <v>168</v>
          </cell>
          <cell r="BV356">
            <v>2024</v>
          </cell>
        </row>
        <row r="357">
          <cell r="A357" t="str">
            <v>Lucknow</v>
          </cell>
          <cell r="B357" t="str">
            <v>Healthcare</v>
          </cell>
          <cell r="C357" t="str">
            <v>Mid Level</v>
          </cell>
          <cell r="D357" t="str">
            <v>Abhishek Singh</v>
          </cell>
          <cell r="E357" t="str">
            <v>-</v>
          </cell>
          <cell r="H357" t="str">
            <v>Abdullah Farooqi</v>
          </cell>
          <cell r="K357">
            <v>0</v>
          </cell>
          <cell r="L357" t="str">
            <v>Old</v>
          </cell>
          <cell r="M357">
            <v>45635</v>
          </cell>
          <cell r="N357">
            <v>4</v>
          </cell>
          <cell r="O357">
            <v>411</v>
          </cell>
          <cell r="P357">
            <v>45807</v>
          </cell>
          <cell r="Q357">
            <v>46000</v>
          </cell>
          <cell r="S357" t="str">
            <v>Michael Ortega Mera</v>
          </cell>
          <cell r="T357" t="str">
            <v>Individual</v>
          </cell>
          <cell r="U357" t="str">
            <v>W2</v>
          </cell>
          <cell r="V357" t="str">
            <v>CSU</v>
          </cell>
          <cell r="W357">
            <v>37.5</v>
          </cell>
          <cell r="X357">
            <v>0</v>
          </cell>
          <cell r="Y357" t="str">
            <v>USD</v>
          </cell>
          <cell r="Z357">
            <v>98</v>
          </cell>
          <cell r="AA357">
            <v>0</v>
          </cell>
          <cell r="AB357">
            <v>0</v>
          </cell>
          <cell r="AC357">
            <v>37.5</v>
          </cell>
          <cell r="AD357">
            <v>45672</v>
          </cell>
          <cell r="AE357">
            <v>22</v>
          </cell>
          <cell r="AF357">
            <v>46022</v>
          </cell>
          <cell r="AG357">
            <v>43.125</v>
          </cell>
          <cell r="AH357">
            <v>0</v>
          </cell>
          <cell r="AI357">
            <v>80.625</v>
          </cell>
          <cell r="AJ357">
            <v>92.11999999999999</v>
          </cell>
          <cell r="AK357">
            <v>0</v>
          </cell>
          <cell r="AL357">
            <v>0</v>
          </cell>
          <cell r="AM357">
            <v>11.49499999999999</v>
          </cell>
          <cell r="AN357">
            <v>0</v>
          </cell>
          <cell r="AO357">
            <v>11.49499999999999</v>
          </cell>
          <cell r="AP357">
            <v>0</v>
          </cell>
          <cell r="AQ357">
            <v>11.49499999999999</v>
          </cell>
          <cell r="AU357">
            <v>176</v>
          </cell>
          <cell r="AY357">
            <v>2023.1199999999983</v>
          </cell>
          <cell r="AZ357">
            <v>0</v>
          </cell>
          <cell r="BA357">
            <v>0</v>
          </cell>
          <cell r="BH357">
            <v>16213.119999999999</v>
          </cell>
          <cell r="BI357">
            <v>6600</v>
          </cell>
          <cell r="BJ357">
            <v>5.625</v>
          </cell>
          <cell r="BK357">
            <v>6600</v>
          </cell>
          <cell r="BL357">
            <v>990</v>
          </cell>
          <cell r="BM357">
            <v>14190</v>
          </cell>
          <cell r="BN357">
            <v>43.125</v>
          </cell>
          <cell r="BO357">
            <v>2023.119999999999</v>
          </cell>
          <cell r="BQ357">
            <v>1</v>
          </cell>
          <cell r="BR357" t="str">
            <v>N</v>
          </cell>
          <cell r="BS357">
            <v>0</v>
          </cell>
          <cell r="BT357" t="str">
            <v>Pending</v>
          </cell>
          <cell r="BU357">
            <v>0</v>
          </cell>
          <cell r="BV357">
            <v>2024</v>
          </cell>
        </row>
        <row r="358">
          <cell r="A358" t="str">
            <v>Lucknow</v>
          </cell>
          <cell r="B358" t="str">
            <v>Healthcare</v>
          </cell>
          <cell r="C358" t="str">
            <v>Mid Level</v>
          </cell>
          <cell r="D358" t="str">
            <v>Abhishek Singh</v>
          </cell>
          <cell r="E358" t="str">
            <v>-</v>
          </cell>
          <cell r="H358" t="str">
            <v>Abdullah Farooqi</v>
          </cell>
          <cell r="K358">
            <v>0</v>
          </cell>
          <cell r="L358" t="str">
            <v>Old</v>
          </cell>
          <cell r="M358">
            <v>45635</v>
          </cell>
          <cell r="N358">
            <v>4</v>
          </cell>
          <cell r="O358">
            <v>411</v>
          </cell>
          <cell r="P358">
            <v>45807</v>
          </cell>
          <cell r="Q358">
            <v>46000</v>
          </cell>
          <cell r="S358" t="str">
            <v>Michael Ortega Mera</v>
          </cell>
          <cell r="T358" t="str">
            <v>Individual</v>
          </cell>
          <cell r="U358" t="str">
            <v>W2</v>
          </cell>
          <cell r="V358" t="str">
            <v>CSU</v>
          </cell>
          <cell r="W358">
            <v>37.5</v>
          </cell>
          <cell r="X358">
            <v>0</v>
          </cell>
          <cell r="Y358" t="str">
            <v>USD</v>
          </cell>
          <cell r="Z358">
            <v>98</v>
          </cell>
          <cell r="AA358">
            <v>0</v>
          </cell>
          <cell r="AB358">
            <v>0</v>
          </cell>
          <cell r="AC358">
            <v>37.5</v>
          </cell>
          <cell r="AD358">
            <v>45703</v>
          </cell>
          <cell r="AE358">
            <v>20</v>
          </cell>
          <cell r="AF358">
            <v>46022</v>
          </cell>
          <cell r="AG358">
            <v>43.125</v>
          </cell>
          <cell r="AH358">
            <v>0</v>
          </cell>
          <cell r="AI358">
            <v>80.625</v>
          </cell>
          <cell r="AJ358">
            <v>92.11999999999999</v>
          </cell>
          <cell r="AK358">
            <v>0</v>
          </cell>
          <cell r="AL358">
            <v>0</v>
          </cell>
          <cell r="AM358">
            <v>11.49499999999999</v>
          </cell>
          <cell r="AN358">
            <v>0</v>
          </cell>
          <cell r="AO358">
            <v>11.49499999999999</v>
          </cell>
          <cell r="AP358">
            <v>0</v>
          </cell>
          <cell r="AQ358">
            <v>11.49499999999999</v>
          </cell>
          <cell r="AU358">
            <v>160</v>
          </cell>
          <cell r="AY358">
            <v>1839.1999999999985</v>
          </cell>
          <cell r="AZ358">
            <v>0</v>
          </cell>
          <cell r="BA358">
            <v>0</v>
          </cell>
          <cell r="BH358">
            <v>14739.199999999999</v>
          </cell>
          <cell r="BI358">
            <v>6000</v>
          </cell>
          <cell r="BJ358">
            <v>5.625</v>
          </cell>
          <cell r="BK358">
            <v>6000</v>
          </cell>
          <cell r="BL358">
            <v>900</v>
          </cell>
          <cell r="BM358">
            <v>12900</v>
          </cell>
          <cell r="BN358">
            <v>43.125</v>
          </cell>
          <cell r="BO358">
            <v>1839.1999999999989</v>
          </cell>
          <cell r="BQ358">
            <v>1</v>
          </cell>
          <cell r="BR358" t="str">
            <v>N</v>
          </cell>
          <cell r="BS358">
            <v>0</v>
          </cell>
          <cell r="BT358" t="str">
            <v>Pending</v>
          </cell>
          <cell r="BU358">
            <v>0</v>
          </cell>
          <cell r="BV358">
            <v>2024</v>
          </cell>
        </row>
        <row r="359">
          <cell r="A359" t="str">
            <v>Lucknow</v>
          </cell>
          <cell r="B359" t="str">
            <v>Healthcare</v>
          </cell>
          <cell r="C359" t="str">
            <v>Mid Level</v>
          </cell>
          <cell r="D359" t="str">
            <v>Abhishek Singh</v>
          </cell>
          <cell r="E359" t="str">
            <v>-</v>
          </cell>
          <cell r="H359" t="str">
            <v>Abdullah Farooqi</v>
          </cell>
          <cell r="K359">
            <v>0</v>
          </cell>
          <cell r="L359" t="str">
            <v>Old</v>
          </cell>
          <cell r="M359">
            <v>45635</v>
          </cell>
          <cell r="N359">
            <v>4</v>
          </cell>
          <cell r="O359">
            <v>411</v>
          </cell>
          <cell r="P359">
            <v>45807</v>
          </cell>
          <cell r="Q359">
            <v>46000</v>
          </cell>
          <cell r="S359" t="str">
            <v>Michael Ortega Mera</v>
          </cell>
          <cell r="T359" t="str">
            <v>Individual</v>
          </cell>
          <cell r="U359" t="str">
            <v>W2</v>
          </cell>
          <cell r="V359" t="str">
            <v>CSU</v>
          </cell>
          <cell r="W359">
            <v>37.5</v>
          </cell>
          <cell r="X359">
            <v>0</v>
          </cell>
          <cell r="Y359" t="str">
            <v>USD</v>
          </cell>
          <cell r="Z359">
            <v>98</v>
          </cell>
          <cell r="AA359">
            <v>0</v>
          </cell>
          <cell r="AB359">
            <v>0</v>
          </cell>
          <cell r="AC359">
            <v>37.5</v>
          </cell>
          <cell r="AD359">
            <v>45731</v>
          </cell>
          <cell r="AE359">
            <v>21</v>
          </cell>
          <cell r="AF359">
            <v>46022</v>
          </cell>
          <cell r="AG359">
            <v>43.125</v>
          </cell>
          <cell r="AH359">
            <v>0</v>
          </cell>
          <cell r="AI359">
            <v>80.625</v>
          </cell>
          <cell r="AJ359">
            <v>92.11999999999999</v>
          </cell>
          <cell r="AK359">
            <v>0</v>
          </cell>
          <cell r="AL359">
            <v>0</v>
          </cell>
          <cell r="AM359">
            <v>11.49499999999999</v>
          </cell>
          <cell r="AN359">
            <v>0</v>
          </cell>
          <cell r="AO359">
            <v>11.49499999999999</v>
          </cell>
          <cell r="AP359">
            <v>0</v>
          </cell>
          <cell r="AQ359">
            <v>11.49499999999999</v>
          </cell>
          <cell r="AU359">
            <v>168</v>
          </cell>
          <cell r="AY359">
            <v>1931.1599999999985</v>
          </cell>
          <cell r="AZ359">
            <v>0</v>
          </cell>
          <cell r="BA359">
            <v>0</v>
          </cell>
          <cell r="BH359">
            <v>15476.159999999998</v>
          </cell>
          <cell r="BI359">
            <v>6300</v>
          </cell>
          <cell r="BJ359">
            <v>5.625</v>
          </cell>
          <cell r="BK359">
            <v>6300</v>
          </cell>
          <cell r="BL359">
            <v>945</v>
          </cell>
          <cell r="BM359">
            <v>13545</v>
          </cell>
          <cell r="BN359">
            <v>43.125</v>
          </cell>
          <cell r="BO359">
            <v>1931.159999999998</v>
          </cell>
          <cell r="BQ359">
            <v>1</v>
          </cell>
          <cell r="BR359" t="str">
            <v>N</v>
          </cell>
          <cell r="BS359">
            <v>0</v>
          </cell>
          <cell r="BT359" t="str">
            <v>Pending</v>
          </cell>
          <cell r="BU359">
            <v>0</v>
          </cell>
          <cell r="BV359">
            <v>2024</v>
          </cell>
        </row>
        <row r="360">
          <cell r="A360" t="str">
            <v>Lucknow</v>
          </cell>
          <cell r="B360" t="str">
            <v>Healthcare</v>
          </cell>
          <cell r="C360" t="str">
            <v>Mid Level</v>
          </cell>
          <cell r="D360" t="str">
            <v>Abhishek Singh</v>
          </cell>
          <cell r="E360" t="str">
            <v>-</v>
          </cell>
          <cell r="H360" t="str">
            <v>Abdullah Farooqi</v>
          </cell>
          <cell r="K360">
            <v>0</v>
          </cell>
          <cell r="L360" t="str">
            <v>Old</v>
          </cell>
          <cell r="M360">
            <v>45635</v>
          </cell>
          <cell r="N360">
            <v>4</v>
          </cell>
          <cell r="O360">
            <v>411</v>
          </cell>
          <cell r="P360">
            <v>45807</v>
          </cell>
          <cell r="Q360">
            <v>46000</v>
          </cell>
          <cell r="S360" t="str">
            <v>Michael Ortega Mera</v>
          </cell>
          <cell r="T360" t="str">
            <v>Individual</v>
          </cell>
          <cell r="U360" t="str">
            <v>W2</v>
          </cell>
          <cell r="V360" t="str">
            <v>CSU</v>
          </cell>
          <cell r="W360">
            <v>37.5</v>
          </cell>
          <cell r="X360">
            <v>0</v>
          </cell>
          <cell r="Y360" t="str">
            <v>USD</v>
          </cell>
          <cell r="Z360">
            <v>98</v>
          </cell>
          <cell r="AA360">
            <v>0</v>
          </cell>
          <cell r="AB360">
            <v>0</v>
          </cell>
          <cell r="AC360">
            <v>37.5</v>
          </cell>
          <cell r="AD360">
            <v>45762</v>
          </cell>
          <cell r="AE360">
            <v>22</v>
          </cell>
          <cell r="AF360">
            <v>46022</v>
          </cell>
          <cell r="AG360">
            <v>43.125</v>
          </cell>
          <cell r="AH360">
            <v>0</v>
          </cell>
          <cell r="AI360">
            <v>80.625</v>
          </cell>
          <cell r="AJ360">
            <v>92.11999999999999</v>
          </cell>
          <cell r="AK360">
            <v>0</v>
          </cell>
          <cell r="AL360">
            <v>0</v>
          </cell>
          <cell r="AM360">
            <v>11.49499999999999</v>
          </cell>
          <cell r="AN360">
            <v>0</v>
          </cell>
          <cell r="AO360">
            <v>11.49499999999999</v>
          </cell>
          <cell r="AP360">
            <v>0</v>
          </cell>
          <cell r="AQ360">
            <v>11.49499999999999</v>
          </cell>
          <cell r="AU360">
            <v>176</v>
          </cell>
          <cell r="AY360">
            <v>2023.1199999999983</v>
          </cell>
          <cell r="AZ360">
            <v>0</v>
          </cell>
          <cell r="BA360">
            <v>0</v>
          </cell>
          <cell r="BH360">
            <v>16213.119999999999</v>
          </cell>
          <cell r="BI360">
            <v>6600</v>
          </cell>
          <cell r="BJ360">
            <v>5.625</v>
          </cell>
          <cell r="BK360">
            <v>6600</v>
          </cell>
          <cell r="BL360">
            <v>990</v>
          </cell>
          <cell r="BM360">
            <v>14190</v>
          </cell>
          <cell r="BN360">
            <v>43.125</v>
          </cell>
          <cell r="BO360">
            <v>2023.119999999999</v>
          </cell>
          <cell r="BQ360">
            <v>2</v>
          </cell>
          <cell r="BR360" t="str">
            <v>N</v>
          </cell>
          <cell r="BS360">
            <v>0</v>
          </cell>
          <cell r="BT360" t="str">
            <v>Pending</v>
          </cell>
          <cell r="BU360">
            <v>0</v>
          </cell>
          <cell r="BV360">
            <v>2024</v>
          </cell>
        </row>
        <row r="361">
          <cell r="A361" t="str">
            <v>Chennai</v>
          </cell>
          <cell r="B361" t="str">
            <v>Chennai</v>
          </cell>
          <cell r="C361" t="str">
            <v>Mid Level</v>
          </cell>
          <cell r="D361" t="str">
            <v>Vinoth L</v>
          </cell>
          <cell r="E361" t="str">
            <v>-</v>
          </cell>
          <cell r="F361" t="str">
            <v>-</v>
          </cell>
          <cell r="H361" t="str">
            <v>Gayathri.J</v>
          </cell>
          <cell r="K361">
            <v>0</v>
          </cell>
          <cell r="L361" t="str">
            <v>Old</v>
          </cell>
          <cell r="M361">
            <v>45538</v>
          </cell>
          <cell r="N361">
            <v>3</v>
          </cell>
          <cell r="O361">
            <v>508</v>
          </cell>
          <cell r="P361">
            <v>45898</v>
          </cell>
          <cell r="Q361">
            <v>45903</v>
          </cell>
          <cell r="R361" t="str">
            <v>PLC-4001</v>
          </cell>
          <cell r="S361" t="str">
            <v>Mithun Adhikari</v>
          </cell>
          <cell r="T361" t="str">
            <v>Individual</v>
          </cell>
          <cell r="U361" t="str">
            <v>C2C</v>
          </cell>
          <cell r="V361" t="str">
            <v>Citius Tech</v>
          </cell>
          <cell r="W361">
            <v>55</v>
          </cell>
          <cell r="X361">
            <v>0</v>
          </cell>
          <cell r="Y361" t="str">
            <v>USD</v>
          </cell>
          <cell r="Z361">
            <v>62</v>
          </cell>
          <cell r="AA361">
            <v>0</v>
          </cell>
          <cell r="AB361">
            <v>0</v>
          </cell>
          <cell r="AC361">
            <v>0</v>
          </cell>
          <cell r="AD361">
            <v>45672</v>
          </cell>
          <cell r="AE361">
            <v>22</v>
          </cell>
          <cell r="AF361">
            <v>46022</v>
          </cell>
          <cell r="AG361">
            <v>55</v>
          </cell>
          <cell r="AH361">
            <v>0</v>
          </cell>
          <cell r="AI361">
            <v>55</v>
          </cell>
          <cell r="AJ361">
            <v>62</v>
          </cell>
          <cell r="AK361">
            <v>0</v>
          </cell>
          <cell r="AL361">
            <v>0</v>
          </cell>
          <cell r="AM361">
            <v>7</v>
          </cell>
          <cell r="AN361">
            <v>0</v>
          </cell>
          <cell r="AO361">
            <v>7</v>
          </cell>
          <cell r="AP361">
            <v>0</v>
          </cell>
          <cell r="AQ361">
            <v>7</v>
          </cell>
          <cell r="AR361" t="str">
            <v>US_24272</v>
          </cell>
          <cell r="AS361">
            <v>0</v>
          </cell>
          <cell r="AT361">
            <v>168</v>
          </cell>
          <cell r="AU361">
            <v>168</v>
          </cell>
          <cell r="AV361">
            <v>0</v>
          </cell>
          <cell r="AW361">
            <v>1176</v>
          </cell>
          <cell r="AX361">
            <v>1176</v>
          </cell>
          <cell r="AY361">
            <v>1176</v>
          </cell>
          <cell r="AZ361">
            <v>60</v>
          </cell>
          <cell r="BA361">
            <v>15.4</v>
          </cell>
          <cell r="BB361">
            <v>2587.2000000000003</v>
          </cell>
          <cell r="BC361">
            <v>53.225806451612897</v>
          </cell>
          <cell r="BD361">
            <v>1176</v>
          </cell>
          <cell r="BE361">
            <v>940.8</v>
          </cell>
          <cell r="BF361">
            <v>1176</v>
          </cell>
          <cell r="BG361">
            <v>10416</v>
          </cell>
          <cell r="BH361">
            <v>10416</v>
          </cell>
          <cell r="BI361">
            <v>9240</v>
          </cell>
          <cell r="BJ361">
            <v>0</v>
          </cell>
          <cell r="BK361">
            <v>0</v>
          </cell>
          <cell r="BL361">
            <v>0</v>
          </cell>
          <cell r="BM361">
            <v>9240</v>
          </cell>
          <cell r="BN361">
            <v>0</v>
          </cell>
          <cell r="BO361">
            <v>1176</v>
          </cell>
          <cell r="BP361" t="str">
            <v>Y</v>
          </cell>
          <cell r="BQ361">
            <v>1</v>
          </cell>
          <cell r="BR361" t="str">
            <v>N</v>
          </cell>
          <cell r="BS361">
            <v>2587.2000000000003</v>
          </cell>
          <cell r="BT361" t="str">
            <v>Done</v>
          </cell>
          <cell r="BU361">
            <v>168</v>
          </cell>
          <cell r="BV361">
            <v>2024</v>
          </cell>
        </row>
        <row r="362">
          <cell r="A362" t="str">
            <v>Chennai</v>
          </cell>
          <cell r="B362" t="str">
            <v>Chennai</v>
          </cell>
          <cell r="C362" t="str">
            <v>Mid Level</v>
          </cell>
          <cell r="D362" t="str">
            <v>Vinoth L</v>
          </cell>
          <cell r="E362" t="str">
            <v>-</v>
          </cell>
          <cell r="F362" t="str">
            <v>-</v>
          </cell>
          <cell r="H362" t="str">
            <v>Gayathri.J</v>
          </cell>
          <cell r="K362">
            <v>0</v>
          </cell>
          <cell r="L362" t="str">
            <v>Old</v>
          </cell>
          <cell r="M362">
            <v>45538</v>
          </cell>
          <cell r="N362">
            <v>3</v>
          </cell>
          <cell r="O362">
            <v>508</v>
          </cell>
          <cell r="P362">
            <v>45898</v>
          </cell>
          <cell r="Q362">
            <v>45903</v>
          </cell>
          <cell r="R362" t="str">
            <v>PLC-4001</v>
          </cell>
          <cell r="S362" t="str">
            <v>Mithun Adhikari</v>
          </cell>
          <cell r="T362" t="str">
            <v>Individual</v>
          </cell>
          <cell r="U362" t="str">
            <v>C2C</v>
          </cell>
          <cell r="V362" t="str">
            <v>Citius Tech</v>
          </cell>
          <cell r="W362">
            <v>55</v>
          </cell>
          <cell r="X362">
            <v>0</v>
          </cell>
          <cell r="Y362" t="str">
            <v>USD</v>
          </cell>
          <cell r="Z362">
            <v>62</v>
          </cell>
          <cell r="AA362">
            <v>0</v>
          </cell>
          <cell r="AB362">
            <v>0</v>
          </cell>
          <cell r="AC362">
            <v>0</v>
          </cell>
          <cell r="AD362">
            <v>45703</v>
          </cell>
          <cell r="AE362">
            <v>20</v>
          </cell>
          <cell r="AF362">
            <v>46022</v>
          </cell>
          <cell r="AG362">
            <v>55</v>
          </cell>
          <cell r="AH362">
            <v>0</v>
          </cell>
          <cell r="AI362">
            <v>55</v>
          </cell>
          <cell r="AJ362">
            <v>62</v>
          </cell>
          <cell r="AK362">
            <v>0</v>
          </cell>
          <cell r="AL362">
            <v>0</v>
          </cell>
          <cell r="AM362">
            <v>7</v>
          </cell>
          <cell r="AN362">
            <v>0</v>
          </cell>
          <cell r="AO362">
            <v>7</v>
          </cell>
          <cell r="AP362">
            <v>0</v>
          </cell>
          <cell r="AQ362">
            <v>7</v>
          </cell>
          <cell r="AR362" t="str">
            <v>US_24472</v>
          </cell>
          <cell r="AS362">
            <v>0</v>
          </cell>
          <cell r="AT362">
            <v>160</v>
          </cell>
          <cell r="AU362">
            <v>160</v>
          </cell>
          <cell r="AV362">
            <v>0</v>
          </cell>
          <cell r="AW362">
            <v>1120</v>
          </cell>
          <cell r="AX362">
            <v>1120</v>
          </cell>
          <cell r="AY362">
            <v>1120</v>
          </cell>
          <cell r="AZ362">
            <v>60</v>
          </cell>
          <cell r="BA362">
            <v>15.4</v>
          </cell>
          <cell r="BB362">
            <v>2464</v>
          </cell>
          <cell r="BC362">
            <v>53.225806451612897</v>
          </cell>
          <cell r="BD362">
            <v>1120</v>
          </cell>
          <cell r="BE362">
            <v>896</v>
          </cell>
          <cell r="BF362">
            <v>1120</v>
          </cell>
          <cell r="BG362">
            <v>9920</v>
          </cell>
          <cell r="BH362">
            <v>9920</v>
          </cell>
          <cell r="BI362">
            <v>8800</v>
          </cell>
          <cell r="BJ362">
            <v>0</v>
          </cell>
          <cell r="BK362">
            <v>0</v>
          </cell>
          <cell r="BL362">
            <v>0</v>
          </cell>
          <cell r="BM362">
            <v>8800</v>
          </cell>
          <cell r="BN362">
            <v>0</v>
          </cell>
          <cell r="BO362">
            <v>1120</v>
          </cell>
          <cell r="BP362" t="str">
            <v>Y</v>
          </cell>
          <cell r="BQ362">
            <v>1</v>
          </cell>
          <cell r="BR362" t="str">
            <v>N</v>
          </cell>
          <cell r="BS362">
            <v>2464</v>
          </cell>
          <cell r="BT362" t="str">
            <v>Done</v>
          </cell>
          <cell r="BU362">
            <v>160</v>
          </cell>
          <cell r="BV362">
            <v>2024</v>
          </cell>
        </row>
        <row r="363">
          <cell r="A363" t="str">
            <v>Chennai</v>
          </cell>
          <cell r="B363" t="str">
            <v>Chennai</v>
          </cell>
          <cell r="C363" t="str">
            <v>Mid Level</v>
          </cell>
          <cell r="D363" t="str">
            <v>Vinoth L</v>
          </cell>
          <cell r="E363" t="str">
            <v>-</v>
          </cell>
          <cell r="F363" t="str">
            <v>-</v>
          </cell>
          <cell r="H363" t="str">
            <v>Gayathri.J</v>
          </cell>
          <cell r="K363">
            <v>0</v>
          </cell>
          <cell r="L363" t="str">
            <v>Old</v>
          </cell>
          <cell r="M363">
            <v>45538</v>
          </cell>
          <cell r="N363">
            <v>3</v>
          </cell>
          <cell r="O363">
            <v>508</v>
          </cell>
          <cell r="P363">
            <v>45898</v>
          </cell>
          <cell r="Q363">
            <v>45903</v>
          </cell>
          <cell r="R363" t="str">
            <v>PLC-4001</v>
          </cell>
          <cell r="S363" t="str">
            <v>Mithun Adhikari</v>
          </cell>
          <cell r="T363" t="str">
            <v>Individual</v>
          </cell>
          <cell r="U363" t="str">
            <v>C2C</v>
          </cell>
          <cell r="V363" t="str">
            <v>Citius Tech</v>
          </cell>
          <cell r="W363">
            <v>55</v>
          </cell>
          <cell r="X363">
            <v>0</v>
          </cell>
          <cell r="Y363" t="str">
            <v>USD</v>
          </cell>
          <cell r="Z363">
            <v>62</v>
          </cell>
          <cell r="AA363">
            <v>0</v>
          </cell>
          <cell r="AB363">
            <v>0</v>
          </cell>
          <cell r="AC363">
            <v>0</v>
          </cell>
          <cell r="AD363">
            <v>45731</v>
          </cell>
          <cell r="AE363">
            <v>21</v>
          </cell>
          <cell r="AF363">
            <v>46022</v>
          </cell>
          <cell r="AG363">
            <v>55</v>
          </cell>
          <cell r="AH363">
            <v>0</v>
          </cell>
          <cell r="AI363">
            <v>55</v>
          </cell>
          <cell r="AJ363">
            <v>62</v>
          </cell>
          <cell r="AK363">
            <v>0</v>
          </cell>
          <cell r="AL363">
            <v>0</v>
          </cell>
          <cell r="AM363">
            <v>7</v>
          </cell>
          <cell r="AN363">
            <v>0</v>
          </cell>
          <cell r="AO363">
            <v>7</v>
          </cell>
          <cell r="AP363">
            <v>0</v>
          </cell>
          <cell r="AQ363">
            <v>7</v>
          </cell>
          <cell r="AR363" t="str">
            <v>US_24658</v>
          </cell>
          <cell r="AS363">
            <v>0</v>
          </cell>
          <cell r="AT363">
            <v>168</v>
          </cell>
          <cell r="AU363">
            <v>168</v>
          </cell>
          <cell r="AV363">
            <v>0</v>
          </cell>
          <cell r="AW363">
            <v>1176</v>
          </cell>
          <cell r="AX363">
            <v>1176</v>
          </cell>
          <cell r="AY363">
            <v>1176</v>
          </cell>
          <cell r="AZ363">
            <v>60</v>
          </cell>
          <cell r="BA363">
            <v>15.4</v>
          </cell>
          <cell r="BB363">
            <v>2587.2000000000003</v>
          </cell>
          <cell r="BC363">
            <v>53.225806451612897</v>
          </cell>
          <cell r="BD363">
            <v>1176</v>
          </cell>
          <cell r="BE363">
            <v>940.8</v>
          </cell>
          <cell r="BF363">
            <v>1176</v>
          </cell>
          <cell r="BG363">
            <v>10416</v>
          </cell>
          <cell r="BH363">
            <v>10416</v>
          </cell>
          <cell r="BI363">
            <v>9240</v>
          </cell>
          <cell r="BJ363">
            <v>0</v>
          </cell>
          <cell r="BK363">
            <v>0</v>
          </cell>
          <cell r="BL363">
            <v>0</v>
          </cell>
          <cell r="BM363">
            <v>9240</v>
          </cell>
          <cell r="BN363">
            <v>0</v>
          </cell>
          <cell r="BO363">
            <v>1176</v>
          </cell>
          <cell r="BP363" t="str">
            <v>Y</v>
          </cell>
          <cell r="BQ363">
            <v>1</v>
          </cell>
          <cell r="BR363" t="str">
            <v>N</v>
          </cell>
          <cell r="BS363">
            <v>2587.2000000000003</v>
          </cell>
          <cell r="BT363" t="str">
            <v>Done</v>
          </cell>
          <cell r="BU363">
            <v>168</v>
          </cell>
          <cell r="BV363">
            <v>2024</v>
          </cell>
        </row>
        <row r="364">
          <cell r="A364" t="str">
            <v>Chennai</v>
          </cell>
          <cell r="B364" t="str">
            <v>Chennai</v>
          </cell>
          <cell r="C364" t="str">
            <v>Mid Level</v>
          </cell>
          <cell r="D364" t="str">
            <v>Vinoth L</v>
          </cell>
          <cell r="E364" t="str">
            <v>-</v>
          </cell>
          <cell r="F364" t="str">
            <v>-</v>
          </cell>
          <cell r="H364" t="str">
            <v>Gayathri.J</v>
          </cell>
          <cell r="K364">
            <v>0</v>
          </cell>
          <cell r="L364" t="str">
            <v>Old</v>
          </cell>
          <cell r="M364">
            <v>45538</v>
          </cell>
          <cell r="N364">
            <v>3</v>
          </cell>
          <cell r="O364">
            <v>508</v>
          </cell>
          <cell r="P364">
            <v>45898</v>
          </cell>
          <cell r="Q364">
            <v>45903</v>
          </cell>
          <cell r="R364" t="str">
            <v>PLC-4001</v>
          </cell>
          <cell r="S364" t="str">
            <v>Mithun Adhikari</v>
          </cell>
          <cell r="T364" t="str">
            <v>Individual</v>
          </cell>
          <cell r="U364" t="str">
            <v>C2C</v>
          </cell>
          <cell r="V364" t="str">
            <v>Citius Tech</v>
          </cell>
          <cell r="W364">
            <v>55</v>
          </cell>
          <cell r="X364">
            <v>0</v>
          </cell>
          <cell r="Y364" t="str">
            <v>USD</v>
          </cell>
          <cell r="Z364">
            <v>62</v>
          </cell>
          <cell r="AA364">
            <v>0</v>
          </cell>
          <cell r="AB364">
            <v>0</v>
          </cell>
          <cell r="AC364">
            <v>0</v>
          </cell>
          <cell r="AD364">
            <v>45762</v>
          </cell>
          <cell r="AE364">
            <v>22</v>
          </cell>
          <cell r="AF364">
            <v>46022</v>
          </cell>
          <cell r="AG364">
            <v>55</v>
          </cell>
          <cell r="AH364">
            <v>0</v>
          </cell>
          <cell r="AI364">
            <v>55</v>
          </cell>
          <cell r="AJ364">
            <v>62</v>
          </cell>
          <cell r="AK364">
            <v>0</v>
          </cell>
          <cell r="AL364">
            <v>0</v>
          </cell>
          <cell r="AM364">
            <v>7</v>
          </cell>
          <cell r="AN364">
            <v>0</v>
          </cell>
          <cell r="AO364">
            <v>7</v>
          </cell>
          <cell r="AP364">
            <v>0</v>
          </cell>
          <cell r="AQ364">
            <v>7</v>
          </cell>
          <cell r="AR364" t="str">
            <v>US_24863</v>
          </cell>
          <cell r="AS364">
            <v>0</v>
          </cell>
          <cell r="AT364">
            <v>176</v>
          </cell>
          <cell r="AU364">
            <v>176</v>
          </cell>
          <cell r="AV364">
            <v>0</v>
          </cell>
          <cell r="AW364">
            <v>1232</v>
          </cell>
          <cell r="AX364">
            <v>1232</v>
          </cell>
          <cell r="AY364">
            <v>1232</v>
          </cell>
          <cell r="AZ364">
            <v>60</v>
          </cell>
          <cell r="BA364">
            <v>15.4</v>
          </cell>
          <cell r="BB364">
            <v>2710.4</v>
          </cell>
          <cell r="BC364">
            <v>53.225806451612897</v>
          </cell>
          <cell r="BD364">
            <v>1232</v>
          </cell>
          <cell r="BE364">
            <v>985.6</v>
          </cell>
          <cell r="BF364">
            <v>1232</v>
          </cell>
          <cell r="BG364">
            <v>10912</v>
          </cell>
          <cell r="BH364">
            <v>10912</v>
          </cell>
          <cell r="BI364">
            <v>9680</v>
          </cell>
          <cell r="BJ364">
            <v>0</v>
          </cell>
          <cell r="BK364">
            <v>0</v>
          </cell>
          <cell r="BL364">
            <v>0</v>
          </cell>
          <cell r="BM364">
            <v>9680</v>
          </cell>
          <cell r="BN364">
            <v>0</v>
          </cell>
          <cell r="BO364">
            <v>1232</v>
          </cell>
          <cell r="BP364" t="str">
            <v>Y</v>
          </cell>
          <cell r="BQ364">
            <v>2</v>
          </cell>
          <cell r="BR364" t="str">
            <v>Y</v>
          </cell>
          <cell r="BS364">
            <v>2710.4</v>
          </cell>
          <cell r="BT364" t="str">
            <v>Done</v>
          </cell>
          <cell r="BU364">
            <v>176</v>
          </cell>
          <cell r="BV364">
            <v>2024</v>
          </cell>
        </row>
        <row r="365">
          <cell r="A365" t="str">
            <v>Lucknow</v>
          </cell>
          <cell r="B365" t="str">
            <v>Titans</v>
          </cell>
          <cell r="C365" t="str">
            <v>Mid Level</v>
          </cell>
          <cell r="D365" t="str">
            <v>Abhishek Yadav</v>
          </cell>
          <cell r="E365" t="str">
            <v>Abhishek Yadav</v>
          </cell>
          <cell r="H365" t="str">
            <v>Manish Kumar Dhiman</v>
          </cell>
          <cell r="K365">
            <v>0</v>
          </cell>
          <cell r="L365" t="str">
            <v>Old</v>
          </cell>
          <cell r="M365">
            <v>45586</v>
          </cell>
          <cell r="N365">
            <v>4</v>
          </cell>
          <cell r="O365">
            <v>460</v>
          </cell>
          <cell r="P365" t="str">
            <v>-</v>
          </cell>
          <cell r="Q365">
            <v>45951</v>
          </cell>
          <cell r="R365" t="str">
            <v>PLC-3993</v>
          </cell>
          <cell r="S365" t="str">
            <v>Mohamed Deen Nathar</v>
          </cell>
          <cell r="T365" t="str">
            <v>Individual</v>
          </cell>
          <cell r="U365" t="str">
            <v>C2C</v>
          </cell>
          <cell r="V365" t="str">
            <v>Genpact</v>
          </cell>
          <cell r="W365">
            <v>55</v>
          </cell>
          <cell r="X365">
            <v>0</v>
          </cell>
          <cell r="Y365" t="str">
            <v>CAD</v>
          </cell>
          <cell r="Z365">
            <v>70</v>
          </cell>
          <cell r="AA365">
            <v>0</v>
          </cell>
          <cell r="AB365">
            <v>0</v>
          </cell>
          <cell r="AC365">
            <v>0</v>
          </cell>
          <cell r="AD365">
            <v>45672</v>
          </cell>
          <cell r="AE365">
            <v>23</v>
          </cell>
          <cell r="AF365">
            <v>46022</v>
          </cell>
          <cell r="AG365">
            <v>39.049999999999997</v>
          </cell>
          <cell r="AH365">
            <v>0</v>
          </cell>
          <cell r="AI365">
            <v>39.049999999999997</v>
          </cell>
          <cell r="AJ365">
            <v>49.699999999999996</v>
          </cell>
          <cell r="AK365">
            <v>0</v>
          </cell>
          <cell r="AL365">
            <v>0</v>
          </cell>
          <cell r="AM365">
            <v>10.649999999999999</v>
          </cell>
          <cell r="AN365">
            <v>0</v>
          </cell>
          <cell r="AO365">
            <v>10.649999999999999</v>
          </cell>
          <cell r="AP365">
            <v>0</v>
          </cell>
          <cell r="AQ365">
            <v>10.649999999999999</v>
          </cell>
          <cell r="AR365" t="str">
            <v>CAD_1412</v>
          </cell>
          <cell r="AS365">
            <v>0</v>
          </cell>
          <cell r="AT365">
            <v>176</v>
          </cell>
          <cell r="AU365">
            <v>176</v>
          </cell>
          <cell r="AV365">
            <v>0</v>
          </cell>
          <cell r="AW365">
            <v>1874.3999999999996</v>
          </cell>
          <cell r="AX365">
            <v>1874.3999999999996</v>
          </cell>
          <cell r="AY365">
            <v>1874.3999999999996</v>
          </cell>
          <cell r="AZ365">
            <v>62.5</v>
          </cell>
          <cell r="BA365">
            <v>23.429999999999996</v>
          </cell>
          <cell r="BB365">
            <v>4123.6799999999994</v>
          </cell>
          <cell r="BD365">
            <v>1874.3999999999996</v>
          </cell>
          <cell r="BF365">
            <v>1874.3999999999996</v>
          </cell>
          <cell r="BG365">
            <v>12320</v>
          </cell>
          <cell r="BH365">
            <v>8747.1999999999989</v>
          </cell>
          <cell r="BI365">
            <v>7171.9120000000003</v>
          </cell>
          <cell r="BJ365">
            <v>0</v>
          </cell>
          <cell r="BK365">
            <v>0</v>
          </cell>
          <cell r="BL365">
            <v>0</v>
          </cell>
          <cell r="BM365">
            <v>7171.9120000000003</v>
          </cell>
          <cell r="BN365">
            <v>0</v>
          </cell>
          <cell r="BO365">
            <v>1575.2879999999986</v>
          </cell>
          <cell r="BP365" t="str">
            <v>Y</v>
          </cell>
          <cell r="BQ365">
            <v>1</v>
          </cell>
          <cell r="BR365" t="str">
            <v>Y</v>
          </cell>
          <cell r="BS365">
            <v>4123.6799999999994</v>
          </cell>
          <cell r="BT365" t="str">
            <v>Done</v>
          </cell>
          <cell r="BU365">
            <v>176</v>
          </cell>
          <cell r="BV365">
            <v>2024</v>
          </cell>
        </row>
        <row r="366">
          <cell r="A366" t="str">
            <v>Lucknow</v>
          </cell>
          <cell r="B366" t="str">
            <v>Titans</v>
          </cell>
          <cell r="C366" t="str">
            <v>Mid Level</v>
          </cell>
          <cell r="D366" t="str">
            <v>Abhishek Yadav</v>
          </cell>
          <cell r="E366" t="str">
            <v>Abhishek Yadav</v>
          </cell>
          <cell r="H366" t="str">
            <v>Manish Kumar Dhiman</v>
          </cell>
          <cell r="K366">
            <v>0</v>
          </cell>
          <cell r="L366" t="str">
            <v>Old</v>
          </cell>
          <cell r="M366">
            <v>45586</v>
          </cell>
          <cell r="N366">
            <v>4</v>
          </cell>
          <cell r="O366">
            <v>460</v>
          </cell>
          <cell r="P366" t="str">
            <v>-</v>
          </cell>
          <cell r="Q366">
            <v>45951</v>
          </cell>
          <cell r="R366" t="str">
            <v>PLC-3993</v>
          </cell>
          <cell r="S366" t="str">
            <v>Mohamed Deen Nathar</v>
          </cell>
          <cell r="T366" t="str">
            <v>Individual</v>
          </cell>
          <cell r="U366" t="str">
            <v>C2C</v>
          </cell>
          <cell r="V366" t="str">
            <v>Genpact</v>
          </cell>
          <cell r="W366">
            <v>55</v>
          </cell>
          <cell r="X366">
            <v>0</v>
          </cell>
          <cell r="Y366" t="str">
            <v>CAD</v>
          </cell>
          <cell r="Z366">
            <v>70</v>
          </cell>
          <cell r="AA366">
            <v>0</v>
          </cell>
          <cell r="AB366">
            <v>0</v>
          </cell>
          <cell r="AC366">
            <v>0</v>
          </cell>
          <cell r="AD366">
            <v>45703</v>
          </cell>
          <cell r="AE366">
            <v>20</v>
          </cell>
          <cell r="AF366">
            <v>46022</v>
          </cell>
          <cell r="AG366">
            <v>39.049999999999997</v>
          </cell>
          <cell r="AH366">
            <v>0</v>
          </cell>
          <cell r="AI366">
            <v>39.049999999999997</v>
          </cell>
          <cell r="AJ366">
            <v>49.699999999999996</v>
          </cell>
          <cell r="AK366">
            <v>0</v>
          </cell>
          <cell r="AL366">
            <v>0</v>
          </cell>
          <cell r="AM366">
            <v>10.649999999999999</v>
          </cell>
          <cell r="AN366">
            <v>0</v>
          </cell>
          <cell r="AO366">
            <v>10.649999999999999</v>
          </cell>
          <cell r="AP366">
            <v>0</v>
          </cell>
          <cell r="AQ366">
            <v>10.649999999999999</v>
          </cell>
          <cell r="AR366" t="str">
            <v>CAD_1437</v>
          </cell>
          <cell r="AS366">
            <v>0</v>
          </cell>
          <cell r="AT366">
            <v>152</v>
          </cell>
          <cell r="AU366">
            <v>152</v>
          </cell>
          <cell r="AV366">
            <v>0</v>
          </cell>
          <cell r="AW366">
            <v>1618.7999999999997</v>
          </cell>
          <cell r="AX366">
            <v>1618.7999999999997</v>
          </cell>
          <cell r="AY366">
            <v>1618.7999999999997</v>
          </cell>
          <cell r="AZ366">
            <v>62.5</v>
          </cell>
          <cell r="BA366">
            <v>23.429999999999996</v>
          </cell>
          <cell r="BB366">
            <v>3561.3599999999992</v>
          </cell>
          <cell r="BD366">
            <v>1618.7999999999997</v>
          </cell>
          <cell r="BF366">
            <v>1618.7999999999997</v>
          </cell>
          <cell r="BG366">
            <v>10640</v>
          </cell>
          <cell r="BH366">
            <v>7554.4</v>
          </cell>
          <cell r="BI366">
            <v>6193.924</v>
          </cell>
          <cell r="BJ366">
            <v>0</v>
          </cell>
          <cell r="BK366">
            <v>0</v>
          </cell>
          <cell r="BL366">
            <v>0</v>
          </cell>
          <cell r="BM366">
            <v>6193.924</v>
          </cell>
          <cell r="BN366">
            <v>0</v>
          </cell>
          <cell r="BO366">
            <v>1360.4759999999997</v>
          </cell>
          <cell r="BP366" t="str">
            <v>Y</v>
          </cell>
          <cell r="BQ366">
            <v>1</v>
          </cell>
          <cell r="BR366" t="str">
            <v>Y</v>
          </cell>
          <cell r="BS366">
            <v>3561.3599999999992</v>
          </cell>
          <cell r="BT366" t="str">
            <v>Done</v>
          </cell>
          <cell r="BU366">
            <v>152</v>
          </cell>
          <cell r="BV366">
            <v>2024</v>
          </cell>
        </row>
        <row r="367">
          <cell r="A367" t="str">
            <v>Lucknow</v>
          </cell>
          <cell r="B367" t="str">
            <v>Titans</v>
          </cell>
          <cell r="C367" t="str">
            <v>Mid Level</v>
          </cell>
          <cell r="D367" t="str">
            <v>Abhishek Yadav</v>
          </cell>
          <cell r="E367" t="str">
            <v>Abhishek Yadav</v>
          </cell>
          <cell r="H367" t="str">
            <v>Manish Kumar Dhiman</v>
          </cell>
          <cell r="K367">
            <v>0</v>
          </cell>
          <cell r="L367" t="str">
            <v>Old</v>
          </cell>
          <cell r="M367">
            <v>45586</v>
          </cell>
          <cell r="N367">
            <v>4</v>
          </cell>
          <cell r="O367">
            <v>460</v>
          </cell>
          <cell r="P367" t="str">
            <v>-</v>
          </cell>
          <cell r="Q367">
            <v>45951</v>
          </cell>
          <cell r="R367" t="str">
            <v>PLC-3993</v>
          </cell>
          <cell r="S367" t="str">
            <v>Mohamed Deen Nathar</v>
          </cell>
          <cell r="T367" t="str">
            <v>Individual</v>
          </cell>
          <cell r="U367" t="str">
            <v>C2C</v>
          </cell>
          <cell r="V367" t="str">
            <v>Genpact</v>
          </cell>
          <cell r="W367">
            <v>55</v>
          </cell>
          <cell r="X367">
            <v>0</v>
          </cell>
          <cell r="Y367" t="str">
            <v>CAD</v>
          </cell>
          <cell r="Z367">
            <v>70</v>
          </cell>
          <cell r="AA367">
            <v>0</v>
          </cell>
          <cell r="AB367">
            <v>0</v>
          </cell>
          <cell r="AC367">
            <v>0</v>
          </cell>
          <cell r="AD367">
            <v>45731</v>
          </cell>
          <cell r="AE367">
            <v>21</v>
          </cell>
          <cell r="AF367">
            <v>46022</v>
          </cell>
          <cell r="AG367">
            <v>39.049999999999997</v>
          </cell>
          <cell r="AH367">
            <v>0</v>
          </cell>
          <cell r="AI367">
            <v>39.049999999999997</v>
          </cell>
          <cell r="AJ367">
            <v>49.699999999999996</v>
          </cell>
          <cell r="AK367">
            <v>0</v>
          </cell>
          <cell r="AL367">
            <v>0</v>
          </cell>
          <cell r="AM367">
            <v>10.649999999999999</v>
          </cell>
          <cell r="AN367">
            <v>0</v>
          </cell>
          <cell r="AO367">
            <v>10.649999999999999</v>
          </cell>
          <cell r="AP367">
            <v>0</v>
          </cell>
          <cell r="AQ367">
            <v>10.649999999999999</v>
          </cell>
          <cell r="AR367" t="str">
            <v>CAD_1462</v>
          </cell>
          <cell r="AS367">
            <v>0</v>
          </cell>
          <cell r="AT367">
            <v>168</v>
          </cell>
          <cell r="AU367">
            <v>168</v>
          </cell>
          <cell r="AV367">
            <v>0</v>
          </cell>
          <cell r="AW367">
            <v>1789.1999999999998</v>
          </cell>
          <cell r="AX367">
            <v>1789.1999999999998</v>
          </cell>
          <cell r="AY367">
            <v>1789.1999999999998</v>
          </cell>
          <cell r="AZ367">
            <v>62.5</v>
          </cell>
          <cell r="BA367">
            <v>23.429999999999996</v>
          </cell>
          <cell r="BB367">
            <v>3936.2399999999993</v>
          </cell>
          <cell r="BD367">
            <v>1789.1999999999998</v>
          </cell>
          <cell r="BF367">
            <v>1789.1999999999998</v>
          </cell>
          <cell r="BG367">
            <v>11760</v>
          </cell>
          <cell r="BH367">
            <v>8349.5999999999985</v>
          </cell>
          <cell r="BI367">
            <v>6845.9160000000002</v>
          </cell>
          <cell r="BJ367">
            <v>0</v>
          </cell>
          <cell r="BK367">
            <v>0</v>
          </cell>
          <cell r="BL367">
            <v>0</v>
          </cell>
          <cell r="BM367">
            <v>6845.9160000000002</v>
          </cell>
          <cell r="BN367">
            <v>0</v>
          </cell>
          <cell r="BO367">
            <v>1503.6839999999984</v>
          </cell>
          <cell r="BP367" t="str">
            <v>Y</v>
          </cell>
          <cell r="BQ367">
            <v>1</v>
          </cell>
          <cell r="BR367" t="str">
            <v>Y</v>
          </cell>
          <cell r="BS367">
            <v>3936.2399999999993</v>
          </cell>
          <cell r="BT367" t="str">
            <v>Done</v>
          </cell>
          <cell r="BU367">
            <v>168</v>
          </cell>
          <cell r="BV367">
            <v>2024</v>
          </cell>
        </row>
        <row r="368">
          <cell r="A368" t="str">
            <v>Lucknow</v>
          </cell>
          <cell r="B368" t="str">
            <v>Titans</v>
          </cell>
          <cell r="C368" t="str">
            <v>Mid Level</v>
          </cell>
          <cell r="D368" t="str">
            <v>Abhishek Yadav</v>
          </cell>
          <cell r="E368" t="str">
            <v>Abhishek Yadav</v>
          </cell>
          <cell r="H368" t="str">
            <v>Manish Kumar Dhiman</v>
          </cell>
          <cell r="K368">
            <v>0</v>
          </cell>
          <cell r="L368" t="str">
            <v>Old</v>
          </cell>
          <cell r="M368">
            <v>45586</v>
          </cell>
          <cell r="N368">
            <v>4</v>
          </cell>
          <cell r="O368">
            <v>460</v>
          </cell>
          <cell r="P368" t="str">
            <v>-</v>
          </cell>
          <cell r="Q368">
            <v>45951</v>
          </cell>
          <cell r="R368" t="str">
            <v>PLC-3993</v>
          </cell>
          <cell r="S368" t="str">
            <v>Mohamed Deen Nathar</v>
          </cell>
          <cell r="T368" t="str">
            <v>Individual</v>
          </cell>
          <cell r="U368" t="str">
            <v>C2C</v>
          </cell>
          <cell r="V368" t="str">
            <v>Genpact</v>
          </cell>
          <cell r="W368">
            <v>55</v>
          </cell>
          <cell r="X368">
            <v>0</v>
          </cell>
          <cell r="Y368" t="str">
            <v>CAD</v>
          </cell>
          <cell r="Z368">
            <v>70</v>
          </cell>
          <cell r="AA368">
            <v>0</v>
          </cell>
          <cell r="AB368">
            <v>0</v>
          </cell>
          <cell r="AC368">
            <v>0</v>
          </cell>
          <cell r="AD368">
            <v>45762</v>
          </cell>
          <cell r="AE368">
            <v>22</v>
          </cell>
          <cell r="AF368">
            <v>46022</v>
          </cell>
          <cell r="AG368">
            <v>39.049999999999997</v>
          </cell>
          <cell r="AH368">
            <v>0</v>
          </cell>
          <cell r="AI368">
            <v>39.049999999999997</v>
          </cell>
          <cell r="AJ368">
            <v>49.699999999999996</v>
          </cell>
          <cell r="AK368">
            <v>0</v>
          </cell>
          <cell r="AL368">
            <v>0</v>
          </cell>
          <cell r="AM368">
            <v>10.649999999999999</v>
          </cell>
          <cell r="AN368">
            <v>0</v>
          </cell>
          <cell r="AO368">
            <v>10.649999999999999</v>
          </cell>
          <cell r="AP368">
            <v>0</v>
          </cell>
          <cell r="AQ368">
            <v>10.649999999999999</v>
          </cell>
          <cell r="AR368" t="str">
            <v>CAD_1486</v>
          </cell>
          <cell r="AS368">
            <v>0</v>
          </cell>
          <cell r="AT368">
            <v>168</v>
          </cell>
          <cell r="AU368">
            <v>168</v>
          </cell>
          <cell r="AV368">
            <v>0</v>
          </cell>
          <cell r="AW368">
            <v>1789.1999999999998</v>
          </cell>
          <cell r="AX368">
            <v>1789.1999999999998</v>
          </cell>
          <cell r="AY368">
            <v>1789.1999999999998</v>
          </cell>
          <cell r="AZ368">
            <v>62.5</v>
          </cell>
          <cell r="BA368">
            <v>23.429999999999996</v>
          </cell>
          <cell r="BB368">
            <v>3936.2399999999993</v>
          </cell>
          <cell r="BD368">
            <v>1789.1999999999998</v>
          </cell>
          <cell r="BF368">
            <v>1789.1999999999998</v>
          </cell>
          <cell r="BG368">
            <v>11760</v>
          </cell>
          <cell r="BH368">
            <v>8349.5999999999985</v>
          </cell>
          <cell r="BI368">
            <v>6845.9160000000002</v>
          </cell>
          <cell r="BJ368">
            <v>0</v>
          </cell>
          <cell r="BK368">
            <v>0</v>
          </cell>
          <cell r="BL368">
            <v>0</v>
          </cell>
          <cell r="BM368">
            <v>6845.9160000000002</v>
          </cell>
          <cell r="BN368">
            <v>0</v>
          </cell>
          <cell r="BO368">
            <v>1503.6839999999984</v>
          </cell>
          <cell r="BP368" t="str">
            <v>Y</v>
          </cell>
          <cell r="BQ368">
            <v>2</v>
          </cell>
          <cell r="BR368" t="str">
            <v>Y</v>
          </cell>
          <cell r="BS368">
            <v>3936.2399999999993</v>
          </cell>
          <cell r="BT368" t="str">
            <v>Done</v>
          </cell>
          <cell r="BU368">
            <v>168</v>
          </cell>
          <cell r="BV368">
            <v>2024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Kashif Nabi</v>
          </cell>
          <cell r="E369" t="str">
            <v>Mohammad Tariq</v>
          </cell>
          <cell r="H369" t="str">
            <v>Ritik Arya</v>
          </cell>
          <cell r="K369">
            <v>0</v>
          </cell>
          <cell r="L369" t="str">
            <v>Old</v>
          </cell>
          <cell r="M369">
            <v>45538</v>
          </cell>
          <cell r="N369">
            <v>3</v>
          </cell>
          <cell r="O369">
            <v>508</v>
          </cell>
          <cell r="P369">
            <v>45821</v>
          </cell>
          <cell r="Q369">
            <v>45903</v>
          </cell>
          <cell r="R369" t="str">
            <v>PLC-3943</v>
          </cell>
          <cell r="S369" t="str">
            <v>Mohammad Akhtar</v>
          </cell>
          <cell r="T369" t="str">
            <v>Individual</v>
          </cell>
          <cell r="U369" t="str">
            <v>C2C</v>
          </cell>
          <cell r="V369" t="str">
            <v>Cigniti</v>
          </cell>
          <cell r="W369">
            <v>74</v>
          </cell>
          <cell r="X369">
            <v>0</v>
          </cell>
          <cell r="Y369" t="str">
            <v>CAD</v>
          </cell>
          <cell r="Z369">
            <v>80</v>
          </cell>
          <cell r="AA369">
            <v>0</v>
          </cell>
          <cell r="AB369">
            <v>0</v>
          </cell>
          <cell r="AC369">
            <v>0</v>
          </cell>
          <cell r="AD369">
            <v>45672</v>
          </cell>
          <cell r="AE369">
            <v>22</v>
          </cell>
          <cell r="AF369">
            <v>46022</v>
          </cell>
          <cell r="AG369">
            <v>52.54</v>
          </cell>
          <cell r="AH369">
            <v>0</v>
          </cell>
          <cell r="AI369">
            <v>52.54</v>
          </cell>
          <cell r="AJ369">
            <v>56.8</v>
          </cell>
          <cell r="AK369">
            <v>0</v>
          </cell>
          <cell r="AL369">
            <v>0</v>
          </cell>
          <cell r="AM369">
            <v>4.259999999999998</v>
          </cell>
          <cell r="AN369">
            <v>0</v>
          </cell>
          <cell r="AO369">
            <v>4.259999999999998</v>
          </cell>
          <cell r="AP369">
            <v>0</v>
          </cell>
          <cell r="AQ369">
            <v>4.259999999999998</v>
          </cell>
          <cell r="AR369" t="str">
            <v>CAD_1401</v>
          </cell>
          <cell r="AS369">
            <v>0</v>
          </cell>
          <cell r="AT369">
            <v>176</v>
          </cell>
          <cell r="AU369">
            <v>176</v>
          </cell>
          <cell r="AV369">
            <v>0</v>
          </cell>
          <cell r="AW369">
            <v>749.75999999999965</v>
          </cell>
          <cell r="AX369">
            <v>749.75999999999965</v>
          </cell>
          <cell r="AY369">
            <v>749.75999999999965</v>
          </cell>
          <cell r="AZ369">
            <v>50</v>
          </cell>
          <cell r="BA369">
            <v>6.8159999999999972</v>
          </cell>
          <cell r="BB369">
            <v>1199.6159999999995</v>
          </cell>
          <cell r="BD369">
            <v>749.75999999999965</v>
          </cell>
          <cell r="BF369">
            <v>749.75999999999965</v>
          </cell>
          <cell r="BG369">
            <v>14080</v>
          </cell>
          <cell r="BH369">
            <v>9996.7999999999993</v>
          </cell>
          <cell r="BI369">
            <v>9649.4815999999992</v>
          </cell>
          <cell r="BJ369">
            <v>0</v>
          </cell>
          <cell r="BK369">
            <v>0</v>
          </cell>
          <cell r="BL369">
            <v>0</v>
          </cell>
          <cell r="BM369">
            <v>9649.4815999999992</v>
          </cell>
          <cell r="BN369">
            <v>0</v>
          </cell>
          <cell r="BO369">
            <v>347.31840000000011</v>
          </cell>
          <cell r="BP369" t="str">
            <v>Y</v>
          </cell>
          <cell r="BQ369">
            <v>1</v>
          </cell>
          <cell r="BR369" t="str">
            <v>Y</v>
          </cell>
          <cell r="BS369">
            <v>1199.6159999999995</v>
          </cell>
          <cell r="BT369" t="str">
            <v>Done</v>
          </cell>
          <cell r="BU369">
            <v>176</v>
          </cell>
          <cell r="BV369">
            <v>2024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E370" t="str">
            <v>Mohammad Tariq</v>
          </cell>
          <cell r="H370" t="str">
            <v>Ritik Arya</v>
          </cell>
          <cell r="K370">
            <v>0</v>
          </cell>
          <cell r="L370" t="str">
            <v>Old</v>
          </cell>
          <cell r="M370">
            <v>45538</v>
          </cell>
          <cell r="N370">
            <v>3</v>
          </cell>
          <cell r="O370">
            <v>508</v>
          </cell>
          <cell r="P370">
            <v>45821</v>
          </cell>
          <cell r="Q370">
            <v>45903</v>
          </cell>
          <cell r="R370" t="str">
            <v>PLC-3943</v>
          </cell>
          <cell r="S370" t="str">
            <v>Mohammad Akhtar</v>
          </cell>
          <cell r="T370" t="str">
            <v>Individual</v>
          </cell>
          <cell r="U370" t="str">
            <v>C2C</v>
          </cell>
          <cell r="V370" t="str">
            <v>Cigniti</v>
          </cell>
          <cell r="W370">
            <v>74</v>
          </cell>
          <cell r="X370">
            <v>0</v>
          </cell>
          <cell r="Y370" t="str">
            <v>CAD</v>
          </cell>
          <cell r="Z370">
            <v>80</v>
          </cell>
          <cell r="AA370">
            <v>0</v>
          </cell>
          <cell r="AB370">
            <v>0</v>
          </cell>
          <cell r="AC370">
            <v>0</v>
          </cell>
          <cell r="AD370">
            <v>45703</v>
          </cell>
          <cell r="AE370">
            <v>20</v>
          </cell>
          <cell r="AF370">
            <v>46022</v>
          </cell>
          <cell r="AG370">
            <v>52.54</v>
          </cell>
          <cell r="AH370">
            <v>0</v>
          </cell>
          <cell r="AI370">
            <v>52.54</v>
          </cell>
          <cell r="AJ370">
            <v>56.8</v>
          </cell>
          <cell r="AK370">
            <v>0</v>
          </cell>
          <cell r="AL370">
            <v>0</v>
          </cell>
          <cell r="AM370">
            <v>4.259999999999998</v>
          </cell>
          <cell r="AN370">
            <v>0</v>
          </cell>
          <cell r="AO370">
            <v>4.259999999999998</v>
          </cell>
          <cell r="AP370">
            <v>0</v>
          </cell>
          <cell r="AQ370">
            <v>4.259999999999998</v>
          </cell>
          <cell r="AR370" t="str">
            <v>CAD_1427</v>
          </cell>
          <cell r="AS370">
            <v>0</v>
          </cell>
          <cell r="AT370">
            <v>152</v>
          </cell>
          <cell r="AU370">
            <v>152</v>
          </cell>
          <cell r="AV370">
            <v>0</v>
          </cell>
          <cell r="AW370">
            <v>647.51999999999975</v>
          </cell>
          <cell r="AX370">
            <v>647.51999999999975</v>
          </cell>
          <cell r="AY370">
            <v>647.51999999999975</v>
          </cell>
          <cell r="AZ370">
            <v>50</v>
          </cell>
          <cell r="BA370">
            <v>6.8159999999999972</v>
          </cell>
          <cell r="BB370">
            <v>1036.0319999999995</v>
          </cell>
          <cell r="BD370">
            <v>647.51999999999975</v>
          </cell>
          <cell r="BF370">
            <v>647.51999999999975</v>
          </cell>
          <cell r="BG370">
            <v>12160</v>
          </cell>
          <cell r="BH370">
            <v>8633.6</v>
          </cell>
          <cell r="BI370">
            <v>8333.6432000000004</v>
          </cell>
          <cell r="BJ370">
            <v>0</v>
          </cell>
          <cell r="BK370">
            <v>0</v>
          </cell>
          <cell r="BL370">
            <v>0</v>
          </cell>
          <cell r="BM370">
            <v>8333.6432000000004</v>
          </cell>
          <cell r="BN370">
            <v>0</v>
          </cell>
          <cell r="BO370">
            <v>299.95679999999993</v>
          </cell>
          <cell r="BP370" t="str">
            <v>Y</v>
          </cell>
          <cell r="BQ370">
            <v>1</v>
          </cell>
          <cell r="BR370" t="str">
            <v>Y</v>
          </cell>
          <cell r="BS370">
            <v>1036.0319999999995</v>
          </cell>
          <cell r="BT370" t="str">
            <v>Done</v>
          </cell>
          <cell r="BU370">
            <v>152</v>
          </cell>
          <cell r="BV370">
            <v>2024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E371" t="str">
            <v>Mohammad Tariq</v>
          </cell>
          <cell r="H371" t="str">
            <v>Ritik Arya</v>
          </cell>
          <cell r="K371">
            <v>0</v>
          </cell>
          <cell r="L371" t="str">
            <v>Old</v>
          </cell>
          <cell r="M371">
            <v>45538</v>
          </cell>
          <cell r="N371">
            <v>3</v>
          </cell>
          <cell r="O371">
            <v>508</v>
          </cell>
          <cell r="P371">
            <v>45821</v>
          </cell>
          <cell r="Q371">
            <v>45903</v>
          </cell>
          <cell r="R371" t="str">
            <v>PLC-3943</v>
          </cell>
          <cell r="S371" t="str">
            <v>Mohammad Akhtar</v>
          </cell>
          <cell r="T371" t="str">
            <v>Individual</v>
          </cell>
          <cell r="U371" t="str">
            <v>C2C</v>
          </cell>
          <cell r="V371" t="str">
            <v>Cigniti</v>
          </cell>
          <cell r="W371">
            <v>74</v>
          </cell>
          <cell r="X371">
            <v>0</v>
          </cell>
          <cell r="Y371" t="str">
            <v>CAD</v>
          </cell>
          <cell r="Z371">
            <v>80</v>
          </cell>
          <cell r="AA371">
            <v>0</v>
          </cell>
          <cell r="AB371">
            <v>0</v>
          </cell>
          <cell r="AC371">
            <v>0</v>
          </cell>
          <cell r="AD371">
            <v>45731</v>
          </cell>
          <cell r="AE371">
            <v>21</v>
          </cell>
          <cell r="AF371">
            <v>46022</v>
          </cell>
          <cell r="AG371">
            <v>52.54</v>
          </cell>
          <cell r="AH371">
            <v>0</v>
          </cell>
          <cell r="AI371">
            <v>52.54</v>
          </cell>
          <cell r="AJ371">
            <v>56.8</v>
          </cell>
          <cell r="AK371">
            <v>0</v>
          </cell>
          <cell r="AL371">
            <v>0</v>
          </cell>
          <cell r="AM371">
            <v>4.259999999999998</v>
          </cell>
          <cell r="AN371">
            <v>0</v>
          </cell>
          <cell r="AO371">
            <v>4.259999999999998</v>
          </cell>
          <cell r="AP371">
            <v>0</v>
          </cell>
          <cell r="AQ371">
            <v>4.259999999999998</v>
          </cell>
          <cell r="AR371" t="str">
            <v>CAD_1452</v>
          </cell>
          <cell r="AS371">
            <v>0</v>
          </cell>
          <cell r="AT371">
            <v>168</v>
          </cell>
          <cell r="AU371">
            <v>168</v>
          </cell>
          <cell r="AV371">
            <v>0</v>
          </cell>
          <cell r="AW371">
            <v>715.67999999999961</v>
          </cell>
          <cell r="AX371">
            <v>715.67999999999961</v>
          </cell>
          <cell r="AY371">
            <v>715.67999999999961</v>
          </cell>
          <cell r="AZ371">
            <v>50</v>
          </cell>
          <cell r="BA371">
            <v>6.8159999999999972</v>
          </cell>
          <cell r="BB371">
            <v>1145.0879999999995</v>
          </cell>
          <cell r="BD371">
            <v>715.67999999999961</v>
          </cell>
          <cell r="BF371">
            <v>715.67999999999961</v>
          </cell>
          <cell r="BG371">
            <v>13440</v>
          </cell>
          <cell r="BH371">
            <v>9542.4</v>
          </cell>
          <cell r="BI371">
            <v>9210.8688000000002</v>
          </cell>
          <cell r="BJ371">
            <v>0</v>
          </cell>
          <cell r="BK371">
            <v>0</v>
          </cell>
          <cell r="BL371">
            <v>0</v>
          </cell>
          <cell r="BM371">
            <v>9210.8688000000002</v>
          </cell>
          <cell r="BN371">
            <v>0</v>
          </cell>
          <cell r="BO371">
            <v>331.53119999999944</v>
          </cell>
          <cell r="BP371" t="str">
            <v>Y</v>
          </cell>
          <cell r="BQ371">
            <v>1</v>
          </cell>
          <cell r="BR371" t="str">
            <v>Y</v>
          </cell>
          <cell r="BS371">
            <v>1145.0879999999995</v>
          </cell>
          <cell r="BT371" t="str">
            <v>Done</v>
          </cell>
          <cell r="BU371">
            <v>168</v>
          </cell>
          <cell r="BV371">
            <v>2024</v>
          </cell>
        </row>
        <row r="372">
          <cell r="A372" t="str">
            <v>Lucknow</v>
          </cell>
          <cell r="B372" t="str">
            <v>Mavericks</v>
          </cell>
          <cell r="C372" t="str">
            <v>Mid Level</v>
          </cell>
          <cell r="D372" t="str">
            <v>Kashif Nabi</v>
          </cell>
          <cell r="E372" t="str">
            <v>Mohammad Tariq</v>
          </cell>
          <cell r="H372" t="str">
            <v>Ritik Arya</v>
          </cell>
          <cell r="K372">
            <v>0</v>
          </cell>
          <cell r="L372" t="str">
            <v>Old</v>
          </cell>
          <cell r="M372">
            <v>45538</v>
          </cell>
          <cell r="N372">
            <v>3</v>
          </cell>
          <cell r="O372">
            <v>508</v>
          </cell>
          <cell r="P372">
            <v>45821</v>
          </cell>
          <cell r="Q372">
            <v>45903</v>
          </cell>
          <cell r="R372" t="str">
            <v>PLC-3943</v>
          </cell>
          <cell r="S372" t="str">
            <v>Mohammad Akhtar</v>
          </cell>
          <cell r="T372" t="str">
            <v>Individual</v>
          </cell>
          <cell r="U372" t="str">
            <v>C2C</v>
          </cell>
          <cell r="V372" t="str">
            <v>Cigniti</v>
          </cell>
          <cell r="W372">
            <v>74</v>
          </cell>
          <cell r="X372">
            <v>0</v>
          </cell>
          <cell r="Y372" t="str">
            <v>CAD</v>
          </cell>
          <cell r="Z372">
            <v>80</v>
          </cell>
          <cell r="AA372">
            <v>0</v>
          </cell>
          <cell r="AB372">
            <v>0</v>
          </cell>
          <cell r="AC372">
            <v>0</v>
          </cell>
          <cell r="AD372">
            <v>45762</v>
          </cell>
          <cell r="AE372">
            <v>22</v>
          </cell>
          <cell r="AF372">
            <v>46022</v>
          </cell>
          <cell r="AG372">
            <v>52.54</v>
          </cell>
          <cell r="AH372">
            <v>0</v>
          </cell>
          <cell r="AI372">
            <v>52.54</v>
          </cell>
          <cell r="AJ372">
            <v>56.8</v>
          </cell>
          <cell r="AK372">
            <v>0</v>
          </cell>
          <cell r="AL372">
            <v>0</v>
          </cell>
          <cell r="AM372">
            <v>4.259999999999998</v>
          </cell>
          <cell r="AN372">
            <v>0</v>
          </cell>
          <cell r="AO372">
            <v>4.259999999999998</v>
          </cell>
          <cell r="AP372">
            <v>0</v>
          </cell>
          <cell r="AQ372">
            <v>4.259999999999998</v>
          </cell>
          <cell r="AR372" t="str">
            <v>CAD_1478</v>
          </cell>
          <cell r="AS372">
            <v>0</v>
          </cell>
          <cell r="AT372">
            <v>112</v>
          </cell>
          <cell r="AU372">
            <v>112</v>
          </cell>
          <cell r="AV372">
            <v>0</v>
          </cell>
          <cell r="AW372">
            <v>477.11999999999978</v>
          </cell>
          <cell r="AX372">
            <v>477.11999999999978</v>
          </cell>
          <cell r="AY372">
            <v>477.11999999999978</v>
          </cell>
          <cell r="AZ372">
            <v>50</v>
          </cell>
          <cell r="BA372">
            <v>6.8159999999999972</v>
          </cell>
          <cell r="BB372">
            <v>763.39199999999971</v>
          </cell>
          <cell r="BD372">
            <v>477.11999999999978</v>
          </cell>
          <cell r="BF372">
            <v>477.11999999999978</v>
          </cell>
          <cell r="BG372">
            <v>8960</v>
          </cell>
          <cell r="BH372">
            <v>6361.5999999999995</v>
          </cell>
          <cell r="BI372">
            <v>6140.5792000000001</v>
          </cell>
          <cell r="BJ372">
            <v>0</v>
          </cell>
          <cell r="BK372">
            <v>0</v>
          </cell>
          <cell r="BL372">
            <v>0</v>
          </cell>
          <cell r="BM372">
            <v>6140.5792000000001</v>
          </cell>
          <cell r="BN372">
            <v>0</v>
          </cell>
          <cell r="BO372">
            <v>221.02079999999933</v>
          </cell>
          <cell r="BP372" t="str">
            <v>Y</v>
          </cell>
          <cell r="BQ372">
            <v>2</v>
          </cell>
          <cell r="BR372" t="str">
            <v>N</v>
          </cell>
          <cell r="BS372">
            <v>763.39199999999971</v>
          </cell>
          <cell r="BT372" t="str">
            <v>Done</v>
          </cell>
          <cell r="BU372">
            <v>112</v>
          </cell>
          <cell r="BV372">
            <v>2024</v>
          </cell>
        </row>
        <row r="373">
          <cell r="A373" t="str">
            <v>Lucknow</v>
          </cell>
          <cell r="B373" t="str">
            <v>Titans</v>
          </cell>
          <cell r="C373" t="str">
            <v>Mid Level</v>
          </cell>
          <cell r="D373" t="str">
            <v>Aditya Yadav</v>
          </cell>
          <cell r="E373" t="str">
            <v>Aditya Yadav</v>
          </cell>
          <cell r="H373" t="str">
            <v>Aditya Yadav</v>
          </cell>
          <cell r="K373">
            <v>0</v>
          </cell>
          <cell r="L373" t="str">
            <v>Old</v>
          </cell>
          <cell r="M373">
            <v>45593</v>
          </cell>
          <cell r="N373">
            <v>4</v>
          </cell>
          <cell r="O373">
            <v>453</v>
          </cell>
          <cell r="P373">
            <v>45723</v>
          </cell>
          <cell r="Q373">
            <v>45958</v>
          </cell>
          <cell r="R373" t="str">
            <v>PLC-4036</v>
          </cell>
          <cell r="S373" t="str">
            <v>Mohammad Makadmeh</v>
          </cell>
          <cell r="T373" t="str">
            <v>Individual</v>
          </cell>
          <cell r="U373" t="str">
            <v>W2</v>
          </cell>
          <cell r="V373" t="str">
            <v>Cyient</v>
          </cell>
          <cell r="W373">
            <v>55</v>
          </cell>
          <cell r="X373">
            <v>0</v>
          </cell>
          <cell r="Y373" t="str">
            <v>USD</v>
          </cell>
          <cell r="Z373">
            <v>70</v>
          </cell>
          <cell r="AA373">
            <v>0</v>
          </cell>
          <cell r="AB373">
            <v>0</v>
          </cell>
          <cell r="AC373">
            <v>0</v>
          </cell>
          <cell r="AD373">
            <v>45672</v>
          </cell>
          <cell r="AE373">
            <v>22</v>
          </cell>
          <cell r="AF373">
            <v>46022</v>
          </cell>
          <cell r="AG373">
            <v>63.249999999999993</v>
          </cell>
          <cell r="AH373">
            <v>0</v>
          </cell>
          <cell r="AI373">
            <v>63.249999999999993</v>
          </cell>
          <cell r="AJ373">
            <v>70</v>
          </cell>
          <cell r="AK373">
            <v>0</v>
          </cell>
          <cell r="AL373">
            <v>0</v>
          </cell>
          <cell r="AM373">
            <v>6.7500000000000071</v>
          </cell>
          <cell r="AN373">
            <v>0</v>
          </cell>
          <cell r="AO373">
            <v>6.7500000000000071</v>
          </cell>
          <cell r="AP373">
            <v>0</v>
          </cell>
          <cell r="AQ373">
            <v>6.7500000000000071</v>
          </cell>
          <cell r="AR373" t="str">
            <v>US_24293</v>
          </cell>
          <cell r="AS373">
            <v>0</v>
          </cell>
          <cell r="AT373">
            <v>176</v>
          </cell>
          <cell r="AU373">
            <v>176</v>
          </cell>
          <cell r="AV373">
            <v>0</v>
          </cell>
          <cell r="AW373">
            <v>1188.0000000000014</v>
          </cell>
          <cell r="AX373">
            <v>1188.0000000000014</v>
          </cell>
          <cell r="AY373">
            <v>1188.0000000000014</v>
          </cell>
          <cell r="AZ373">
            <v>33.333333333333329</v>
          </cell>
          <cell r="BA373">
            <v>10.800000000000011</v>
          </cell>
          <cell r="BB373">
            <v>1900.800000000002</v>
          </cell>
          <cell r="BC373">
            <v>46.666666666666664</v>
          </cell>
          <cell r="BD373">
            <v>1188.0000000000014</v>
          </cell>
          <cell r="BE373">
            <v>950.40000000000111</v>
          </cell>
          <cell r="BF373">
            <v>1188.0000000000014</v>
          </cell>
          <cell r="BG373">
            <v>12320</v>
          </cell>
          <cell r="BH373">
            <v>12320</v>
          </cell>
          <cell r="BI373">
            <v>9680</v>
          </cell>
          <cell r="BJ373">
            <v>8.25</v>
          </cell>
          <cell r="BK373">
            <v>0</v>
          </cell>
          <cell r="BL373">
            <v>1452</v>
          </cell>
          <cell r="BM373">
            <v>11132</v>
          </cell>
          <cell r="BN373">
            <v>8.25</v>
          </cell>
          <cell r="BO373">
            <v>1188</v>
          </cell>
          <cell r="BP373" t="str">
            <v>Y</v>
          </cell>
          <cell r="BQ373">
            <v>1</v>
          </cell>
          <cell r="BR373" t="str">
            <v>N</v>
          </cell>
          <cell r="BS373">
            <v>1900.800000000002</v>
          </cell>
          <cell r="BT373" t="str">
            <v>Done</v>
          </cell>
          <cell r="BU373">
            <v>176</v>
          </cell>
          <cell r="BV373">
            <v>2024</v>
          </cell>
        </row>
        <row r="374">
          <cell r="A374" t="str">
            <v>Lucknow</v>
          </cell>
          <cell r="B374" t="str">
            <v>Titans</v>
          </cell>
          <cell r="C374" t="str">
            <v>Mid Level</v>
          </cell>
          <cell r="D374" t="str">
            <v>Aditya Yadav</v>
          </cell>
          <cell r="E374" t="str">
            <v>Aditya Yadav</v>
          </cell>
          <cell r="H374" t="str">
            <v>Aditya Yadav</v>
          </cell>
          <cell r="K374">
            <v>0</v>
          </cell>
          <cell r="L374" t="str">
            <v>Old</v>
          </cell>
          <cell r="M374">
            <v>45593</v>
          </cell>
          <cell r="N374">
            <v>4</v>
          </cell>
          <cell r="O374">
            <v>453</v>
          </cell>
          <cell r="P374">
            <v>45723</v>
          </cell>
          <cell r="Q374">
            <v>45958</v>
          </cell>
          <cell r="R374" t="str">
            <v>PLC-4036</v>
          </cell>
          <cell r="S374" t="str">
            <v>Mohammad Makadmeh</v>
          </cell>
          <cell r="T374" t="str">
            <v>Individual</v>
          </cell>
          <cell r="U374" t="str">
            <v>W2</v>
          </cell>
          <cell r="V374" t="str">
            <v>Cyient</v>
          </cell>
          <cell r="W374">
            <v>55</v>
          </cell>
          <cell r="X374">
            <v>0</v>
          </cell>
          <cell r="Y374" t="str">
            <v>USD</v>
          </cell>
          <cell r="Z374">
            <v>70</v>
          </cell>
          <cell r="AA374">
            <v>0</v>
          </cell>
          <cell r="AB374">
            <v>0</v>
          </cell>
          <cell r="AC374">
            <v>0</v>
          </cell>
          <cell r="AD374">
            <v>45703</v>
          </cell>
          <cell r="AE374">
            <v>20</v>
          </cell>
          <cell r="AF374">
            <v>46022</v>
          </cell>
          <cell r="AG374">
            <v>63.249999999999993</v>
          </cell>
          <cell r="AH374">
            <v>0</v>
          </cell>
          <cell r="AI374">
            <v>63.249999999999993</v>
          </cell>
          <cell r="AJ374">
            <v>70</v>
          </cell>
          <cell r="AK374">
            <v>0</v>
          </cell>
          <cell r="AL374">
            <v>0</v>
          </cell>
          <cell r="AM374">
            <v>6.7500000000000071</v>
          </cell>
          <cell r="AN374">
            <v>0</v>
          </cell>
          <cell r="AO374">
            <v>6.7500000000000071</v>
          </cell>
          <cell r="AP374">
            <v>0</v>
          </cell>
          <cell r="AQ374">
            <v>6.7500000000000071</v>
          </cell>
          <cell r="AR374" t="str">
            <v>US_24492</v>
          </cell>
          <cell r="AS374">
            <v>0</v>
          </cell>
          <cell r="AT374">
            <v>160</v>
          </cell>
          <cell r="AU374">
            <v>160</v>
          </cell>
          <cell r="AV374">
            <v>0</v>
          </cell>
          <cell r="AW374">
            <v>1080.0000000000011</v>
          </cell>
          <cell r="AX374">
            <v>1080.0000000000011</v>
          </cell>
          <cell r="AY374">
            <v>1080.0000000000011</v>
          </cell>
          <cell r="AZ374">
            <v>33.333333333333329</v>
          </cell>
          <cell r="BA374">
            <v>10.800000000000011</v>
          </cell>
          <cell r="BB374">
            <v>1728.0000000000018</v>
          </cell>
          <cell r="BC374">
            <v>46.666666666666664</v>
          </cell>
          <cell r="BD374">
            <v>1080.0000000000011</v>
          </cell>
          <cell r="BE374">
            <v>864.00000000000091</v>
          </cell>
          <cell r="BF374">
            <v>1080.0000000000011</v>
          </cell>
          <cell r="BG374">
            <v>11200</v>
          </cell>
          <cell r="BH374">
            <v>11200</v>
          </cell>
          <cell r="BI374">
            <v>8800</v>
          </cell>
          <cell r="BJ374">
            <v>8.25</v>
          </cell>
          <cell r="BK374">
            <v>0</v>
          </cell>
          <cell r="BL374">
            <v>1320</v>
          </cell>
          <cell r="BM374">
            <v>10120</v>
          </cell>
          <cell r="BN374">
            <v>8.25</v>
          </cell>
          <cell r="BO374">
            <v>1080</v>
          </cell>
          <cell r="BP374" t="str">
            <v>Y</v>
          </cell>
          <cell r="BQ374">
            <v>1</v>
          </cell>
          <cell r="BR374" t="str">
            <v>N</v>
          </cell>
          <cell r="BS374">
            <v>1728.0000000000018</v>
          </cell>
          <cell r="BT374" t="str">
            <v>Done</v>
          </cell>
          <cell r="BU374">
            <v>160</v>
          </cell>
          <cell r="BV374">
            <v>2024</v>
          </cell>
        </row>
        <row r="375">
          <cell r="A375" t="str">
            <v>Lucknow</v>
          </cell>
          <cell r="B375" t="str">
            <v>Titans</v>
          </cell>
          <cell r="C375" t="str">
            <v>Mid Level</v>
          </cell>
          <cell r="D375" t="str">
            <v>Aditya Yadav</v>
          </cell>
          <cell r="E375" t="str">
            <v>Aditya Yadav</v>
          </cell>
          <cell r="H375" t="str">
            <v>Aditya Yadav</v>
          </cell>
          <cell r="K375">
            <v>0</v>
          </cell>
          <cell r="L375" t="str">
            <v>Old</v>
          </cell>
          <cell r="M375">
            <v>45593</v>
          </cell>
          <cell r="N375">
            <v>4</v>
          </cell>
          <cell r="O375">
            <v>453</v>
          </cell>
          <cell r="P375">
            <v>45723</v>
          </cell>
          <cell r="Q375">
            <v>45958</v>
          </cell>
          <cell r="R375" t="str">
            <v>PLC-4036</v>
          </cell>
          <cell r="S375" t="str">
            <v>Mohammad Makadmeh</v>
          </cell>
          <cell r="T375" t="str">
            <v>Individual</v>
          </cell>
          <cell r="U375" t="str">
            <v>W2</v>
          </cell>
          <cell r="V375" t="str">
            <v>Cyient</v>
          </cell>
          <cell r="W375">
            <v>55</v>
          </cell>
          <cell r="X375">
            <v>0</v>
          </cell>
          <cell r="Y375" t="str">
            <v>USD</v>
          </cell>
          <cell r="Z375">
            <v>70</v>
          </cell>
          <cell r="AA375">
            <v>0</v>
          </cell>
          <cell r="AB375">
            <v>0</v>
          </cell>
          <cell r="AC375">
            <v>0</v>
          </cell>
          <cell r="AD375">
            <v>45731</v>
          </cell>
          <cell r="AE375">
            <v>5</v>
          </cell>
          <cell r="AF375">
            <v>46022</v>
          </cell>
          <cell r="AG375">
            <v>63.249999999999993</v>
          </cell>
          <cell r="AH375">
            <v>0</v>
          </cell>
          <cell r="AI375">
            <v>63.249999999999993</v>
          </cell>
          <cell r="AJ375">
            <v>70</v>
          </cell>
          <cell r="AK375">
            <v>0</v>
          </cell>
          <cell r="AL375">
            <v>0</v>
          </cell>
          <cell r="AM375">
            <v>6.7500000000000071</v>
          </cell>
          <cell r="AN375">
            <v>0</v>
          </cell>
          <cell r="AO375">
            <v>6.7500000000000071</v>
          </cell>
          <cell r="AP375">
            <v>0</v>
          </cell>
          <cell r="AQ375">
            <v>6.7500000000000071</v>
          </cell>
          <cell r="AR375" t="str">
            <v>US_24678</v>
          </cell>
          <cell r="AS375">
            <v>0</v>
          </cell>
          <cell r="AT375">
            <v>40</v>
          </cell>
          <cell r="AU375">
            <v>40</v>
          </cell>
          <cell r="AV375">
            <v>0</v>
          </cell>
          <cell r="AW375">
            <v>270.00000000000028</v>
          </cell>
          <cell r="AX375">
            <v>270.00000000000028</v>
          </cell>
          <cell r="AY375">
            <v>270.00000000000028</v>
          </cell>
          <cell r="AZ375">
            <v>33.333333333333329</v>
          </cell>
          <cell r="BA375">
            <v>10.800000000000011</v>
          </cell>
          <cell r="BB375">
            <v>432.00000000000045</v>
          </cell>
          <cell r="BC375">
            <v>46.666666666666664</v>
          </cell>
          <cell r="BD375">
            <v>270.00000000000028</v>
          </cell>
          <cell r="BE375">
            <v>216.00000000000023</v>
          </cell>
          <cell r="BF375">
            <v>270.00000000000028</v>
          </cell>
          <cell r="BG375">
            <v>2800</v>
          </cell>
          <cell r="BH375">
            <v>2800</v>
          </cell>
          <cell r="BI375">
            <v>2200</v>
          </cell>
          <cell r="BJ375">
            <v>8.25</v>
          </cell>
          <cell r="BK375">
            <v>0</v>
          </cell>
          <cell r="BL375">
            <v>330</v>
          </cell>
          <cell r="BM375">
            <v>2530</v>
          </cell>
          <cell r="BN375">
            <v>8.25</v>
          </cell>
          <cell r="BO375">
            <v>270</v>
          </cell>
          <cell r="BP375" t="str">
            <v>Y</v>
          </cell>
          <cell r="BQ375">
            <v>1</v>
          </cell>
          <cell r="BR375" t="str">
            <v>N</v>
          </cell>
          <cell r="BS375">
            <v>432.00000000000045</v>
          </cell>
          <cell r="BT375" t="str">
            <v>Done</v>
          </cell>
          <cell r="BU375">
            <v>40</v>
          </cell>
          <cell r="BV375">
            <v>2024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E376" t="str">
            <v>Nitin Saxena</v>
          </cell>
          <cell r="H376" t="str">
            <v>Samad Quraishi</v>
          </cell>
          <cell r="K376">
            <v>0</v>
          </cell>
          <cell r="L376" t="str">
            <v>Old</v>
          </cell>
          <cell r="M376">
            <v>45572</v>
          </cell>
          <cell r="N376">
            <v>4</v>
          </cell>
          <cell r="O376">
            <v>474</v>
          </cell>
          <cell r="P376">
            <v>45893</v>
          </cell>
          <cell r="Q376">
            <v>45937</v>
          </cell>
          <cell r="R376" t="str">
            <v>PLC-4008</v>
          </cell>
          <cell r="S376" t="str">
            <v>Mohammed Abdul Mubdi</v>
          </cell>
          <cell r="T376" t="str">
            <v>Individual</v>
          </cell>
          <cell r="U376" t="str">
            <v>C2C</v>
          </cell>
          <cell r="V376" t="str">
            <v>Genpact</v>
          </cell>
          <cell r="W376">
            <v>65</v>
          </cell>
          <cell r="X376">
            <v>0</v>
          </cell>
          <cell r="Y376" t="str">
            <v>CAD</v>
          </cell>
          <cell r="Z376">
            <v>75</v>
          </cell>
          <cell r="AA376">
            <v>0</v>
          </cell>
          <cell r="AB376">
            <v>0</v>
          </cell>
          <cell r="AC376">
            <v>0</v>
          </cell>
          <cell r="AD376">
            <v>45672</v>
          </cell>
          <cell r="AE376">
            <v>22</v>
          </cell>
          <cell r="AF376">
            <v>46022</v>
          </cell>
          <cell r="AG376">
            <v>46.15</v>
          </cell>
          <cell r="AH376">
            <v>0</v>
          </cell>
          <cell r="AI376">
            <v>46.15</v>
          </cell>
          <cell r="AJ376">
            <v>53.25</v>
          </cell>
          <cell r="AK376">
            <v>0</v>
          </cell>
          <cell r="AL376">
            <v>0</v>
          </cell>
          <cell r="AM376">
            <v>7.1000000000000014</v>
          </cell>
          <cell r="AN376">
            <v>0</v>
          </cell>
          <cell r="AO376">
            <v>7.1000000000000014</v>
          </cell>
          <cell r="AP376">
            <v>0</v>
          </cell>
          <cell r="AQ376">
            <v>7.1000000000000014</v>
          </cell>
          <cell r="AR376" t="str">
            <v>CAD_1410</v>
          </cell>
          <cell r="AS376">
            <v>0</v>
          </cell>
          <cell r="AT376">
            <v>176</v>
          </cell>
          <cell r="AU376">
            <v>176</v>
          </cell>
          <cell r="AV376">
            <v>0</v>
          </cell>
          <cell r="AW376">
            <v>1249.6000000000004</v>
          </cell>
          <cell r="AX376">
            <v>1249.6000000000004</v>
          </cell>
          <cell r="AY376">
            <v>1249.6000000000004</v>
          </cell>
          <cell r="AZ376">
            <v>100</v>
          </cell>
          <cell r="BA376">
            <v>24.140000000000004</v>
          </cell>
          <cell r="BB376">
            <v>4248.6400000000003</v>
          </cell>
          <cell r="BC376">
            <v>63</v>
          </cell>
          <cell r="BD376">
            <v>1249.6000000000004</v>
          </cell>
          <cell r="BE376">
            <v>1499.5200000000007</v>
          </cell>
          <cell r="BF376">
            <v>1249.6000000000004</v>
          </cell>
          <cell r="BG376">
            <v>13200</v>
          </cell>
          <cell r="BH376">
            <v>9372</v>
          </cell>
          <cell r="BI376">
            <v>8475.8960000000006</v>
          </cell>
          <cell r="BJ376">
            <v>0</v>
          </cell>
          <cell r="BK376">
            <v>0</v>
          </cell>
          <cell r="BL376">
            <v>0</v>
          </cell>
          <cell r="BM376">
            <v>8475.8960000000006</v>
          </cell>
          <cell r="BN376">
            <v>0</v>
          </cell>
          <cell r="BO376">
            <v>896.10399999999936</v>
          </cell>
          <cell r="BP376" t="str">
            <v>Y</v>
          </cell>
          <cell r="BQ376">
            <v>1</v>
          </cell>
          <cell r="BR376" t="str">
            <v>Y</v>
          </cell>
          <cell r="BS376">
            <v>4248.6400000000003</v>
          </cell>
          <cell r="BT376" t="str">
            <v>Done</v>
          </cell>
          <cell r="BU376">
            <v>176</v>
          </cell>
          <cell r="BV376">
            <v>2024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Nitin Saxena</v>
          </cell>
          <cell r="E377" t="str">
            <v>Nitin Saxena</v>
          </cell>
          <cell r="H377" t="str">
            <v>Samad Quraishi</v>
          </cell>
          <cell r="K377">
            <v>0</v>
          </cell>
          <cell r="L377" t="str">
            <v>Old</v>
          </cell>
          <cell r="M377">
            <v>45572</v>
          </cell>
          <cell r="N377">
            <v>4</v>
          </cell>
          <cell r="O377">
            <v>474</v>
          </cell>
          <cell r="P377">
            <v>45893</v>
          </cell>
          <cell r="Q377">
            <v>45937</v>
          </cell>
          <cell r="R377" t="str">
            <v>PLC-4008</v>
          </cell>
          <cell r="S377" t="str">
            <v>Mohammed Abdul Mubdi</v>
          </cell>
          <cell r="T377" t="str">
            <v>Individual</v>
          </cell>
          <cell r="U377" t="str">
            <v>C2C</v>
          </cell>
          <cell r="V377" t="str">
            <v>Genpact</v>
          </cell>
          <cell r="W377">
            <v>65</v>
          </cell>
          <cell r="X377">
            <v>0</v>
          </cell>
          <cell r="Y377" t="str">
            <v>CAD</v>
          </cell>
          <cell r="Z377">
            <v>75</v>
          </cell>
          <cell r="AA377">
            <v>0</v>
          </cell>
          <cell r="AB377">
            <v>0</v>
          </cell>
          <cell r="AC377">
            <v>0</v>
          </cell>
          <cell r="AD377">
            <v>45703</v>
          </cell>
          <cell r="AE377">
            <v>20</v>
          </cell>
          <cell r="AF377">
            <v>46022</v>
          </cell>
          <cell r="AG377">
            <v>46.15</v>
          </cell>
          <cell r="AH377">
            <v>0</v>
          </cell>
          <cell r="AI377">
            <v>46.15</v>
          </cell>
          <cell r="AJ377">
            <v>53.25</v>
          </cell>
          <cell r="AK377">
            <v>0</v>
          </cell>
          <cell r="AL377">
            <v>0</v>
          </cell>
          <cell r="AM377">
            <v>7.1000000000000014</v>
          </cell>
          <cell r="AN377">
            <v>0</v>
          </cell>
          <cell r="AO377">
            <v>7.1000000000000014</v>
          </cell>
          <cell r="AP377">
            <v>0</v>
          </cell>
          <cell r="AQ377">
            <v>7.1000000000000014</v>
          </cell>
          <cell r="AR377" t="str">
            <v>CAD_1435</v>
          </cell>
          <cell r="AS377">
            <v>0</v>
          </cell>
          <cell r="AT377">
            <v>152</v>
          </cell>
          <cell r="AU377">
            <v>152</v>
          </cell>
          <cell r="AV377">
            <v>0</v>
          </cell>
          <cell r="AW377">
            <v>1079.2000000000003</v>
          </cell>
          <cell r="AX377">
            <v>1079.2000000000003</v>
          </cell>
          <cell r="AY377">
            <v>1079.2000000000003</v>
          </cell>
          <cell r="AZ377">
            <v>100</v>
          </cell>
          <cell r="BA377">
            <v>24.140000000000004</v>
          </cell>
          <cell r="BB377">
            <v>3669.2800000000007</v>
          </cell>
          <cell r="BC377">
            <v>63</v>
          </cell>
          <cell r="BD377">
            <v>1079.2000000000003</v>
          </cell>
          <cell r="BE377">
            <v>1295.0400000000002</v>
          </cell>
          <cell r="BF377">
            <v>1079.2000000000003</v>
          </cell>
          <cell r="BG377">
            <v>11400</v>
          </cell>
          <cell r="BH377">
            <v>8094</v>
          </cell>
          <cell r="BI377">
            <v>7320.0919999999996</v>
          </cell>
          <cell r="BJ377">
            <v>0</v>
          </cell>
          <cell r="BK377">
            <v>0</v>
          </cell>
          <cell r="BL377">
            <v>0</v>
          </cell>
          <cell r="BM377">
            <v>7320.0919999999996</v>
          </cell>
          <cell r="BN377">
            <v>0</v>
          </cell>
          <cell r="BO377">
            <v>773.90800000000036</v>
          </cell>
          <cell r="BP377" t="str">
            <v>Y</v>
          </cell>
          <cell r="BQ377">
            <v>1</v>
          </cell>
          <cell r="BR377" t="str">
            <v>Y</v>
          </cell>
          <cell r="BS377">
            <v>3669.2800000000007</v>
          </cell>
          <cell r="BT377" t="str">
            <v>Done</v>
          </cell>
          <cell r="BU377">
            <v>152</v>
          </cell>
          <cell r="BV377">
            <v>2024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Nitin Saxena</v>
          </cell>
          <cell r="E378" t="str">
            <v>Nitin Saxena</v>
          </cell>
          <cell r="H378" t="str">
            <v>Samad Quraishi</v>
          </cell>
          <cell r="K378">
            <v>0</v>
          </cell>
          <cell r="L378" t="str">
            <v>Old</v>
          </cell>
          <cell r="M378">
            <v>45572</v>
          </cell>
          <cell r="N378">
            <v>4</v>
          </cell>
          <cell r="O378">
            <v>474</v>
          </cell>
          <cell r="P378">
            <v>45893</v>
          </cell>
          <cell r="Q378">
            <v>45937</v>
          </cell>
          <cell r="R378" t="str">
            <v>PLC-4008</v>
          </cell>
          <cell r="S378" t="str">
            <v>Mohammed Abdul Mubdi</v>
          </cell>
          <cell r="T378" t="str">
            <v>Individual</v>
          </cell>
          <cell r="U378" t="str">
            <v>C2C</v>
          </cell>
          <cell r="V378" t="str">
            <v>Genpact</v>
          </cell>
          <cell r="W378">
            <v>65</v>
          </cell>
          <cell r="X378">
            <v>0</v>
          </cell>
          <cell r="Y378" t="str">
            <v>CAD</v>
          </cell>
          <cell r="Z378">
            <v>75</v>
          </cell>
          <cell r="AA378">
            <v>0</v>
          </cell>
          <cell r="AB378">
            <v>0</v>
          </cell>
          <cell r="AC378">
            <v>0</v>
          </cell>
          <cell r="AD378">
            <v>45731</v>
          </cell>
          <cell r="AE378">
            <v>21</v>
          </cell>
          <cell r="AF378">
            <v>46022</v>
          </cell>
          <cell r="AG378">
            <v>46.15</v>
          </cell>
          <cell r="AH378">
            <v>0</v>
          </cell>
          <cell r="AI378">
            <v>46.15</v>
          </cell>
          <cell r="AJ378">
            <v>53.25</v>
          </cell>
          <cell r="AK378">
            <v>0</v>
          </cell>
          <cell r="AL378">
            <v>0</v>
          </cell>
          <cell r="AM378">
            <v>7.1000000000000014</v>
          </cell>
          <cell r="AN378">
            <v>0</v>
          </cell>
          <cell r="AO378">
            <v>7.1000000000000014</v>
          </cell>
          <cell r="AP378">
            <v>0</v>
          </cell>
          <cell r="AQ378">
            <v>7.1000000000000014</v>
          </cell>
          <cell r="AR378" t="str">
            <v>CAD_1460</v>
          </cell>
          <cell r="AS378">
            <v>0</v>
          </cell>
          <cell r="AT378">
            <v>168</v>
          </cell>
          <cell r="AU378">
            <v>168</v>
          </cell>
          <cell r="AV378">
            <v>0</v>
          </cell>
          <cell r="AW378">
            <v>1192.8000000000002</v>
          </cell>
          <cell r="AX378">
            <v>1192.8000000000002</v>
          </cell>
          <cell r="AY378">
            <v>1192.8000000000002</v>
          </cell>
          <cell r="AZ378">
            <v>100</v>
          </cell>
          <cell r="BA378">
            <v>24.140000000000004</v>
          </cell>
          <cell r="BB378">
            <v>4055.5200000000009</v>
          </cell>
          <cell r="BC378">
            <v>63</v>
          </cell>
          <cell r="BD378">
            <v>1192.8000000000002</v>
          </cell>
          <cell r="BE378">
            <v>1431.3600000000004</v>
          </cell>
          <cell r="BF378">
            <v>1192.8000000000002</v>
          </cell>
          <cell r="BG378">
            <v>12600</v>
          </cell>
          <cell r="BH378">
            <v>8946</v>
          </cell>
          <cell r="BI378">
            <v>8090.6279999999997</v>
          </cell>
          <cell r="BJ378">
            <v>0</v>
          </cell>
          <cell r="BK378">
            <v>0</v>
          </cell>
          <cell r="BL378">
            <v>0</v>
          </cell>
          <cell r="BM378">
            <v>8090.6279999999997</v>
          </cell>
          <cell r="BN378">
            <v>0</v>
          </cell>
          <cell r="BO378">
            <v>855.3720000000003</v>
          </cell>
          <cell r="BP378" t="str">
            <v>Y</v>
          </cell>
          <cell r="BQ378">
            <v>1</v>
          </cell>
          <cell r="BR378" t="str">
            <v>Y</v>
          </cell>
          <cell r="BS378">
            <v>4055.5200000000009</v>
          </cell>
          <cell r="BT378" t="str">
            <v>Done</v>
          </cell>
          <cell r="BU378">
            <v>168</v>
          </cell>
          <cell r="BV378">
            <v>2024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Nitin Saxena</v>
          </cell>
          <cell r="E379" t="str">
            <v>Nitin Saxena</v>
          </cell>
          <cell r="H379" t="str">
            <v>Samad Quraishi</v>
          </cell>
          <cell r="K379">
            <v>0</v>
          </cell>
          <cell r="L379" t="str">
            <v>Old</v>
          </cell>
          <cell r="M379">
            <v>45572</v>
          </cell>
          <cell r="N379">
            <v>4</v>
          </cell>
          <cell r="O379">
            <v>474</v>
          </cell>
          <cell r="P379">
            <v>45893</v>
          </cell>
          <cell r="Q379">
            <v>45937</v>
          </cell>
          <cell r="R379" t="str">
            <v>PLC-4008</v>
          </cell>
          <cell r="S379" t="str">
            <v>Mohammed Abdul Mubdi</v>
          </cell>
          <cell r="T379" t="str">
            <v>Individual</v>
          </cell>
          <cell r="U379" t="str">
            <v>C2C</v>
          </cell>
          <cell r="V379" t="str">
            <v>Genpact</v>
          </cell>
          <cell r="W379">
            <v>65</v>
          </cell>
          <cell r="X379">
            <v>0</v>
          </cell>
          <cell r="Y379" t="str">
            <v>CAD</v>
          </cell>
          <cell r="Z379">
            <v>75</v>
          </cell>
          <cell r="AA379">
            <v>0</v>
          </cell>
          <cell r="AB379">
            <v>0</v>
          </cell>
          <cell r="AC379">
            <v>0</v>
          </cell>
          <cell r="AD379">
            <v>45762</v>
          </cell>
          <cell r="AE379">
            <v>22</v>
          </cell>
          <cell r="AF379">
            <v>46022</v>
          </cell>
          <cell r="AG379">
            <v>46.15</v>
          </cell>
          <cell r="AH379">
            <v>0</v>
          </cell>
          <cell r="AI379">
            <v>46.15</v>
          </cell>
          <cell r="AJ379">
            <v>53.25</v>
          </cell>
          <cell r="AK379">
            <v>0</v>
          </cell>
          <cell r="AL379">
            <v>0</v>
          </cell>
          <cell r="AM379">
            <v>7.1000000000000014</v>
          </cell>
          <cell r="AN379">
            <v>0</v>
          </cell>
          <cell r="AO379">
            <v>7.1000000000000014</v>
          </cell>
          <cell r="AP379">
            <v>0</v>
          </cell>
          <cell r="AQ379">
            <v>7.1000000000000014</v>
          </cell>
          <cell r="AR379" t="str">
            <v>CAD_1484</v>
          </cell>
          <cell r="AS379">
            <v>0</v>
          </cell>
          <cell r="AT379">
            <v>152</v>
          </cell>
          <cell r="AU379">
            <v>152</v>
          </cell>
          <cell r="AV379">
            <v>0</v>
          </cell>
          <cell r="AW379">
            <v>1079.2000000000003</v>
          </cell>
          <cell r="AX379">
            <v>1079.2000000000003</v>
          </cell>
          <cell r="AY379">
            <v>1079.2000000000003</v>
          </cell>
          <cell r="AZ379">
            <v>100</v>
          </cell>
          <cell r="BA379">
            <v>24.140000000000004</v>
          </cell>
          <cell r="BB379">
            <v>3669.2800000000007</v>
          </cell>
          <cell r="BC379">
            <v>63</v>
          </cell>
          <cell r="BD379">
            <v>1079.2000000000003</v>
          </cell>
          <cell r="BE379">
            <v>1295.0400000000002</v>
          </cell>
          <cell r="BF379">
            <v>1079.2000000000003</v>
          </cell>
          <cell r="BG379">
            <v>11400</v>
          </cell>
          <cell r="BH379">
            <v>8094</v>
          </cell>
          <cell r="BI379">
            <v>7320.0919999999996</v>
          </cell>
          <cell r="BJ379">
            <v>0</v>
          </cell>
          <cell r="BK379">
            <v>0</v>
          </cell>
          <cell r="BL379">
            <v>0</v>
          </cell>
          <cell r="BM379">
            <v>7320.0919999999996</v>
          </cell>
          <cell r="BN379">
            <v>0</v>
          </cell>
          <cell r="BO379">
            <v>773.90800000000036</v>
          </cell>
          <cell r="BP379" t="str">
            <v>Y</v>
          </cell>
          <cell r="BQ379">
            <v>2</v>
          </cell>
          <cell r="BR379" t="str">
            <v>Y</v>
          </cell>
          <cell r="BS379">
            <v>3669.2800000000007</v>
          </cell>
          <cell r="BT379" t="str">
            <v>Done</v>
          </cell>
          <cell r="BU379">
            <v>152</v>
          </cell>
          <cell r="BV379">
            <v>2024</v>
          </cell>
        </row>
        <row r="380">
          <cell r="A380" t="str">
            <v>Noida</v>
          </cell>
          <cell r="B380" t="str">
            <v>Noida IT</v>
          </cell>
          <cell r="C380" t="str">
            <v>Mid Level</v>
          </cell>
          <cell r="D380" t="str">
            <v>Abdul Rahman</v>
          </cell>
          <cell r="E380" t="str">
            <v>-</v>
          </cell>
          <cell r="H380" t="str">
            <v>Mohd Ateeq</v>
          </cell>
          <cell r="K380">
            <v>0</v>
          </cell>
          <cell r="L380" t="str">
            <v>Old</v>
          </cell>
          <cell r="M380">
            <v>45586</v>
          </cell>
          <cell r="N380">
            <v>4</v>
          </cell>
          <cell r="O380">
            <v>460</v>
          </cell>
          <cell r="P380">
            <v>45716</v>
          </cell>
          <cell r="Q380">
            <v>45951</v>
          </cell>
          <cell r="R380" t="str">
            <v>PLC-3643</v>
          </cell>
          <cell r="S380" t="str">
            <v>Mohammed Zaid</v>
          </cell>
          <cell r="T380" t="str">
            <v>Individual</v>
          </cell>
          <cell r="U380" t="str">
            <v>W2</v>
          </cell>
          <cell r="V380" t="str">
            <v>Xebia</v>
          </cell>
          <cell r="W380">
            <v>52</v>
          </cell>
          <cell r="X380">
            <v>0</v>
          </cell>
          <cell r="Y380" t="str">
            <v>USD</v>
          </cell>
          <cell r="Z380">
            <v>70</v>
          </cell>
          <cell r="AA380">
            <v>0</v>
          </cell>
          <cell r="AB380">
            <v>0</v>
          </cell>
          <cell r="AC380">
            <v>3</v>
          </cell>
          <cell r="AD380">
            <v>45672</v>
          </cell>
          <cell r="AE380">
            <v>22</v>
          </cell>
          <cell r="AF380">
            <v>46022</v>
          </cell>
          <cell r="AG380">
            <v>59.8</v>
          </cell>
          <cell r="AH380">
            <v>0</v>
          </cell>
          <cell r="AI380">
            <v>62.8</v>
          </cell>
          <cell r="AJ380">
            <v>70</v>
          </cell>
          <cell r="AK380">
            <v>0</v>
          </cell>
          <cell r="AL380">
            <v>0</v>
          </cell>
          <cell r="AM380">
            <v>7.2000000000000028</v>
          </cell>
          <cell r="AN380">
            <v>0</v>
          </cell>
          <cell r="AO380">
            <v>7.2000000000000028</v>
          </cell>
          <cell r="AP380">
            <v>0</v>
          </cell>
          <cell r="AQ380">
            <v>7.2000000000000028</v>
          </cell>
          <cell r="AR380" t="str">
            <v>US_24214</v>
          </cell>
          <cell r="AS380">
            <v>0</v>
          </cell>
          <cell r="AT380">
            <v>168</v>
          </cell>
          <cell r="AU380">
            <v>168</v>
          </cell>
          <cell r="AV380">
            <v>0</v>
          </cell>
          <cell r="AW380">
            <v>1209.6000000000004</v>
          </cell>
          <cell r="AX380">
            <v>1209.6000000000004</v>
          </cell>
          <cell r="AY380">
            <v>1209.6000000000004</v>
          </cell>
          <cell r="AZ380">
            <v>66.666666666666657</v>
          </cell>
          <cell r="BA380">
            <v>15.840000000000007</v>
          </cell>
          <cell r="BB380">
            <v>2661.1200000000013</v>
          </cell>
          <cell r="BD380">
            <v>1209.6000000000004</v>
          </cell>
          <cell r="BF380">
            <v>1209.6000000000004</v>
          </cell>
          <cell r="BG380">
            <v>11760</v>
          </cell>
          <cell r="BH380">
            <v>11760</v>
          </cell>
          <cell r="BI380">
            <v>8736</v>
          </cell>
          <cell r="BJ380">
            <v>7.8</v>
          </cell>
          <cell r="BK380">
            <v>504</v>
          </cell>
          <cell r="BL380">
            <v>1310.3999999999999</v>
          </cell>
          <cell r="BM380">
            <v>10550.4</v>
          </cell>
          <cell r="BN380">
            <v>10.8</v>
          </cell>
          <cell r="BO380">
            <v>1209.6000000000001</v>
          </cell>
          <cell r="BP380" t="str">
            <v>Y</v>
          </cell>
          <cell r="BQ380">
            <v>1</v>
          </cell>
          <cell r="BR380" t="str">
            <v>Y</v>
          </cell>
          <cell r="BS380">
            <v>2661.1200000000013</v>
          </cell>
          <cell r="BT380" t="str">
            <v>Done</v>
          </cell>
          <cell r="BU380">
            <v>168</v>
          </cell>
          <cell r="BV380">
            <v>2024</v>
          </cell>
        </row>
        <row r="381">
          <cell r="A381" t="str">
            <v>Noida</v>
          </cell>
          <cell r="B381" t="str">
            <v>Noida IT</v>
          </cell>
          <cell r="C381" t="str">
            <v>Mid Level</v>
          </cell>
          <cell r="D381" t="str">
            <v>Abdul Rahman</v>
          </cell>
          <cell r="E381" t="str">
            <v>-</v>
          </cell>
          <cell r="H381" t="str">
            <v>Mohd Ateeq</v>
          </cell>
          <cell r="K381">
            <v>0</v>
          </cell>
          <cell r="L381" t="str">
            <v>Old</v>
          </cell>
          <cell r="M381">
            <v>45586</v>
          </cell>
          <cell r="N381">
            <v>4</v>
          </cell>
          <cell r="O381">
            <v>460</v>
          </cell>
          <cell r="P381">
            <v>45716</v>
          </cell>
          <cell r="Q381">
            <v>45951</v>
          </cell>
          <cell r="R381" t="str">
            <v>PLC-3643</v>
          </cell>
          <cell r="S381" t="str">
            <v>Mohammed Zaid</v>
          </cell>
          <cell r="T381" t="str">
            <v>Individual</v>
          </cell>
          <cell r="U381" t="str">
            <v>W2</v>
          </cell>
          <cell r="V381" t="str">
            <v>Xebia</v>
          </cell>
          <cell r="W381">
            <v>52</v>
          </cell>
          <cell r="X381">
            <v>0</v>
          </cell>
          <cell r="Y381" t="str">
            <v>USD</v>
          </cell>
          <cell r="Z381">
            <v>70</v>
          </cell>
          <cell r="AA381">
            <v>0</v>
          </cell>
          <cell r="AB381">
            <v>0</v>
          </cell>
          <cell r="AC381">
            <v>3</v>
          </cell>
          <cell r="AD381">
            <v>45703</v>
          </cell>
          <cell r="AE381">
            <v>20</v>
          </cell>
          <cell r="AF381">
            <v>46022</v>
          </cell>
          <cell r="AG381">
            <v>59.8</v>
          </cell>
          <cell r="AH381">
            <v>0</v>
          </cell>
          <cell r="AI381">
            <v>62.8</v>
          </cell>
          <cell r="AJ381">
            <v>70</v>
          </cell>
          <cell r="AK381">
            <v>0</v>
          </cell>
          <cell r="AL381">
            <v>0</v>
          </cell>
          <cell r="AM381">
            <v>7.2000000000000028</v>
          </cell>
          <cell r="AN381">
            <v>0</v>
          </cell>
          <cell r="AO381">
            <v>7.2000000000000028</v>
          </cell>
          <cell r="AP381">
            <v>0</v>
          </cell>
          <cell r="AQ381">
            <v>7.2000000000000028</v>
          </cell>
          <cell r="AR381" t="str">
            <v>US_24421</v>
          </cell>
          <cell r="AS381">
            <v>0</v>
          </cell>
          <cell r="AT381">
            <v>160</v>
          </cell>
          <cell r="AU381">
            <v>160</v>
          </cell>
          <cell r="AV381">
            <v>0</v>
          </cell>
          <cell r="AW381">
            <v>1152.0000000000005</v>
          </cell>
          <cell r="AX381">
            <v>1152.0000000000005</v>
          </cell>
          <cell r="AY381">
            <v>1152.0000000000005</v>
          </cell>
          <cell r="AZ381">
            <v>66.666666666666657</v>
          </cell>
          <cell r="BA381">
            <v>15.840000000000007</v>
          </cell>
          <cell r="BB381">
            <v>2534.400000000001</v>
          </cell>
          <cell r="BD381">
            <v>1152.0000000000005</v>
          </cell>
          <cell r="BF381">
            <v>1152.0000000000005</v>
          </cell>
          <cell r="BG381">
            <v>11200</v>
          </cell>
          <cell r="BH381">
            <v>11200</v>
          </cell>
          <cell r="BI381">
            <v>8320</v>
          </cell>
          <cell r="BJ381">
            <v>7.8</v>
          </cell>
          <cell r="BK381">
            <v>480</v>
          </cell>
          <cell r="BL381">
            <v>1248</v>
          </cell>
          <cell r="BM381">
            <v>10048</v>
          </cell>
          <cell r="BN381">
            <v>10.8</v>
          </cell>
          <cell r="BO381">
            <v>1152</v>
          </cell>
          <cell r="BP381" t="str">
            <v>Y</v>
          </cell>
          <cell r="BQ381">
            <v>1</v>
          </cell>
          <cell r="BR381" t="str">
            <v>Y</v>
          </cell>
          <cell r="BS381">
            <v>2534.400000000001</v>
          </cell>
          <cell r="BT381" t="str">
            <v>Done</v>
          </cell>
          <cell r="BU381">
            <v>160</v>
          </cell>
          <cell r="BV381">
            <v>2024</v>
          </cell>
        </row>
        <row r="382">
          <cell r="A382" t="str">
            <v>Lucknow</v>
          </cell>
          <cell r="B382" t="str">
            <v>Pioneer</v>
          </cell>
          <cell r="C382" t="str">
            <v>Mid Level</v>
          </cell>
          <cell r="D382" t="str">
            <v>Alok Mishra</v>
          </cell>
          <cell r="E382" t="str">
            <v>Ankit Pandey</v>
          </cell>
          <cell r="H382" t="str">
            <v>Shubham Rastogi</v>
          </cell>
          <cell r="J382" t="str">
            <v>ACH</v>
          </cell>
          <cell r="K382">
            <v>0</v>
          </cell>
          <cell r="L382" t="str">
            <v>Old</v>
          </cell>
          <cell r="M382">
            <v>45495</v>
          </cell>
          <cell r="N382">
            <v>3</v>
          </cell>
          <cell r="O382">
            <v>551</v>
          </cell>
          <cell r="P382">
            <v>45898</v>
          </cell>
          <cell r="Q382">
            <v>45860</v>
          </cell>
          <cell r="R382" t="str">
            <v>PLC-3877</v>
          </cell>
          <cell r="S382" t="str">
            <v>Morris Salamon</v>
          </cell>
          <cell r="T382" t="str">
            <v>Individual</v>
          </cell>
          <cell r="U382" t="str">
            <v>C2C</v>
          </cell>
          <cell r="V382" t="str">
            <v>ReWorld /Covanta</v>
          </cell>
          <cell r="W382">
            <v>85</v>
          </cell>
          <cell r="X382">
            <v>0</v>
          </cell>
          <cell r="Y382" t="str">
            <v>USD</v>
          </cell>
          <cell r="Z382">
            <v>120</v>
          </cell>
          <cell r="AA382">
            <v>0</v>
          </cell>
          <cell r="AB382">
            <v>0</v>
          </cell>
          <cell r="AC382">
            <v>20</v>
          </cell>
          <cell r="AD382">
            <v>45672</v>
          </cell>
          <cell r="AE382">
            <v>23</v>
          </cell>
          <cell r="AF382">
            <v>46022</v>
          </cell>
          <cell r="AG382">
            <v>85</v>
          </cell>
          <cell r="AH382">
            <v>0</v>
          </cell>
          <cell r="AI382">
            <v>105</v>
          </cell>
          <cell r="AJ382">
            <v>120</v>
          </cell>
          <cell r="AK382">
            <v>0</v>
          </cell>
          <cell r="AL382">
            <v>0</v>
          </cell>
          <cell r="AM382">
            <v>15</v>
          </cell>
          <cell r="AN382">
            <v>0</v>
          </cell>
          <cell r="AO382">
            <v>15</v>
          </cell>
          <cell r="AP382">
            <v>0</v>
          </cell>
          <cell r="AQ382">
            <v>15</v>
          </cell>
          <cell r="AR382" t="str">
            <v>US_24317</v>
          </cell>
          <cell r="AS382">
            <v>0</v>
          </cell>
          <cell r="AT382">
            <v>144</v>
          </cell>
          <cell r="AU382">
            <v>144</v>
          </cell>
          <cell r="AV382">
            <v>0</v>
          </cell>
          <cell r="AW382">
            <v>2160</v>
          </cell>
          <cell r="AX382">
            <v>2138.4</v>
          </cell>
          <cell r="AY382">
            <v>2160</v>
          </cell>
          <cell r="AZ382">
            <v>222.00000000000003</v>
          </cell>
          <cell r="BA382">
            <v>51</v>
          </cell>
          <cell r="BB382">
            <v>7344</v>
          </cell>
          <cell r="BD382">
            <v>2160</v>
          </cell>
          <cell r="BF382">
            <v>2138.4</v>
          </cell>
          <cell r="BG382">
            <v>17280</v>
          </cell>
          <cell r="BH382">
            <v>17280</v>
          </cell>
          <cell r="BI382">
            <v>12240</v>
          </cell>
          <cell r="BJ382">
            <v>0</v>
          </cell>
          <cell r="BK382">
            <v>2880</v>
          </cell>
          <cell r="BL382">
            <v>0</v>
          </cell>
          <cell r="BM382">
            <v>15120</v>
          </cell>
          <cell r="BN382">
            <v>20</v>
          </cell>
          <cell r="BO382">
            <v>2160</v>
          </cell>
          <cell r="BP382" t="str">
            <v>Y</v>
          </cell>
          <cell r="BQ382">
            <v>1</v>
          </cell>
          <cell r="BR382" t="str">
            <v>Y</v>
          </cell>
          <cell r="BS382">
            <v>7344</v>
          </cell>
          <cell r="BT382" t="str">
            <v>Done</v>
          </cell>
          <cell r="BU382">
            <v>144</v>
          </cell>
          <cell r="BV382">
            <v>2024</v>
          </cell>
        </row>
        <row r="383">
          <cell r="A383" t="str">
            <v>Lucknow</v>
          </cell>
          <cell r="B383" t="str">
            <v>Pioneer</v>
          </cell>
          <cell r="C383" t="str">
            <v>Mid Level</v>
          </cell>
          <cell r="D383" t="str">
            <v>Alok Mishra</v>
          </cell>
          <cell r="E383" t="str">
            <v>Ankit Pandey</v>
          </cell>
          <cell r="H383" t="str">
            <v>Shubham Rastogi</v>
          </cell>
          <cell r="J383" t="str">
            <v>ACH</v>
          </cell>
          <cell r="K383">
            <v>0</v>
          </cell>
          <cell r="L383" t="str">
            <v>Old</v>
          </cell>
          <cell r="M383">
            <v>45495</v>
          </cell>
          <cell r="N383">
            <v>3</v>
          </cell>
          <cell r="O383">
            <v>551</v>
          </cell>
          <cell r="P383">
            <v>45898</v>
          </cell>
          <cell r="Q383">
            <v>45860</v>
          </cell>
          <cell r="R383" t="str">
            <v>PLC-3877</v>
          </cell>
          <cell r="S383" t="str">
            <v>Morris Salamon</v>
          </cell>
          <cell r="T383" t="str">
            <v>Individual</v>
          </cell>
          <cell r="U383" t="str">
            <v>C2C</v>
          </cell>
          <cell r="V383" t="str">
            <v>ReWorld /Covanta</v>
          </cell>
          <cell r="W383">
            <v>85</v>
          </cell>
          <cell r="X383">
            <v>0</v>
          </cell>
          <cell r="Y383" t="str">
            <v>USD</v>
          </cell>
          <cell r="Z383">
            <v>120</v>
          </cell>
          <cell r="AA383">
            <v>0</v>
          </cell>
          <cell r="AB383">
            <v>0</v>
          </cell>
          <cell r="AC383">
            <v>20</v>
          </cell>
          <cell r="AD383">
            <v>45703</v>
          </cell>
          <cell r="AE383">
            <v>20</v>
          </cell>
          <cell r="AF383">
            <v>46022</v>
          </cell>
          <cell r="AG383">
            <v>85</v>
          </cell>
          <cell r="AH383">
            <v>0</v>
          </cell>
          <cell r="AI383">
            <v>105</v>
          </cell>
          <cell r="AJ383">
            <v>120</v>
          </cell>
          <cell r="AK383">
            <v>0</v>
          </cell>
          <cell r="AL383">
            <v>0</v>
          </cell>
          <cell r="AM383">
            <v>15</v>
          </cell>
          <cell r="AN383">
            <v>0</v>
          </cell>
          <cell r="AO383">
            <v>15</v>
          </cell>
          <cell r="AP383">
            <v>0</v>
          </cell>
          <cell r="AQ383">
            <v>15</v>
          </cell>
          <cell r="AR383" t="str">
            <v>US_24513</v>
          </cell>
          <cell r="AS383">
            <v>0</v>
          </cell>
          <cell r="AT383">
            <v>152</v>
          </cell>
          <cell r="AU383">
            <v>152</v>
          </cell>
          <cell r="AV383">
            <v>0</v>
          </cell>
          <cell r="AW383">
            <v>2280</v>
          </cell>
          <cell r="AX383">
            <v>2257.1999999999998</v>
          </cell>
          <cell r="AY383">
            <v>2280</v>
          </cell>
          <cell r="AZ383">
            <v>222.00000000000003</v>
          </cell>
          <cell r="BA383">
            <v>51</v>
          </cell>
          <cell r="BB383">
            <v>7752</v>
          </cell>
          <cell r="BD383">
            <v>2280</v>
          </cell>
          <cell r="BF383">
            <v>2257.1999999999998</v>
          </cell>
          <cell r="BG383">
            <v>18240</v>
          </cell>
          <cell r="BH383">
            <v>18240</v>
          </cell>
          <cell r="BI383">
            <v>12920</v>
          </cell>
          <cell r="BJ383">
            <v>0</v>
          </cell>
          <cell r="BK383">
            <v>3040</v>
          </cell>
          <cell r="BL383">
            <v>0</v>
          </cell>
          <cell r="BM383">
            <v>15960</v>
          </cell>
          <cell r="BN383">
            <v>20</v>
          </cell>
          <cell r="BO383">
            <v>2280</v>
          </cell>
          <cell r="BP383" t="str">
            <v>Y</v>
          </cell>
          <cell r="BQ383">
            <v>1</v>
          </cell>
          <cell r="BR383" t="str">
            <v>Y</v>
          </cell>
          <cell r="BS383">
            <v>7752</v>
          </cell>
          <cell r="BT383" t="str">
            <v>Done</v>
          </cell>
          <cell r="BU383">
            <v>152</v>
          </cell>
          <cell r="BV383">
            <v>2024</v>
          </cell>
        </row>
        <row r="384">
          <cell r="A384" t="str">
            <v>Lucknow</v>
          </cell>
          <cell r="B384" t="str">
            <v>Pioneer</v>
          </cell>
          <cell r="C384" t="str">
            <v>Mid Level</v>
          </cell>
          <cell r="D384" t="str">
            <v>Alok Mishra</v>
          </cell>
          <cell r="E384" t="str">
            <v>Ankit Pandey</v>
          </cell>
          <cell r="H384" t="str">
            <v>Shubham Rastogi</v>
          </cell>
          <cell r="J384" t="str">
            <v>ACH</v>
          </cell>
          <cell r="K384">
            <v>0</v>
          </cell>
          <cell r="L384" t="str">
            <v>Old</v>
          </cell>
          <cell r="M384">
            <v>45495</v>
          </cell>
          <cell r="N384">
            <v>3</v>
          </cell>
          <cell r="O384">
            <v>551</v>
          </cell>
          <cell r="P384">
            <v>45898</v>
          </cell>
          <cell r="Q384">
            <v>45860</v>
          </cell>
          <cell r="R384" t="str">
            <v>PLC-3877</v>
          </cell>
          <cell r="S384" t="str">
            <v>Morris Salamon</v>
          </cell>
          <cell r="T384" t="str">
            <v>Individual</v>
          </cell>
          <cell r="U384" t="str">
            <v>C2C</v>
          </cell>
          <cell r="V384" t="str">
            <v>ReWorld /Covanta</v>
          </cell>
          <cell r="W384">
            <v>85</v>
          </cell>
          <cell r="X384">
            <v>0</v>
          </cell>
          <cell r="Y384" t="str">
            <v>USD</v>
          </cell>
          <cell r="Z384">
            <v>120</v>
          </cell>
          <cell r="AA384">
            <v>0</v>
          </cell>
          <cell r="AB384">
            <v>0</v>
          </cell>
          <cell r="AC384">
            <v>20</v>
          </cell>
          <cell r="AD384">
            <v>45731</v>
          </cell>
          <cell r="AE384">
            <v>21</v>
          </cell>
          <cell r="AF384">
            <v>46022</v>
          </cell>
          <cell r="AG384">
            <v>85</v>
          </cell>
          <cell r="AH384">
            <v>0</v>
          </cell>
          <cell r="AI384">
            <v>105</v>
          </cell>
          <cell r="AJ384">
            <v>120</v>
          </cell>
          <cell r="AK384">
            <v>0</v>
          </cell>
          <cell r="AL384">
            <v>0</v>
          </cell>
          <cell r="AM384">
            <v>15</v>
          </cell>
          <cell r="AN384">
            <v>0</v>
          </cell>
          <cell r="AO384">
            <v>15</v>
          </cell>
          <cell r="AP384">
            <v>0</v>
          </cell>
          <cell r="AQ384">
            <v>15</v>
          </cell>
          <cell r="AR384" t="str">
            <v>US_24691</v>
          </cell>
          <cell r="AS384">
            <v>0</v>
          </cell>
          <cell r="AT384">
            <v>167</v>
          </cell>
          <cell r="AU384">
            <v>167</v>
          </cell>
          <cell r="AV384">
            <v>0</v>
          </cell>
          <cell r="AW384">
            <v>2505</v>
          </cell>
          <cell r="AX384">
            <v>2479.9499999999998</v>
          </cell>
          <cell r="AY384">
            <v>2505</v>
          </cell>
          <cell r="AZ384">
            <v>222.00000000000003</v>
          </cell>
          <cell r="BA384">
            <v>51</v>
          </cell>
          <cell r="BB384">
            <v>8517</v>
          </cell>
          <cell r="BD384">
            <v>2505</v>
          </cell>
          <cell r="BF384">
            <v>2479.9499999999998</v>
          </cell>
          <cell r="BG384">
            <v>20040</v>
          </cell>
          <cell r="BH384">
            <v>20040</v>
          </cell>
          <cell r="BI384">
            <v>14195</v>
          </cell>
          <cell r="BJ384">
            <v>0</v>
          </cell>
          <cell r="BK384">
            <v>3340</v>
          </cell>
          <cell r="BL384">
            <v>0</v>
          </cell>
          <cell r="BM384">
            <v>17535</v>
          </cell>
          <cell r="BN384">
            <v>20</v>
          </cell>
          <cell r="BO384">
            <v>2505</v>
          </cell>
          <cell r="BP384" t="str">
            <v>Y</v>
          </cell>
          <cell r="BQ384">
            <v>1</v>
          </cell>
          <cell r="BR384" t="str">
            <v>Y</v>
          </cell>
          <cell r="BS384">
            <v>8517</v>
          </cell>
          <cell r="BT384" t="str">
            <v>Done</v>
          </cell>
          <cell r="BU384">
            <v>167</v>
          </cell>
          <cell r="BV384">
            <v>2024</v>
          </cell>
        </row>
        <row r="385">
          <cell r="A385" t="str">
            <v>Lucknow</v>
          </cell>
          <cell r="B385" t="str">
            <v>Pioneer</v>
          </cell>
          <cell r="C385" t="str">
            <v>Mid Level</v>
          </cell>
          <cell r="D385" t="str">
            <v>Alok Mishra</v>
          </cell>
          <cell r="E385" t="str">
            <v>Ankit Pandey</v>
          </cell>
          <cell r="H385" t="str">
            <v>Shubham Rastogi</v>
          </cell>
          <cell r="J385" t="str">
            <v>ACH</v>
          </cell>
          <cell r="K385">
            <v>0</v>
          </cell>
          <cell r="L385" t="str">
            <v>Old</v>
          </cell>
          <cell r="M385">
            <v>45495</v>
          </cell>
          <cell r="N385">
            <v>3</v>
          </cell>
          <cell r="O385">
            <v>551</v>
          </cell>
          <cell r="P385">
            <v>45898</v>
          </cell>
          <cell r="Q385">
            <v>45860</v>
          </cell>
          <cell r="R385" t="str">
            <v>PLC-3877</v>
          </cell>
          <cell r="S385" t="str">
            <v>Morris Salamon</v>
          </cell>
          <cell r="T385" t="str">
            <v>Individual</v>
          </cell>
          <cell r="U385" t="str">
            <v>C2C</v>
          </cell>
          <cell r="V385" t="str">
            <v>ReWorld /Covanta</v>
          </cell>
          <cell r="W385">
            <v>85</v>
          </cell>
          <cell r="X385">
            <v>0</v>
          </cell>
          <cell r="Y385" t="str">
            <v>USD</v>
          </cell>
          <cell r="Z385">
            <v>120</v>
          </cell>
          <cell r="AA385">
            <v>0</v>
          </cell>
          <cell r="AB385">
            <v>0</v>
          </cell>
          <cell r="AC385">
            <v>20</v>
          </cell>
          <cell r="AD385">
            <v>45762</v>
          </cell>
          <cell r="AE385">
            <v>22</v>
          </cell>
          <cell r="AF385">
            <v>46022</v>
          </cell>
          <cell r="AG385">
            <v>85</v>
          </cell>
          <cell r="AH385">
            <v>0</v>
          </cell>
          <cell r="AI385">
            <v>105</v>
          </cell>
          <cell r="AJ385">
            <v>120</v>
          </cell>
          <cell r="AK385">
            <v>0</v>
          </cell>
          <cell r="AL385">
            <v>0</v>
          </cell>
          <cell r="AM385">
            <v>15</v>
          </cell>
          <cell r="AN385">
            <v>0</v>
          </cell>
          <cell r="AO385">
            <v>15</v>
          </cell>
          <cell r="AP385">
            <v>0</v>
          </cell>
          <cell r="AQ385">
            <v>15</v>
          </cell>
          <cell r="AR385" t="str">
            <v>US_24892</v>
          </cell>
          <cell r="AS385">
            <v>0</v>
          </cell>
          <cell r="AT385">
            <v>168</v>
          </cell>
          <cell r="AU385">
            <v>168</v>
          </cell>
          <cell r="AV385">
            <v>0</v>
          </cell>
          <cell r="AW385">
            <v>2520</v>
          </cell>
          <cell r="AX385">
            <v>2494.8000000000002</v>
          </cell>
          <cell r="AY385">
            <v>2520</v>
          </cell>
          <cell r="AZ385">
            <v>222.00000000000003</v>
          </cell>
          <cell r="BA385">
            <v>51</v>
          </cell>
          <cell r="BB385">
            <v>8568</v>
          </cell>
          <cell r="BD385">
            <v>2520</v>
          </cell>
          <cell r="BF385">
            <v>2494.8000000000002</v>
          </cell>
          <cell r="BG385">
            <v>20160</v>
          </cell>
          <cell r="BH385">
            <v>20160</v>
          </cell>
          <cell r="BI385">
            <v>14280</v>
          </cell>
          <cell r="BJ385">
            <v>0</v>
          </cell>
          <cell r="BK385">
            <v>3360</v>
          </cell>
          <cell r="BL385">
            <v>0</v>
          </cell>
          <cell r="BM385">
            <v>17640</v>
          </cell>
          <cell r="BN385">
            <v>20</v>
          </cell>
          <cell r="BO385">
            <v>2520</v>
          </cell>
          <cell r="BP385" t="str">
            <v>Y</v>
          </cell>
          <cell r="BQ385">
            <v>2</v>
          </cell>
          <cell r="BR385" t="str">
            <v>Y</v>
          </cell>
          <cell r="BS385">
            <v>8568</v>
          </cell>
          <cell r="BT385" t="str">
            <v>Done</v>
          </cell>
          <cell r="BU385">
            <v>168</v>
          </cell>
          <cell r="BV385">
            <v>2024</v>
          </cell>
        </row>
        <row r="386">
          <cell r="A386" t="str">
            <v>Noida</v>
          </cell>
          <cell r="B386" t="str">
            <v>Noida IT</v>
          </cell>
          <cell r="C386" t="str">
            <v>Mid Level</v>
          </cell>
          <cell r="D386" t="str">
            <v>Akash Saxena</v>
          </cell>
          <cell r="E386" t="str">
            <v>-</v>
          </cell>
          <cell r="H386" t="str">
            <v>Hemant Kumar</v>
          </cell>
          <cell r="L386" t="str">
            <v>New</v>
          </cell>
          <cell r="M386">
            <v>45698</v>
          </cell>
          <cell r="N386">
            <v>1</v>
          </cell>
          <cell r="O386">
            <v>348</v>
          </cell>
          <cell r="P386" t="str">
            <v>-</v>
          </cell>
          <cell r="Q386">
            <v>46063</v>
          </cell>
          <cell r="R386" t="str">
            <v>PLC-4133</v>
          </cell>
          <cell r="S386" t="str">
            <v>Mounika Mettupalli</v>
          </cell>
          <cell r="T386" t="str">
            <v>Individual</v>
          </cell>
          <cell r="U386" t="str">
            <v>FTE</v>
          </cell>
          <cell r="V386" t="str">
            <v>Citius Tech</v>
          </cell>
          <cell r="W386">
            <v>0</v>
          </cell>
          <cell r="X386">
            <v>0</v>
          </cell>
          <cell r="Y386" t="str">
            <v>USD</v>
          </cell>
          <cell r="Z386">
            <v>5000</v>
          </cell>
          <cell r="AA386">
            <v>0</v>
          </cell>
          <cell r="AB386">
            <v>0</v>
          </cell>
          <cell r="AC386">
            <v>0</v>
          </cell>
          <cell r="AD386">
            <v>45703</v>
          </cell>
          <cell r="AE386">
            <v>1</v>
          </cell>
          <cell r="AF386">
            <v>46022</v>
          </cell>
          <cell r="AG386">
            <v>0</v>
          </cell>
          <cell r="AH386">
            <v>0</v>
          </cell>
          <cell r="AI386">
            <v>0</v>
          </cell>
          <cell r="AJ386">
            <v>5000</v>
          </cell>
          <cell r="AK386">
            <v>0</v>
          </cell>
          <cell r="AL386">
            <v>0</v>
          </cell>
          <cell r="AM386">
            <v>5000</v>
          </cell>
          <cell r="AN386">
            <v>0</v>
          </cell>
          <cell r="AO386">
            <v>5000</v>
          </cell>
          <cell r="AP386">
            <v>0</v>
          </cell>
          <cell r="AQ386">
            <v>5000</v>
          </cell>
          <cell r="AR386" t="str">
            <v>US_24323</v>
          </cell>
          <cell r="AS386">
            <v>0</v>
          </cell>
          <cell r="AT386">
            <v>1</v>
          </cell>
          <cell r="AU386">
            <v>1</v>
          </cell>
          <cell r="AV386">
            <v>0</v>
          </cell>
          <cell r="AW386">
            <v>5000</v>
          </cell>
          <cell r="AX386">
            <v>5000</v>
          </cell>
          <cell r="AY386">
            <v>5000</v>
          </cell>
          <cell r="AZ386">
            <v>100</v>
          </cell>
          <cell r="BA386">
            <v>8000</v>
          </cell>
          <cell r="BB386">
            <v>8000</v>
          </cell>
          <cell r="BC386">
            <v>49</v>
          </cell>
          <cell r="BD386">
            <v>5000</v>
          </cell>
          <cell r="BE386">
            <v>4000</v>
          </cell>
          <cell r="BF386">
            <v>5000</v>
          </cell>
          <cell r="BG386">
            <v>5000</v>
          </cell>
          <cell r="BH386">
            <v>5000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5000</v>
          </cell>
          <cell r="BP386" t="str">
            <v>Y</v>
          </cell>
          <cell r="BQ386">
            <v>1</v>
          </cell>
          <cell r="BR386" t="str">
            <v>Y</v>
          </cell>
          <cell r="BS386">
            <v>8000</v>
          </cell>
          <cell r="BT386" t="str">
            <v>Done</v>
          </cell>
          <cell r="BU386">
            <v>0</v>
          </cell>
          <cell r="BV386">
            <v>2025</v>
          </cell>
        </row>
        <row r="387">
          <cell r="A387" t="str">
            <v>Lucknow</v>
          </cell>
          <cell r="B387" t="str">
            <v>Titans</v>
          </cell>
          <cell r="C387" t="str">
            <v>Mid Level</v>
          </cell>
          <cell r="D387" t="str">
            <v>Nitin Saxena</v>
          </cell>
          <cell r="E387" t="str">
            <v>-</v>
          </cell>
          <cell r="H387" t="str">
            <v>Hamza Ali</v>
          </cell>
          <cell r="J387" t="str">
            <v>ACH</v>
          </cell>
          <cell r="L387" t="str">
            <v>New</v>
          </cell>
          <cell r="M387">
            <v>45679</v>
          </cell>
          <cell r="N387">
            <v>1</v>
          </cell>
          <cell r="O387">
            <v>367</v>
          </cell>
          <cell r="P387">
            <v>45737</v>
          </cell>
          <cell r="Q387">
            <v>46044</v>
          </cell>
          <cell r="R387" t="str">
            <v>PLC-4106</v>
          </cell>
          <cell r="S387" t="str">
            <v>Mujtaba Siddiqui</v>
          </cell>
          <cell r="T387" t="str">
            <v>Individual</v>
          </cell>
          <cell r="U387">
            <v>1099</v>
          </cell>
          <cell r="V387" t="str">
            <v>Genpact</v>
          </cell>
          <cell r="W387">
            <v>21</v>
          </cell>
          <cell r="X387">
            <v>31.5</v>
          </cell>
          <cell r="Y387" t="str">
            <v>USD</v>
          </cell>
          <cell r="Z387">
            <v>28</v>
          </cell>
          <cell r="AA387">
            <v>42</v>
          </cell>
          <cell r="AB387">
            <v>0</v>
          </cell>
          <cell r="AC387">
            <v>0</v>
          </cell>
          <cell r="AD387">
            <v>45672</v>
          </cell>
          <cell r="AE387">
            <v>9</v>
          </cell>
          <cell r="AF387">
            <v>46022</v>
          </cell>
          <cell r="AG387">
            <v>22.470000000000002</v>
          </cell>
          <cell r="AH387">
            <v>33.705000000000005</v>
          </cell>
          <cell r="AI387">
            <v>22.470000000000002</v>
          </cell>
          <cell r="AJ387">
            <v>28</v>
          </cell>
          <cell r="AK387">
            <v>42</v>
          </cell>
          <cell r="AL387">
            <v>8.2949999999999946</v>
          </cell>
          <cell r="AM387">
            <v>5.5299999999999976</v>
          </cell>
          <cell r="AN387">
            <v>8.2949999999999946</v>
          </cell>
          <cell r="AO387">
            <v>5.5299999999999976</v>
          </cell>
          <cell r="AP387">
            <v>8.2949999999999946</v>
          </cell>
          <cell r="AQ387">
            <v>5.5299999999999976</v>
          </cell>
          <cell r="AR387" t="str">
            <v>US_24333</v>
          </cell>
          <cell r="AS387">
            <v>0</v>
          </cell>
          <cell r="AT387">
            <v>64</v>
          </cell>
          <cell r="AU387">
            <v>64</v>
          </cell>
          <cell r="AV387">
            <v>0</v>
          </cell>
          <cell r="AW387">
            <v>353.91999999999985</v>
          </cell>
          <cell r="AX387">
            <v>350.38079999999985</v>
          </cell>
          <cell r="AY387">
            <v>353.91999999999985</v>
          </cell>
          <cell r="AZ387">
            <v>250</v>
          </cell>
          <cell r="BA387">
            <v>8.8479999999999954</v>
          </cell>
          <cell r="BB387">
            <v>566.27199999999971</v>
          </cell>
          <cell r="BC387">
            <v>46</v>
          </cell>
          <cell r="BD387">
            <v>353.91999999999985</v>
          </cell>
          <cell r="BE387">
            <v>283.13599999999985</v>
          </cell>
          <cell r="BF387">
            <v>350.38079999999985</v>
          </cell>
          <cell r="BG387">
            <v>1792</v>
          </cell>
          <cell r="BH387">
            <v>1792</v>
          </cell>
          <cell r="BI387">
            <v>1344</v>
          </cell>
          <cell r="BJ387">
            <v>1.4700000000000002</v>
          </cell>
          <cell r="BK387">
            <v>0</v>
          </cell>
          <cell r="BL387">
            <v>94.080000000000013</v>
          </cell>
          <cell r="BM387">
            <v>1438.08</v>
          </cell>
          <cell r="BN387">
            <v>1.4700000000000002</v>
          </cell>
          <cell r="BO387">
            <v>353.91999999999996</v>
          </cell>
          <cell r="BP387" t="str">
            <v>Y</v>
          </cell>
          <cell r="BQ387">
            <v>1</v>
          </cell>
          <cell r="BR387" t="str">
            <v>Y</v>
          </cell>
          <cell r="BS387">
            <v>566.27199999999971</v>
          </cell>
          <cell r="BT387" t="str">
            <v>Done</v>
          </cell>
          <cell r="BU387">
            <v>64</v>
          </cell>
          <cell r="BV387">
            <v>2025</v>
          </cell>
        </row>
        <row r="388">
          <cell r="A388" t="str">
            <v>Lucknow</v>
          </cell>
          <cell r="B388" t="str">
            <v>Titans</v>
          </cell>
          <cell r="C388" t="str">
            <v>Mid Level</v>
          </cell>
          <cell r="D388" t="str">
            <v>Nitin Saxena</v>
          </cell>
          <cell r="E388" t="str">
            <v>-</v>
          </cell>
          <cell r="H388" t="str">
            <v>Hamza Ali</v>
          </cell>
          <cell r="J388" t="str">
            <v>ACH</v>
          </cell>
          <cell r="L388" t="str">
            <v>New</v>
          </cell>
          <cell r="M388">
            <v>45679</v>
          </cell>
          <cell r="N388">
            <v>1</v>
          </cell>
          <cell r="O388">
            <v>367</v>
          </cell>
          <cell r="P388">
            <v>45737</v>
          </cell>
          <cell r="Q388">
            <v>46044</v>
          </cell>
          <cell r="R388" t="str">
            <v>PLC-4106</v>
          </cell>
          <cell r="S388" t="str">
            <v>Mujtaba Siddiqui</v>
          </cell>
          <cell r="T388" t="str">
            <v>Individual</v>
          </cell>
          <cell r="U388">
            <v>1099</v>
          </cell>
          <cell r="V388" t="str">
            <v>Genpact</v>
          </cell>
          <cell r="W388">
            <v>21</v>
          </cell>
          <cell r="X388">
            <v>31.5</v>
          </cell>
          <cell r="Y388" t="str">
            <v>USD</v>
          </cell>
          <cell r="Z388">
            <v>28</v>
          </cell>
          <cell r="AA388">
            <v>42</v>
          </cell>
          <cell r="AB388">
            <v>0</v>
          </cell>
          <cell r="AC388">
            <v>0</v>
          </cell>
          <cell r="AD388">
            <v>45703</v>
          </cell>
          <cell r="AE388">
            <v>20</v>
          </cell>
          <cell r="AF388">
            <v>46022</v>
          </cell>
          <cell r="AG388">
            <v>22.470000000000002</v>
          </cell>
          <cell r="AH388">
            <v>33.705000000000005</v>
          </cell>
          <cell r="AI388">
            <v>22.470000000000002</v>
          </cell>
          <cell r="AJ388">
            <v>28</v>
          </cell>
          <cell r="AK388">
            <v>42</v>
          </cell>
          <cell r="AL388">
            <v>8.2949999999999946</v>
          </cell>
          <cell r="AM388">
            <v>5.5299999999999976</v>
          </cell>
          <cell r="AN388">
            <v>8.2949999999999946</v>
          </cell>
          <cell r="AO388">
            <v>5.5299999999999976</v>
          </cell>
          <cell r="AP388">
            <v>8.2949999999999946</v>
          </cell>
          <cell r="AQ388">
            <v>5.5299999999999976</v>
          </cell>
          <cell r="AR388" t="str">
            <v>US_24523</v>
          </cell>
          <cell r="AS388">
            <v>0</v>
          </cell>
          <cell r="AT388">
            <v>156.5</v>
          </cell>
          <cell r="AU388">
            <v>156.5</v>
          </cell>
          <cell r="AV388">
            <v>0</v>
          </cell>
          <cell r="AW388">
            <v>865.4449999999996</v>
          </cell>
          <cell r="AX388">
            <v>856.7905499999996</v>
          </cell>
          <cell r="AY388">
            <v>865.4449999999996</v>
          </cell>
          <cell r="AZ388">
            <v>250</v>
          </cell>
          <cell r="BA388">
            <v>8.8479999999999954</v>
          </cell>
          <cell r="BB388">
            <v>1384.7119999999993</v>
          </cell>
          <cell r="BC388">
            <v>46</v>
          </cell>
          <cell r="BD388">
            <v>865.4449999999996</v>
          </cell>
          <cell r="BE388">
            <v>692.35599999999965</v>
          </cell>
          <cell r="BF388">
            <v>856.7905499999996</v>
          </cell>
          <cell r="BG388">
            <v>4382</v>
          </cell>
          <cell r="BH388">
            <v>4382</v>
          </cell>
          <cell r="BI388">
            <v>3286.5</v>
          </cell>
          <cell r="BJ388">
            <v>1.4700000000000002</v>
          </cell>
          <cell r="BK388">
            <v>0</v>
          </cell>
          <cell r="BL388">
            <v>230.05500000000004</v>
          </cell>
          <cell r="BM388">
            <v>3516.5549999999998</v>
          </cell>
          <cell r="BN388">
            <v>1.4700000000000002</v>
          </cell>
          <cell r="BO388">
            <v>865.44499999999994</v>
          </cell>
          <cell r="BP388" t="str">
            <v>Y</v>
          </cell>
          <cell r="BQ388">
            <v>1</v>
          </cell>
          <cell r="BR388" t="str">
            <v>Y</v>
          </cell>
          <cell r="BS388">
            <v>1384.7119999999993</v>
          </cell>
          <cell r="BT388" t="str">
            <v>Done</v>
          </cell>
          <cell r="BU388">
            <v>156.5</v>
          </cell>
          <cell r="BV388">
            <v>2025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Nitin Saxena</v>
          </cell>
          <cell r="E389" t="str">
            <v>-</v>
          </cell>
          <cell r="H389" t="str">
            <v>Hamza Ali</v>
          </cell>
          <cell r="J389" t="str">
            <v>ACH</v>
          </cell>
          <cell r="L389" t="str">
            <v>New</v>
          </cell>
          <cell r="M389">
            <v>45679</v>
          </cell>
          <cell r="N389">
            <v>1</v>
          </cell>
          <cell r="O389">
            <v>367</v>
          </cell>
          <cell r="P389">
            <v>45737</v>
          </cell>
          <cell r="Q389">
            <v>46044</v>
          </cell>
          <cell r="R389" t="str">
            <v>PLC-4106</v>
          </cell>
          <cell r="S389" t="str">
            <v>Mujtaba Siddiqui</v>
          </cell>
          <cell r="T389" t="str">
            <v>Individual</v>
          </cell>
          <cell r="U389">
            <v>1099</v>
          </cell>
          <cell r="V389" t="str">
            <v>Genpact</v>
          </cell>
          <cell r="W389">
            <v>21</v>
          </cell>
          <cell r="X389">
            <v>31.5</v>
          </cell>
          <cell r="Y389" t="str">
            <v>USD</v>
          </cell>
          <cell r="Z389">
            <v>28</v>
          </cell>
          <cell r="AA389">
            <v>42</v>
          </cell>
          <cell r="AB389">
            <v>0</v>
          </cell>
          <cell r="AC389">
            <v>0</v>
          </cell>
          <cell r="AD389">
            <v>45731</v>
          </cell>
          <cell r="AE389">
            <v>15</v>
          </cell>
          <cell r="AF389">
            <v>46022</v>
          </cell>
          <cell r="AG389">
            <v>22.470000000000002</v>
          </cell>
          <cell r="AH389">
            <v>33.705000000000005</v>
          </cell>
          <cell r="AI389">
            <v>22.470000000000002</v>
          </cell>
          <cell r="AJ389">
            <v>28</v>
          </cell>
          <cell r="AK389">
            <v>42</v>
          </cell>
          <cell r="AL389">
            <v>8.2949999999999946</v>
          </cell>
          <cell r="AM389">
            <v>5.5299999999999976</v>
          </cell>
          <cell r="AN389">
            <v>8.2949999999999946</v>
          </cell>
          <cell r="AO389">
            <v>5.5299999999999976</v>
          </cell>
          <cell r="AP389">
            <v>8.2949999999999946</v>
          </cell>
          <cell r="AQ389">
            <v>5.5299999999999976</v>
          </cell>
          <cell r="AR389" t="str">
            <v>US_24699</v>
          </cell>
          <cell r="AS389">
            <v>10</v>
          </cell>
          <cell r="AT389">
            <v>110</v>
          </cell>
          <cell r="AU389">
            <v>110</v>
          </cell>
          <cell r="AV389">
            <v>82.949999999999946</v>
          </cell>
          <cell r="AW389">
            <v>608.29999999999973</v>
          </cell>
          <cell r="AX389">
            <v>684.33749999999964</v>
          </cell>
          <cell r="AY389">
            <v>608.29999999999973</v>
          </cell>
          <cell r="AZ389">
            <v>250</v>
          </cell>
          <cell r="BA389">
            <v>8.8479999999999954</v>
          </cell>
          <cell r="BB389">
            <v>973.27999999999952</v>
          </cell>
          <cell r="BC389">
            <v>46</v>
          </cell>
          <cell r="BD389">
            <v>608.29999999999973</v>
          </cell>
          <cell r="BE389">
            <v>486.63999999999976</v>
          </cell>
          <cell r="BF389">
            <v>684.33749999999964</v>
          </cell>
          <cell r="BG389">
            <v>3080</v>
          </cell>
          <cell r="BH389">
            <v>3080</v>
          </cell>
          <cell r="BI389">
            <v>2310</v>
          </cell>
          <cell r="BJ389">
            <v>1.4700000000000002</v>
          </cell>
          <cell r="BK389">
            <v>0</v>
          </cell>
          <cell r="BL389">
            <v>161.70000000000002</v>
          </cell>
          <cell r="BM389">
            <v>2471.6999999999998</v>
          </cell>
          <cell r="BN389">
            <v>1.4700000000000002</v>
          </cell>
          <cell r="BO389">
            <v>608.29999999999995</v>
          </cell>
          <cell r="BP389" t="str">
            <v>Y</v>
          </cell>
          <cell r="BQ389">
            <v>1</v>
          </cell>
          <cell r="BR389" t="str">
            <v>Y</v>
          </cell>
          <cell r="BS389">
            <v>973.27999999999952</v>
          </cell>
          <cell r="BT389" t="str">
            <v>Done</v>
          </cell>
          <cell r="BU389">
            <v>110</v>
          </cell>
          <cell r="BV389">
            <v>2025</v>
          </cell>
        </row>
        <row r="390">
          <cell r="A390" t="str">
            <v>Chennai</v>
          </cell>
          <cell r="B390" t="str">
            <v>Chennai</v>
          </cell>
          <cell r="C390" t="str">
            <v>Mid Level</v>
          </cell>
          <cell r="D390" t="str">
            <v>Vinoth L</v>
          </cell>
          <cell r="E390" t="str">
            <v>-</v>
          </cell>
          <cell r="F390" t="str">
            <v>-</v>
          </cell>
          <cell r="H390" t="str">
            <v>Pass Through</v>
          </cell>
          <cell r="K390">
            <v>0</v>
          </cell>
          <cell r="L390" t="str">
            <v>Old</v>
          </cell>
          <cell r="M390">
            <v>45541</v>
          </cell>
          <cell r="N390">
            <v>3</v>
          </cell>
          <cell r="O390">
            <v>505</v>
          </cell>
          <cell r="P390" t="str">
            <v>-</v>
          </cell>
          <cell r="Q390">
            <v>45906</v>
          </cell>
          <cell r="R390" t="str">
            <v>PLC-Passthrough</v>
          </cell>
          <cell r="S390" t="str">
            <v>Murugan Dakshnamoorthy</v>
          </cell>
          <cell r="T390" t="str">
            <v>Individual</v>
          </cell>
          <cell r="U390" t="str">
            <v>C2C</v>
          </cell>
          <cell r="V390" t="str">
            <v>Citius Tech</v>
          </cell>
          <cell r="W390">
            <v>85</v>
          </cell>
          <cell r="X390">
            <v>0</v>
          </cell>
          <cell r="Y390" t="str">
            <v>USD</v>
          </cell>
          <cell r="Z390">
            <v>87</v>
          </cell>
          <cell r="AA390">
            <v>0</v>
          </cell>
          <cell r="AB390">
            <v>0</v>
          </cell>
          <cell r="AC390">
            <v>0</v>
          </cell>
          <cell r="AD390">
            <v>45672</v>
          </cell>
          <cell r="AE390">
            <v>23</v>
          </cell>
          <cell r="AF390">
            <v>46022</v>
          </cell>
          <cell r="AG390">
            <v>85</v>
          </cell>
          <cell r="AH390">
            <v>0</v>
          </cell>
          <cell r="AI390">
            <v>85</v>
          </cell>
          <cell r="AJ390">
            <v>87</v>
          </cell>
          <cell r="AK390">
            <v>0</v>
          </cell>
          <cell r="AL390">
            <v>0</v>
          </cell>
          <cell r="AM390">
            <v>2</v>
          </cell>
          <cell r="AN390">
            <v>0</v>
          </cell>
          <cell r="AO390">
            <v>2</v>
          </cell>
          <cell r="AP390">
            <v>0</v>
          </cell>
          <cell r="AQ390">
            <v>2</v>
          </cell>
          <cell r="AR390" t="str">
            <v>US_24274</v>
          </cell>
          <cell r="AS390">
            <v>0</v>
          </cell>
          <cell r="AT390">
            <v>56</v>
          </cell>
          <cell r="AU390">
            <v>56</v>
          </cell>
          <cell r="AV390">
            <v>0</v>
          </cell>
          <cell r="AW390">
            <v>112</v>
          </cell>
          <cell r="AX390">
            <v>112</v>
          </cell>
          <cell r="AY390">
            <v>112</v>
          </cell>
          <cell r="AZ390">
            <v>0</v>
          </cell>
          <cell r="BA390">
            <v>0</v>
          </cell>
          <cell r="BB390">
            <v>0</v>
          </cell>
          <cell r="BC390">
            <v>53.225806451612897</v>
          </cell>
          <cell r="BD390">
            <v>112</v>
          </cell>
          <cell r="BE390">
            <v>89.6</v>
          </cell>
          <cell r="BF390">
            <v>112</v>
          </cell>
          <cell r="BG390">
            <v>4872</v>
          </cell>
          <cell r="BH390">
            <v>4872</v>
          </cell>
          <cell r="BI390">
            <v>4760</v>
          </cell>
          <cell r="BJ390">
            <v>0</v>
          </cell>
          <cell r="BK390">
            <v>0</v>
          </cell>
          <cell r="BL390">
            <v>0</v>
          </cell>
          <cell r="BM390">
            <v>4760</v>
          </cell>
          <cell r="BN390">
            <v>0</v>
          </cell>
          <cell r="BO390">
            <v>112</v>
          </cell>
          <cell r="BP390" t="str">
            <v>Y</v>
          </cell>
          <cell r="BQ390">
            <v>1</v>
          </cell>
          <cell r="BR390" t="str">
            <v>Y</v>
          </cell>
          <cell r="BS390">
            <v>0</v>
          </cell>
          <cell r="BT390" t="str">
            <v>Done</v>
          </cell>
          <cell r="BU390">
            <v>56</v>
          </cell>
          <cell r="BV390">
            <v>2024</v>
          </cell>
        </row>
        <row r="391">
          <cell r="A391" t="str">
            <v>Chennai</v>
          </cell>
          <cell r="B391" t="str">
            <v>Chennai</v>
          </cell>
          <cell r="C391" t="str">
            <v>Mid Level</v>
          </cell>
          <cell r="D391" t="str">
            <v>Vinoth L</v>
          </cell>
          <cell r="E391" t="str">
            <v>-</v>
          </cell>
          <cell r="F391" t="str">
            <v>-</v>
          </cell>
          <cell r="H391" t="str">
            <v>Pass Through</v>
          </cell>
          <cell r="K391">
            <v>0</v>
          </cell>
          <cell r="L391" t="str">
            <v>Old</v>
          </cell>
          <cell r="M391">
            <v>45541</v>
          </cell>
          <cell r="N391">
            <v>3</v>
          </cell>
          <cell r="O391">
            <v>505</v>
          </cell>
          <cell r="P391" t="str">
            <v>-</v>
          </cell>
          <cell r="Q391">
            <v>45906</v>
          </cell>
          <cell r="R391" t="str">
            <v>PLC-Passthrough</v>
          </cell>
          <cell r="S391" t="str">
            <v>Murugan Dakshnamoorthy</v>
          </cell>
          <cell r="T391" t="str">
            <v>Individual</v>
          </cell>
          <cell r="U391" t="str">
            <v>C2C</v>
          </cell>
          <cell r="V391" t="str">
            <v>Citius Tech</v>
          </cell>
          <cell r="W391">
            <v>85</v>
          </cell>
          <cell r="X391">
            <v>0</v>
          </cell>
          <cell r="Y391" t="str">
            <v>USD</v>
          </cell>
          <cell r="Z391">
            <v>87</v>
          </cell>
          <cell r="AA391">
            <v>0</v>
          </cell>
          <cell r="AB391">
            <v>0</v>
          </cell>
          <cell r="AC391">
            <v>0</v>
          </cell>
          <cell r="AD391">
            <v>45703</v>
          </cell>
          <cell r="AE391">
            <v>20</v>
          </cell>
          <cell r="AF391">
            <v>46022</v>
          </cell>
          <cell r="AG391">
            <v>85</v>
          </cell>
          <cell r="AH391">
            <v>0</v>
          </cell>
          <cell r="AI391">
            <v>85</v>
          </cell>
          <cell r="AJ391">
            <v>87</v>
          </cell>
          <cell r="AK391">
            <v>0</v>
          </cell>
          <cell r="AL391">
            <v>0</v>
          </cell>
          <cell r="AM391">
            <v>2</v>
          </cell>
          <cell r="AN391">
            <v>0</v>
          </cell>
          <cell r="AO391">
            <v>2</v>
          </cell>
          <cell r="AP391">
            <v>0</v>
          </cell>
          <cell r="AQ391">
            <v>2</v>
          </cell>
          <cell r="AR391" t="str">
            <v>US_24474</v>
          </cell>
          <cell r="AS391">
            <v>0</v>
          </cell>
          <cell r="AT391">
            <v>160</v>
          </cell>
          <cell r="AU391">
            <v>160</v>
          </cell>
          <cell r="AV391">
            <v>0</v>
          </cell>
          <cell r="AW391">
            <v>320</v>
          </cell>
          <cell r="AX391">
            <v>320</v>
          </cell>
          <cell r="AY391">
            <v>320</v>
          </cell>
          <cell r="AZ391">
            <v>0</v>
          </cell>
          <cell r="BA391">
            <v>0</v>
          </cell>
          <cell r="BB391">
            <v>0</v>
          </cell>
          <cell r="BC391">
            <v>53.225806451612897</v>
          </cell>
          <cell r="BD391">
            <v>320</v>
          </cell>
          <cell r="BE391">
            <v>256</v>
          </cell>
          <cell r="BF391">
            <v>320</v>
          </cell>
          <cell r="BG391">
            <v>13920</v>
          </cell>
          <cell r="BH391">
            <v>13920</v>
          </cell>
          <cell r="BI391">
            <v>13600</v>
          </cell>
          <cell r="BJ391">
            <v>0</v>
          </cell>
          <cell r="BK391">
            <v>0</v>
          </cell>
          <cell r="BL391">
            <v>0</v>
          </cell>
          <cell r="BM391">
            <v>13600</v>
          </cell>
          <cell r="BN391">
            <v>0</v>
          </cell>
          <cell r="BO391">
            <v>320</v>
          </cell>
          <cell r="BP391" t="str">
            <v>Y</v>
          </cell>
          <cell r="BQ391">
            <v>1</v>
          </cell>
          <cell r="BR391" t="str">
            <v>Y</v>
          </cell>
          <cell r="BS391">
            <v>0</v>
          </cell>
          <cell r="BT391" t="str">
            <v>Done</v>
          </cell>
          <cell r="BU391">
            <v>160</v>
          </cell>
          <cell r="BV391">
            <v>2024</v>
          </cell>
        </row>
        <row r="392">
          <cell r="A392" t="str">
            <v>Chennai</v>
          </cell>
          <cell r="B392" t="str">
            <v>Chennai</v>
          </cell>
          <cell r="C392" t="str">
            <v>Mid Level</v>
          </cell>
          <cell r="D392" t="str">
            <v>Vinoth L</v>
          </cell>
          <cell r="E392" t="str">
            <v>-</v>
          </cell>
          <cell r="F392" t="str">
            <v>-</v>
          </cell>
          <cell r="H392" t="str">
            <v>Pass Through</v>
          </cell>
          <cell r="K392">
            <v>0</v>
          </cell>
          <cell r="L392" t="str">
            <v>Old</v>
          </cell>
          <cell r="M392">
            <v>45541</v>
          </cell>
          <cell r="N392">
            <v>3</v>
          </cell>
          <cell r="O392">
            <v>505</v>
          </cell>
          <cell r="P392" t="str">
            <v>-</v>
          </cell>
          <cell r="Q392">
            <v>45906</v>
          </cell>
          <cell r="R392" t="str">
            <v>PLC-Passthrough</v>
          </cell>
          <cell r="S392" t="str">
            <v>Murugan Dakshnamoorthy</v>
          </cell>
          <cell r="T392" t="str">
            <v>Individual</v>
          </cell>
          <cell r="U392" t="str">
            <v>C2C</v>
          </cell>
          <cell r="V392" t="str">
            <v>Citius Tech</v>
          </cell>
          <cell r="W392">
            <v>85</v>
          </cell>
          <cell r="X392">
            <v>0</v>
          </cell>
          <cell r="Y392" t="str">
            <v>USD</v>
          </cell>
          <cell r="Z392">
            <v>87</v>
          </cell>
          <cell r="AA392">
            <v>0</v>
          </cell>
          <cell r="AB392">
            <v>0</v>
          </cell>
          <cell r="AC392">
            <v>0</v>
          </cell>
          <cell r="AD392">
            <v>45731</v>
          </cell>
          <cell r="AE392">
            <v>21</v>
          </cell>
          <cell r="AF392">
            <v>46022</v>
          </cell>
          <cell r="AG392">
            <v>85</v>
          </cell>
          <cell r="AH392">
            <v>0</v>
          </cell>
          <cell r="AI392">
            <v>85</v>
          </cell>
          <cell r="AJ392">
            <v>87</v>
          </cell>
          <cell r="AK392">
            <v>0</v>
          </cell>
          <cell r="AL392">
            <v>0</v>
          </cell>
          <cell r="AM392">
            <v>2</v>
          </cell>
          <cell r="AN392">
            <v>0</v>
          </cell>
          <cell r="AO392">
            <v>2</v>
          </cell>
          <cell r="AP392">
            <v>0</v>
          </cell>
          <cell r="AQ392">
            <v>2</v>
          </cell>
          <cell r="AR392" t="str">
            <v>US_24660</v>
          </cell>
          <cell r="AS392">
            <v>0</v>
          </cell>
          <cell r="AT392">
            <v>168</v>
          </cell>
          <cell r="AU392">
            <v>168</v>
          </cell>
          <cell r="AV392">
            <v>0</v>
          </cell>
          <cell r="AW392">
            <v>336</v>
          </cell>
          <cell r="AX392">
            <v>336</v>
          </cell>
          <cell r="AY392">
            <v>336</v>
          </cell>
          <cell r="AZ392">
            <v>0</v>
          </cell>
          <cell r="BA392">
            <v>0</v>
          </cell>
          <cell r="BB392">
            <v>0</v>
          </cell>
          <cell r="BC392">
            <v>53.225806451612897</v>
          </cell>
          <cell r="BD392">
            <v>336</v>
          </cell>
          <cell r="BE392">
            <v>268.8</v>
          </cell>
          <cell r="BF392">
            <v>336</v>
          </cell>
          <cell r="BG392">
            <v>14616</v>
          </cell>
          <cell r="BH392">
            <v>14616</v>
          </cell>
          <cell r="BI392">
            <v>14280</v>
          </cell>
          <cell r="BJ392">
            <v>0</v>
          </cell>
          <cell r="BK392">
            <v>0</v>
          </cell>
          <cell r="BL392">
            <v>0</v>
          </cell>
          <cell r="BM392">
            <v>14280</v>
          </cell>
          <cell r="BN392">
            <v>0</v>
          </cell>
          <cell r="BO392">
            <v>336</v>
          </cell>
          <cell r="BP392" t="str">
            <v>Y</v>
          </cell>
          <cell r="BQ392">
            <v>1</v>
          </cell>
          <cell r="BR392" t="str">
            <v>Y</v>
          </cell>
          <cell r="BS392">
            <v>0</v>
          </cell>
          <cell r="BT392" t="str">
            <v>Done</v>
          </cell>
          <cell r="BU392">
            <v>168</v>
          </cell>
          <cell r="BV392">
            <v>2024</v>
          </cell>
        </row>
        <row r="393">
          <cell r="A393" t="str">
            <v>Chennai</v>
          </cell>
          <cell r="B393" t="str">
            <v>Chennai</v>
          </cell>
          <cell r="C393" t="str">
            <v>Mid Level</v>
          </cell>
          <cell r="D393" t="str">
            <v>Vinoth L</v>
          </cell>
          <cell r="E393" t="str">
            <v>-</v>
          </cell>
          <cell r="F393" t="str">
            <v>-</v>
          </cell>
          <cell r="H393" t="str">
            <v>Pass Through</v>
          </cell>
          <cell r="K393">
            <v>0</v>
          </cell>
          <cell r="L393" t="str">
            <v>Old</v>
          </cell>
          <cell r="M393">
            <v>45541</v>
          </cell>
          <cell r="N393">
            <v>3</v>
          </cell>
          <cell r="O393">
            <v>505</v>
          </cell>
          <cell r="P393" t="str">
            <v>-</v>
          </cell>
          <cell r="Q393">
            <v>45906</v>
          </cell>
          <cell r="R393" t="str">
            <v>PLC-Passthrough</v>
          </cell>
          <cell r="S393" t="str">
            <v>Murugan Dakshnamoorthy</v>
          </cell>
          <cell r="T393" t="str">
            <v>Individual</v>
          </cell>
          <cell r="U393" t="str">
            <v>C2C</v>
          </cell>
          <cell r="V393" t="str">
            <v>Citius Tech</v>
          </cell>
          <cell r="W393">
            <v>85</v>
          </cell>
          <cell r="X393">
            <v>0</v>
          </cell>
          <cell r="Y393" t="str">
            <v>USD</v>
          </cell>
          <cell r="Z393">
            <v>87</v>
          </cell>
          <cell r="AA393">
            <v>0</v>
          </cell>
          <cell r="AB393">
            <v>0</v>
          </cell>
          <cell r="AC393">
            <v>0</v>
          </cell>
          <cell r="AD393">
            <v>45762</v>
          </cell>
          <cell r="AE393">
            <v>22</v>
          </cell>
          <cell r="AF393">
            <v>46022</v>
          </cell>
          <cell r="AG393">
            <v>85</v>
          </cell>
          <cell r="AH393">
            <v>0</v>
          </cell>
          <cell r="AI393">
            <v>85</v>
          </cell>
          <cell r="AJ393">
            <v>87</v>
          </cell>
          <cell r="AK393">
            <v>0</v>
          </cell>
          <cell r="AL393">
            <v>0</v>
          </cell>
          <cell r="AM393">
            <v>2</v>
          </cell>
          <cell r="AN393">
            <v>0</v>
          </cell>
          <cell r="AO393">
            <v>2</v>
          </cell>
          <cell r="AP393">
            <v>0</v>
          </cell>
          <cell r="AQ393">
            <v>2</v>
          </cell>
          <cell r="AR393" t="str">
            <v>US_24865</v>
          </cell>
          <cell r="AS393">
            <v>0</v>
          </cell>
          <cell r="AT393">
            <v>176</v>
          </cell>
          <cell r="AU393">
            <v>176</v>
          </cell>
          <cell r="AV393">
            <v>0</v>
          </cell>
          <cell r="AW393">
            <v>352</v>
          </cell>
          <cell r="AX393">
            <v>352</v>
          </cell>
          <cell r="AY393">
            <v>352</v>
          </cell>
          <cell r="AZ393">
            <v>0</v>
          </cell>
          <cell r="BA393">
            <v>0</v>
          </cell>
          <cell r="BB393">
            <v>0</v>
          </cell>
          <cell r="BC393">
            <v>53.225806451612897</v>
          </cell>
          <cell r="BD393">
            <v>352</v>
          </cell>
          <cell r="BE393">
            <v>281.60000000000002</v>
          </cell>
          <cell r="BF393">
            <v>352</v>
          </cell>
          <cell r="BG393">
            <v>15312</v>
          </cell>
          <cell r="BH393">
            <v>15312</v>
          </cell>
          <cell r="BI393">
            <v>14960</v>
          </cell>
          <cell r="BJ393">
            <v>0</v>
          </cell>
          <cell r="BK393">
            <v>0</v>
          </cell>
          <cell r="BL393">
            <v>0</v>
          </cell>
          <cell r="BM393">
            <v>14960</v>
          </cell>
          <cell r="BN393">
            <v>0</v>
          </cell>
          <cell r="BO393">
            <v>352</v>
          </cell>
          <cell r="BP393" t="str">
            <v>Y</v>
          </cell>
          <cell r="BQ393">
            <v>2</v>
          </cell>
          <cell r="BR393" t="str">
            <v>Y</v>
          </cell>
          <cell r="BS393">
            <v>0</v>
          </cell>
          <cell r="BT393" t="str">
            <v>Done</v>
          </cell>
          <cell r="BU393">
            <v>176</v>
          </cell>
          <cell r="BV393">
            <v>2024</v>
          </cell>
        </row>
        <row r="394">
          <cell r="A394" t="str">
            <v>Noida</v>
          </cell>
          <cell r="B394" t="str">
            <v>Noida IT</v>
          </cell>
          <cell r="C394" t="str">
            <v>Mid Level</v>
          </cell>
          <cell r="D394" t="str">
            <v>Akash Saxena</v>
          </cell>
          <cell r="E394" t="str">
            <v>-</v>
          </cell>
          <cell r="F394" t="str">
            <v>-</v>
          </cell>
          <cell r="G394" t="str">
            <v>-</v>
          </cell>
          <cell r="H394" t="str">
            <v>Akash Saxena</v>
          </cell>
          <cell r="K394" t="str">
            <v>-</v>
          </cell>
          <cell r="L394" t="str">
            <v>New</v>
          </cell>
          <cell r="M394">
            <v>45754</v>
          </cell>
          <cell r="N394">
            <v>2</v>
          </cell>
          <cell r="O394">
            <v>292</v>
          </cell>
          <cell r="P394" t="str">
            <v>-</v>
          </cell>
          <cell r="Q394">
            <v>46119</v>
          </cell>
          <cell r="S394" t="str">
            <v>Nagarjuna Bodavula</v>
          </cell>
          <cell r="T394" t="str">
            <v>Individual</v>
          </cell>
          <cell r="U394" t="str">
            <v>C2C</v>
          </cell>
          <cell r="V394" t="str">
            <v>Citius Tech</v>
          </cell>
          <cell r="W394">
            <v>70</v>
          </cell>
          <cell r="X394">
            <v>0</v>
          </cell>
          <cell r="Y394" t="str">
            <v>USD</v>
          </cell>
          <cell r="Z394">
            <v>72</v>
          </cell>
          <cell r="AA394">
            <v>0</v>
          </cell>
          <cell r="AB394">
            <v>0</v>
          </cell>
          <cell r="AC394">
            <v>0</v>
          </cell>
          <cell r="AD394">
            <v>45762</v>
          </cell>
          <cell r="AE394">
            <v>18</v>
          </cell>
          <cell r="AF394">
            <v>46022</v>
          </cell>
          <cell r="AG394">
            <v>70</v>
          </cell>
          <cell r="AH394">
            <v>0</v>
          </cell>
          <cell r="AI394">
            <v>70</v>
          </cell>
          <cell r="AJ394">
            <v>72</v>
          </cell>
          <cell r="AK394">
            <v>0</v>
          </cell>
          <cell r="AL394">
            <v>0</v>
          </cell>
          <cell r="AM394">
            <v>2</v>
          </cell>
          <cell r="AN394">
            <v>0</v>
          </cell>
          <cell r="AO394">
            <v>2</v>
          </cell>
          <cell r="AP394">
            <v>0</v>
          </cell>
          <cell r="AQ394">
            <v>2</v>
          </cell>
          <cell r="AR394" t="str">
            <v>US_24941</v>
          </cell>
          <cell r="AS394">
            <v>0</v>
          </cell>
          <cell r="AT394">
            <v>136</v>
          </cell>
          <cell r="AU394">
            <v>136</v>
          </cell>
          <cell r="AV394">
            <v>0</v>
          </cell>
          <cell r="AW394">
            <v>272</v>
          </cell>
          <cell r="AX394">
            <v>272</v>
          </cell>
          <cell r="AY394">
            <v>272</v>
          </cell>
          <cell r="AZ394">
            <v>0</v>
          </cell>
          <cell r="BA394">
            <v>0</v>
          </cell>
          <cell r="BB394">
            <v>0</v>
          </cell>
          <cell r="BC394">
            <v>49</v>
          </cell>
          <cell r="BD394">
            <v>272</v>
          </cell>
          <cell r="BE394">
            <v>217.6</v>
          </cell>
          <cell r="BF394">
            <v>272</v>
          </cell>
          <cell r="BG394">
            <v>9792</v>
          </cell>
          <cell r="BH394">
            <v>9792</v>
          </cell>
          <cell r="BI394">
            <v>9520</v>
          </cell>
          <cell r="BJ394">
            <v>0</v>
          </cell>
          <cell r="BK394">
            <v>0</v>
          </cell>
          <cell r="BL394">
            <v>0</v>
          </cell>
          <cell r="BM394">
            <v>9520</v>
          </cell>
          <cell r="BN394">
            <v>0</v>
          </cell>
          <cell r="BO394">
            <v>272</v>
          </cell>
          <cell r="BP394" t="str">
            <v>Y</v>
          </cell>
          <cell r="BQ394">
            <v>2</v>
          </cell>
          <cell r="BR394" t="str">
            <v>Y</v>
          </cell>
          <cell r="BS394">
            <v>0</v>
          </cell>
          <cell r="BT394" t="str">
            <v>Done</v>
          </cell>
          <cell r="BU394">
            <v>136</v>
          </cell>
          <cell r="BV394">
            <v>2025</v>
          </cell>
        </row>
        <row r="395">
          <cell r="A395" t="str">
            <v>Lucknow</v>
          </cell>
          <cell r="B395" t="str">
            <v>Trust</v>
          </cell>
          <cell r="C395" t="str">
            <v>Mid Level</v>
          </cell>
          <cell r="D395" t="str">
            <v>Harsh Agarwal</v>
          </cell>
          <cell r="E395" t="str">
            <v>-</v>
          </cell>
          <cell r="F395" t="str">
            <v>-</v>
          </cell>
          <cell r="G395" t="str">
            <v>-</v>
          </cell>
          <cell r="H395" t="str">
            <v>Virendra Vikram Singh</v>
          </cell>
          <cell r="K395" t="str">
            <v>-</v>
          </cell>
          <cell r="L395" t="str">
            <v>New</v>
          </cell>
          <cell r="M395">
            <v>45775</v>
          </cell>
          <cell r="N395">
            <v>2</v>
          </cell>
          <cell r="O395">
            <v>271</v>
          </cell>
          <cell r="P395" t="str">
            <v>-</v>
          </cell>
          <cell r="Q395">
            <v>46140</v>
          </cell>
          <cell r="R395" t="str">
            <v>PLC-4223</v>
          </cell>
          <cell r="S395" t="str">
            <v>Narendra Bevinahalli Ramachandra Rao</v>
          </cell>
          <cell r="T395" t="str">
            <v>Individual</v>
          </cell>
          <cell r="U395" t="str">
            <v>C2C</v>
          </cell>
          <cell r="V395" t="str">
            <v>Birlasoft</v>
          </cell>
          <cell r="W395">
            <v>90</v>
          </cell>
          <cell r="X395">
            <v>0</v>
          </cell>
          <cell r="Y395" t="str">
            <v>USD</v>
          </cell>
          <cell r="Z395">
            <v>102</v>
          </cell>
          <cell r="AA395">
            <v>0</v>
          </cell>
          <cell r="AB395">
            <v>0</v>
          </cell>
          <cell r="AC395">
            <v>0</v>
          </cell>
          <cell r="AD395">
            <v>45762</v>
          </cell>
          <cell r="AE395">
            <v>3</v>
          </cell>
          <cell r="AF395">
            <v>46022</v>
          </cell>
          <cell r="AG395">
            <v>90</v>
          </cell>
          <cell r="AH395">
            <v>0</v>
          </cell>
          <cell r="AI395">
            <v>90</v>
          </cell>
          <cell r="AJ395">
            <v>102</v>
          </cell>
          <cell r="AK395">
            <v>0</v>
          </cell>
          <cell r="AL395">
            <v>0</v>
          </cell>
          <cell r="AM395">
            <v>12</v>
          </cell>
          <cell r="AN395">
            <v>0</v>
          </cell>
          <cell r="AO395">
            <v>12</v>
          </cell>
          <cell r="AP395">
            <v>0</v>
          </cell>
          <cell r="AQ395">
            <v>12</v>
          </cell>
          <cell r="AR395" t="str">
            <v>US_24955</v>
          </cell>
          <cell r="AS395">
            <v>0</v>
          </cell>
          <cell r="AT395">
            <v>32</v>
          </cell>
          <cell r="AU395">
            <v>32</v>
          </cell>
          <cell r="AV395">
            <v>0</v>
          </cell>
          <cell r="AW395">
            <v>384</v>
          </cell>
          <cell r="AX395">
            <v>384</v>
          </cell>
          <cell r="AY395">
            <v>384</v>
          </cell>
          <cell r="AZ395">
            <v>85.714285714285708</v>
          </cell>
          <cell r="BA395">
            <v>19.2</v>
          </cell>
          <cell r="BB395">
            <v>614.4</v>
          </cell>
          <cell r="BC395">
            <v>42</v>
          </cell>
          <cell r="BD395">
            <v>384</v>
          </cell>
          <cell r="BE395">
            <v>307.2</v>
          </cell>
          <cell r="BF395">
            <v>384</v>
          </cell>
          <cell r="BG395">
            <v>3264</v>
          </cell>
          <cell r="BH395">
            <v>3264</v>
          </cell>
          <cell r="BI395">
            <v>2880</v>
          </cell>
          <cell r="BJ395">
            <v>0</v>
          </cell>
          <cell r="BK395">
            <v>0</v>
          </cell>
          <cell r="BL395">
            <v>0</v>
          </cell>
          <cell r="BM395">
            <v>2880</v>
          </cell>
          <cell r="BN395">
            <v>0</v>
          </cell>
          <cell r="BO395">
            <v>384</v>
          </cell>
          <cell r="BP395" t="str">
            <v>Y</v>
          </cell>
          <cell r="BQ395">
            <v>2</v>
          </cell>
          <cell r="BR395" t="str">
            <v>Y</v>
          </cell>
          <cell r="BS395">
            <v>614.4</v>
          </cell>
          <cell r="BT395" t="str">
            <v>Done</v>
          </cell>
          <cell r="BU395">
            <v>32</v>
          </cell>
          <cell r="BV395">
            <v>2025</v>
          </cell>
        </row>
        <row r="396">
          <cell r="A396" t="str">
            <v>Lucknow</v>
          </cell>
          <cell r="B396" t="str">
            <v>Titans</v>
          </cell>
          <cell r="C396" t="str">
            <v>Mid Level</v>
          </cell>
          <cell r="D396" t="str">
            <v>Abhishek Yadav</v>
          </cell>
          <cell r="E396" t="str">
            <v>-</v>
          </cell>
          <cell r="H396" t="str">
            <v>Manish Kumar Dhiman</v>
          </cell>
          <cell r="K396">
            <v>0</v>
          </cell>
          <cell r="L396" t="str">
            <v>Old</v>
          </cell>
          <cell r="M396">
            <v>45609</v>
          </cell>
          <cell r="N396">
            <v>4</v>
          </cell>
          <cell r="O396">
            <v>437</v>
          </cell>
          <cell r="P396">
            <v>45702</v>
          </cell>
          <cell r="Q396">
            <v>45974</v>
          </cell>
          <cell r="R396" t="str">
            <v>PLC-4004</v>
          </cell>
          <cell r="S396" t="str">
            <v>Neha Kumari</v>
          </cell>
          <cell r="T396" t="str">
            <v>Individual</v>
          </cell>
          <cell r="U396" t="str">
            <v>C2C</v>
          </cell>
          <cell r="V396" t="str">
            <v>Genpact</v>
          </cell>
          <cell r="W396">
            <v>50</v>
          </cell>
          <cell r="X396">
            <v>0</v>
          </cell>
          <cell r="Y396" t="str">
            <v>USD</v>
          </cell>
          <cell r="Z396">
            <v>68</v>
          </cell>
          <cell r="AA396">
            <v>0</v>
          </cell>
          <cell r="AB396">
            <v>0</v>
          </cell>
          <cell r="AC396">
            <v>0</v>
          </cell>
          <cell r="AD396">
            <v>45672</v>
          </cell>
          <cell r="AE396">
            <v>22</v>
          </cell>
          <cell r="AF396">
            <v>46022</v>
          </cell>
          <cell r="AG396">
            <v>50</v>
          </cell>
          <cell r="AH396">
            <v>0</v>
          </cell>
          <cell r="AI396">
            <v>50</v>
          </cell>
          <cell r="AJ396">
            <v>68</v>
          </cell>
          <cell r="AK396">
            <v>0</v>
          </cell>
          <cell r="AL396">
            <v>0</v>
          </cell>
          <cell r="AM396">
            <v>18</v>
          </cell>
          <cell r="AN396">
            <v>0</v>
          </cell>
          <cell r="AO396">
            <v>18</v>
          </cell>
          <cell r="AP396">
            <v>0</v>
          </cell>
          <cell r="AQ396">
            <v>18</v>
          </cell>
          <cell r="AR396" t="str">
            <v>CAD_1414</v>
          </cell>
          <cell r="AS396">
            <v>0</v>
          </cell>
          <cell r="AT396">
            <v>176</v>
          </cell>
          <cell r="AU396">
            <v>176</v>
          </cell>
          <cell r="AV396">
            <v>0</v>
          </cell>
          <cell r="AW396">
            <v>3168</v>
          </cell>
          <cell r="AX396">
            <v>3168</v>
          </cell>
          <cell r="AY396">
            <v>3168</v>
          </cell>
          <cell r="AZ396">
            <v>62.5</v>
          </cell>
          <cell r="BA396">
            <v>39.6</v>
          </cell>
          <cell r="BB396">
            <v>6969.6</v>
          </cell>
          <cell r="BD396">
            <v>3168</v>
          </cell>
          <cell r="BF396">
            <v>3168</v>
          </cell>
          <cell r="BG396">
            <v>11968</v>
          </cell>
          <cell r="BH396">
            <v>11968</v>
          </cell>
          <cell r="BI396">
            <v>8800</v>
          </cell>
          <cell r="BJ396">
            <v>0</v>
          </cell>
          <cell r="BK396">
            <v>0</v>
          </cell>
          <cell r="BL396">
            <v>0</v>
          </cell>
          <cell r="BM396">
            <v>8800</v>
          </cell>
          <cell r="BN396">
            <v>0</v>
          </cell>
          <cell r="BO396">
            <v>3168</v>
          </cell>
          <cell r="BP396" t="str">
            <v>Y</v>
          </cell>
          <cell r="BQ396">
            <v>1</v>
          </cell>
          <cell r="BR396" t="str">
            <v>Y</v>
          </cell>
          <cell r="BS396">
            <v>6969.6</v>
          </cell>
          <cell r="BT396" t="str">
            <v>Done</v>
          </cell>
          <cell r="BU396">
            <v>176</v>
          </cell>
          <cell r="BV396">
            <v>2024</v>
          </cell>
        </row>
        <row r="397">
          <cell r="A397" t="str">
            <v>Lucknow</v>
          </cell>
          <cell r="B397" t="str">
            <v>Titans</v>
          </cell>
          <cell r="C397" t="str">
            <v>Mid Level</v>
          </cell>
          <cell r="D397" t="str">
            <v>Abhishek Yadav</v>
          </cell>
          <cell r="E397" t="str">
            <v>-</v>
          </cell>
          <cell r="H397" t="str">
            <v>Manish Kumar Dhiman</v>
          </cell>
          <cell r="K397">
            <v>0</v>
          </cell>
          <cell r="L397" t="str">
            <v>Old</v>
          </cell>
          <cell r="M397">
            <v>45609</v>
          </cell>
          <cell r="N397">
            <v>4</v>
          </cell>
          <cell r="O397">
            <v>437</v>
          </cell>
          <cell r="P397">
            <v>45702</v>
          </cell>
          <cell r="Q397">
            <v>45974</v>
          </cell>
          <cell r="R397" t="str">
            <v>PLC-4004</v>
          </cell>
          <cell r="S397" t="str">
            <v>Neha Kumari</v>
          </cell>
          <cell r="T397" t="str">
            <v>Individual</v>
          </cell>
          <cell r="U397" t="str">
            <v>C2C</v>
          </cell>
          <cell r="V397" t="str">
            <v>Genpact</v>
          </cell>
          <cell r="W397">
            <v>50</v>
          </cell>
          <cell r="X397">
            <v>0</v>
          </cell>
          <cell r="Y397" t="str">
            <v>USD</v>
          </cell>
          <cell r="Z397">
            <v>68</v>
          </cell>
          <cell r="AA397">
            <v>0</v>
          </cell>
          <cell r="AB397">
            <v>0</v>
          </cell>
          <cell r="AC397">
            <v>0</v>
          </cell>
          <cell r="AD397">
            <v>45703</v>
          </cell>
          <cell r="AE397">
            <v>9</v>
          </cell>
          <cell r="AF397">
            <v>46022</v>
          </cell>
          <cell r="AG397">
            <v>50</v>
          </cell>
          <cell r="AH397">
            <v>0</v>
          </cell>
          <cell r="AI397">
            <v>50</v>
          </cell>
          <cell r="AJ397">
            <v>68</v>
          </cell>
          <cell r="AK397">
            <v>0</v>
          </cell>
          <cell r="AL397">
            <v>0</v>
          </cell>
          <cell r="AM397">
            <v>18</v>
          </cell>
          <cell r="AN397">
            <v>0</v>
          </cell>
          <cell r="AO397">
            <v>18</v>
          </cell>
          <cell r="AP397">
            <v>0</v>
          </cell>
          <cell r="AQ397">
            <v>18</v>
          </cell>
          <cell r="AR397" t="str">
            <v>CAD_1439</v>
          </cell>
          <cell r="AS397">
            <v>0</v>
          </cell>
          <cell r="AT397">
            <v>80</v>
          </cell>
          <cell r="AU397">
            <v>80</v>
          </cell>
          <cell r="AV397">
            <v>0</v>
          </cell>
          <cell r="AW397">
            <v>1440</v>
          </cell>
          <cell r="AX397">
            <v>1440</v>
          </cell>
          <cell r="AY397">
            <v>1440</v>
          </cell>
          <cell r="AZ397">
            <v>62.5</v>
          </cell>
          <cell r="BA397">
            <v>39.6</v>
          </cell>
          <cell r="BB397">
            <v>3168</v>
          </cell>
          <cell r="BD397">
            <v>1440</v>
          </cell>
          <cell r="BF397">
            <v>1440</v>
          </cell>
          <cell r="BG397">
            <v>5440</v>
          </cell>
          <cell r="BH397">
            <v>5440</v>
          </cell>
          <cell r="BI397">
            <v>4000</v>
          </cell>
          <cell r="BJ397">
            <v>0</v>
          </cell>
          <cell r="BK397">
            <v>0</v>
          </cell>
          <cell r="BL397">
            <v>0</v>
          </cell>
          <cell r="BM397">
            <v>4000</v>
          </cell>
          <cell r="BN397">
            <v>0</v>
          </cell>
          <cell r="BO397">
            <v>1440</v>
          </cell>
          <cell r="BP397" t="str">
            <v>Y</v>
          </cell>
          <cell r="BQ397">
            <v>1</v>
          </cell>
          <cell r="BR397" t="str">
            <v>Y</v>
          </cell>
          <cell r="BS397">
            <v>3168</v>
          </cell>
          <cell r="BT397" t="str">
            <v>Done</v>
          </cell>
          <cell r="BU397">
            <v>80</v>
          </cell>
          <cell r="BV397">
            <v>2024</v>
          </cell>
        </row>
        <row r="398">
          <cell r="A398" t="str">
            <v>Lucknow</v>
          </cell>
          <cell r="B398" t="str">
            <v>Titans</v>
          </cell>
          <cell r="C398" t="str">
            <v>Mid Level</v>
          </cell>
          <cell r="D398" t="str">
            <v>Nitin Saxena</v>
          </cell>
          <cell r="E398" t="str">
            <v>-</v>
          </cell>
          <cell r="F398" t="str">
            <v>-</v>
          </cell>
          <cell r="G398" t="str">
            <v>-</v>
          </cell>
          <cell r="H398" t="str">
            <v>Hamza Ali</v>
          </cell>
          <cell r="J398" t="str">
            <v>ACH</v>
          </cell>
          <cell r="K398" t="str">
            <v>-</v>
          </cell>
          <cell r="L398" t="str">
            <v>New</v>
          </cell>
          <cell r="M398">
            <v>45763</v>
          </cell>
          <cell r="N398">
            <v>2</v>
          </cell>
          <cell r="O398">
            <v>283</v>
          </cell>
          <cell r="P398">
            <v>45950</v>
          </cell>
          <cell r="Q398">
            <v>46128</v>
          </cell>
          <cell r="R398" t="str">
            <v>PLC-4219</v>
          </cell>
          <cell r="S398" t="str">
            <v>Nicholas Coyle</v>
          </cell>
          <cell r="T398" t="str">
            <v>Individual</v>
          </cell>
          <cell r="U398">
            <v>1099</v>
          </cell>
          <cell r="V398" t="str">
            <v>Genpact</v>
          </cell>
          <cell r="W398">
            <v>21</v>
          </cell>
          <cell r="X398">
            <v>0</v>
          </cell>
          <cell r="Y398" t="str">
            <v>USD</v>
          </cell>
          <cell r="Z398">
            <v>28</v>
          </cell>
          <cell r="AA398">
            <v>0</v>
          </cell>
          <cell r="AB398">
            <v>0</v>
          </cell>
          <cell r="AC398">
            <v>0</v>
          </cell>
          <cell r="AD398">
            <v>45762</v>
          </cell>
          <cell r="AE398">
            <v>11</v>
          </cell>
          <cell r="AF398">
            <v>46022</v>
          </cell>
          <cell r="AG398">
            <v>22.470000000000002</v>
          </cell>
          <cell r="AH398">
            <v>0</v>
          </cell>
          <cell r="AI398">
            <v>22.470000000000002</v>
          </cell>
          <cell r="AJ398">
            <v>28</v>
          </cell>
          <cell r="AK398">
            <v>0</v>
          </cell>
          <cell r="AL398">
            <v>0</v>
          </cell>
          <cell r="AM398">
            <v>5.5299999999999976</v>
          </cell>
          <cell r="AN398">
            <v>0</v>
          </cell>
          <cell r="AO398">
            <v>5.5299999999999976</v>
          </cell>
          <cell r="AP398">
            <v>0</v>
          </cell>
          <cell r="AQ398">
            <v>5.5299999999999976</v>
          </cell>
          <cell r="AR398" t="str">
            <v>US_24948</v>
          </cell>
          <cell r="AS398">
            <v>0</v>
          </cell>
          <cell r="AT398">
            <v>88</v>
          </cell>
          <cell r="AU398">
            <v>88</v>
          </cell>
          <cell r="AV398">
            <v>0</v>
          </cell>
          <cell r="AW398">
            <v>486.63999999999976</v>
          </cell>
          <cell r="AX398">
            <v>481.77359999999976</v>
          </cell>
          <cell r="AY398">
            <v>486.63999999999976</v>
          </cell>
          <cell r="AZ398">
            <v>250</v>
          </cell>
          <cell r="BA398">
            <v>8.8479999999999954</v>
          </cell>
          <cell r="BB398">
            <v>778.62399999999957</v>
          </cell>
          <cell r="BC398">
            <v>46</v>
          </cell>
          <cell r="BD398">
            <v>486.63999999999976</v>
          </cell>
          <cell r="BE398">
            <v>389.31199999999984</v>
          </cell>
          <cell r="BF398">
            <v>481.77359999999976</v>
          </cell>
          <cell r="BG398">
            <v>2464</v>
          </cell>
          <cell r="BH398">
            <v>2464</v>
          </cell>
          <cell r="BI398">
            <v>1848</v>
          </cell>
          <cell r="BJ398">
            <v>1.4700000000000002</v>
          </cell>
          <cell r="BK398">
            <v>0</v>
          </cell>
          <cell r="BL398">
            <v>129.36000000000001</v>
          </cell>
          <cell r="BM398">
            <v>1977.3600000000001</v>
          </cell>
          <cell r="BN398">
            <v>1.4700000000000002</v>
          </cell>
          <cell r="BO398">
            <v>486.64</v>
          </cell>
          <cell r="BP398" t="str">
            <v>Y</v>
          </cell>
          <cell r="BQ398">
            <v>2</v>
          </cell>
          <cell r="BR398" t="str">
            <v>Y</v>
          </cell>
          <cell r="BS398">
            <v>778.62399999999957</v>
          </cell>
          <cell r="BT398" t="str">
            <v>Done</v>
          </cell>
          <cell r="BU398">
            <v>88</v>
          </cell>
          <cell r="BV398">
            <v>2025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Mohammad Fakhrul</v>
          </cell>
          <cell r="E399" t="str">
            <v>-</v>
          </cell>
          <cell r="H399" t="str">
            <v>Pass Through</v>
          </cell>
          <cell r="K399">
            <v>0</v>
          </cell>
          <cell r="L399" t="str">
            <v>Old</v>
          </cell>
          <cell r="M399">
            <v>45505</v>
          </cell>
          <cell r="N399">
            <v>3</v>
          </cell>
          <cell r="O399">
            <v>541</v>
          </cell>
          <cell r="P399">
            <v>45912</v>
          </cell>
          <cell r="Q399">
            <v>45870</v>
          </cell>
          <cell r="R399" t="str">
            <v>PLC-Passthrough</v>
          </cell>
          <cell r="S399" t="str">
            <v>Niveditha Dandala</v>
          </cell>
          <cell r="T399" t="str">
            <v>Individual</v>
          </cell>
          <cell r="U399" t="str">
            <v>C2C</v>
          </cell>
          <cell r="V399" t="str">
            <v>Coforge</v>
          </cell>
          <cell r="W399">
            <v>52</v>
          </cell>
          <cell r="X399">
            <v>0</v>
          </cell>
          <cell r="Y399" t="str">
            <v>USD</v>
          </cell>
          <cell r="Z399">
            <v>55</v>
          </cell>
          <cell r="AA399">
            <v>0</v>
          </cell>
          <cell r="AB399">
            <v>0</v>
          </cell>
          <cell r="AC399">
            <v>0</v>
          </cell>
          <cell r="AD399">
            <v>45672</v>
          </cell>
          <cell r="AE399">
            <v>22</v>
          </cell>
          <cell r="AF399">
            <v>46022</v>
          </cell>
          <cell r="AG399">
            <v>52</v>
          </cell>
          <cell r="AH399">
            <v>0</v>
          </cell>
          <cell r="AI399">
            <v>52</v>
          </cell>
          <cell r="AJ399">
            <v>55</v>
          </cell>
          <cell r="AK399">
            <v>0</v>
          </cell>
          <cell r="AL399">
            <v>0</v>
          </cell>
          <cell r="AM399">
            <v>3</v>
          </cell>
          <cell r="AN399">
            <v>0</v>
          </cell>
          <cell r="AO399">
            <v>3</v>
          </cell>
          <cell r="AP399">
            <v>0</v>
          </cell>
          <cell r="AQ399">
            <v>3</v>
          </cell>
          <cell r="AR399" t="str">
            <v>US_24149</v>
          </cell>
          <cell r="AS399">
            <v>0</v>
          </cell>
          <cell r="AT399">
            <v>168</v>
          </cell>
          <cell r="AU399">
            <v>168</v>
          </cell>
          <cell r="AV399">
            <v>0</v>
          </cell>
          <cell r="AW399">
            <v>504</v>
          </cell>
          <cell r="AX399">
            <v>504</v>
          </cell>
          <cell r="AY399">
            <v>504</v>
          </cell>
          <cell r="AZ399">
            <v>0</v>
          </cell>
          <cell r="BA399">
            <v>0</v>
          </cell>
          <cell r="BB399">
            <v>0</v>
          </cell>
          <cell r="BD399">
            <v>504</v>
          </cell>
          <cell r="BF399">
            <v>504</v>
          </cell>
          <cell r="BG399">
            <v>9240</v>
          </cell>
          <cell r="BH399">
            <v>9240</v>
          </cell>
          <cell r="BI399">
            <v>8736</v>
          </cell>
          <cell r="BJ399">
            <v>0</v>
          </cell>
          <cell r="BK399">
            <v>0</v>
          </cell>
          <cell r="BL399">
            <v>0</v>
          </cell>
          <cell r="BM399">
            <v>8736</v>
          </cell>
          <cell r="BN399">
            <v>0</v>
          </cell>
          <cell r="BO399">
            <v>504</v>
          </cell>
          <cell r="BP399" t="str">
            <v>Y</v>
          </cell>
          <cell r="BQ399">
            <v>1</v>
          </cell>
          <cell r="BR399" t="str">
            <v>Y</v>
          </cell>
          <cell r="BS399">
            <v>0</v>
          </cell>
          <cell r="BT399" t="str">
            <v>Done</v>
          </cell>
          <cell r="BU399">
            <v>168</v>
          </cell>
          <cell r="BV399">
            <v>2024</v>
          </cell>
        </row>
        <row r="400">
          <cell r="A400" t="str">
            <v>Lucknow</v>
          </cell>
          <cell r="B400" t="str">
            <v>Mavericks</v>
          </cell>
          <cell r="C400" t="str">
            <v>Mid Level</v>
          </cell>
          <cell r="D400" t="str">
            <v>Mohammad Fakhrul</v>
          </cell>
          <cell r="E400" t="str">
            <v>-</v>
          </cell>
          <cell r="H400" t="str">
            <v>Pass Through</v>
          </cell>
          <cell r="K400">
            <v>0</v>
          </cell>
          <cell r="L400" t="str">
            <v>Old</v>
          </cell>
          <cell r="M400">
            <v>45505</v>
          </cell>
          <cell r="N400">
            <v>3</v>
          </cell>
          <cell r="O400">
            <v>541</v>
          </cell>
          <cell r="P400">
            <v>45912</v>
          </cell>
          <cell r="Q400">
            <v>45870</v>
          </cell>
          <cell r="R400" t="str">
            <v>PLC-Passthrough</v>
          </cell>
          <cell r="S400" t="str">
            <v>Niveditha Dandala</v>
          </cell>
          <cell r="T400" t="str">
            <v>Individual</v>
          </cell>
          <cell r="U400" t="str">
            <v>C2C</v>
          </cell>
          <cell r="V400" t="str">
            <v>Coforge</v>
          </cell>
          <cell r="W400">
            <v>52</v>
          </cell>
          <cell r="X400">
            <v>0</v>
          </cell>
          <cell r="Y400" t="str">
            <v>USD</v>
          </cell>
          <cell r="Z400">
            <v>55</v>
          </cell>
          <cell r="AA400">
            <v>0</v>
          </cell>
          <cell r="AB400">
            <v>0</v>
          </cell>
          <cell r="AC400">
            <v>0</v>
          </cell>
          <cell r="AD400">
            <v>45703</v>
          </cell>
          <cell r="AE400">
            <v>20</v>
          </cell>
          <cell r="AF400">
            <v>46022</v>
          </cell>
          <cell r="AG400">
            <v>52</v>
          </cell>
          <cell r="AH400">
            <v>0</v>
          </cell>
          <cell r="AI400">
            <v>52</v>
          </cell>
          <cell r="AJ400">
            <v>55</v>
          </cell>
          <cell r="AK400">
            <v>0</v>
          </cell>
          <cell r="AL400">
            <v>0</v>
          </cell>
          <cell r="AM400">
            <v>3</v>
          </cell>
          <cell r="AN400">
            <v>0</v>
          </cell>
          <cell r="AO400">
            <v>3</v>
          </cell>
          <cell r="AP400">
            <v>0</v>
          </cell>
          <cell r="AQ400">
            <v>3</v>
          </cell>
          <cell r="AR400" t="str">
            <v>US_24358</v>
          </cell>
          <cell r="AS400">
            <v>0</v>
          </cell>
          <cell r="AT400">
            <v>160</v>
          </cell>
          <cell r="AU400">
            <v>160</v>
          </cell>
          <cell r="AV400">
            <v>0</v>
          </cell>
          <cell r="AW400">
            <v>480</v>
          </cell>
          <cell r="AX400">
            <v>480</v>
          </cell>
          <cell r="AY400">
            <v>480</v>
          </cell>
          <cell r="AZ400">
            <v>0</v>
          </cell>
          <cell r="BA400">
            <v>0</v>
          </cell>
          <cell r="BB400">
            <v>0</v>
          </cell>
          <cell r="BD400">
            <v>480</v>
          </cell>
          <cell r="BF400">
            <v>480</v>
          </cell>
          <cell r="BG400">
            <v>8800</v>
          </cell>
          <cell r="BH400">
            <v>8800</v>
          </cell>
          <cell r="BI400">
            <v>8320</v>
          </cell>
          <cell r="BJ400">
            <v>0</v>
          </cell>
          <cell r="BK400">
            <v>0</v>
          </cell>
          <cell r="BL400">
            <v>0</v>
          </cell>
          <cell r="BM400">
            <v>8320</v>
          </cell>
          <cell r="BN400">
            <v>0</v>
          </cell>
          <cell r="BO400">
            <v>480</v>
          </cell>
          <cell r="BP400" t="str">
            <v>Y</v>
          </cell>
          <cell r="BQ400">
            <v>1</v>
          </cell>
          <cell r="BR400" t="str">
            <v>Y</v>
          </cell>
          <cell r="BS400">
            <v>0</v>
          </cell>
          <cell r="BT400" t="str">
            <v>Done</v>
          </cell>
          <cell r="BU400">
            <v>160</v>
          </cell>
          <cell r="BV400">
            <v>2024</v>
          </cell>
        </row>
        <row r="401">
          <cell r="A401" t="str">
            <v>Lucknow</v>
          </cell>
          <cell r="B401" t="str">
            <v>Mavericks</v>
          </cell>
          <cell r="C401" t="str">
            <v>Mid Level</v>
          </cell>
          <cell r="D401" t="str">
            <v>Mohammad Fakhrul</v>
          </cell>
          <cell r="E401" t="str">
            <v>-</v>
          </cell>
          <cell r="H401" t="str">
            <v>Pass Through</v>
          </cell>
          <cell r="K401">
            <v>0</v>
          </cell>
          <cell r="L401" t="str">
            <v>Old</v>
          </cell>
          <cell r="M401">
            <v>45505</v>
          </cell>
          <cell r="N401">
            <v>3</v>
          </cell>
          <cell r="O401">
            <v>541</v>
          </cell>
          <cell r="P401">
            <v>45912</v>
          </cell>
          <cell r="Q401">
            <v>45870</v>
          </cell>
          <cell r="R401" t="str">
            <v>PLC-Passthrough</v>
          </cell>
          <cell r="S401" t="str">
            <v>Niveditha Dandala</v>
          </cell>
          <cell r="T401" t="str">
            <v>Individual</v>
          </cell>
          <cell r="U401" t="str">
            <v>C2C</v>
          </cell>
          <cell r="V401" t="str">
            <v>Coforge</v>
          </cell>
          <cell r="W401">
            <v>52</v>
          </cell>
          <cell r="X401">
            <v>0</v>
          </cell>
          <cell r="Y401" t="str">
            <v>USD</v>
          </cell>
          <cell r="Z401">
            <v>55</v>
          </cell>
          <cell r="AA401">
            <v>0</v>
          </cell>
          <cell r="AB401">
            <v>0</v>
          </cell>
          <cell r="AC401">
            <v>0</v>
          </cell>
          <cell r="AD401">
            <v>45731</v>
          </cell>
          <cell r="AE401">
            <v>21</v>
          </cell>
          <cell r="AF401">
            <v>46022</v>
          </cell>
          <cell r="AG401">
            <v>52</v>
          </cell>
          <cell r="AH401">
            <v>0</v>
          </cell>
          <cell r="AI401">
            <v>52</v>
          </cell>
          <cell r="AJ401">
            <v>55</v>
          </cell>
          <cell r="AK401">
            <v>0</v>
          </cell>
          <cell r="AL401">
            <v>0</v>
          </cell>
          <cell r="AM401">
            <v>3</v>
          </cell>
          <cell r="AN401">
            <v>0</v>
          </cell>
          <cell r="AO401">
            <v>3</v>
          </cell>
          <cell r="AP401">
            <v>0</v>
          </cell>
          <cell r="AQ401">
            <v>3</v>
          </cell>
          <cell r="AR401" t="str">
            <v>US_24554</v>
          </cell>
          <cell r="AS401">
            <v>0</v>
          </cell>
          <cell r="AT401">
            <v>128</v>
          </cell>
          <cell r="AU401">
            <v>128</v>
          </cell>
          <cell r="AV401">
            <v>0</v>
          </cell>
          <cell r="AW401">
            <v>384</v>
          </cell>
          <cell r="AX401">
            <v>384</v>
          </cell>
          <cell r="AY401">
            <v>384</v>
          </cell>
          <cell r="AZ401">
            <v>0</v>
          </cell>
          <cell r="BA401">
            <v>0</v>
          </cell>
          <cell r="BB401">
            <v>0</v>
          </cell>
          <cell r="BD401">
            <v>384</v>
          </cell>
          <cell r="BF401">
            <v>384</v>
          </cell>
          <cell r="BG401">
            <v>7040</v>
          </cell>
          <cell r="BH401">
            <v>7040</v>
          </cell>
          <cell r="BI401">
            <v>6656</v>
          </cell>
          <cell r="BJ401">
            <v>0</v>
          </cell>
          <cell r="BK401">
            <v>0</v>
          </cell>
          <cell r="BL401">
            <v>0</v>
          </cell>
          <cell r="BM401">
            <v>6656</v>
          </cell>
          <cell r="BN401">
            <v>0</v>
          </cell>
          <cell r="BO401">
            <v>384</v>
          </cell>
          <cell r="BP401" t="str">
            <v>Y</v>
          </cell>
          <cell r="BQ401">
            <v>1</v>
          </cell>
          <cell r="BR401" t="str">
            <v>Y</v>
          </cell>
          <cell r="BS401">
            <v>0</v>
          </cell>
          <cell r="BT401" t="str">
            <v>Done</v>
          </cell>
          <cell r="BU401">
            <v>128</v>
          </cell>
          <cell r="BV401">
            <v>2024</v>
          </cell>
        </row>
        <row r="402">
          <cell r="A402" t="str">
            <v>Lucknow</v>
          </cell>
          <cell r="B402" t="str">
            <v>Mavericks</v>
          </cell>
          <cell r="C402" t="str">
            <v>Mid Level</v>
          </cell>
          <cell r="D402" t="str">
            <v>Mohammad Fakhrul</v>
          </cell>
          <cell r="E402" t="str">
            <v>-</v>
          </cell>
          <cell r="H402" t="str">
            <v>Pass Through</v>
          </cell>
          <cell r="K402">
            <v>0</v>
          </cell>
          <cell r="L402" t="str">
            <v>Old</v>
          </cell>
          <cell r="M402">
            <v>45505</v>
          </cell>
          <cell r="N402">
            <v>3</v>
          </cell>
          <cell r="O402">
            <v>541</v>
          </cell>
          <cell r="P402">
            <v>45912</v>
          </cell>
          <cell r="Q402">
            <v>45870</v>
          </cell>
          <cell r="R402" t="str">
            <v>PLC-Passthrough</v>
          </cell>
          <cell r="S402" t="str">
            <v>Niveditha Dandala</v>
          </cell>
          <cell r="T402" t="str">
            <v>Individual</v>
          </cell>
          <cell r="U402" t="str">
            <v>C2C</v>
          </cell>
          <cell r="V402" t="str">
            <v>Coforge</v>
          </cell>
          <cell r="W402">
            <v>52</v>
          </cell>
          <cell r="X402">
            <v>0</v>
          </cell>
          <cell r="Y402" t="str">
            <v>USD</v>
          </cell>
          <cell r="Z402">
            <v>55</v>
          </cell>
          <cell r="AA402">
            <v>0</v>
          </cell>
          <cell r="AB402">
            <v>0</v>
          </cell>
          <cell r="AC402">
            <v>0</v>
          </cell>
          <cell r="AD402">
            <v>45762</v>
          </cell>
          <cell r="AE402">
            <v>22</v>
          </cell>
          <cell r="AF402">
            <v>46022</v>
          </cell>
          <cell r="AG402">
            <v>52</v>
          </cell>
          <cell r="AH402">
            <v>0</v>
          </cell>
          <cell r="AI402">
            <v>52</v>
          </cell>
          <cell r="AJ402">
            <v>55</v>
          </cell>
          <cell r="AK402">
            <v>0</v>
          </cell>
          <cell r="AL402">
            <v>0</v>
          </cell>
          <cell r="AM402">
            <v>3</v>
          </cell>
          <cell r="AN402">
            <v>0</v>
          </cell>
          <cell r="AO402">
            <v>3</v>
          </cell>
          <cell r="AP402">
            <v>0</v>
          </cell>
          <cell r="AQ402">
            <v>3</v>
          </cell>
          <cell r="AR402" t="str">
            <v>US_24771</v>
          </cell>
          <cell r="AS402">
            <v>0</v>
          </cell>
          <cell r="AT402">
            <v>168</v>
          </cell>
          <cell r="AU402">
            <v>168</v>
          </cell>
          <cell r="AV402">
            <v>0</v>
          </cell>
          <cell r="AW402">
            <v>504</v>
          </cell>
          <cell r="AX402">
            <v>504</v>
          </cell>
          <cell r="AY402">
            <v>504</v>
          </cell>
          <cell r="AZ402">
            <v>0</v>
          </cell>
          <cell r="BA402">
            <v>0</v>
          </cell>
          <cell r="BB402">
            <v>0</v>
          </cell>
          <cell r="BD402">
            <v>504</v>
          </cell>
          <cell r="BF402">
            <v>504</v>
          </cell>
          <cell r="BG402">
            <v>9240</v>
          </cell>
          <cell r="BH402">
            <v>9240</v>
          </cell>
          <cell r="BI402">
            <v>8736</v>
          </cell>
          <cell r="BJ402">
            <v>0</v>
          </cell>
          <cell r="BK402">
            <v>0</v>
          </cell>
          <cell r="BL402">
            <v>0</v>
          </cell>
          <cell r="BM402">
            <v>8736</v>
          </cell>
          <cell r="BN402">
            <v>0</v>
          </cell>
          <cell r="BO402">
            <v>504</v>
          </cell>
          <cell r="BP402" t="str">
            <v>Y</v>
          </cell>
          <cell r="BQ402">
            <v>2</v>
          </cell>
          <cell r="BR402" t="str">
            <v>Y</v>
          </cell>
          <cell r="BS402">
            <v>0</v>
          </cell>
          <cell r="BT402" t="str">
            <v>Done</v>
          </cell>
          <cell r="BU402">
            <v>168</v>
          </cell>
          <cell r="BV402">
            <v>2024</v>
          </cell>
        </row>
        <row r="403">
          <cell r="A403" t="str">
            <v>Lucknow</v>
          </cell>
          <cell r="B403" t="str">
            <v>Trust</v>
          </cell>
          <cell r="C403" t="str">
            <v>Mid Level</v>
          </cell>
          <cell r="D403" t="str">
            <v>Shashank Yadav</v>
          </cell>
          <cell r="E403" t="str">
            <v>Shashank Yadav</v>
          </cell>
          <cell r="H403" t="str">
            <v>Vivek Mani Upadhyay</v>
          </cell>
          <cell r="K403">
            <v>0</v>
          </cell>
          <cell r="L403" t="str">
            <v>Old</v>
          </cell>
          <cell r="M403">
            <v>45446</v>
          </cell>
          <cell r="N403">
            <v>2</v>
          </cell>
          <cell r="O403">
            <v>600</v>
          </cell>
          <cell r="P403" t="str">
            <v>-</v>
          </cell>
          <cell r="Q403">
            <v>45811</v>
          </cell>
          <cell r="R403" t="str">
            <v>PLC-3810</v>
          </cell>
          <cell r="S403" t="str">
            <v>Norissa Toussaint</v>
          </cell>
          <cell r="T403" t="str">
            <v>Individual</v>
          </cell>
          <cell r="U403" t="str">
            <v>W2</v>
          </cell>
          <cell r="V403" t="str">
            <v>HII-NNS</v>
          </cell>
          <cell r="W403">
            <v>36.909999999999997</v>
          </cell>
          <cell r="X403">
            <v>55.37</v>
          </cell>
          <cell r="Y403" t="str">
            <v>USD</v>
          </cell>
          <cell r="Z403">
            <v>46.17</v>
          </cell>
          <cell r="AA403">
            <v>69.209999999999994</v>
          </cell>
          <cell r="AB403">
            <v>0</v>
          </cell>
          <cell r="AC403">
            <v>0</v>
          </cell>
          <cell r="AD403">
            <v>45672</v>
          </cell>
          <cell r="AE403">
            <v>23</v>
          </cell>
          <cell r="AF403">
            <v>46022</v>
          </cell>
          <cell r="AG403">
            <v>42.446499999999993</v>
          </cell>
          <cell r="AH403">
            <v>63.675499999999992</v>
          </cell>
          <cell r="AI403">
            <v>42.446499999999993</v>
          </cell>
          <cell r="AJ403">
            <v>46.17</v>
          </cell>
          <cell r="AK403">
            <v>69.209999999999994</v>
          </cell>
          <cell r="AL403">
            <v>5.5345000000000013</v>
          </cell>
          <cell r="AM403">
            <v>3.7235000000000085</v>
          </cell>
          <cell r="AN403">
            <v>5.5345000000000013</v>
          </cell>
          <cell r="AO403">
            <v>3.7235000000000085</v>
          </cell>
          <cell r="AP403">
            <v>5.5345000000000013</v>
          </cell>
          <cell r="AQ403">
            <v>3.7235000000000085</v>
          </cell>
          <cell r="AR403" t="str">
            <v>HI131</v>
          </cell>
          <cell r="AS403">
            <v>0</v>
          </cell>
          <cell r="AT403">
            <v>125</v>
          </cell>
          <cell r="AU403">
            <v>125</v>
          </cell>
          <cell r="AV403">
            <v>0</v>
          </cell>
          <cell r="AW403">
            <v>465.43750000000108</v>
          </cell>
          <cell r="AX403">
            <v>465.43750000000108</v>
          </cell>
          <cell r="AY403">
            <v>465.43750000000108</v>
          </cell>
          <cell r="AZ403">
            <v>50</v>
          </cell>
          <cell r="BA403">
            <v>5.9576000000000136</v>
          </cell>
          <cell r="BB403">
            <v>744.70000000000164</v>
          </cell>
          <cell r="BD403">
            <v>465.43750000000108</v>
          </cell>
          <cell r="BF403">
            <v>465.43750000000108</v>
          </cell>
          <cell r="BG403">
            <v>5771.25</v>
          </cell>
          <cell r="BH403">
            <v>5771.25</v>
          </cell>
          <cell r="BI403">
            <v>4613.75</v>
          </cell>
          <cell r="BJ403">
            <v>5.5364999999999993</v>
          </cell>
          <cell r="BK403">
            <v>0</v>
          </cell>
          <cell r="BL403">
            <v>692.06249999999989</v>
          </cell>
          <cell r="BM403">
            <v>5305.8125</v>
          </cell>
          <cell r="BN403">
            <v>5.5364999999999993</v>
          </cell>
          <cell r="BO403">
            <v>465.43750000000011</v>
          </cell>
          <cell r="BP403" t="str">
            <v>Y</v>
          </cell>
          <cell r="BQ403">
            <v>1</v>
          </cell>
          <cell r="BR403" t="str">
            <v>N</v>
          </cell>
          <cell r="BS403">
            <v>744.70000000000164</v>
          </cell>
          <cell r="BT403" t="str">
            <v>Done</v>
          </cell>
          <cell r="BU403">
            <v>125</v>
          </cell>
          <cell r="BV403">
            <v>2024</v>
          </cell>
        </row>
        <row r="404">
          <cell r="A404" t="str">
            <v>Lucknow</v>
          </cell>
          <cell r="B404" t="str">
            <v>Trust</v>
          </cell>
          <cell r="C404" t="str">
            <v>Mid Level</v>
          </cell>
          <cell r="D404" t="str">
            <v>Shashank Yadav</v>
          </cell>
          <cell r="E404" t="str">
            <v>Shashank Yadav</v>
          </cell>
          <cell r="H404" t="str">
            <v>Vivek Mani Upadhyay</v>
          </cell>
          <cell r="K404">
            <v>0</v>
          </cell>
          <cell r="L404" t="str">
            <v>Old</v>
          </cell>
          <cell r="M404">
            <v>45446</v>
          </cell>
          <cell r="N404">
            <v>2</v>
          </cell>
          <cell r="O404">
            <v>600</v>
          </cell>
          <cell r="P404" t="str">
            <v>-</v>
          </cell>
          <cell r="Q404">
            <v>45811</v>
          </cell>
          <cell r="R404" t="str">
            <v>PLC-3810</v>
          </cell>
          <cell r="S404" t="str">
            <v>Norissa Toussaint</v>
          </cell>
          <cell r="T404" t="str">
            <v>Individual</v>
          </cell>
          <cell r="U404" t="str">
            <v>W2</v>
          </cell>
          <cell r="V404" t="str">
            <v>HII-NNS</v>
          </cell>
          <cell r="W404">
            <v>36.909999999999997</v>
          </cell>
          <cell r="X404">
            <v>55.37</v>
          </cell>
          <cell r="Y404" t="str">
            <v>USD</v>
          </cell>
          <cell r="Z404">
            <v>46.17</v>
          </cell>
          <cell r="AA404">
            <v>69.209999999999994</v>
          </cell>
          <cell r="AB404">
            <v>0</v>
          </cell>
          <cell r="AC404">
            <v>0</v>
          </cell>
          <cell r="AD404">
            <v>45703</v>
          </cell>
          <cell r="AE404">
            <v>20</v>
          </cell>
          <cell r="AF404">
            <v>46022</v>
          </cell>
          <cell r="AG404">
            <v>42.446499999999993</v>
          </cell>
          <cell r="AH404">
            <v>63.675499999999992</v>
          </cell>
          <cell r="AI404">
            <v>42.446499999999993</v>
          </cell>
          <cell r="AJ404">
            <v>46.17</v>
          </cell>
          <cell r="AK404">
            <v>69.209999999999994</v>
          </cell>
          <cell r="AL404">
            <v>5.5345000000000013</v>
          </cell>
          <cell r="AM404">
            <v>3.7235000000000085</v>
          </cell>
          <cell r="AN404">
            <v>5.5345000000000013</v>
          </cell>
          <cell r="AO404">
            <v>3.7235000000000085</v>
          </cell>
          <cell r="AP404">
            <v>5.5345000000000013</v>
          </cell>
          <cell r="AQ404">
            <v>3.7235000000000085</v>
          </cell>
          <cell r="AR404" t="str">
            <v>HI132</v>
          </cell>
          <cell r="AS404">
            <v>0</v>
          </cell>
          <cell r="AT404">
            <v>120</v>
          </cell>
          <cell r="AU404">
            <v>120</v>
          </cell>
          <cell r="AV404">
            <v>0</v>
          </cell>
          <cell r="AW404">
            <v>446.82000000000102</v>
          </cell>
          <cell r="AX404">
            <v>446.82000000000102</v>
          </cell>
          <cell r="AY404">
            <v>446.82000000000102</v>
          </cell>
          <cell r="AZ404">
            <v>50</v>
          </cell>
          <cell r="BA404">
            <v>5.9576000000000136</v>
          </cell>
          <cell r="BB404">
            <v>714.91200000000163</v>
          </cell>
          <cell r="BD404">
            <v>446.82000000000102</v>
          </cell>
          <cell r="BF404">
            <v>446.82000000000102</v>
          </cell>
          <cell r="BG404">
            <v>5540.4000000000005</v>
          </cell>
          <cell r="BH404">
            <v>5540.4000000000005</v>
          </cell>
          <cell r="BI404">
            <v>4429.2</v>
          </cell>
          <cell r="BJ404">
            <v>5.5364999999999993</v>
          </cell>
          <cell r="BK404">
            <v>0</v>
          </cell>
          <cell r="BL404">
            <v>664.37999999999988</v>
          </cell>
          <cell r="BM404">
            <v>5093.58</v>
          </cell>
          <cell r="BN404">
            <v>5.5364999999999993</v>
          </cell>
          <cell r="BO404">
            <v>446.82000000000085</v>
          </cell>
          <cell r="BP404" t="str">
            <v>Y</v>
          </cell>
          <cell r="BQ404">
            <v>1</v>
          </cell>
          <cell r="BR404" t="str">
            <v>N</v>
          </cell>
          <cell r="BS404">
            <v>714.91200000000163</v>
          </cell>
          <cell r="BT404" t="str">
            <v>Done</v>
          </cell>
          <cell r="BU404">
            <v>120</v>
          </cell>
          <cell r="BV404">
            <v>2024</v>
          </cell>
        </row>
        <row r="405">
          <cell r="A405" t="str">
            <v>Lucknow</v>
          </cell>
          <cell r="B405" t="str">
            <v>Trust</v>
          </cell>
          <cell r="C405" t="str">
            <v>Mid Level</v>
          </cell>
          <cell r="D405" t="str">
            <v>Shashank Yadav</v>
          </cell>
          <cell r="E405" t="str">
            <v>Shashank Yadav</v>
          </cell>
          <cell r="H405" t="str">
            <v>Vivek Mani Upadhyay</v>
          </cell>
          <cell r="K405">
            <v>0</v>
          </cell>
          <cell r="L405" t="str">
            <v>Old</v>
          </cell>
          <cell r="M405">
            <v>45446</v>
          </cell>
          <cell r="N405">
            <v>2</v>
          </cell>
          <cell r="O405">
            <v>600</v>
          </cell>
          <cell r="P405" t="str">
            <v>-</v>
          </cell>
          <cell r="Q405">
            <v>45811</v>
          </cell>
          <cell r="R405" t="str">
            <v>PLC-3810</v>
          </cell>
          <cell r="S405" t="str">
            <v>Norissa Toussaint</v>
          </cell>
          <cell r="T405" t="str">
            <v>Individual</v>
          </cell>
          <cell r="U405" t="str">
            <v>W2</v>
          </cell>
          <cell r="V405" t="str">
            <v>HII-NNS</v>
          </cell>
          <cell r="W405">
            <v>36.909999999999997</v>
          </cell>
          <cell r="X405">
            <v>55.37</v>
          </cell>
          <cell r="Y405" t="str">
            <v>USD</v>
          </cell>
          <cell r="Z405">
            <v>46.17</v>
          </cell>
          <cell r="AA405">
            <v>69.209999999999994</v>
          </cell>
          <cell r="AB405">
            <v>0</v>
          </cell>
          <cell r="AC405">
            <v>0</v>
          </cell>
          <cell r="AD405">
            <v>45731</v>
          </cell>
          <cell r="AE405">
            <v>21</v>
          </cell>
          <cell r="AF405">
            <v>46022</v>
          </cell>
          <cell r="AG405">
            <v>42.446499999999993</v>
          </cell>
          <cell r="AH405">
            <v>63.675499999999992</v>
          </cell>
          <cell r="AI405">
            <v>42.446499999999993</v>
          </cell>
          <cell r="AJ405">
            <v>46.17</v>
          </cell>
          <cell r="AK405">
            <v>69.209999999999994</v>
          </cell>
          <cell r="AL405">
            <v>5.5345000000000013</v>
          </cell>
          <cell r="AM405">
            <v>3.7235000000000085</v>
          </cell>
          <cell r="AN405">
            <v>5.5345000000000013</v>
          </cell>
          <cell r="AO405">
            <v>3.7235000000000085</v>
          </cell>
          <cell r="AP405">
            <v>5.5345000000000013</v>
          </cell>
          <cell r="AQ405">
            <v>3.7235000000000085</v>
          </cell>
          <cell r="AR405" t="str">
            <v>HI133</v>
          </cell>
          <cell r="AS405">
            <v>0</v>
          </cell>
          <cell r="AT405">
            <v>200</v>
          </cell>
          <cell r="AU405">
            <v>200</v>
          </cell>
          <cell r="AV405">
            <v>0</v>
          </cell>
          <cell r="AW405">
            <v>744.70000000000164</v>
          </cell>
          <cell r="AX405">
            <v>744.70000000000164</v>
          </cell>
          <cell r="AY405">
            <v>744.70000000000164</v>
          </cell>
          <cell r="AZ405">
            <v>50</v>
          </cell>
          <cell r="BA405">
            <v>5.9576000000000136</v>
          </cell>
          <cell r="BB405">
            <v>1191.5200000000027</v>
          </cell>
          <cell r="BD405">
            <v>744.70000000000164</v>
          </cell>
          <cell r="BF405">
            <v>744.70000000000164</v>
          </cell>
          <cell r="BG405">
            <v>9234</v>
          </cell>
          <cell r="BH405">
            <v>9234</v>
          </cell>
          <cell r="BI405">
            <v>7381.9999999999991</v>
          </cell>
          <cell r="BJ405">
            <v>5.5364999999999993</v>
          </cell>
          <cell r="BK405">
            <v>0</v>
          </cell>
          <cell r="BL405">
            <v>1107.3</v>
          </cell>
          <cell r="BM405">
            <v>8489.2999999999993</v>
          </cell>
          <cell r="BN405">
            <v>5.5364999999999993</v>
          </cell>
          <cell r="BO405">
            <v>744.70000000000095</v>
          </cell>
          <cell r="BP405" t="str">
            <v>Y</v>
          </cell>
          <cell r="BQ405">
            <v>1</v>
          </cell>
          <cell r="BR405" t="str">
            <v>N</v>
          </cell>
          <cell r="BS405">
            <v>1191.5200000000027</v>
          </cell>
          <cell r="BT405" t="str">
            <v>Done</v>
          </cell>
          <cell r="BU405">
            <v>200</v>
          </cell>
          <cell r="BV405">
            <v>2024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Shashank Yadav</v>
          </cell>
          <cell r="E406" t="str">
            <v>Shashank Yadav</v>
          </cell>
          <cell r="H406" t="str">
            <v>Vivek Mani Upadhyay</v>
          </cell>
          <cell r="K406">
            <v>0</v>
          </cell>
          <cell r="L406" t="str">
            <v>Old</v>
          </cell>
          <cell r="M406">
            <v>45446</v>
          </cell>
          <cell r="N406">
            <v>2</v>
          </cell>
          <cell r="O406">
            <v>600</v>
          </cell>
          <cell r="P406" t="str">
            <v>-</v>
          </cell>
          <cell r="Q406">
            <v>45811</v>
          </cell>
          <cell r="R406" t="str">
            <v>PLC-3810</v>
          </cell>
          <cell r="S406" t="str">
            <v>Norissa Toussaint</v>
          </cell>
          <cell r="T406" t="str">
            <v>Individual</v>
          </cell>
          <cell r="U406" t="str">
            <v>W2</v>
          </cell>
          <cell r="V406" t="str">
            <v>HII-NNS</v>
          </cell>
          <cell r="W406">
            <v>36.909999999999997</v>
          </cell>
          <cell r="X406">
            <v>55.37</v>
          </cell>
          <cell r="Y406" t="str">
            <v>USD</v>
          </cell>
          <cell r="Z406">
            <v>46.17</v>
          </cell>
          <cell r="AA406">
            <v>69.209999999999994</v>
          </cell>
          <cell r="AB406">
            <v>0</v>
          </cell>
          <cell r="AC406">
            <v>0</v>
          </cell>
          <cell r="AD406">
            <v>45762</v>
          </cell>
          <cell r="AE406">
            <v>22</v>
          </cell>
          <cell r="AF406">
            <v>46022</v>
          </cell>
          <cell r="AG406">
            <v>42.446499999999993</v>
          </cell>
          <cell r="AH406">
            <v>63.675499999999992</v>
          </cell>
          <cell r="AI406">
            <v>42.446499999999993</v>
          </cell>
          <cell r="AJ406">
            <v>46.17</v>
          </cell>
          <cell r="AK406">
            <v>69.209999999999994</v>
          </cell>
          <cell r="AL406">
            <v>5.5345000000000013</v>
          </cell>
          <cell r="AM406">
            <v>3.7235000000000085</v>
          </cell>
          <cell r="AN406">
            <v>5.5345000000000013</v>
          </cell>
          <cell r="AO406">
            <v>3.7235000000000085</v>
          </cell>
          <cell r="AP406">
            <v>5.5345000000000013</v>
          </cell>
          <cell r="AQ406">
            <v>3.7235000000000085</v>
          </cell>
          <cell r="AR406" t="str">
            <v>HI134</v>
          </cell>
          <cell r="AS406">
            <v>0</v>
          </cell>
          <cell r="AT406">
            <v>156</v>
          </cell>
          <cell r="AU406">
            <v>156</v>
          </cell>
          <cell r="AV406">
            <v>0</v>
          </cell>
          <cell r="AW406">
            <v>580.86600000000135</v>
          </cell>
          <cell r="AX406">
            <v>580.86600000000135</v>
          </cell>
          <cell r="AY406">
            <v>580.86600000000135</v>
          </cell>
          <cell r="AZ406">
            <v>50</v>
          </cell>
          <cell r="BA406">
            <v>5.9576000000000136</v>
          </cell>
          <cell r="BB406">
            <v>929.38560000000211</v>
          </cell>
          <cell r="BD406">
            <v>580.86600000000135</v>
          </cell>
          <cell r="BF406">
            <v>580.86600000000135</v>
          </cell>
          <cell r="BG406">
            <v>7202.52</v>
          </cell>
          <cell r="BH406">
            <v>7202.52</v>
          </cell>
          <cell r="BI406">
            <v>5757.9599999999991</v>
          </cell>
          <cell r="BJ406">
            <v>5.5364999999999993</v>
          </cell>
          <cell r="BK406">
            <v>0</v>
          </cell>
          <cell r="BL406">
            <v>863.69399999999985</v>
          </cell>
          <cell r="BM406">
            <v>6621.6539999999986</v>
          </cell>
          <cell r="BN406">
            <v>5.5364999999999993</v>
          </cell>
          <cell r="BO406">
            <v>580.86600000000146</v>
          </cell>
          <cell r="BP406" t="str">
            <v>Y</v>
          </cell>
          <cell r="BQ406">
            <v>2</v>
          </cell>
          <cell r="BR406" t="str">
            <v>N</v>
          </cell>
          <cell r="BS406">
            <v>929.38560000000211</v>
          </cell>
          <cell r="BT406" t="str">
            <v>Done</v>
          </cell>
          <cell r="BU406">
            <v>156</v>
          </cell>
          <cell r="BV406">
            <v>2024</v>
          </cell>
        </row>
        <row r="407">
          <cell r="A407" t="str">
            <v>Lucknow</v>
          </cell>
          <cell r="B407" t="str">
            <v>Titans</v>
          </cell>
          <cell r="C407" t="str">
            <v>Mid Level</v>
          </cell>
          <cell r="D407" t="str">
            <v>Abhishek Yadav</v>
          </cell>
          <cell r="E407" t="str">
            <v>Abhishek Yadav</v>
          </cell>
          <cell r="H407" t="str">
            <v>Manish Kumar Dhiman</v>
          </cell>
          <cell r="K407">
            <v>0</v>
          </cell>
          <cell r="L407" t="str">
            <v>Old</v>
          </cell>
          <cell r="M407">
            <v>45411</v>
          </cell>
          <cell r="N407">
            <v>2</v>
          </cell>
          <cell r="O407">
            <v>635</v>
          </cell>
          <cell r="P407">
            <v>45734</v>
          </cell>
          <cell r="Q407">
            <v>45776</v>
          </cell>
          <cell r="R407" t="str">
            <v>PLC-3724</v>
          </cell>
          <cell r="S407" t="str">
            <v>Norma Winters</v>
          </cell>
          <cell r="T407" t="str">
            <v>Individual</v>
          </cell>
          <cell r="U407" t="str">
            <v>W2</v>
          </cell>
          <cell r="V407" t="str">
            <v>Genpact</v>
          </cell>
          <cell r="W407">
            <v>40</v>
          </cell>
          <cell r="X407">
            <v>60</v>
          </cell>
          <cell r="Y407" t="str">
            <v>USD</v>
          </cell>
          <cell r="Z407">
            <v>60</v>
          </cell>
          <cell r="AA407">
            <v>90</v>
          </cell>
          <cell r="AB407">
            <v>0</v>
          </cell>
          <cell r="AC407">
            <v>0</v>
          </cell>
          <cell r="AD407">
            <v>45672</v>
          </cell>
          <cell r="AE407">
            <v>22</v>
          </cell>
          <cell r="AF407">
            <v>46022</v>
          </cell>
          <cell r="AG407">
            <v>46</v>
          </cell>
          <cell r="AH407">
            <v>69</v>
          </cell>
          <cell r="AI407">
            <v>46</v>
          </cell>
          <cell r="AJ407">
            <v>60</v>
          </cell>
          <cell r="AK407">
            <v>90</v>
          </cell>
          <cell r="AL407">
            <v>21</v>
          </cell>
          <cell r="AM407">
            <v>14</v>
          </cell>
          <cell r="AN407">
            <v>21</v>
          </cell>
          <cell r="AO407">
            <v>14</v>
          </cell>
          <cell r="AP407">
            <v>20</v>
          </cell>
          <cell r="AQ407">
            <v>14</v>
          </cell>
          <cell r="AR407" t="str">
            <v>US_24228</v>
          </cell>
          <cell r="AS407">
            <v>0</v>
          </cell>
          <cell r="AT407">
            <v>176</v>
          </cell>
          <cell r="AU407">
            <v>176</v>
          </cell>
          <cell r="AV407">
            <v>0</v>
          </cell>
          <cell r="AW407">
            <v>2464</v>
          </cell>
          <cell r="AX407">
            <v>2464</v>
          </cell>
          <cell r="AY407">
            <v>2464</v>
          </cell>
          <cell r="AZ407">
            <v>62.5</v>
          </cell>
          <cell r="BA407">
            <v>30.8</v>
          </cell>
          <cell r="BB407">
            <v>5420.8</v>
          </cell>
          <cell r="BD407">
            <v>2464</v>
          </cell>
          <cell r="BF407">
            <v>2464</v>
          </cell>
          <cell r="BG407">
            <v>10560</v>
          </cell>
          <cell r="BH407">
            <v>10560</v>
          </cell>
          <cell r="BI407">
            <v>7040</v>
          </cell>
          <cell r="BJ407">
            <v>6</v>
          </cell>
          <cell r="BK407">
            <v>0</v>
          </cell>
          <cell r="BL407">
            <v>1056</v>
          </cell>
          <cell r="BM407">
            <v>8096</v>
          </cell>
          <cell r="BN407">
            <v>6</v>
          </cell>
          <cell r="BO407">
            <v>2464</v>
          </cell>
          <cell r="BP407" t="str">
            <v>Y</v>
          </cell>
          <cell r="BQ407">
            <v>1</v>
          </cell>
          <cell r="BR407" t="str">
            <v>Y</v>
          </cell>
          <cell r="BS407">
            <v>5420.8</v>
          </cell>
          <cell r="BT407" t="str">
            <v>Done</v>
          </cell>
          <cell r="BU407">
            <v>176</v>
          </cell>
          <cell r="BV407">
            <v>2024</v>
          </cell>
        </row>
        <row r="408">
          <cell r="A408" t="str">
            <v>Lucknow</v>
          </cell>
          <cell r="B408" t="str">
            <v>Titans</v>
          </cell>
          <cell r="C408" t="str">
            <v>Mid Level</v>
          </cell>
          <cell r="D408" t="str">
            <v>Abhishek Yadav</v>
          </cell>
          <cell r="E408" t="str">
            <v>Abhishek Yadav</v>
          </cell>
          <cell r="H408" t="str">
            <v>Manish Kumar Dhiman</v>
          </cell>
          <cell r="K408">
            <v>0</v>
          </cell>
          <cell r="L408" t="str">
            <v>Old</v>
          </cell>
          <cell r="M408">
            <v>45411</v>
          </cell>
          <cell r="N408">
            <v>2</v>
          </cell>
          <cell r="O408">
            <v>635</v>
          </cell>
          <cell r="P408">
            <v>45734</v>
          </cell>
          <cell r="Q408">
            <v>45776</v>
          </cell>
          <cell r="R408" t="str">
            <v>PLC-3724</v>
          </cell>
          <cell r="S408" t="str">
            <v>Norma Winters</v>
          </cell>
          <cell r="T408" t="str">
            <v>Individual</v>
          </cell>
          <cell r="U408" t="str">
            <v>W2</v>
          </cell>
          <cell r="V408" t="str">
            <v>Genpact</v>
          </cell>
          <cell r="W408">
            <v>40</v>
          </cell>
          <cell r="X408">
            <v>60</v>
          </cell>
          <cell r="Y408" t="str">
            <v>USD</v>
          </cell>
          <cell r="Z408">
            <v>60</v>
          </cell>
          <cell r="AA408">
            <v>90</v>
          </cell>
          <cell r="AB408">
            <v>0</v>
          </cell>
          <cell r="AC408">
            <v>0</v>
          </cell>
          <cell r="AD408">
            <v>45703</v>
          </cell>
          <cell r="AE408">
            <v>20</v>
          </cell>
          <cell r="AF408">
            <v>46022</v>
          </cell>
          <cell r="AG408">
            <v>46</v>
          </cell>
          <cell r="AH408">
            <v>69</v>
          </cell>
          <cell r="AI408">
            <v>46</v>
          </cell>
          <cell r="AJ408">
            <v>60</v>
          </cell>
          <cell r="AK408">
            <v>90</v>
          </cell>
          <cell r="AL408">
            <v>21</v>
          </cell>
          <cell r="AM408">
            <v>14</v>
          </cell>
          <cell r="AN408">
            <v>21</v>
          </cell>
          <cell r="AO408">
            <v>14</v>
          </cell>
          <cell r="AP408">
            <v>20</v>
          </cell>
          <cell r="AQ408">
            <v>14</v>
          </cell>
          <cell r="AR408" t="str">
            <v>US_24435</v>
          </cell>
          <cell r="AS408">
            <v>0</v>
          </cell>
          <cell r="AT408">
            <v>152</v>
          </cell>
          <cell r="AU408">
            <v>152</v>
          </cell>
          <cell r="AV408">
            <v>0</v>
          </cell>
          <cell r="AW408">
            <v>2128</v>
          </cell>
          <cell r="AX408">
            <v>2128</v>
          </cell>
          <cell r="AY408">
            <v>2128</v>
          </cell>
          <cell r="AZ408">
            <v>62.5</v>
          </cell>
          <cell r="BA408">
            <v>30.8</v>
          </cell>
          <cell r="BB408">
            <v>4681.6000000000004</v>
          </cell>
          <cell r="BD408">
            <v>2128</v>
          </cell>
          <cell r="BF408">
            <v>2128</v>
          </cell>
          <cell r="BG408">
            <v>9120</v>
          </cell>
          <cell r="BH408">
            <v>9120</v>
          </cell>
          <cell r="BI408">
            <v>6080</v>
          </cell>
          <cell r="BJ408">
            <v>6</v>
          </cell>
          <cell r="BK408">
            <v>0</v>
          </cell>
          <cell r="BL408">
            <v>912</v>
          </cell>
          <cell r="BM408">
            <v>6992</v>
          </cell>
          <cell r="BN408">
            <v>6</v>
          </cell>
          <cell r="BO408">
            <v>2128</v>
          </cell>
          <cell r="BP408" t="str">
            <v>Y</v>
          </cell>
          <cell r="BQ408">
            <v>1</v>
          </cell>
          <cell r="BR408" t="str">
            <v>Y</v>
          </cell>
          <cell r="BS408">
            <v>4681.6000000000004</v>
          </cell>
          <cell r="BT408" t="str">
            <v>Done</v>
          </cell>
          <cell r="BU408">
            <v>152</v>
          </cell>
          <cell r="BV408">
            <v>2024</v>
          </cell>
        </row>
        <row r="409">
          <cell r="A409" t="str">
            <v>Lucknow</v>
          </cell>
          <cell r="B409" t="str">
            <v>Titans</v>
          </cell>
          <cell r="C409" t="str">
            <v>Mid Level</v>
          </cell>
          <cell r="D409" t="str">
            <v>Abhishek Yadav</v>
          </cell>
          <cell r="E409" t="str">
            <v>Abhishek Yadav</v>
          </cell>
          <cell r="H409" t="str">
            <v>Manish Kumar Dhiman</v>
          </cell>
          <cell r="K409">
            <v>0</v>
          </cell>
          <cell r="L409" t="str">
            <v>Old</v>
          </cell>
          <cell r="M409">
            <v>45411</v>
          </cell>
          <cell r="N409">
            <v>2</v>
          </cell>
          <cell r="O409">
            <v>635</v>
          </cell>
          <cell r="P409">
            <v>45734</v>
          </cell>
          <cell r="Q409">
            <v>45776</v>
          </cell>
          <cell r="R409" t="str">
            <v>PLC-3724</v>
          </cell>
          <cell r="S409" t="str">
            <v>Norma Winters</v>
          </cell>
          <cell r="T409" t="str">
            <v>Individual</v>
          </cell>
          <cell r="U409" t="str">
            <v>W2</v>
          </cell>
          <cell r="V409" t="str">
            <v>Genpact</v>
          </cell>
          <cell r="W409">
            <v>40</v>
          </cell>
          <cell r="X409">
            <v>60</v>
          </cell>
          <cell r="Y409" t="str">
            <v>USD</v>
          </cell>
          <cell r="Z409">
            <v>60</v>
          </cell>
          <cell r="AA409">
            <v>90</v>
          </cell>
          <cell r="AB409">
            <v>0</v>
          </cell>
          <cell r="AC409">
            <v>0</v>
          </cell>
          <cell r="AD409">
            <v>45731</v>
          </cell>
          <cell r="AE409">
            <v>12</v>
          </cell>
          <cell r="AF409">
            <v>46022</v>
          </cell>
          <cell r="AG409">
            <v>46</v>
          </cell>
          <cell r="AH409">
            <v>69</v>
          </cell>
          <cell r="AI409">
            <v>46</v>
          </cell>
          <cell r="AJ409">
            <v>60</v>
          </cell>
          <cell r="AK409">
            <v>90</v>
          </cell>
          <cell r="AL409">
            <v>21</v>
          </cell>
          <cell r="AM409">
            <v>14</v>
          </cell>
          <cell r="AN409">
            <v>21</v>
          </cell>
          <cell r="AO409">
            <v>14</v>
          </cell>
          <cell r="AP409">
            <v>20</v>
          </cell>
          <cell r="AQ409">
            <v>14</v>
          </cell>
          <cell r="AR409" t="str">
            <v>US_24627</v>
          </cell>
          <cell r="AS409">
            <v>0</v>
          </cell>
          <cell r="AT409">
            <v>92</v>
          </cell>
          <cell r="AU409">
            <v>92</v>
          </cell>
          <cell r="AV409">
            <v>0</v>
          </cell>
          <cell r="AW409">
            <v>1288</v>
          </cell>
          <cell r="AX409">
            <v>1288</v>
          </cell>
          <cell r="AY409">
            <v>1288</v>
          </cell>
          <cell r="AZ409">
            <v>62.5</v>
          </cell>
          <cell r="BA409">
            <v>30.8</v>
          </cell>
          <cell r="BB409">
            <v>2833.6</v>
          </cell>
          <cell r="BD409">
            <v>1288</v>
          </cell>
          <cell r="BF409">
            <v>1288</v>
          </cell>
          <cell r="BG409">
            <v>5520</v>
          </cell>
          <cell r="BH409">
            <v>5520</v>
          </cell>
          <cell r="BI409">
            <v>3680</v>
          </cell>
          <cell r="BJ409">
            <v>6</v>
          </cell>
          <cell r="BK409">
            <v>0</v>
          </cell>
          <cell r="BL409">
            <v>552</v>
          </cell>
          <cell r="BM409">
            <v>4232</v>
          </cell>
          <cell r="BN409">
            <v>6</v>
          </cell>
          <cell r="BO409">
            <v>1288</v>
          </cell>
          <cell r="BP409" t="str">
            <v>Y</v>
          </cell>
          <cell r="BQ409">
            <v>1</v>
          </cell>
          <cell r="BR409" t="str">
            <v>Y</v>
          </cell>
          <cell r="BS409">
            <v>2833.6</v>
          </cell>
          <cell r="BT409" t="str">
            <v>Done</v>
          </cell>
          <cell r="BU409">
            <v>92</v>
          </cell>
          <cell r="BV409">
            <v>2024</v>
          </cell>
        </row>
        <row r="410">
          <cell r="A410" t="str">
            <v>Lucknow</v>
          </cell>
          <cell r="B410" t="str">
            <v>Titans</v>
          </cell>
          <cell r="C410" t="str">
            <v>Mid Level</v>
          </cell>
          <cell r="D410" t="str">
            <v>Nitin Saxena</v>
          </cell>
          <cell r="E410" t="str">
            <v>Nitin Saxena</v>
          </cell>
          <cell r="H410" t="str">
            <v>Samad Quraishi</v>
          </cell>
          <cell r="K410">
            <v>0</v>
          </cell>
          <cell r="L410" t="str">
            <v>Old</v>
          </cell>
          <cell r="M410">
            <v>45582</v>
          </cell>
          <cell r="N410">
            <v>4</v>
          </cell>
          <cell r="O410">
            <v>464</v>
          </cell>
          <cell r="P410">
            <v>45893</v>
          </cell>
          <cell r="Q410">
            <v>45947</v>
          </cell>
          <cell r="R410" t="str">
            <v>PLC-4024</v>
          </cell>
          <cell r="S410" t="str">
            <v>Oladapo Odutayo</v>
          </cell>
          <cell r="T410" t="str">
            <v>Individual</v>
          </cell>
          <cell r="U410" t="str">
            <v>C2C</v>
          </cell>
          <cell r="V410" t="str">
            <v>Genpact</v>
          </cell>
          <cell r="W410">
            <v>60</v>
          </cell>
          <cell r="X410">
            <v>0</v>
          </cell>
          <cell r="Y410" t="str">
            <v>CAD</v>
          </cell>
          <cell r="Z410">
            <v>72</v>
          </cell>
          <cell r="AA410">
            <v>0</v>
          </cell>
          <cell r="AB410">
            <v>0</v>
          </cell>
          <cell r="AC410">
            <v>0</v>
          </cell>
          <cell r="AD410">
            <v>45672</v>
          </cell>
          <cell r="AE410">
            <v>22</v>
          </cell>
          <cell r="AF410">
            <v>46022</v>
          </cell>
          <cell r="AG410">
            <v>42.599999999999994</v>
          </cell>
          <cell r="AH410">
            <v>0</v>
          </cell>
          <cell r="AI410">
            <v>42.599999999999994</v>
          </cell>
          <cell r="AJ410">
            <v>51.12</v>
          </cell>
          <cell r="AK410">
            <v>0</v>
          </cell>
          <cell r="AL410">
            <v>0</v>
          </cell>
          <cell r="AM410">
            <v>8.5200000000000031</v>
          </cell>
          <cell r="AN410">
            <v>0</v>
          </cell>
          <cell r="AO410">
            <v>8.5200000000000031</v>
          </cell>
          <cell r="AP410">
            <v>0</v>
          </cell>
          <cell r="AQ410">
            <v>8.5200000000000031</v>
          </cell>
          <cell r="AR410" t="str">
            <v>CAD_1411</v>
          </cell>
          <cell r="AS410">
            <v>0</v>
          </cell>
          <cell r="AT410">
            <v>176</v>
          </cell>
          <cell r="AU410">
            <v>176</v>
          </cell>
          <cell r="AV410">
            <v>0</v>
          </cell>
          <cell r="AW410">
            <v>1499.5200000000004</v>
          </cell>
          <cell r="AX410">
            <v>1499.5200000000004</v>
          </cell>
          <cell r="AY410">
            <v>1499.5200000000004</v>
          </cell>
          <cell r="AZ410">
            <v>100</v>
          </cell>
          <cell r="BA410">
            <v>28.968000000000011</v>
          </cell>
          <cell r="BB410">
            <v>5098.3680000000022</v>
          </cell>
          <cell r="BC410">
            <v>63</v>
          </cell>
          <cell r="BD410">
            <v>1499.5200000000004</v>
          </cell>
          <cell r="BE410">
            <v>1799.4240000000004</v>
          </cell>
          <cell r="BF410">
            <v>1499.5200000000004</v>
          </cell>
          <cell r="BG410">
            <v>12672</v>
          </cell>
          <cell r="BH410">
            <v>8997.119999999999</v>
          </cell>
          <cell r="BI410">
            <v>7823.9040000000005</v>
          </cell>
          <cell r="BJ410">
            <v>0</v>
          </cell>
          <cell r="BK410">
            <v>0</v>
          </cell>
          <cell r="BL410">
            <v>0</v>
          </cell>
          <cell r="BM410">
            <v>7823.9040000000005</v>
          </cell>
          <cell r="BN410">
            <v>0</v>
          </cell>
          <cell r="BO410">
            <v>1173.2159999999985</v>
          </cell>
          <cell r="BP410" t="str">
            <v>Y</v>
          </cell>
          <cell r="BQ410">
            <v>1</v>
          </cell>
          <cell r="BR410" t="str">
            <v>Y</v>
          </cell>
          <cell r="BS410">
            <v>5098.3680000000022</v>
          </cell>
          <cell r="BT410" t="str">
            <v>Done</v>
          </cell>
          <cell r="BU410">
            <v>176</v>
          </cell>
          <cell r="BV410">
            <v>2024</v>
          </cell>
        </row>
        <row r="411">
          <cell r="A411" t="str">
            <v>Lucknow</v>
          </cell>
          <cell r="B411" t="str">
            <v>Titans</v>
          </cell>
          <cell r="C411" t="str">
            <v>Mid Level</v>
          </cell>
          <cell r="D411" t="str">
            <v>Nitin Saxena</v>
          </cell>
          <cell r="E411" t="str">
            <v>Nitin Saxena</v>
          </cell>
          <cell r="H411" t="str">
            <v>Samad Quraishi</v>
          </cell>
          <cell r="K411">
            <v>0</v>
          </cell>
          <cell r="L411" t="str">
            <v>Old</v>
          </cell>
          <cell r="M411">
            <v>45582</v>
          </cell>
          <cell r="N411">
            <v>4</v>
          </cell>
          <cell r="O411">
            <v>464</v>
          </cell>
          <cell r="P411">
            <v>45893</v>
          </cell>
          <cell r="Q411">
            <v>45947</v>
          </cell>
          <cell r="R411" t="str">
            <v>PLC-4024</v>
          </cell>
          <cell r="S411" t="str">
            <v>Oladapo Odutayo</v>
          </cell>
          <cell r="T411" t="str">
            <v>Individual</v>
          </cell>
          <cell r="U411" t="str">
            <v>C2C</v>
          </cell>
          <cell r="V411" t="str">
            <v>Genpact</v>
          </cell>
          <cell r="W411">
            <v>60</v>
          </cell>
          <cell r="X411">
            <v>0</v>
          </cell>
          <cell r="Y411" t="str">
            <v>CAD</v>
          </cell>
          <cell r="Z411">
            <v>72</v>
          </cell>
          <cell r="AA411">
            <v>0</v>
          </cell>
          <cell r="AB411">
            <v>0</v>
          </cell>
          <cell r="AC411">
            <v>0</v>
          </cell>
          <cell r="AD411">
            <v>45703</v>
          </cell>
          <cell r="AE411">
            <v>20</v>
          </cell>
          <cell r="AF411">
            <v>46022</v>
          </cell>
          <cell r="AG411">
            <v>42.599999999999994</v>
          </cell>
          <cell r="AH411">
            <v>0</v>
          </cell>
          <cell r="AI411">
            <v>42.599999999999994</v>
          </cell>
          <cell r="AJ411">
            <v>51.12</v>
          </cell>
          <cell r="AK411">
            <v>0</v>
          </cell>
          <cell r="AL411">
            <v>0</v>
          </cell>
          <cell r="AM411">
            <v>8.5200000000000031</v>
          </cell>
          <cell r="AN411">
            <v>0</v>
          </cell>
          <cell r="AO411">
            <v>8.5200000000000031</v>
          </cell>
          <cell r="AP411">
            <v>0</v>
          </cell>
          <cell r="AQ411">
            <v>8.5200000000000031</v>
          </cell>
          <cell r="AR411" t="str">
            <v>CAD_1436</v>
          </cell>
          <cell r="AS411">
            <v>0</v>
          </cell>
          <cell r="AT411">
            <v>152</v>
          </cell>
          <cell r="AU411">
            <v>152</v>
          </cell>
          <cell r="AV411">
            <v>0</v>
          </cell>
          <cell r="AW411">
            <v>1295.0400000000004</v>
          </cell>
          <cell r="AX411">
            <v>1295.0400000000004</v>
          </cell>
          <cell r="AY411">
            <v>1295.0400000000004</v>
          </cell>
          <cell r="AZ411">
            <v>100</v>
          </cell>
          <cell r="BA411">
            <v>28.968000000000011</v>
          </cell>
          <cell r="BB411">
            <v>4403.1360000000013</v>
          </cell>
          <cell r="BC411">
            <v>63</v>
          </cell>
          <cell r="BD411">
            <v>1295.0400000000004</v>
          </cell>
          <cell r="BE411">
            <v>1554.0480000000005</v>
          </cell>
          <cell r="BF411">
            <v>1295.0400000000004</v>
          </cell>
          <cell r="BG411">
            <v>10944</v>
          </cell>
          <cell r="BH411">
            <v>7770.24</v>
          </cell>
          <cell r="BI411">
            <v>6757.0079999999998</v>
          </cell>
          <cell r="BJ411">
            <v>0</v>
          </cell>
          <cell r="BK411">
            <v>0</v>
          </cell>
          <cell r="BL411">
            <v>0</v>
          </cell>
          <cell r="BM411">
            <v>6757.0079999999998</v>
          </cell>
          <cell r="BN411">
            <v>0</v>
          </cell>
          <cell r="BO411">
            <v>1013.232</v>
          </cell>
          <cell r="BP411" t="str">
            <v>Y</v>
          </cell>
          <cell r="BQ411">
            <v>1</v>
          </cell>
          <cell r="BR411" t="str">
            <v>Y</v>
          </cell>
          <cell r="BS411">
            <v>4403.1360000000013</v>
          </cell>
          <cell r="BT411" t="str">
            <v>Done</v>
          </cell>
          <cell r="BU411">
            <v>152</v>
          </cell>
          <cell r="BV411">
            <v>2024</v>
          </cell>
        </row>
        <row r="412">
          <cell r="A412" t="str">
            <v>Lucknow</v>
          </cell>
          <cell r="B412" t="str">
            <v>Titans</v>
          </cell>
          <cell r="C412" t="str">
            <v>Mid Level</v>
          </cell>
          <cell r="D412" t="str">
            <v>Nitin Saxena</v>
          </cell>
          <cell r="E412" t="str">
            <v>Nitin Saxena</v>
          </cell>
          <cell r="H412" t="str">
            <v>Samad Quraishi</v>
          </cell>
          <cell r="K412">
            <v>0</v>
          </cell>
          <cell r="L412" t="str">
            <v>Old</v>
          </cell>
          <cell r="M412">
            <v>45582</v>
          </cell>
          <cell r="N412">
            <v>4</v>
          </cell>
          <cell r="O412">
            <v>464</v>
          </cell>
          <cell r="P412">
            <v>45893</v>
          </cell>
          <cell r="Q412">
            <v>45947</v>
          </cell>
          <cell r="R412" t="str">
            <v>PLC-4024</v>
          </cell>
          <cell r="S412" t="str">
            <v>Oladapo Odutayo</v>
          </cell>
          <cell r="T412" t="str">
            <v>Individual</v>
          </cell>
          <cell r="U412" t="str">
            <v>C2C</v>
          </cell>
          <cell r="V412" t="str">
            <v>Genpact</v>
          </cell>
          <cell r="W412">
            <v>60</v>
          </cell>
          <cell r="X412">
            <v>0</v>
          </cell>
          <cell r="Y412" t="str">
            <v>CAD</v>
          </cell>
          <cell r="Z412">
            <v>72</v>
          </cell>
          <cell r="AA412">
            <v>0</v>
          </cell>
          <cell r="AB412">
            <v>0</v>
          </cell>
          <cell r="AC412">
            <v>0</v>
          </cell>
          <cell r="AD412">
            <v>45731</v>
          </cell>
          <cell r="AE412">
            <v>21</v>
          </cell>
          <cell r="AF412">
            <v>46022</v>
          </cell>
          <cell r="AG412">
            <v>42.599999999999994</v>
          </cell>
          <cell r="AH412">
            <v>0</v>
          </cell>
          <cell r="AI412">
            <v>42.599999999999994</v>
          </cell>
          <cell r="AJ412">
            <v>51.12</v>
          </cell>
          <cell r="AK412">
            <v>0</v>
          </cell>
          <cell r="AL412">
            <v>0</v>
          </cell>
          <cell r="AM412">
            <v>8.5200000000000031</v>
          </cell>
          <cell r="AN412">
            <v>0</v>
          </cell>
          <cell r="AO412">
            <v>8.5200000000000031</v>
          </cell>
          <cell r="AP412">
            <v>0</v>
          </cell>
          <cell r="AQ412">
            <v>8.5200000000000031</v>
          </cell>
          <cell r="AR412" t="str">
            <v>CAD_1461</v>
          </cell>
          <cell r="AS412">
            <v>0</v>
          </cell>
          <cell r="AT412">
            <v>168</v>
          </cell>
          <cell r="AU412">
            <v>168</v>
          </cell>
          <cell r="AV412">
            <v>0</v>
          </cell>
          <cell r="AW412">
            <v>1431.3600000000006</v>
          </cell>
          <cell r="AX412">
            <v>1431.3600000000006</v>
          </cell>
          <cell r="AY412">
            <v>1431.3600000000006</v>
          </cell>
          <cell r="AZ412">
            <v>100</v>
          </cell>
          <cell r="BA412">
            <v>28.968000000000011</v>
          </cell>
          <cell r="BB412">
            <v>4866.6240000000016</v>
          </cell>
          <cell r="BC412">
            <v>63</v>
          </cell>
          <cell r="BD412">
            <v>1431.3600000000006</v>
          </cell>
          <cell r="BE412">
            <v>1717.6320000000007</v>
          </cell>
          <cell r="BF412">
            <v>1431.3600000000006</v>
          </cell>
          <cell r="BG412">
            <v>12096</v>
          </cell>
          <cell r="BH412">
            <v>8588.16</v>
          </cell>
          <cell r="BI412">
            <v>7468.2719999999999</v>
          </cell>
          <cell r="BJ412">
            <v>0</v>
          </cell>
          <cell r="BK412">
            <v>0</v>
          </cell>
          <cell r="BL412">
            <v>0</v>
          </cell>
          <cell r="BM412">
            <v>7468.2719999999999</v>
          </cell>
          <cell r="BN412">
            <v>0</v>
          </cell>
          <cell r="BO412">
            <v>1119.8879999999999</v>
          </cell>
          <cell r="BP412" t="str">
            <v>Y</v>
          </cell>
          <cell r="BQ412">
            <v>1</v>
          </cell>
          <cell r="BR412" t="str">
            <v>Y</v>
          </cell>
          <cell r="BS412">
            <v>4866.6240000000016</v>
          </cell>
          <cell r="BT412" t="str">
            <v>Done</v>
          </cell>
          <cell r="BU412">
            <v>168</v>
          </cell>
          <cell r="BV412">
            <v>2024</v>
          </cell>
        </row>
        <row r="413">
          <cell r="A413" t="str">
            <v>Lucknow</v>
          </cell>
          <cell r="B413" t="str">
            <v>Titans</v>
          </cell>
          <cell r="C413" t="str">
            <v>Mid Level</v>
          </cell>
          <cell r="D413" t="str">
            <v>Nitin Saxena</v>
          </cell>
          <cell r="E413" t="str">
            <v>Nitin Saxena</v>
          </cell>
          <cell r="H413" t="str">
            <v>Samad Quraishi</v>
          </cell>
          <cell r="K413">
            <v>0</v>
          </cell>
          <cell r="L413" t="str">
            <v>Old</v>
          </cell>
          <cell r="M413">
            <v>45582</v>
          </cell>
          <cell r="N413">
            <v>4</v>
          </cell>
          <cell r="O413">
            <v>464</v>
          </cell>
          <cell r="P413">
            <v>45893</v>
          </cell>
          <cell r="Q413">
            <v>45947</v>
          </cell>
          <cell r="R413" t="str">
            <v>PLC-4024</v>
          </cell>
          <cell r="S413" t="str">
            <v>Oladapo Odutayo</v>
          </cell>
          <cell r="T413" t="str">
            <v>Individual</v>
          </cell>
          <cell r="U413" t="str">
            <v>C2C</v>
          </cell>
          <cell r="V413" t="str">
            <v>Genpact</v>
          </cell>
          <cell r="W413">
            <v>60</v>
          </cell>
          <cell r="X413">
            <v>0</v>
          </cell>
          <cell r="Y413" t="str">
            <v>CAD</v>
          </cell>
          <cell r="Z413">
            <v>72</v>
          </cell>
          <cell r="AA413">
            <v>0</v>
          </cell>
          <cell r="AB413">
            <v>0</v>
          </cell>
          <cell r="AC413">
            <v>0</v>
          </cell>
          <cell r="AD413">
            <v>45762</v>
          </cell>
          <cell r="AE413">
            <v>22</v>
          </cell>
          <cell r="AF413">
            <v>46022</v>
          </cell>
          <cell r="AG413">
            <v>42.599999999999994</v>
          </cell>
          <cell r="AH413">
            <v>0</v>
          </cell>
          <cell r="AI413">
            <v>42.599999999999994</v>
          </cell>
          <cell r="AJ413">
            <v>51.12</v>
          </cell>
          <cell r="AK413">
            <v>0</v>
          </cell>
          <cell r="AL413">
            <v>0</v>
          </cell>
          <cell r="AM413">
            <v>8.5200000000000031</v>
          </cell>
          <cell r="AN413">
            <v>0</v>
          </cell>
          <cell r="AO413">
            <v>8.5200000000000031</v>
          </cell>
          <cell r="AP413">
            <v>0</v>
          </cell>
          <cell r="AQ413">
            <v>8.5200000000000031</v>
          </cell>
          <cell r="AR413" t="str">
            <v>CAD_1485</v>
          </cell>
          <cell r="AS413">
            <v>0</v>
          </cell>
          <cell r="AT413">
            <v>168</v>
          </cell>
          <cell r="AU413">
            <v>168</v>
          </cell>
          <cell r="AV413">
            <v>0</v>
          </cell>
          <cell r="AW413">
            <v>1431.3600000000006</v>
          </cell>
          <cell r="AX413">
            <v>1431.3600000000006</v>
          </cell>
          <cell r="AY413">
            <v>1431.3600000000006</v>
          </cell>
          <cell r="AZ413">
            <v>100</v>
          </cell>
          <cell r="BA413">
            <v>28.968000000000011</v>
          </cell>
          <cell r="BB413">
            <v>4866.6240000000016</v>
          </cell>
          <cell r="BC413">
            <v>63</v>
          </cell>
          <cell r="BD413">
            <v>1431.3600000000006</v>
          </cell>
          <cell r="BE413">
            <v>1717.6320000000007</v>
          </cell>
          <cell r="BF413">
            <v>1431.3600000000006</v>
          </cell>
          <cell r="BG413">
            <v>12096</v>
          </cell>
          <cell r="BH413">
            <v>8588.16</v>
          </cell>
          <cell r="BI413">
            <v>7468.2719999999999</v>
          </cell>
          <cell r="BJ413">
            <v>0</v>
          </cell>
          <cell r="BK413">
            <v>0</v>
          </cell>
          <cell r="BL413">
            <v>0</v>
          </cell>
          <cell r="BM413">
            <v>7468.2719999999999</v>
          </cell>
          <cell r="BN413">
            <v>0</v>
          </cell>
          <cell r="BO413">
            <v>1119.8879999999999</v>
          </cell>
          <cell r="BP413" t="str">
            <v>Y</v>
          </cell>
          <cell r="BQ413">
            <v>2</v>
          </cell>
          <cell r="BR413" t="str">
            <v>Y</v>
          </cell>
          <cell r="BS413">
            <v>4866.6240000000016</v>
          </cell>
          <cell r="BT413" t="str">
            <v>Done</v>
          </cell>
          <cell r="BU413">
            <v>168</v>
          </cell>
          <cell r="BV413">
            <v>2024</v>
          </cell>
        </row>
        <row r="414">
          <cell r="A414" t="str">
            <v>Lucknow</v>
          </cell>
          <cell r="B414" t="str">
            <v>Titans</v>
          </cell>
          <cell r="C414" t="str">
            <v>Mid Level</v>
          </cell>
          <cell r="D414" t="str">
            <v>Nitin Saxena</v>
          </cell>
          <cell r="E414" t="str">
            <v>Nitin Saxena</v>
          </cell>
          <cell r="H414" t="str">
            <v>Tushar Bisht</v>
          </cell>
          <cell r="K414">
            <v>0</v>
          </cell>
          <cell r="L414" t="str">
            <v>Old</v>
          </cell>
          <cell r="M414">
            <v>45436</v>
          </cell>
          <cell r="N414">
            <v>2</v>
          </cell>
          <cell r="O414">
            <v>610</v>
          </cell>
          <cell r="P414">
            <v>45770</v>
          </cell>
          <cell r="Q414">
            <v>45801</v>
          </cell>
          <cell r="R414" t="str">
            <v>PLC-3801</v>
          </cell>
          <cell r="S414" t="str">
            <v>Panchanan Nayak</v>
          </cell>
          <cell r="T414" t="str">
            <v>Individual</v>
          </cell>
          <cell r="U414" t="str">
            <v>C2C</v>
          </cell>
          <cell r="V414" t="str">
            <v>Genpact</v>
          </cell>
          <cell r="W414">
            <v>95</v>
          </cell>
          <cell r="X414">
            <v>0</v>
          </cell>
          <cell r="Y414" t="str">
            <v>CAD</v>
          </cell>
          <cell r="Z414">
            <v>100</v>
          </cell>
          <cell r="AA414">
            <v>0</v>
          </cell>
          <cell r="AB414">
            <v>0</v>
          </cell>
          <cell r="AC414">
            <v>0</v>
          </cell>
          <cell r="AD414">
            <v>45672</v>
          </cell>
          <cell r="AE414">
            <v>22</v>
          </cell>
          <cell r="AF414">
            <v>46022</v>
          </cell>
          <cell r="AG414">
            <v>67.45</v>
          </cell>
          <cell r="AH414">
            <v>0</v>
          </cell>
          <cell r="AI414">
            <v>67.45</v>
          </cell>
          <cell r="AJ414">
            <v>71</v>
          </cell>
          <cell r="AK414">
            <v>0</v>
          </cell>
          <cell r="AL414">
            <v>0</v>
          </cell>
          <cell r="AM414">
            <v>3.5499999999999972</v>
          </cell>
          <cell r="AN414">
            <v>0</v>
          </cell>
          <cell r="AO414">
            <v>3.5499999999999972</v>
          </cell>
          <cell r="AP414">
            <v>0</v>
          </cell>
          <cell r="AQ414">
            <v>3.5499999999999972</v>
          </cell>
          <cell r="AR414" t="str">
            <v>CAD_1403</v>
          </cell>
          <cell r="AS414">
            <v>0</v>
          </cell>
          <cell r="AT414">
            <v>160</v>
          </cell>
          <cell r="AU414">
            <v>160</v>
          </cell>
          <cell r="AV414">
            <v>0</v>
          </cell>
          <cell r="AW414">
            <v>567.99999999999955</v>
          </cell>
          <cell r="AX414">
            <v>567.99999999999955</v>
          </cell>
          <cell r="AY414">
            <v>567.99999999999955</v>
          </cell>
          <cell r="AZ414">
            <v>0</v>
          </cell>
          <cell r="BA414">
            <v>0</v>
          </cell>
          <cell r="BB414">
            <v>0</v>
          </cell>
          <cell r="BC414">
            <v>63</v>
          </cell>
          <cell r="BD414">
            <v>567.99999999999955</v>
          </cell>
          <cell r="BE414">
            <v>681.59999999999945</v>
          </cell>
          <cell r="BF414">
            <v>567.99999999999955</v>
          </cell>
          <cell r="BG414">
            <v>16000</v>
          </cell>
          <cell r="BH414">
            <v>11360</v>
          </cell>
          <cell r="BI414">
            <v>11261.68</v>
          </cell>
          <cell r="BJ414">
            <v>0</v>
          </cell>
          <cell r="BK414">
            <v>0</v>
          </cell>
          <cell r="BL414">
            <v>0</v>
          </cell>
          <cell r="BM414">
            <v>11261.68</v>
          </cell>
          <cell r="BN414">
            <v>0</v>
          </cell>
          <cell r="BO414">
            <v>98.319999999999709</v>
          </cell>
          <cell r="BP414" t="str">
            <v>Y</v>
          </cell>
          <cell r="BQ414">
            <v>1</v>
          </cell>
          <cell r="BR414" t="str">
            <v>N</v>
          </cell>
          <cell r="BS414">
            <v>0</v>
          </cell>
          <cell r="BT414" t="str">
            <v>Done</v>
          </cell>
          <cell r="BU414">
            <v>160</v>
          </cell>
          <cell r="BV414">
            <v>2024</v>
          </cell>
        </row>
        <row r="415">
          <cell r="A415" t="str">
            <v>Lucknow</v>
          </cell>
          <cell r="B415" t="str">
            <v>Titans</v>
          </cell>
          <cell r="C415" t="str">
            <v>Mid Level</v>
          </cell>
          <cell r="D415" t="str">
            <v>Nitin Saxena</v>
          </cell>
          <cell r="E415" t="str">
            <v>Nitin Saxena</v>
          </cell>
          <cell r="H415" t="str">
            <v>Tushar Bisht</v>
          </cell>
          <cell r="K415">
            <v>0</v>
          </cell>
          <cell r="L415" t="str">
            <v>Old</v>
          </cell>
          <cell r="M415">
            <v>45436</v>
          </cell>
          <cell r="N415">
            <v>2</v>
          </cell>
          <cell r="O415">
            <v>610</v>
          </cell>
          <cell r="P415">
            <v>45770</v>
          </cell>
          <cell r="Q415">
            <v>45801</v>
          </cell>
          <cell r="R415" t="str">
            <v>PLC-3801</v>
          </cell>
          <cell r="S415" t="str">
            <v>Panchanan Nayak</v>
          </cell>
          <cell r="T415" t="str">
            <v>Individual</v>
          </cell>
          <cell r="U415" t="str">
            <v>C2C</v>
          </cell>
          <cell r="V415" t="str">
            <v>Genpact</v>
          </cell>
          <cell r="W415">
            <v>95</v>
          </cell>
          <cell r="X415">
            <v>0</v>
          </cell>
          <cell r="Y415" t="str">
            <v>CAD</v>
          </cell>
          <cell r="Z415">
            <v>100</v>
          </cell>
          <cell r="AA415">
            <v>0</v>
          </cell>
          <cell r="AB415">
            <v>0</v>
          </cell>
          <cell r="AC415">
            <v>0</v>
          </cell>
          <cell r="AD415">
            <v>45703</v>
          </cell>
          <cell r="AE415">
            <v>20</v>
          </cell>
          <cell r="AF415">
            <v>46022</v>
          </cell>
          <cell r="AG415">
            <v>67.45</v>
          </cell>
          <cell r="AH415">
            <v>0</v>
          </cell>
          <cell r="AI415">
            <v>67.45</v>
          </cell>
          <cell r="AJ415">
            <v>71</v>
          </cell>
          <cell r="AK415">
            <v>0</v>
          </cell>
          <cell r="AL415">
            <v>0</v>
          </cell>
          <cell r="AM415">
            <v>3.5499999999999972</v>
          </cell>
          <cell r="AN415">
            <v>0</v>
          </cell>
          <cell r="AO415">
            <v>3.5499999999999972</v>
          </cell>
          <cell r="AP415">
            <v>0</v>
          </cell>
          <cell r="AQ415">
            <v>3.5499999999999972</v>
          </cell>
          <cell r="AR415" t="str">
            <v>CAD_1429</v>
          </cell>
          <cell r="AS415">
            <v>0</v>
          </cell>
          <cell r="AT415">
            <v>152</v>
          </cell>
          <cell r="AU415">
            <v>152</v>
          </cell>
          <cell r="AV415">
            <v>0</v>
          </cell>
          <cell r="AW415">
            <v>539.59999999999957</v>
          </cell>
          <cell r="AX415">
            <v>539.59999999999957</v>
          </cell>
          <cell r="AY415">
            <v>539.59999999999957</v>
          </cell>
          <cell r="AZ415">
            <v>0</v>
          </cell>
          <cell r="BA415">
            <v>0</v>
          </cell>
          <cell r="BB415">
            <v>0</v>
          </cell>
          <cell r="BC415">
            <v>63</v>
          </cell>
          <cell r="BD415">
            <v>539.59999999999957</v>
          </cell>
          <cell r="BE415">
            <v>647.51999999999953</v>
          </cell>
          <cell r="BF415">
            <v>539.59999999999957</v>
          </cell>
          <cell r="BG415">
            <v>15200</v>
          </cell>
          <cell r="BH415">
            <v>10792</v>
          </cell>
          <cell r="BI415">
            <v>10698.596</v>
          </cell>
          <cell r="BJ415">
            <v>0</v>
          </cell>
          <cell r="BK415">
            <v>0</v>
          </cell>
          <cell r="BL415">
            <v>0</v>
          </cell>
          <cell r="BM415">
            <v>10698.596</v>
          </cell>
          <cell r="BN415">
            <v>0</v>
          </cell>
          <cell r="BO415">
            <v>93.404000000000451</v>
          </cell>
          <cell r="BP415" t="str">
            <v>Y</v>
          </cell>
          <cell r="BQ415">
            <v>1</v>
          </cell>
          <cell r="BR415" t="str">
            <v>N</v>
          </cell>
          <cell r="BS415">
            <v>0</v>
          </cell>
          <cell r="BT415" t="str">
            <v>Done</v>
          </cell>
          <cell r="BU415">
            <v>152</v>
          </cell>
          <cell r="BV415">
            <v>2024</v>
          </cell>
        </row>
        <row r="416">
          <cell r="A416" t="str">
            <v>Lucknow</v>
          </cell>
          <cell r="B416" t="str">
            <v>Titans</v>
          </cell>
          <cell r="C416" t="str">
            <v>Mid Level</v>
          </cell>
          <cell r="D416" t="str">
            <v>Nitin Saxena</v>
          </cell>
          <cell r="E416" t="str">
            <v>Nitin Saxena</v>
          </cell>
          <cell r="H416" t="str">
            <v>Tushar Bisht</v>
          </cell>
          <cell r="K416">
            <v>0</v>
          </cell>
          <cell r="L416" t="str">
            <v>Old</v>
          </cell>
          <cell r="M416">
            <v>45436</v>
          </cell>
          <cell r="N416">
            <v>2</v>
          </cell>
          <cell r="O416">
            <v>610</v>
          </cell>
          <cell r="P416">
            <v>45770</v>
          </cell>
          <cell r="Q416">
            <v>45801</v>
          </cell>
          <cell r="R416" t="str">
            <v>PLC-3801</v>
          </cell>
          <cell r="S416" t="str">
            <v>Panchanan Nayak</v>
          </cell>
          <cell r="T416" t="str">
            <v>Individual</v>
          </cell>
          <cell r="U416" t="str">
            <v>C2C</v>
          </cell>
          <cell r="V416" t="str">
            <v>Genpact</v>
          </cell>
          <cell r="W416">
            <v>95</v>
          </cell>
          <cell r="X416">
            <v>0</v>
          </cell>
          <cell r="Y416" t="str">
            <v>CAD</v>
          </cell>
          <cell r="Z416">
            <v>100</v>
          </cell>
          <cell r="AA416">
            <v>0</v>
          </cell>
          <cell r="AB416">
            <v>0</v>
          </cell>
          <cell r="AC416">
            <v>0</v>
          </cell>
          <cell r="AD416">
            <v>45731</v>
          </cell>
          <cell r="AE416">
            <v>21</v>
          </cell>
          <cell r="AF416">
            <v>46022</v>
          </cell>
          <cell r="AG416">
            <v>67.45</v>
          </cell>
          <cell r="AH416">
            <v>0</v>
          </cell>
          <cell r="AI416">
            <v>67.45</v>
          </cell>
          <cell r="AJ416">
            <v>71</v>
          </cell>
          <cell r="AK416">
            <v>0</v>
          </cell>
          <cell r="AL416">
            <v>0</v>
          </cell>
          <cell r="AM416">
            <v>3.5499999999999972</v>
          </cell>
          <cell r="AN416">
            <v>0</v>
          </cell>
          <cell r="AO416">
            <v>3.5499999999999972</v>
          </cell>
          <cell r="AP416">
            <v>0</v>
          </cell>
          <cell r="AQ416">
            <v>3.5499999999999972</v>
          </cell>
          <cell r="AR416" t="str">
            <v>CAD_1454</v>
          </cell>
          <cell r="AS416">
            <v>0</v>
          </cell>
          <cell r="AT416">
            <v>168</v>
          </cell>
          <cell r="AU416">
            <v>168</v>
          </cell>
          <cell r="AV416">
            <v>0</v>
          </cell>
          <cell r="AW416">
            <v>596.39999999999952</v>
          </cell>
          <cell r="AX416">
            <v>596.39999999999952</v>
          </cell>
          <cell r="AY416">
            <v>596.39999999999952</v>
          </cell>
          <cell r="AZ416">
            <v>0</v>
          </cell>
          <cell r="BA416">
            <v>0</v>
          </cell>
          <cell r="BB416">
            <v>0</v>
          </cell>
          <cell r="BC416">
            <v>63</v>
          </cell>
          <cell r="BD416">
            <v>596.39999999999952</v>
          </cell>
          <cell r="BE416">
            <v>715.67999999999938</v>
          </cell>
          <cell r="BF416">
            <v>596.39999999999952</v>
          </cell>
          <cell r="BG416">
            <v>16800</v>
          </cell>
          <cell r="BH416">
            <v>11928</v>
          </cell>
          <cell r="BI416">
            <v>11824.763999999999</v>
          </cell>
          <cell r="BJ416">
            <v>0</v>
          </cell>
          <cell r="BK416">
            <v>0</v>
          </cell>
          <cell r="BL416">
            <v>0</v>
          </cell>
          <cell r="BM416">
            <v>11824.763999999999</v>
          </cell>
          <cell r="BN416">
            <v>0</v>
          </cell>
          <cell r="BO416">
            <v>103.23600000000079</v>
          </cell>
          <cell r="BP416" t="str">
            <v>Y</v>
          </cell>
          <cell r="BQ416">
            <v>1</v>
          </cell>
          <cell r="BR416" t="str">
            <v>N</v>
          </cell>
          <cell r="BS416">
            <v>0</v>
          </cell>
          <cell r="BT416" t="str">
            <v>Done</v>
          </cell>
          <cell r="BU416">
            <v>168</v>
          </cell>
          <cell r="BV416">
            <v>2024</v>
          </cell>
        </row>
        <row r="417">
          <cell r="A417" t="str">
            <v>Lucknow</v>
          </cell>
          <cell r="B417" t="str">
            <v>Titans</v>
          </cell>
          <cell r="C417" t="str">
            <v>Mid Level</v>
          </cell>
          <cell r="D417" t="str">
            <v>Nitin Saxena</v>
          </cell>
          <cell r="E417" t="str">
            <v>Nitin Saxena</v>
          </cell>
          <cell r="H417" t="str">
            <v>Tushar Bisht</v>
          </cell>
          <cell r="K417">
            <v>0</v>
          </cell>
          <cell r="L417" t="str">
            <v>Old</v>
          </cell>
          <cell r="M417">
            <v>45436</v>
          </cell>
          <cell r="N417">
            <v>2</v>
          </cell>
          <cell r="O417">
            <v>610</v>
          </cell>
          <cell r="P417">
            <v>45770</v>
          </cell>
          <cell r="Q417">
            <v>45801</v>
          </cell>
          <cell r="R417" t="str">
            <v>PLC-3801</v>
          </cell>
          <cell r="S417" t="str">
            <v>Panchanan Nayak</v>
          </cell>
          <cell r="T417" t="str">
            <v>Individual</v>
          </cell>
          <cell r="U417" t="str">
            <v>C2C</v>
          </cell>
          <cell r="V417" t="str">
            <v>Genpact</v>
          </cell>
          <cell r="W417">
            <v>95</v>
          </cell>
          <cell r="X417">
            <v>0</v>
          </cell>
          <cell r="Y417" t="str">
            <v>CAD</v>
          </cell>
          <cell r="Z417">
            <v>100</v>
          </cell>
          <cell r="AA417">
            <v>0</v>
          </cell>
          <cell r="AB417">
            <v>0</v>
          </cell>
          <cell r="AC417">
            <v>0</v>
          </cell>
          <cell r="AD417">
            <v>45762</v>
          </cell>
          <cell r="AE417">
            <v>17</v>
          </cell>
          <cell r="AF417">
            <v>46022</v>
          </cell>
          <cell r="AG417">
            <v>67.45</v>
          </cell>
          <cell r="AH417">
            <v>0</v>
          </cell>
          <cell r="AI417">
            <v>67.45</v>
          </cell>
          <cell r="AJ417">
            <v>71</v>
          </cell>
          <cell r="AK417">
            <v>0</v>
          </cell>
          <cell r="AL417">
            <v>0</v>
          </cell>
          <cell r="AM417">
            <v>3.5499999999999972</v>
          </cell>
          <cell r="AN417">
            <v>0</v>
          </cell>
          <cell r="AO417">
            <v>3.5499999999999972</v>
          </cell>
          <cell r="AP417">
            <v>0</v>
          </cell>
          <cell r="AQ417">
            <v>3.5499999999999972</v>
          </cell>
          <cell r="AR417" t="str">
            <v>CAD_1480</v>
          </cell>
          <cell r="AS417">
            <v>0</v>
          </cell>
          <cell r="AT417">
            <v>144</v>
          </cell>
          <cell r="AU417">
            <v>144</v>
          </cell>
          <cell r="AV417">
            <v>0</v>
          </cell>
          <cell r="AW417">
            <v>511.19999999999959</v>
          </cell>
          <cell r="AX417">
            <v>511.19999999999959</v>
          </cell>
          <cell r="AY417">
            <v>511.19999999999959</v>
          </cell>
          <cell r="AZ417">
            <v>0</v>
          </cell>
          <cell r="BA417">
            <v>0</v>
          </cell>
          <cell r="BB417">
            <v>0</v>
          </cell>
          <cell r="BC417">
            <v>63</v>
          </cell>
          <cell r="BD417">
            <v>511.19999999999959</v>
          </cell>
          <cell r="BE417">
            <v>613.43999999999949</v>
          </cell>
          <cell r="BF417">
            <v>511.19999999999959</v>
          </cell>
          <cell r="BG417">
            <v>14400</v>
          </cell>
          <cell r="BH417">
            <v>10224</v>
          </cell>
          <cell r="BI417">
            <v>10135.512000000001</v>
          </cell>
          <cell r="BJ417">
            <v>0</v>
          </cell>
          <cell r="BK417">
            <v>0</v>
          </cell>
          <cell r="BL417">
            <v>0</v>
          </cell>
          <cell r="BM417">
            <v>10135.512000000001</v>
          </cell>
          <cell r="BN417">
            <v>0</v>
          </cell>
          <cell r="BO417">
            <v>88.487999999999374</v>
          </cell>
          <cell r="BP417" t="str">
            <v>Y</v>
          </cell>
          <cell r="BQ417">
            <v>2</v>
          </cell>
          <cell r="BR417" t="str">
            <v>N</v>
          </cell>
          <cell r="BS417">
            <v>0</v>
          </cell>
          <cell r="BT417" t="str">
            <v>Done</v>
          </cell>
          <cell r="BU417">
            <v>144</v>
          </cell>
          <cell r="BV417">
            <v>2024</v>
          </cell>
        </row>
        <row r="418">
          <cell r="A418" t="str">
            <v>Lucknow</v>
          </cell>
          <cell r="B418" t="str">
            <v>Mavericks</v>
          </cell>
          <cell r="C418" t="str">
            <v>Mid Level</v>
          </cell>
          <cell r="D418" t="str">
            <v>Rohit Gupta</v>
          </cell>
          <cell r="E418" t="str">
            <v>Vivek Yadav</v>
          </cell>
          <cell r="H418" t="str">
            <v>Vivek Yadav</v>
          </cell>
          <cell r="J418" t="str">
            <v>ACH</v>
          </cell>
          <cell r="L418" t="str">
            <v>New</v>
          </cell>
          <cell r="M418">
            <v>45659</v>
          </cell>
          <cell r="N418">
            <v>1</v>
          </cell>
          <cell r="O418">
            <v>387</v>
          </cell>
          <cell r="P418" t="str">
            <v>-</v>
          </cell>
          <cell r="Q418">
            <v>46024</v>
          </cell>
          <cell r="R418" t="str">
            <v>PLC-4073</v>
          </cell>
          <cell r="S418" t="str">
            <v>Parvathi Chunduri</v>
          </cell>
          <cell r="T418" t="str">
            <v>Individual</v>
          </cell>
          <cell r="U418" t="str">
            <v>C2C</v>
          </cell>
          <cell r="V418" t="str">
            <v>ReWorld /Covanta</v>
          </cell>
          <cell r="W418">
            <v>78</v>
          </cell>
          <cell r="X418">
            <v>0</v>
          </cell>
          <cell r="Y418" t="str">
            <v>USD</v>
          </cell>
          <cell r="Z418">
            <v>100</v>
          </cell>
          <cell r="AA418">
            <v>0</v>
          </cell>
          <cell r="AB418">
            <v>0</v>
          </cell>
          <cell r="AC418">
            <v>0</v>
          </cell>
          <cell r="AD418">
            <v>45672</v>
          </cell>
          <cell r="AE418">
            <v>22</v>
          </cell>
          <cell r="AF418">
            <v>46022</v>
          </cell>
          <cell r="AG418">
            <v>78</v>
          </cell>
          <cell r="AH418">
            <v>0</v>
          </cell>
          <cell r="AI418">
            <v>78</v>
          </cell>
          <cell r="AJ418">
            <v>100</v>
          </cell>
          <cell r="AK418">
            <v>0</v>
          </cell>
          <cell r="AL418">
            <v>0</v>
          </cell>
          <cell r="AM418">
            <v>20</v>
          </cell>
          <cell r="AN418">
            <v>0</v>
          </cell>
          <cell r="AO418">
            <v>20</v>
          </cell>
          <cell r="AP418">
            <v>0</v>
          </cell>
          <cell r="AQ418">
            <v>20</v>
          </cell>
          <cell r="AR418" t="str">
            <v>US_24326</v>
          </cell>
          <cell r="AS418">
            <v>0</v>
          </cell>
          <cell r="AT418">
            <v>168</v>
          </cell>
          <cell r="AU418">
            <v>168</v>
          </cell>
          <cell r="AV418">
            <v>0</v>
          </cell>
          <cell r="AW418">
            <v>3360</v>
          </cell>
          <cell r="AX418">
            <v>3326.4</v>
          </cell>
          <cell r="AY418">
            <v>3360</v>
          </cell>
          <cell r="AZ418">
            <v>0</v>
          </cell>
          <cell r="BA418">
            <v>0</v>
          </cell>
          <cell r="BB418">
            <v>0</v>
          </cell>
          <cell r="BF418">
            <v>3326.4</v>
          </cell>
          <cell r="BG418">
            <v>16800</v>
          </cell>
          <cell r="BH418">
            <v>16800</v>
          </cell>
          <cell r="BI418">
            <v>13104</v>
          </cell>
          <cell r="BJ418">
            <v>0</v>
          </cell>
          <cell r="BK418">
            <v>0</v>
          </cell>
          <cell r="BL418">
            <v>0</v>
          </cell>
          <cell r="BM418">
            <v>13104</v>
          </cell>
          <cell r="BN418">
            <v>0</v>
          </cell>
          <cell r="BO418">
            <v>3696</v>
          </cell>
          <cell r="BP418" t="str">
            <v>Y</v>
          </cell>
          <cell r="BQ418">
            <v>1</v>
          </cell>
          <cell r="BR418" t="str">
            <v>Y</v>
          </cell>
          <cell r="BS418">
            <v>0</v>
          </cell>
          <cell r="BT418" t="str">
            <v>Done</v>
          </cell>
          <cell r="BU418">
            <v>168</v>
          </cell>
          <cell r="BV418">
            <v>2025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Rohit Gupta</v>
          </cell>
          <cell r="E419" t="str">
            <v>Vivek Yadav</v>
          </cell>
          <cell r="H419" t="str">
            <v>Vivek Yadav</v>
          </cell>
          <cell r="J419" t="str">
            <v>ACH</v>
          </cell>
          <cell r="L419" t="str">
            <v>New</v>
          </cell>
          <cell r="M419">
            <v>45659</v>
          </cell>
          <cell r="N419">
            <v>1</v>
          </cell>
          <cell r="O419">
            <v>387</v>
          </cell>
          <cell r="P419" t="str">
            <v>-</v>
          </cell>
          <cell r="Q419">
            <v>46024</v>
          </cell>
          <cell r="R419" t="str">
            <v>PLC-4073</v>
          </cell>
          <cell r="S419" t="str">
            <v>Parvathi Chunduri</v>
          </cell>
          <cell r="T419" t="str">
            <v>Individual</v>
          </cell>
          <cell r="U419" t="str">
            <v>C2C</v>
          </cell>
          <cell r="V419" t="str">
            <v>ReWorld /Covanta</v>
          </cell>
          <cell r="W419">
            <v>78</v>
          </cell>
          <cell r="X419">
            <v>0</v>
          </cell>
          <cell r="Y419" t="str">
            <v>USD</v>
          </cell>
          <cell r="Z419">
            <v>100</v>
          </cell>
          <cell r="AA419">
            <v>0</v>
          </cell>
          <cell r="AB419">
            <v>0</v>
          </cell>
          <cell r="AC419">
            <v>0</v>
          </cell>
          <cell r="AD419">
            <v>45703</v>
          </cell>
          <cell r="AE419">
            <v>20</v>
          </cell>
          <cell r="AF419">
            <v>46022</v>
          </cell>
          <cell r="AG419">
            <v>78</v>
          </cell>
          <cell r="AH419">
            <v>0</v>
          </cell>
          <cell r="AI419">
            <v>78</v>
          </cell>
          <cell r="AJ419">
            <v>100</v>
          </cell>
          <cell r="AK419">
            <v>0</v>
          </cell>
          <cell r="AL419">
            <v>0</v>
          </cell>
          <cell r="AM419">
            <v>20</v>
          </cell>
          <cell r="AN419">
            <v>0</v>
          </cell>
          <cell r="AO419">
            <v>20</v>
          </cell>
          <cell r="AP419">
            <v>0</v>
          </cell>
          <cell r="AQ419">
            <v>20</v>
          </cell>
          <cell r="AR419" t="str">
            <v>US_24516</v>
          </cell>
          <cell r="AS419">
            <v>0</v>
          </cell>
          <cell r="AT419">
            <v>152</v>
          </cell>
          <cell r="AU419">
            <v>152</v>
          </cell>
          <cell r="AV419">
            <v>0</v>
          </cell>
          <cell r="AW419">
            <v>3040</v>
          </cell>
          <cell r="AX419">
            <v>3009.6</v>
          </cell>
          <cell r="AY419">
            <v>3040</v>
          </cell>
          <cell r="AZ419">
            <v>0</v>
          </cell>
          <cell r="BA419">
            <v>0</v>
          </cell>
          <cell r="BB419">
            <v>0</v>
          </cell>
          <cell r="BF419">
            <v>3009.6</v>
          </cell>
          <cell r="BG419">
            <v>15200</v>
          </cell>
          <cell r="BH419">
            <v>15200</v>
          </cell>
          <cell r="BI419">
            <v>11856</v>
          </cell>
          <cell r="BJ419">
            <v>0</v>
          </cell>
          <cell r="BK419">
            <v>0</v>
          </cell>
          <cell r="BL419">
            <v>0</v>
          </cell>
          <cell r="BM419">
            <v>11856</v>
          </cell>
          <cell r="BN419">
            <v>0</v>
          </cell>
          <cell r="BO419">
            <v>3344</v>
          </cell>
          <cell r="BP419" t="str">
            <v>Y</v>
          </cell>
          <cell r="BQ419">
            <v>1</v>
          </cell>
          <cell r="BR419" t="str">
            <v>Y</v>
          </cell>
          <cell r="BS419">
            <v>0</v>
          </cell>
          <cell r="BT419" t="str">
            <v>Done</v>
          </cell>
          <cell r="BU419">
            <v>152</v>
          </cell>
          <cell r="BV419">
            <v>2025</v>
          </cell>
        </row>
        <row r="420">
          <cell r="A420" t="str">
            <v>Lucknow</v>
          </cell>
          <cell r="B420" t="str">
            <v>Mavericks</v>
          </cell>
          <cell r="C420" t="str">
            <v>Mid Level</v>
          </cell>
          <cell r="D420" t="str">
            <v>Rohit Gupta</v>
          </cell>
          <cell r="E420" t="str">
            <v>Vivek Yadav</v>
          </cell>
          <cell r="H420" t="str">
            <v>Vivek Yadav</v>
          </cell>
          <cell r="J420" t="str">
            <v>ACH</v>
          </cell>
          <cell r="L420" t="str">
            <v>New</v>
          </cell>
          <cell r="M420">
            <v>45659</v>
          </cell>
          <cell r="N420">
            <v>1</v>
          </cell>
          <cell r="O420">
            <v>387</v>
          </cell>
          <cell r="P420" t="str">
            <v>-</v>
          </cell>
          <cell r="Q420">
            <v>46024</v>
          </cell>
          <cell r="R420" t="str">
            <v>PLC-4073</v>
          </cell>
          <cell r="S420" t="str">
            <v>Parvathi Chunduri</v>
          </cell>
          <cell r="T420" t="str">
            <v>Individual</v>
          </cell>
          <cell r="U420" t="str">
            <v>C2C</v>
          </cell>
          <cell r="V420" t="str">
            <v>ReWorld /Covanta</v>
          </cell>
          <cell r="W420">
            <v>78</v>
          </cell>
          <cell r="X420">
            <v>0</v>
          </cell>
          <cell r="Y420" t="str">
            <v>USD</v>
          </cell>
          <cell r="Z420">
            <v>100</v>
          </cell>
          <cell r="AA420">
            <v>0</v>
          </cell>
          <cell r="AB420">
            <v>0</v>
          </cell>
          <cell r="AC420">
            <v>0</v>
          </cell>
          <cell r="AD420">
            <v>45731</v>
          </cell>
          <cell r="AE420">
            <v>21</v>
          </cell>
          <cell r="AF420">
            <v>46022</v>
          </cell>
          <cell r="AG420">
            <v>78</v>
          </cell>
          <cell r="AH420">
            <v>0</v>
          </cell>
          <cell r="AI420">
            <v>78</v>
          </cell>
          <cell r="AJ420">
            <v>100</v>
          </cell>
          <cell r="AK420">
            <v>0</v>
          </cell>
          <cell r="AL420">
            <v>0</v>
          </cell>
          <cell r="AM420">
            <v>20</v>
          </cell>
          <cell r="AN420">
            <v>0</v>
          </cell>
          <cell r="AO420">
            <v>20</v>
          </cell>
          <cell r="AP420">
            <v>0</v>
          </cell>
          <cell r="AQ420">
            <v>20</v>
          </cell>
          <cell r="AR420" t="str">
            <v>US_24693</v>
          </cell>
          <cell r="AS420">
            <v>0</v>
          </cell>
          <cell r="AT420">
            <v>168</v>
          </cell>
          <cell r="AU420">
            <v>168</v>
          </cell>
          <cell r="AV420">
            <v>0</v>
          </cell>
          <cell r="AW420">
            <v>3360</v>
          </cell>
          <cell r="AX420">
            <v>3326.4</v>
          </cell>
          <cell r="AY420">
            <v>3360</v>
          </cell>
          <cell r="AZ420">
            <v>0</v>
          </cell>
          <cell r="BA420">
            <v>0</v>
          </cell>
          <cell r="BB420">
            <v>0</v>
          </cell>
          <cell r="BF420">
            <v>3326.4</v>
          </cell>
          <cell r="BG420">
            <v>16800</v>
          </cell>
          <cell r="BH420">
            <v>16800</v>
          </cell>
          <cell r="BI420">
            <v>13104</v>
          </cell>
          <cell r="BJ420">
            <v>0</v>
          </cell>
          <cell r="BK420">
            <v>0</v>
          </cell>
          <cell r="BL420">
            <v>0</v>
          </cell>
          <cell r="BM420">
            <v>13104</v>
          </cell>
          <cell r="BN420">
            <v>0</v>
          </cell>
          <cell r="BO420">
            <v>3696</v>
          </cell>
          <cell r="BP420" t="str">
            <v>Y</v>
          </cell>
          <cell r="BQ420">
            <v>1</v>
          </cell>
          <cell r="BR420" t="str">
            <v>Y</v>
          </cell>
          <cell r="BS420">
            <v>0</v>
          </cell>
          <cell r="BT420" t="str">
            <v>Done</v>
          </cell>
          <cell r="BU420">
            <v>168</v>
          </cell>
          <cell r="BV420">
            <v>2025</v>
          </cell>
        </row>
        <row r="421">
          <cell r="A421" t="str">
            <v>Lucknow</v>
          </cell>
          <cell r="B421" t="str">
            <v>Mavericks</v>
          </cell>
          <cell r="C421" t="str">
            <v>Mid Level</v>
          </cell>
          <cell r="D421" t="str">
            <v>Rohit Gupta</v>
          </cell>
          <cell r="E421" t="str">
            <v>Vivek Yadav</v>
          </cell>
          <cell r="H421" t="str">
            <v>Vivek Yadav</v>
          </cell>
          <cell r="J421" t="str">
            <v>ACH</v>
          </cell>
          <cell r="L421" t="str">
            <v>New</v>
          </cell>
          <cell r="M421">
            <v>45659</v>
          </cell>
          <cell r="N421">
            <v>1</v>
          </cell>
          <cell r="O421">
            <v>387</v>
          </cell>
          <cell r="P421" t="str">
            <v>-</v>
          </cell>
          <cell r="Q421">
            <v>46024</v>
          </cell>
          <cell r="R421" t="str">
            <v>PLC-4073</v>
          </cell>
          <cell r="S421" t="str">
            <v>Parvathi Chunduri</v>
          </cell>
          <cell r="T421" t="str">
            <v>Individual</v>
          </cell>
          <cell r="U421" t="str">
            <v>C2C</v>
          </cell>
          <cell r="V421" t="str">
            <v>ReWorld /Covanta</v>
          </cell>
          <cell r="W421">
            <v>78</v>
          </cell>
          <cell r="X421">
            <v>0</v>
          </cell>
          <cell r="Y421" t="str">
            <v>USD</v>
          </cell>
          <cell r="Z421">
            <v>100</v>
          </cell>
          <cell r="AA421">
            <v>0</v>
          </cell>
          <cell r="AB421">
            <v>0</v>
          </cell>
          <cell r="AC421">
            <v>0</v>
          </cell>
          <cell r="AD421">
            <v>45762</v>
          </cell>
          <cell r="AE421">
            <v>22</v>
          </cell>
          <cell r="AF421">
            <v>46022</v>
          </cell>
          <cell r="AG421">
            <v>78</v>
          </cell>
          <cell r="AH421">
            <v>0</v>
          </cell>
          <cell r="AI421">
            <v>78</v>
          </cell>
          <cell r="AJ421">
            <v>100</v>
          </cell>
          <cell r="AK421">
            <v>0</v>
          </cell>
          <cell r="AL421">
            <v>0</v>
          </cell>
          <cell r="AM421">
            <v>20</v>
          </cell>
          <cell r="AN421">
            <v>0</v>
          </cell>
          <cell r="AO421">
            <v>20</v>
          </cell>
          <cell r="AP421">
            <v>0</v>
          </cell>
          <cell r="AQ421">
            <v>20</v>
          </cell>
          <cell r="AR421" t="str">
            <v>US_24894</v>
          </cell>
          <cell r="AS421">
            <v>0</v>
          </cell>
          <cell r="AT421">
            <v>176</v>
          </cell>
          <cell r="AU421">
            <v>176</v>
          </cell>
          <cell r="AV421">
            <v>0</v>
          </cell>
          <cell r="AW421">
            <v>3520</v>
          </cell>
          <cell r="AX421">
            <v>3484.8</v>
          </cell>
          <cell r="AY421">
            <v>3520</v>
          </cell>
          <cell r="AZ421">
            <v>0</v>
          </cell>
          <cell r="BA421">
            <v>0</v>
          </cell>
          <cell r="BB421">
            <v>0</v>
          </cell>
          <cell r="BF421">
            <v>3484.8</v>
          </cell>
          <cell r="BG421">
            <v>17600</v>
          </cell>
          <cell r="BH421">
            <v>17600</v>
          </cell>
          <cell r="BI421">
            <v>13728</v>
          </cell>
          <cell r="BJ421">
            <v>0</v>
          </cell>
          <cell r="BK421">
            <v>0</v>
          </cell>
          <cell r="BL421">
            <v>0</v>
          </cell>
          <cell r="BM421">
            <v>13728</v>
          </cell>
          <cell r="BN421">
            <v>0</v>
          </cell>
          <cell r="BO421">
            <v>3872</v>
          </cell>
          <cell r="BP421" t="str">
            <v>Y</v>
          </cell>
          <cell r="BQ421">
            <v>2</v>
          </cell>
          <cell r="BR421" t="str">
            <v>N</v>
          </cell>
          <cell r="BS421">
            <v>0</v>
          </cell>
          <cell r="BT421" t="str">
            <v>Done</v>
          </cell>
          <cell r="BU421">
            <v>176</v>
          </cell>
          <cell r="BV421">
            <v>2025</v>
          </cell>
        </row>
        <row r="422">
          <cell r="A422" t="str">
            <v>Lucknow</v>
          </cell>
          <cell r="B422" t="str">
            <v>Vantedge</v>
          </cell>
          <cell r="C422" t="str">
            <v>Senior</v>
          </cell>
          <cell r="D422" t="str">
            <v>Umar Mujahid Husain</v>
          </cell>
          <cell r="E422" t="str">
            <v>Dev Srivastava</v>
          </cell>
          <cell r="H422" t="str">
            <v>Abhay Pratap Singh</v>
          </cell>
          <cell r="K422" t="str">
            <v>Nida Khan</v>
          </cell>
          <cell r="L422" t="str">
            <v>New</v>
          </cell>
          <cell r="M422">
            <v>45733</v>
          </cell>
          <cell r="N422">
            <v>1</v>
          </cell>
          <cell r="O422">
            <v>313</v>
          </cell>
          <cell r="P422" t="str">
            <v>-</v>
          </cell>
          <cell r="Q422">
            <v>46098</v>
          </cell>
          <cell r="R422" t="str">
            <v>PLC-4182</v>
          </cell>
          <cell r="S422" t="str">
            <v>Pooja Agarwal</v>
          </cell>
          <cell r="T422" t="str">
            <v>Individual</v>
          </cell>
          <cell r="U422" t="str">
            <v>FTE</v>
          </cell>
          <cell r="V422" t="str">
            <v>Qualitest</v>
          </cell>
          <cell r="W422">
            <v>0</v>
          </cell>
          <cell r="X422">
            <v>0</v>
          </cell>
          <cell r="Y422" t="str">
            <v>USD</v>
          </cell>
          <cell r="Z422">
            <v>28500</v>
          </cell>
          <cell r="AA422">
            <v>0</v>
          </cell>
          <cell r="AB422">
            <v>0</v>
          </cell>
          <cell r="AC422">
            <v>0</v>
          </cell>
          <cell r="AD422">
            <v>45731</v>
          </cell>
          <cell r="AE422">
            <v>1</v>
          </cell>
          <cell r="AF422">
            <v>46022</v>
          </cell>
          <cell r="AG422">
            <v>0</v>
          </cell>
          <cell r="AH422">
            <v>0</v>
          </cell>
          <cell r="AI422">
            <v>0</v>
          </cell>
          <cell r="AJ422">
            <v>28500</v>
          </cell>
          <cell r="AK422">
            <v>0</v>
          </cell>
          <cell r="AL422">
            <v>0</v>
          </cell>
          <cell r="AM422">
            <v>28500</v>
          </cell>
          <cell r="AN422">
            <v>0</v>
          </cell>
          <cell r="AO422">
            <v>28500</v>
          </cell>
          <cell r="AP422">
            <v>0</v>
          </cell>
          <cell r="AQ422">
            <v>28500</v>
          </cell>
          <cell r="AR422" t="str">
            <v>US_24717</v>
          </cell>
          <cell r="AS422">
            <v>0</v>
          </cell>
          <cell r="AT422">
            <v>1</v>
          </cell>
          <cell r="AU422">
            <v>1</v>
          </cell>
          <cell r="AV422">
            <v>0</v>
          </cell>
          <cell r="AW422">
            <v>28500</v>
          </cell>
          <cell r="AX422">
            <v>28500</v>
          </cell>
          <cell r="AY422">
            <v>28500</v>
          </cell>
          <cell r="AZ422">
            <v>91</v>
          </cell>
          <cell r="BA422">
            <v>43320</v>
          </cell>
          <cell r="BB422">
            <v>43320</v>
          </cell>
          <cell r="BC422">
            <v>59</v>
          </cell>
          <cell r="BD422">
            <v>28500</v>
          </cell>
          <cell r="BE422">
            <v>22800</v>
          </cell>
          <cell r="BF422">
            <v>28500</v>
          </cell>
          <cell r="BG422">
            <v>28500</v>
          </cell>
          <cell r="BH422">
            <v>28500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28500</v>
          </cell>
          <cell r="BP422" t="str">
            <v>Y</v>
          </cell>
          <cell r="BQ422">
            <v>1</v>
          </cell>
          <cell r="BR422" t="str">
            <v>Y</v>
          </cell>
          <cell r="BS422">
            <v>43320</v>
          </cell>
          <cell r="BT422" t="str">
            <v>Done</v>
          </cell>
          <cell r="BU422">
            <v>0</v>
          </cell>
          <cell r="BV422">
            <v>2025</v>
          </cell>
        </row>
        <row r="423">
          <cell r="A423" t="str">
            <v>Chennai</v>
          </cell>
          <cell r="B423" t="str">
            <v>Chennai</v>
          </cell>
          <cell r="C423" t="str">
            <v>Mid Level</v>
          </cell>
          <cell r="D423" t="str">
            <v>Vinoth L</v>
          </cell>
          <cell r="E423" t="str">
            <v>-</v>
          </cell>
          <cell r="H423" t="str">
            <v>R Richardson</v>
          </cell>
          <cell r="K423">
            <v>0</v>
          </cell>
          <cell r="L423" t="str">
            <v>Old</v>
          </cell>
          <cell r="M423">
            <v>45559</v>
          </cell>
          <cell r="N423">
            <v>3</v>
          </cell>
          <cell r="O423">
            <v>487</v>
          </cell>
          <cell r="P423">
            <v>45771</v>
          </cell>
          <cell r="Q423">
            <v>45924</v>
          </cell>
          <cell r="R423" t="str">
            <v>PLC-3983</v>
          </cell>
          <cell r="S423" t="str">
            <v>Pranay Raj Nune</v>
          </cell>
          <cell r="T423" t="str">
            <v>Individual</v>
          </cell>
          <cell r="U423" t="str">
            <v>C2C</v>
          </cell>
          <cell r="V423" t="str">
            <v>Citius Tech</v>
          </cell>
          <cell r="W423">
            <v>61</v>
          </cell>
          <cell r="X423">
            <v>0</v>
          </cell>
          <cell r="Y423" t="str">
            <v>USD</v>
          </cell>
          <cell r="Z423">
            <v>65</v>
          </cell>
          <cell r="AA423">
            <v>0</v>
          </cell>
          <cell r="AB423">
            <v>0</v>
          </cell>
          <cell r="AC423">
            <v>0</v>
          </cell>
          <cell r="AD423">
            <v>45672</v>
          </cell>
          <cell r="AE423">
            <v>22</v>
          </cell>
          <cell r="AF423">
            <v>46022</v>
          </cell>
          <cell r="AG423">
            <v>61</v>
          </cell>
          <cell r="AH423">
            <v>0</v>
          </cell>
          <cell r="AI423">
            <v>61</v>
          </cell>
          <cell r="AJ423">
            <v>65</v>
          </cell>
          <cell r="AK423">
            <v>0</v>
          </cell>
          <cell r="AL423">
            <v>0</v>
          </cell>
          <cell r="AM423">
            <v>4</v>
          </cell>
          <cell r="AN423">
            <v>0</v>
          </cell>
          <cell r="AO423">
            <v>4</v>
          </cell>
          <cell r="AP423">
            <v>0</v>
          </cell>
          <cell r="AQ423">
            <v>4</v>
          </cell>
          <cell r="AR423" t="str">
            <v>US_24152</v>
          </cell>
          <cell r="AS423">
            <v>0</v>
          </cell>
          <cell r="AT423">
            <v>170</v>
          </cell>
          <cell r="AU423">
            <v>170</v>
          </cell>
          <cell r="AV423">
            <v>0</v>
          </cell>
          <cell r="AW423">
            <v>680</v>
          </cell>
          <cell r="AX423">
            <v>680</v>
          </cell>
          <cell r="AY423">
            <v>680</v>
          </cell>
          <cell r="AZ423">
            <v>75</v>
          </cell>
          <cell r="BA423">
            <v>11.2</v>
          </cell>
          <cell r="BB423">
            <v>1903.9999999999998</v>
          </cell>
          <cell r="BC423">
            <v>53.225806451612897</v>
          </cell>
          <cell r="BD423">
            <v>680</v>
          </cell>
          <cell r="BE423">
            <v>544</v>
          </cell>
          <cell r="BF423">
            <v>680</v>
          </cell>
          <cell r="BG423">
            <v>11050</v>
          </cell>
          <cell r="BH423">
            <v>11050</v>
          </cell>
          <cell r="BI423">
            <v>10370</v>
          </cell>
          <cell r="BJ423">
            <v>0</v>
          </cell>
          <cell r="BK423">
            <v>0</v>
          </cell>
          <cell r="BL423">
            <v>0</v>
          </cell>
          <cell r="BM423">
            <v>10370</v>
          </cell>
          <cell r="BN423">
            <v>0</v>
          </cell>
          <cell r="BO423">
            <v>680</v>
          </cell>
          <cell r="BP423" t="str">
            <v>Y</v>
          </cell>
          <cell r="BQ423">
            <v>1</v>
          </cell>
          <cell r="BR423" t="str">
            <v>Y</v>
          </cell>
          <cell r="BS423">
            <v>1903.9999999999998</v>
          </cell>
          <cell r="BT423" t="str">
            <v>Done</v>
          </cell>
          <cell r="BU423">
            <v>170</v>
          </cell>
          <cell r="BV423">
            <v>2024</v>
          </cell>
        </row>
        <row r="424">
          <cell r="A424" t="str">
            <v>Chennai</v>
          </cell>
          <cell r="B424" t="str">
            <v>Chennai</v>
          </cell>
          <cell r="C424" t="str">
            <v>Mid Level</v>
          </cell>
          <cell r="D424" t="str">
            <v>Vinoth L</v>
          </cell>
          <cell r="E424" t="str">
            <v>-</v>
          </cell>
          <cell r="H424" t="str">
            <v>R Richardson</v>
          </cell>
          <cell r="K424">
            <v>0</v>
          </cell>
          <cell r="L424" t="str">
            <v>Old</v>
          </cell>
          <cell r="M424">
            <v>45559</v>
          </cell>
          <cell r="N424">
            <v>3</v>
          </cell>
          <cell r="O424">
            <v>487</v>
          </cell>
          <cell r="P424">
            <v>45771</v>
          </cell>
          <cell r="Q424">
            <v>45924</v>
          </cell>
          <cell r="R424" t="str">
            <v>PLC-3983</v>
          </cell>
          <cell r="S424" t="str">
            <v>Pranay Raj Nune</v>
          </cell>
          <cell r="T424" t="str">
            <v>Individual</v>
          </cell>
          <cell r="U424" t="str">
            <v>C2C</v>
          </cell>
          <cell r="V424" t="str">
            <v>Citius Tech</v>
          </cell>
          <cell r="W424">
            <v>61</v>
          </cell>
          <cell r="X424">
            <v>0</v>
          </cell>
          <cell r="Y424" t="str">
            <v>USD</v>
          </cell>
          <cell r="Z424">
            <v>65</v>
          </cell>
          <cell r="AA424">
            <v>0</v>
          </cell>
          <cell r="AB424">
            <v>0</v>
          </cell>
          <cell r="AC424">
            <v>0</v>
          </cell>
          <cell r="AD424">
            <v>45703</v>
          </cell>
          <cell r="AE424">
            <v>20</v>
          </cell>
          <cell r="AF424">
            <v>46022</v>
          </cell>
          <cell r="AG424">
            <v>61</v>
          </cell>
          <cell r="AH424">
            <v>0</v>
          </cell>
          <cell r="AI424">
            <v>61</v>
          </cell>
          <cell r="AJ424">
            <v>65</v>
          </cell>
          <cell r="AK424">
            <v>0</v>
          </cell>
          <cell r="AL424">
            <v>0</v>
          </cell>
          <cell r="AM424">
            <v>4</v>
          </cell>
          <cell r="AN424">
            <v>0</v>
          </cell>
          <cell r="AO424">
            <v>4</v>
          </cell>
          <cell r="AP424">
            <v>0</v>
          </cell>
          <cell r="AQ424">
            <v>4</v>
          </cell>
          <cell r="AR424" t="str">
            <v>US_24361</v>
          </cell>
          <cell r="AS424">
            <v>0</v>
          </cell>
          <cell r="AT424">
            <v>173</v>
          </cell>
          <cell r="AU424">
            <v>173</v>
          </cell>
          <cell r="AV424">
            <v>0</v>
          </cell>
          <cell r="AW424">
            <v>692</v>
          </cell>
          <cell r="AX424">
            <v>692</v>
          </cell>
          <cell r="AY424">
            <v>692</v>
          </cell>
          <cell r="AZ424">
            <v>75</v>
          </cell>
          <cell r="BA424">
            <v>11.2</v>
          </cell>
          <cell r="BB424">
            <v>1937.6</v>
          </cell>
          <cell r="BC424">
            <v>53.225806451612897</v>
          </cell>
          <cell r="BD424">
            <v>692</v>
          </cell>
          <cell r="BE424">
            <v>553.6</v>
          </cell>
          <cell r="BF424">
            <v>692</v>
          </cell>
          <cell r="BG424">
            <v>11245</v>
          </cell>
          <cell r="BH424">
            <v>11245</v>
          </cell>
          <cell r="BI424">
            <v>10553</v>
          </cell>
          <cell r="BJ424">
            <v>0</v>
          </cell>
          <cell r="BK424">
            <v>0</v>
          </cell>
          <cell r="BL424">
            <v>0</v>
          </cell>
          <cell r="BM424">
            <v>10553</v>
          </cell>
          <cell r="BN424">
            <v>0</v>
          </cell>
          <cell r="BO424">
            <v>692</v>
          </cell>
          <cell r="BP424" t="str">
            <v>Y</v>
          </cell>
          <cell r="BQ424">
            <v>1</v>
          </cell>
          <cell r="BR424" t="str">
            <v>Y</v>
          </cell>
          <cell r="BS424">
            <v>1937.6</v>
          </cell>
          <cell r="BT424" t="str">
            <v>Done</v>
          </cell>
          <cell r="BU424">
            <v>173</v>
          </cell>
          <cell r="BV424">
            <v>2024</v>
          </cell>
        </row>
        <row r="425">
          <cell r="A425" t="str">
            <v>Chennai</v>
          </cell>
          <cell r="B425" t="str">
            <v>Chennai</v>
          </cell>
          <cell r="C425" t="str">
            <v>Mid Level</v>
          </cell>
          <cell r="D425" t="str">
            <v>Vinoth L</v>
          </cell>
          <cell r="E425" t="str">
            <v>-</v>
          </cell>
          <cell r="H425" t="str">
            <v>R Richardson</v>
          </cell>
          <cell r="K425">
            <v>0</v>
          </cell>
          <cell r="L425" t="str">
            <v>Old</v>
          </cell>
          <cell r="M425">
            <v>45559</v>
          </cell>
          <cell r="N425">
            <v>3</v>
          </cell>
          <cell r="O425">
            <v>487</v>
          </cell>
          <cell r="P425">
            <v>45771</v>
          </cell>
          <cell r="Q425">
            <v>45924</v>
          </cell>
          <cell r="R425" t="str">
            <v>PLC-3983</v>
          </cell>
          <cell r="S425" t="str">
            <v>Pranay Raj Nune</v>
          </cell>
          <cell r="T425" t="str">
            <v>Individual</v>
          </cell>
          <cell r="U425" t="str">
            <v>C2C</v>
          </cell>
          <cell r="V425" t="str">
            <v>Citius Tech</v>
          </cell>
          <cell r="W425">
            <v>61</v>
          </cell>
          <cell r="X425">
            <v>0</v>
          </cell>
          <cell r="Y425" t="str">
            <v>USD</v>
          </cell>
          <cell r="Z425">
            <v>65</v>
          </cell>
          <cell r="AA425">
            <v>0</v>
          </cell>
          <cell r="AB425">
            <v>0</v>
          </cell>
          <cell r="AC425">
            <v>0</v>
          </cell>
          <cell r="AD425">
            <v>45731</v>
          </cell>
          <cell r="AE425">
            <v>21</v>
          </cell>
          <cell r="AF425">
            <v>46022</v>
          </cell>
          <cell r="AG425">
            <v>61</v>
          </cell>
          <cell r="AH425">
            <v>0</v>
          </cell>
          <cell r="AI425">
            <v>61</v>
          </cell>
          <cell r="AJ425">
            <v>65</v>
          </cell>
          <cell r="AK425">
            <v>0</v>
          </cell>
          <cell r="AL425">
            <v>0</v>
          </cell>
          <cell r="AM425">
            <v>4</v>
          </cell>
          <cell r="AN425">
            <v>0</v>
          </cell>
          <cell r="AO425">
            <v>4</v>
          </cell>
          <cell r="AP425">
            <v>0</v>
          </cell>
          <cell r="AQ425">
            <v>4</v>
          </cell>
          <cell r="AR425" t="str">
            <v>US_24557</v>
          </cell>
          <cell r="AS425">
            <v>0</v>
          </cell>
          <cell r="AT425">
            <v>191</v>
          </cell>
          <cell r="AU425">
            <v>191</v>
          </cell>
          <cell r="AV425">
            <v>0</v>
          </cell>
          <cell r="AW425">
            <v>764</v>
          </cell>
          <cell r="AX425">
            <v>764</v>
          </cell>
          <cell r="AY425">
            <v>764</v>
          </cell>
          <cell r="AZ425">
            <v>75</v>
          </cell>
          <cell r="BA425">
            <v>11.2</v>
          </cell>
          <cell r="BB425">
            <v>2139.1999999999998</v>
          </cell>
          <cell r="BC425">
            <v>53.225806451612897</v>
          </cell>
          <cell r="BD425">
            <v>764</v>
          </cell>
          <cell r="BE425">
            <v>611.20000000000005</v>
          </cell>
          <cell r="BF425">
            <v>764</v>
          </cell>
          <cell r="BG425">
            <v>12415</v>
          </cell>
          <cell r="BH425">
            <v>12415</v>
          </cell>
          <cell r="BI425">
            <v>11651</v>
          </cell>
          <cell r="BJ425">
            <v>0</v>
          </cell>
          <cell r="BK425">
            <v>0</v>
          </cell>
          <cell r="BL425">
            <v>0</v>
          </cell>
          <cell r="BM425">
            <v>11651</v>
          </cell>
          <cell r="BN425">
            <v>0</v>
          </cell>
          <cell r="BO425">
            <v>764</v>
          </cell>
          <cell r="BP425" t="str">
            <v>Y</v>
          </cell>
          <cell r="BQ425">
            <v>1</v>
          </cell>
          <cell r="BR425" t="str">
            <v>Y</v>
          </cell>
          <cell r="BS425">
            <v>2139.1999999999998</v>
          </cell>
          <cell r="BT425" t="str">
            <v>Done</v>
          </cell>
          <cell r="BU425">
            <v>191</v>
          </cell>
          <cell r="BV425">
            <v>2024</v>
          </cell>
        </row>
        <row r="426">
          <cell r="A426" t="str">
            <v>Chennai</v>
          </cell>
          <cell r="B426" t="str">
            <v>Chennai</v>
          </cell>
          <cell r="C426" t="str">
            <v>Mid Level</v>
          </cell>
          <cell r="D426" t="str">
            <v>Vinoth L</v>
          </cell>
          <cell r="E426" t="str">
            <v>-</v>
          </cell>
          <cell r="H426" t="str">
            <v>R Richardson</v>
          </cell>
          <cell r="K426">
            <v>0</v>
          </cell>
          <cell r="L426" t="str">
            <v>Old</v>
          </cell>
          <cell r="M426">
            <v>45559</v>
          </cell>
          <cell r="N426">
            <v>3</v>
          </cell>
          <cell r="O426">
            <v>487</v>
          </cell>
          <cell r="P426">
            <v>45771</v>
          </cell>
          <cell r="Q426">
            <v>45924</v>
          </cell>
          <cell r="R426" t="str">
            <v>PLC-3983</v>
          </cell>
          <cell r="S426" t="str">
            <v>Pranay Raj Nune</v>
          </cell>
          <cell r="T426" t="str">
            <v>Individual</v>
          </cell>
          <cell r="U426" t="str">
            <v>C2C</v>
          </cell>
          <cell r="V426" t="str">
            <v>Citius Tech</v>
          </cell>
          <cell r="W426">
            <v>61</v>
          </cell>
          <cell r="X426">
            <v>0</v>
          </cell>
          <cell r="Y426" t="str">
            <v>USD</v>
          </cell>
          <cell r="Z426">
            <v>65</v>
          </cell>
          <cell r="AA426">
            <v>0</v>
          </cell>
          <cell r="AB426">
            <v>0</v>
          </cell>
          <cell r="AC426">
            <v>0</v>
          </cell>
          <cell r="AD426">
            <v>45762</v>
          </cell>
          <cell r="AE426">
            <v>18</v>
          </cell>
          <cell r="AF426">
            <v>46022</v>
          </cell>
          <cell r="AG426">
            <v>61</v>
          </cell>
          <cell r="AH426">
            <v>0</v>
          </cell>
          <cell r="AI426">
            <v>61</v>
          </cell>
          <cell r="AJ426">
            <v>65</v>
          </cell>
          <cell r="AK426">
            <v>0</v>
          </cell>
          <cell r="AL426">
            <v>0</v>
          </cell>
          <cell r="AM426">
            <v>4</v>
          </cell>
          <cell r="AN426">
            <v>0</v>
          </cell>
          <cell r="AO426">
            <v>4</v>
          </cell>
          <cell r="AP426">
            <v>0</v>
          </cell>
          <cell r="AQ426">
            <v>4</v>
          </cell>
          <cell r="AR426" t="str">
            <v>US_24774</v>
          </cell>
          <cell r="AS426">
            <v>0</v>
          </cell>
          <cell r="AT426">
            <v>144</v>
          </cell>
          <cell r="AU426">
            <v>144</v>
          </cell>
          <cell r="AV426">
            <v>0</v>
          </cell>
          <cell r="AW426">
            <v>576</v>
          </cell>
          <cell r="AX426">
            <v>576</v>
          </cell>
          <cell r="AY426">
            <v>576</v>
          </cell>
          <cell r="AZ426">
            <v>75</v>
          </cell>
          <cell r="BA426">
            <v>11.2</v>
          </cell>
          <cell r="BB426">
            <v>1612.8</v>
          </cell>
          <cell r="BC426">
            <v>53.225806451612897</v>
          </cell>
          <cell r="BD426">
            <v>576</v>
          </cell>
          <cell r="BE426">
            <v>460.8</v>
          </cell>
          <cell r="BF426">
            <v>576</v>
          </cell>
          <cell r="BG426">
            <v>9360</v>
          </cell>
          <cell r="BH426">
            <v>9360</v>
          </cell>
          <cell r="BI426">
            <v>8784</v>
          </cell>
          <cell r="BJ426">
            <v>0</v>
          </cell>
          <cell r="BK426">
            <v>0</v>
          </cell>
          <cell r="BL426">
            <v>0</v>
          </cell>
          <cell r="BM426">
            <v>8784</v>
          </cell>
          <cell r="BN426">
            <v>0</v>
          </cell>
          <cell r="BO426">
            <v>576</v>
          </cell>
          <cell r="BP426" t="str">
            <v>Y</v>
          </cell>
          <cell r="BQ426">
            <v>2</v>
          </cell>
          <cell r="BR426" t="str">
            <v>Y</v>
          </cell>
          <cell r="BS426">
            <v>1612.8</v>
          </cell>
          <cell r="BT426" t="str">
            <v>Done</v>
          </cell>
          <cell r="BU426">
            <v>144</v>
          </cell>
          <cell r="BV426">
            <v>2024</v>
          </cell>
        </row>
        <row r="427">
          <cell r="A427" t="str">
            <v>Lucknow</v>
          </cell>
          <cell r="B427" t="str">
            <v>Trust</v>
          </cell>
          <cell r="C427" t="str">
            <v>Mid Level</v>
          </cell>
          <cell r="D427" t="str">
            <v>Bhanu Pratap Singh</v>
          </cell>
          <cell r="E427" t="str">
            <v>-</v>
          </cell>
          <cell r="H427" t="str">
            <v>Pass Through</v>
          </cell>
          <cell r="K427">
            <v>0</v>
          </cell>
          <cell r="L427" t="str">
            <v>Old</v>
          </cell>
          <cell r="M427">
            <v>45460</v>
          </cell>
          <cell r="N427">
            <v>2</v>
          </cell>
          <cell r="O427">
            <v>586</v>
          </cell>
          <cell r="P427">
            <v>45762</v>
          </cell>
          <cell r="Q427">
            <v>45825</v>
          </cell>
          <cell r="R427" t="str">
            <v>PLC-3819</v>
          </cell>
          <cell r="S427" t="str">
            <v>Prasad Vaidya</v>
          </cell>
          <cell r="T427" t="str">
            <v>Individual</v>
          </cell>
          <cell r="U427" t="str">
            <v>C2C</v>
          </cell>
          <cell r="V427" t="str">
            <v>Birlasoft</v>
          </cell>
          <cell r="W427">
            <v>92</v>
          </cell>
          <cell r="X427">
            <v>0</v>
          </cell>
          <cell r="Y427" t="str">
            <v>USD</v>
          </cell>
          <cell r="Z427">
            <v>96</v>
          </cell>
          <cell r="AA427">
            <v>0</v>
          </cell>
          <cell r="AB427">
            <v>0</v>
          </cell>
          <cell r="AC427">
            <v>2</v>
          </cell>
          <cell r="AD427">
            <v>45672</v>
          </cell>
          <cell r="AE427">
            <v>22</v>
          </cell>
          <cell r="AF427">
            <v>46022</v>
          </cell>
          <cell r="AG427">
            <v>92</v>
          </cell>
          <cell r="AH427">
            <v>0</v>
          </cell>
          <cell r="AI427">
            <v>94</v>
          </cell>
          <cell r="AJ427">
            <v>96</v>
          </cell>
          <cell r="AK427">
            <v>0</v>
          </cell>
          <cell r="AL427">
            <v>0</v>
          </cell>
          <cell r="AM427">
            <v>2</v>
          </cell>
          <cell r="AN427">
            <v>0</v>
          </cell>
          <cell r="AO427">
            <v>2</v>
          </cell>
          <cell r="AP427">
            <v>0</v>
          </cell>
          <cell r="AQ427">
            <v>2</v>
          </cell>
          <cell r="AR427" t="str">
            <v>US_24242</v>
          </cell>
          <cell r="AS427">
            <v>0</v>
          </cell>
          <cell r="AT427">
            <v>168</v>
          </cell>
          <cell r="AU427">
            <v>168</v>
          </cell>
          <cell r="AV427">
            <v>0</v>
          </cell>
          <cell r="AW427">
            <v>336</v>
          </cell>
          <cell r="AX427">
            <v>336</v>
          </cell>
          <cell r="AY427">
            <v>336</v>
          </cell>
          <cell r="AZ427">
            <v>0</v>
          </cell>
          <cell r="BA427">
            <v>0</v>
          </cell>
          <cell r="BB427">
            <v>0</v>
          </cell>
          <cell r="BD427">
            <v>336</v>
          </cell>
          <cell r="BF427">
            <v>336</v>
          </cell>
          <cell r="BG427">
            <v>16128</v>
          </cell>
          <cell r="BH427">
            <v>16128</v>
          </cell>
          <cell r="BI427">
            <v>15456</v>
          </cell>
          <cell r="BJ427">
            <v>0</v>
          </cell>
          <cell r="BK427">
            <v>336</v>
          </cell>
          <cell r="BL427">
            <v>0</v>
          </cell>
          <cell r="BM427">
            <v>15792</v>
          </cell>
          <cell r="BN427">
            <v>2</v>
          </cell>
          <cell r="BO427">
            <v>336</v>
          </cell>
          <cell r="BP427" t="str">
            <v>Y</v>
          </cell>
          <cell r="BQ427">
            <v>1</v>
          </cell>
          <cell r="BR427" t="str">
            <v>Y</v>
          </cell>
          <cell r="BS427">
            <v>0</v>
          </cell>
          <cell r="BT427" t="str">
            <v>Done</v>
          </cell>
          <cell r="BU427">
            <v>168</v>
          </cell>
          <cell r="BV427">
            <v>2024</v>
          </cell>
        </row>
        <row r="428">
          <cell r="A428" t="str">
            <v>Lucknow</v>
          </cell>
          <cell r="B428" t="str">
            <v>Trust</v>
          </cell>
          <cell r="C428" t="str">
            <v>Mid Level</v>
          </cell>
          <cell r="D428" t="str">
            <v>Bhanu Pratap Singh</v>
          </cell>
          <cell r="E428" t="str">
            <v>-</v>
          </cell>
          <cell r="H428" t="str">
            <v>Pass Through</v>
          </cell>
          <cell r="K428">
            <v>0</v>
          </cell>
          <cell r="L428" t="str">
            <v>Old</v>
          </cell>
          <cell r="M428">
            <v>45460</v>
          </cell>
          <cell r="N428">
            <v>2</v>
          </cell>
          <cell r="O428">
            <v>586</v>
          </cell>
          <cell r="P428">
            <v>45762</v>
          </cell>
          <cell r="Q428">
            <v>45825</v>
          </cell>
          <cell r="R428" t="str">
            <v>PLC-3819</v>
          </cell>
          <cell r="S428" t="str">
            <v>Prasad Vaidya</v>
          </cell>
          <cell r="T428" t="str">
            <v>Individual</v>
          </cell>
          <cell r="U428" t="str">
            <v>C2C</v>
          </cell>
          <cell r="V428" t="str">
            <v>Birlasoft</v>
          </cell>
          <cell r="W428">
            <v>92</v>
          </cell>
          <cell r="X428">
            <v>0</v>
          </cell>
          <cell r="Y428" t="str">
            <v>USD</v>
          </cell>
          <cell r="Z428">
            <v>96</v>
          </cell>
          <cell r="AA428">
            <v>0</v>
          </cell>
          <cell r="AB428">
            <v>0</v>
          </cell>
          <cell r="AC428">
            <v>2</v>
          </cell>
          <cell r="AD428">
            <v>45703</v>
          </cell>
          <cell r="AE428">
            <v>20</v>
          </cell>
          <cell r="AF428">
            <v>46022</v>
          </cell>
          <cell r="AG428">
            <v>92</v>
          </cell>
          <cell r="AH428">
            <v>0</v>
          </cell>
          <cell r="AI428">
            <v>94</v>
          </cell>
          <cell r="AJ428">
            <v>96</v>
          </cell>
          <cell r="AK428">
            <v>0</v>
          </cell>
          <cell r="AL428">
            <v>0</v>
          </cell>
          <cell r="AM428">
            <v>2</v>
          </cell>
          <cell r="AN428">
            <v>0</v>
          </cell>
          <cell r="AO428">
            <v>2</v>
          </cell>
          <cell r="AP428">
            <v>0</v>
          </cell>
          <cell r="AQ428">
            <v>2</v>
          </cell>
          <cell r="AR428" t="str">
            <v>US_24448</v>
          </cell>
          <cell r="AS428">
            <v>0</v>
          </cell>
          <cell r="AT428">
            <v>152</v>
          </cell>
          <cell r="AU428">
            <v>152</v>
          </cell>
          <cell r="AV428">
            <v>0</v>
          </cell>
          <cell r="AW428">
            <v>304</v>
          </cell>
          <cell r="AX428">
            <v>304</v>
          </cell>
          <cell r="AY428">
            <v>304</v>
          </cell>
          <cell r="AZ428">
            <v>0</v>
          </cell>
          <cell r="BA428">
            <v>0</v>
          </cell>
          <cell r="BB428">
            <v>0</v>
          </cell>
          <cell r="BD428">
            <v>304</v>
          </cell>
          <cell r="BF428">
            <v>304</v>
          </cell>
          <cell r="BG428">
            <v>14592</v>
          </cell>
          <cell r="BH428">
            <v>14592</v>
          </cell>
          <cell r="BI428">
            <v>13984</v>
          </cell>
          <cell r="BJ428">
            <v>0</v>
          </cell>
          <cell r="BK428">
            <v>304</v>
          </cell>
          <cell r="BL428">
            <v>0</v>
          </cell>
          <cell r="BM428">
            <v>14288</v>
          </cell>
          <cell r="BN428">
            <v>2</v>
          </cell>
          <cell r="BO428">
            <v>304</v>
          </cell>
          <cell r="BP428" t="str">
            <v>Y</v>
          </cell>
          <cell r="BQ428">
            <v>1</v>
          </cell>
          <cell r="BR428" t="str">
            <v>Y</v>
          </cell>
          <cell r="BS428">
            <v>0</v>
          </cell>
          <cell r="BT428" t="str">
            <v>Done</v>
          </cell>
          <cell r="BU428">
            <v>152</v>
          </cell>
          <cell r="BV428">
            <v>2024</v>
          </cell>
        </row>
        <row r="429">
          <cell r="A429" t="str">
            <v>Lucknow</v>
          </cell>
          <cell r="B429" t="str">
            <v>Trust</v>
          </cell>
          <cell r="C429" t="str">
            <v>Mid Level</v>
          </cell>
          <cell r="D429" t="str">
            <v>Bhanu Pratap Singh</v>
          </cell>
          <cell r="E429" t="str">
            <v>-</v>
          </cell>
          <cell r="H429" t="str">
            <v>Pass Through</v>
          </cell>
          <cell r="K429">
            <v>0</v>
          </cell>
          <cell r="L429" t="str">
            <v>Old</v>
          </cell>
          <cell r="M429">
            <v>45460</v>
          </cell>
          <cell r="N429">
            <v>2</v>
          </cell>
          <cell r="O429">
            <v>586</v>
          </cell>
          <cell r="P429">
            <v>45762</v>
          </cell>
          <cell r="Q429">
            <v>45825</v>
          </cell>
          <cell r="R429" t="str">
            <v>PLC-3819</v>
          </cell>
          <cell r="S429" t="str">
            <v>Prasad Vaidya</v>
          </cell>
          <cell r="T429" t="str">
            <v>Individual</v>
          </cell>
          <cell r="U429" t="str">
            <v>C2C</v>
          </cell>
          <cell r="V429" t="str">
            <v>Birlasoft</v>
          </cell>
          <cell r="W429">
            <v>92</v>
          </cell>
          <cell r="X429">
            <v>0</v>
          </cell>
          <cell r="Y429" t="str">
            <v>USD</v>
          </cell>
          <cell r="Z429">
            <v>96</v>
          </cell>
          <cell r="AA429">
            <v>0</v>
          </cell>
          <cell r="AB429">
            <v>0</v>
          </cell>
          <cell r="AC429">
            <v>2</v>
          </cell>
          <cell r="AD429">
            <v>45731</v>
          </cell>
          <cell r="AE429">
            <v>21</v>
          </cell>
          <cell r="AF429">
            <v>46022</v>
          </cell>
          <cell r="AG429">
            <v>92</v>
          </cell>
          <cell r="AH429">
            <v>0</v>
          </cell>
          <cell r="AI429">
            <v>94</v>
          </cell>
          <cell r="AJ429">
            <v>96</v>
          </cell>
          <cell r="AK429">
            <v>0</v>
          </cell>
          <cell r="AL429">
            <v>0</v>
          </cell>
          <cell r="AM429">
            <v>2</v>
          </cell>
          <cell r="AN429">
            <v>0</v>
          </cell>
          <cell r="AO429">
            <v>2</v>
          </cell>
          <cell r="AP429">
            <v>0</v>
          </cell>
          <cell r="AQ429">
            <v>2</v>
          </cell>
          <cell r="AR429" t="str">
            <v>US_24637</v>
          </cell>
          <cell r="AS429">
            <v>0</v>
          </cell>
          <cell r="AT429">
            <v>165</v>
          </cell>
          <cell r="AU429">
            <v>165</v>
          </cell>
          <cell r="AV429">
            <v>0</v>
          </cell>
          <cell r="AW429">
            <v>330</v>
          </cell>
          <cell r="AX429">
            <v>330</v>
          </cell>
          <cell r="AY429">
            <v>330</v>
          </cell>
          <cell r="AZ429">
            <v>0</v>
          </cell>
          <cell r="BA429">
            <v>0</v>
          </cell>
          <cell r="BB429">
            <v>0</v>
          </cell>
          <cell r="BD429">
            <v>330</v>
          </cell>
          <cell r="BF429">
            <v>330</v>
          </cell>
          <cell r="BG429">
            <v>15840</v>
          </cell>
          <cell r="BH429">
            <v>15840</v>
          </cell>
          <cell r="BI429">
            <v>15180</v>
          </cell>
          <cell r="BJ429">
            <v>0</v>
          </cell>
          <cell r="BK429">
            <v>330</v>
          </cell>
          <cell r="BL429">
            <v>0</v>
          </cell>
          <cell r="BM429">
            <v>15510</v>
          </cell>
          <cell r="BN429">
            <v>2</v>
          </cell>
          <cell r="BO429">
            <v>330</v>
          </cell>
          <cell r="BP429" t="str">
            <v>Y</v>
          </cell>
          <cell r="BQ429">
            <v>1</v>
          </cell>
          <cell r="BR429" t="str">
            <v>Y</v>
          </cell>
          <cell r="BS429">
            <v>0</v>
          </cell>
          <cell r="BT429" t="str">
            <v>Done</v>
          </cell>
          <cell r="BU429">
            <v>165</v>
          </cell>
          <cell r="BV429">
            <v>2024</v>
          </cell>
        </row>
        <row r="430">
          <cell r="A430" t="str">
            <v>Lucknow</v>
          </cell>
          <cell r="B430" t="str">
            <v>Trust</v>
          </cell>
          <cell r="C430" t="str">
            <v>Mid Level</v>
          </cell>
          <cell r="D430" t="str">
            <v>Bhanu Pratap Singh</v>
          </cell>
          <cell r="E430" t="str">
            <v>-</v>
          </cell>
          <cell r="H430" t="str">
            <v>Pass Through</v>
          </cell>
          <cell r="K430">
            <v>0</v>
          </cell>
          <cell r="L430" t="str">
            <v>Old</v>
          </cell>
          <cell r="M430">
            <v>45460</v>
          </cell>
          <cell r="N430">
            <v>2</v>
          </cell>
          <cell r="O430">
            <v>586</v>
          </cell>
          <cell r="P430">
            <v>45762</v>
          </cell>
          <cell r="Q430">
            <v>45825</v>
          </cell>
          <cell r="R430" t="str">
            <v>PLC-3819</v>
          </cell>
          <cell r="S430" t="str">
            <v>Prasad Vaidya</v>
          </cell>
          <cell r="T430" t="str">
            <v>Individual</v>
          </cell>
          <cell r="U430" t="str">
            <v>C2C</v>
          </cell>
          <cell r="V430" t="str">
            <v>Birlasoft</v>
          </cell>
          <cell r="W430">
            <v>92</v>
          </cell>
          <cell r="X430">
            <v>0</v>
          </cell>
          <cell r="Y430" t="str">
            <v>USD</v>
          </cell>
          <cell r="Z430">
            <v>96</v>
          </cell>
          <cell r="AA430">
            <v>0</v>
          </cell>
          <cell r="AB430">
            <v>0</v>
          </cell>
          <cell r="AC430">
            <v>2</v>
          </cell>
          <cell r="AD430">
            <v>45762</v>
          </cell>
          <cell r="AE430">
            <v>11</v>
          </cell>
          <cell r="AF430">
            <v>46022</v>
          </cell>
          <cell r="AG430">
            <v>92</v>
          </cell>
          <cell r="AH430">
            <v>0</v>
          </cell>
          <cell r="AI430">
            <v>94</v>
          </cell>
          <cell r="AJ430">
            <v>96</v>
          </cell>
          <cell r="AK430">
            <v>0</v>
          </cell>
          <cell r="AL430">
            <v>0</v>
          </cell>
          <cell r="AM430">
            <v>2</v>
          </cell>
          <cell r="AN430">
            <v>0</v>
          </cell>
          <cell r="AO430">
            <v>2</v>
          </cell>
          <cell r="AP430">
            <v>0</v>
          </cell>
          <cell r="AQ430">
            <v>2</v>
          </cell>
          <cell r="AR430" t="str">
            <v>US_24845</v>
          </cell>
          <cell r="AS430">
            <v>0</v>
          </cell>
          <cell r="AT430">
            <v>88</v>
          </cell>
          <cell r="AU430">
            <v>88</v>
          </cell>
          <cell r="AV430">
            <v>0</v>
          </cell>
          <cell r="AW430">
            <v>176</v>
          </cell>
          <cell r="AX430">
            <v>176</v>
          </cell>
          <cell r="AY430">
            <v>176</v>
          </cell>
          <cell r="AZ430">
            <v>0</v>
          </cell>
          <cell r="BA430">
            <v>0</v>
          </cell>
          <cell r="BB430">
            <v>0</v>
          </cell>
          <cell r="BD430">
            <v>176</v>
          </cell>
          <cell r="BF430">
            <v>176</v>
          </cell>
          <cell r="BG430">
            <v>8448</v>
          </cell>
          <cell r="BH430">
            <v>8448</v>
          </cell>
          <cell r="BI430">
            <v>8096</v>
          </cell>
          <cell r="BJ430">
            <v>0</v>
          </cell>
          <cell r="BK430">
            <v>176</v>
          </cell>
          <cell r="BL430">
            <v>0</v>
          </cell>
          <cell r="BM430">
            <v>8272</v>
          </cell>
          <cell r="BN430">
            <v>2</v>
          </cell>
          <cell r="BO430">
            <v>176</v>
          </cell>
          <cell r="BP430" t="str">
            <v>Y</v>
          </cell>
          <cell r="BQ430">
            <v>2</v>
          </cell>
          <cell r="BR430" t="str">
            <v>Y</v>
          </cell>
          <cell r="BS430">
            <v>0</v>
          </cell>
          <cell r="BT430" t="str">
            <v>Done</v>
          </cell>
          <cell r="BU430">
            <v>88</v>
          </cell>
          <cell r="BV430">
            <v>2024</v>
          </cell>
        </row>
        <row r="431">
          <cell r="A431" t="str">
            <v>Lucknow</v>
          </cell>
          <cell r="B431" t="str">
            <v>Americas</v>
          </cell>
          <cell r="C431" t="str">
            <v>Mid Level</v>
          </cell>
          <cell r="D431" t="str">
            <v>Rajesh Khanna</v>
          </cell>
          <cell r="E431" t="str">
            <v>-</v>
          </cell>
          <cell r="H431" t="str">
            <v>Rajesh Khanna</v>
          </cell>
          <cell r="K431">
            <v>0</v>
          </cell>
          <cell r="L431" t="str">
            <v>Old</v>
          </cell>
          <cell r="M431">
            <v>45579</v>
          </cell>
          <cell r="N431">
            <v>4</v>
          </cell>
          <cell r="O431">
            <v>467</v>
          </cell>
          <cell r="P431">
            <v>45660</v>
          </cell>
          <cell r="Q431">
            <v>45944</v>
          </cell>
          <cell r="R431" t="str">
            <v>PLC Fanatics</v>
          </cell>
          <cell r="S431" t="str">
            <v>Prashanth Kothakonda</v>
          </cell>
          <cell r="T431" t="str">
            <v>Individual</v>
          </cell>
          <cell r="U431" t="str">
            <v>C2C</v>
          </cell>
          <cell r="V431" t="str">
            <v>Fanatics</v>
          </cell>
          <cell r="W431">
            <v>17.849174475680499</v>
          </cell>
          <cell r="X431">
            <v>0</v>
          </cell>
          <cell r="Y431" t="str">
            <v>USD</v>
          </cell>
          <cell r="Z431">
            <v>39</v>
          </cell>
          <cell r="AA431">
            <v>0</v>
          </cell>
          <cell r="AB431">
            <v>0</v>
          </cell>
          <cell r="AC431">
            <v>6.1508255243195009</v>
          </cell>
          <cell r="AD431">
            <v>45672</v>
          </cell>
          <cell r="AE431">
            <v>3</v>
          </cell>
          <cell r="AF431">
            <v>46022</v>
          </cell>
          <cell r="AG431">
            <v>17.849174475680499</v>
          </cell>
          <cell r="AH431">
            <v>0</v>
          </cell>
          <cell r="AI431">
            <v>24</v>
          </cell>
          <cell r="AJ431">
            <v>39</v>
          </cell>
          <cell r="AK431">
            <v>0</v>
          </cell>
          <cell r="AL431">
            <v>0</v>
          </cell>
          <cell r="AM431">
            <v>15</v>
          </cell>
          <cell r="AN431">
            <v>0</v>
          </cell>
          <cell r="AO431">
            <v>15</v>
          </cell>
          <cell r="AP431">
            <v>0</v>
          </cell>
          <cell r="AQ431">
            <v>15</v>
          </cell>
          <cell r="AR431" t="str">
            <v>US_24146</v>
          </cell>
          <cell r="AS431">
            <v>0</v>
          </cell>
          <cell r="AT431">
            <v>18</v>
          </cell>
          <cell r="AU431">
            <v>18</v>
          </cell>
          <cell r="AV431">
            <v>0</v>
          </cell>
          <cell r="AW431">
            <v>270</v>
          </cell>
          <cell r="AX431">
            <v>270</v>
          </cell>
          <cell r="AY431">
            <v>270</v>
          </cell>
          <cell r="AZ431">
            <v>0</v>
          </cell>
          <cell r="BA431">
            <v>0</v>
          </cell>
          <cell r="BB431">
            <v>0</v>
          </cell>
          <cell r="BD431">
            <v>270</v>
          </cell>
          <cell r="BF431">
            <v>270</v>
          </cell>
          <cell r="BG431">
            <v>702</v>
          </cell>
          <cell r="BH431">
            <v>702</v>
          </cell>
          <cell r="BI431">
            <v>321.28514056224901</v>
          </cell>
          <cell r="BJ431">
            <v>0</v>
          </cell>
          <cell r="BK431">
            <v>110.71485943775102</v>
          </cell>
          <cell r="BL431">
            <v>0</v>
          </cell>
          <cell r="BM431">
            <v>432</v>
          </cell>
          <cell r="BN431">
            <v>6.1508255243195009</v>
          </cell>
          <cell r="BO431">
            <v>270</v>
          </cell>
          <cell r="BP431" t="str">
            <v>Y</v>
          </cell>
          <cell r="BQ431">
            <v>1</v>
          </cell>
          <cell r="BR431" t="str">
            <v>Y</v>
          </cell>
          <cell r="BS431">
            <v>0</v>
          </cell>
          <cell r="BT431" t="str">
            <v>Done</v>
          </cell>
          <cell r="BU431">
            <v>18</v>
          </cell>
          <cell r="BV431">
            <v>2024</v>
          </cell>
        </row>
        <row r="432">
          <cell r="A432" t="str">
            <v>Lucknow</v>
          </cell>
          <cell r="B432" t="str">
            <v>Mavericks</v>
          </cell>
          <cell r="C432" t="str">
            <v>Mid Level</v>
          </cell>
          <cell r="D432" t="str">
            <v>Rohit Gupta</v>
          </cell>
          <cell r="E432" t="str">
            <v>-</v>
          </cell>
          <cell r="H432" t="str">
            <v>Saif Ahmad Ansari</v>
          </cell>
          <cell r="K432">
            <v>0</v>
          </cell>
          <cell r="L432" t="str">
            <v>Old</v>
          </cell>
          <cell r="M432">
            <v>45628</v>
          </cell>
          <cell r="N432">
            <v>4</v>
          </cell>
          <cell r="O432">
            <v>418</v>
          </cell>
          <cell r="P432">
            <v>45819</v>
          </cell>
          <cell r="Q432">
            <v>45993</v>
          </cell>
          <cell r="R432" t="str">
            <v>PLC-4053</v>
          </cell>
          <cell r="S432" t="str">
            <v>Prashanth Kumar Panyam</v>
          </cell>
          <cell r="T432" t="str">
            <v>Individual</v>
          </cell>
          <cell r="U432" t="str">
            <v>C2C</v>
          </cell>
          <cell r="V432" t="str">
            <v>Mphasis</v>
          </cell>
          <cell r="W432">
            <v>60</v>
          </cell>
          <cell r="X432">
            <v>0</v>
          </cell>
          <cell r="Y432" t="str">
            <v>USD</v>
          </cell>
          <cell r="Z432">
            <v>68</v>
          </cell>
          <cell r="AA432">
            <v>0</v>
          </cell>
          <cell r="AB432">
            <v>0</v>
          </cell>
          <cell r="AC432">
            <v>0</v>
          </cell>
          <cell r="AD432">
            <v>45672</v>
          </cell>
          <cell r="AE432">
            <v>22</v>
          </cell>
          <cell r="AF432">
            <v>46022</v>
          </cell>
          <cell r="AG432">
            <v>60</v>
          </cell>
          <cell r="AH432">
            <v>0</v>
          </cell>
          <cell r="AI432">
            <v>60</v>
          </cell>
          <cell r="AJ432">
            <v>68</v>
          </cell>
          <cell r="AK432">
            <v>0</v>
          </cell>
          <cell r="AL432">
            <v>0</v>
          </cell>
          <cell r="AM432">
            <v>8</v>
          </cell>
          <cell r="AN432">
            <v>0</v>
          </cell>
          <cell r="AO432">
            <v>8</v>
          </cell>
          <cell r="AP432">
            <v>0</v>
          </cell>
          <cell r="AQ432">
            <v>8</v>
          </cell>
          <cell r="AR432" t="str">
            <v>US_24309</v>
          </cell>
          <cell r="AS432">
            <v>0</v>
          </cell>
          <cell r="AT432">
            <v>168</v>
          </cell>
          <cell r="AU432">
            <v>168</v>
          </cell>
          <cell r="AV432">
            <v>0</v>
          </cell>
          <cell r="AW432">
            <v>1344</v>
          </cell>
          <cell r="AX432">
            <v>1344</v>
          </cell>
          <cell r="AY432">
            <v>1344</v>
          </cell>
          <cell r="AZ432">
            <v>28.571428571428569</v>
          </cell>
          <cell r="BA432">
            <v>12.8</v>
          </cell>
          <cell r="BB432">
            <v>2150.4</v>
          </cell>
          <cell r="BC432">
            <v>38.28125</v>
          </cell>
          <cell r="BD432">
            <v>1344</v>
          </cell>
          <cell r="BE432">
            <v>1075.2</v>
          </cell>
          <cell r="BF432">
            <v>1344</v>
          </cell>
          <cell r="BG432">
            <v>11424</v>
          </cell>
          <cell r="BH432">
            <v>11424</v>
          </cell>
          <cell r="BI432">
            <v>10080</v>
          </cell>
          <cell r="BJ432">
            <v>0</v>
          </cell>
          <cell r="BK432">
            <v>0</v>
          </cell>
          <cell r="BL432">
            <v>0</v>
          </cell>
          <cell r="BM432">
            <v>10080</v>
          </cell>
          <cell r="BN432">
            <v>0</v>
          </cell>
          <cell r="BO432">
            <v>1344</v>
          </cell>
          <cell r="BP432" t="str">
            <v>Y</v>
          </cell>
          <cell r="BQ432">
            <v>1</v>
          </cell>
          <cell r="BR432" t="str">
            <v>N</v>
          </cell>
          <cell r="BS432">
            <v>2150.4</v>
          </cell>
          <cell r="BT432" t="str">
            <v>Done</v>
          </cell>
          <cell r="BU432">
            <v>168</v>
          </cell>
          <cell r="BV432">
            <v>2024</v>
          </cell>
        </row>
        <row r="433">
          <cell r="A433" t="str">
            <v>Lucknow</v>
          </cell>
          <cell r="B433" t="str">
            <v>Mavericks</v>
          </cell>
          <cell r="C433" t="str">
            <v>Mid Level</v>
          </cell>
          <cell r="D433" t="str">
            <v>Rohit Gupta</v>
          </cell>
          <cell r="E433" t="str">
            <v>-</v>
          </cell>
          <cell r="H433" t="str">
            <v>Saif Ahmad Ansari</v>
          </cell>
          <cell r="K433">
            <v>0</v>
          </cell>
          <cell r="L433" t="str">
            <v>Old</v>
          </cell>
          <cell r="M433">
            <v>45628</v>
          </cell>
          <cell r="N433">
            <v>4</v>
          </cell>
          <cell r="O433">
            <v>418</v>
          </cell>
          <cell r="P433">
            <v>45819</v>
          </cell>
          <cell r="Q433">
            <v>45993</v>
          </cell>
          <cell r="R433" t="str">
            <v>PLC-4053</v>
          </cell>
          <cell r="S433" t="str">
            <v>Prashanth Kumar Panyam</v>
          </cell>
          <cell r="T433" t="str">
            <v>Individual</v>
          </cell>
          <cell r="U433" t="str">
            <v>C2C</v>
          </cell>
          <cell r="V433" t="str">
            <v>Mphasis</v>
          </cell>
          <cell r="W433">
            <v>60</v>
          </cell>
          <cell r="X433">
            <v>0</v>
          </cell>
          <cell r="Y433" t="str">
            <v>USD</v>
          </cell>
          <cell r="Z433">
            <v>68</v>
          </cell>
          <cell r="AA433">
            <v>0</v>
          </cell>
          <cell r="AB433">
            <v>0</v>
          </cell>
          <cell r="AC433">
            <v>0</v>
          </cell>
          <cell r="AD433">
            <v>45703</v>
          </cell>
          <cell r="AE433">
            <v>20</v>
          </cell>
          <cell r="AF433">
            <v>46022</v>
          </cell>
          <cell r="AG433">
            <v>60</v>
          </cell>
          <cell r="AH433">
            <v>0</v>
          </cell>
          <cell r="AI433">
            <v>60</v>
          </cell>
          <cell r="AJ433">
            <v>68</v>
          </cell>
          <cell r="AK433">
            <v>0</v>
          </cell>
          <cell r="AL433">
            <v>0</v>
          </cell>
          <cell r="AM433">
            <v>8</v>
          </cell>
          <cell r="AN433">
            <v>0</v>
          </cell>
          <cell r="AO433">
            <v>8</v>
          </cell>
          <cell r="AP433">
            <v>0</v>
          </cell>
          <cell r="AQ433">
            <v>8</v>
          </cell>
          <cell r="AR433" t="str">
            <v>US_24505</v>
          </cell>
          <cell r="AS433">
            <v>0</v>
          </cell>
          <cell r="AT433">
            <v>152</v>
          </cell>
          <cell r="AU433">
            <v>152</v>
          </cell>
          <cell r="AV433">
            <v>0</v>
          </cell>
          <cell r="AW433">
            <v>1216</v>
          </cell>
          <cell r="AX433">
            <v>1216</v>
          </cell>
          <cell r="AY433">
            <v>1216</v>
          </cell>
          <cell r="AZ433">
            <v>28.571428571428569</v>
          </cell>
          <cell r="BA433">
            <v>12.8</v>
          </cell>
          <cell r="BB433">
            <v>1945.6000000000001</v>
          </cell>
          <cell r="BC433">
            <v>38.28125</v>
          </cell>
          <cell r="BD433">
            <v>1216</v>
          </cell>
          <cell r="BE433">
            <v>972.8</v>
          </cell>
          <cell r="BF433">
            <v>1216</v>
          </cell>
          <cell r="BG433">
            <v>10336</v>
          </cell>
          <cell r="BH433">
            <v>10336</v>
          </cell>
          <cell r="BI433">
            <v>9120</v>
          </cell>
          <cell r="BJ433">
            <v>0</v>
          </cell>
          <cell r="BK433">
            <v>0</v>
          </cell>
          <cell r="BL433">
            <v>0</v>
          </cell>
          <cell r="BM433">
            <v>9120</v>
          </cell>
          <cell r="BN433">
            <v>0</v>
          </cell>
          <cell r="BO433">
            <v>1216</v>
          </cell>
          <cell r="BP433" t="str">
            <v>Y</v>
          </cell>
          <cell r="BQ433">
            <v>1</v>
          </cell>
          <cell r="BR433" t="str">
            <v>N</v>
          </cell>
          <cell r="BS433">
            <v>1945.6000000000001</v>
          </cell>
          <cell r="BT433" t="str">
            <v>Done</v>
          </cell>
          <cell r="BU433">
            <v>152</v>
          </cell>
          <cell r="BV433">
            <v>2024</v>
          </cell>
        </row>
        <row r="434">
          <cell r="A434" t="str">
            <v>Lucknow</v>
          </cell>
          <cell r="B434" t="str">
            <v>Mavericks</v>
          </cell>
          <cell r="C434" t="str">
            <v>Mid Level</v>
          </cell>
          <cell r="D434" t="str">
            <v>Rohit Gupta</v>
          </cell>
          <cell r="E434" t="str">
            <v>-</v>
          </cell>
          <cell r="H434" t="str">
            <v>Saif Ahmad Ansari</v>
          </cell>
          <cell r="K434">
            <v>0</v>
          </cell>
          <cell r="L434" t="str">
            <v>Old</v>
          </cell>
          <cell r="M434">
            <v>45628</v>
          </cell>
          <cell r="N434">
            <v>4</v>
          </cell>
          <cell r="O434">
            <v>418</v>
          </cell>
          <cell r="P434">
            <v>45819</v>
          </cell>
          <cell r="Q434">
            <v>45993</v>
          </cell>
          <cell r="R434" t="str">
            <v>PLC-4053</v>
          </cell>
          <cell r="S434" t="str">
            <v>Prashanth Kumar Panyam</v>
          </cell>
          <cell r="T434" t="str">
            <v>Individual</v>
          </cell>
          <cell r="U434" t="str">
            <v>C2C</v>
          </cell>
          <cell r="V434" t="str">
            <v>Mphasis</v>
          </cell>
          <cell r="W434">
            <v>60</v>
          </cell>
          <cell r="X434">
            <v>0</v>
          </cell>
          <cell r="Y434" t="str">
            <v>USD</v>
          </cell>
          <cell r="Z434">
            <v>68</v>
          </cell>
          <cell r="AA434">
            <v>0</v>
          </cell>
          <cell r="AB434">
            <v>0</v>
          </cell>
          <cell r="AC434">
            <v>0</v>
          </cell>
          <cell r="AD434">
            <v>45731</v>
          </cell>
          <cell r="AE434">
            <v>21</v>
          </cell>
          <cell r="AF434">
            <v>46022</v>
          </cell>
          <cell r="AG434">
            <v>60</v>
          </cell>
          <cell r="AH434">
            <v>0</v>
          </cell>
          <cell r="AI434">
            <v>60</v>
          </cell>
          <cell r="AJ434">
            <v>68</v>
          </cell>
          <cell r="AK434">
            <v>0</v>
          </cell>
          <cell r="AL434">
            <v>0</v>
          </cell>
          <cell r="AM434">
            <v>8</v>
          </cell>
          <cell r="AN434">
            <v>0</v>
          </cell>
          <cell r="AO434">
            <v>8</v>
          </cell>
          <cell r="AP434">
            <v>0</v>
          </cell>
          <cell r="AQ434">
            <v>8</v>
          </cell>
          <cell r="AR434" t="str">
            <v>US_24687</v>
          </cell>
          <cell r="AS434">
            <v>0</v>
          </cell>
          <cell r="AT434">
            <v>168</v>
          </cell>
          <cell r="AU434">
            <v>168</v>
          </cell>
          <cell r="AV434">
            <v>0</v>
          </cell>
          <cell r="AW434">
            <v>1344</v>
          </cell>
          <cell r="AX434">
            <v>1344</v>
          </cell>
          <cell r="AY434">
            <v>1344</v>
          </cell>
          <cell r="AZ434">
            <v>28.571428571428569</v>
          </cell>
          <cell r="BA434">
            <v>12.8</v>
          </cell>
          <cell r="BB434">
            <v>2150.4</v>
          </cell>
          <cell r="BC434">
            <v>38.28125</v>
          </cell>
          <cell r="BD434">
            <v>1344</v>
          </cell>
          <cell r="BE434">
            <v>1075.2</v>
          </cell>
          <cell r="BF434">
            <v>1344</v>
          </cell>
          <cell r="BG434">
            <v>11424</v>
          </cell>
          <cell r="BH434">
            <v>11424</v>
          </cell>
          <cell r="BI434">
            <v>10080</v>
          </cell>
          <cell r="BJ434">
            <v>0</v>
          </cell>
          <cell r="BK434">
            <v>0</v>
          </cell>
          <cell r="BL434">
            <v>0</v>
          </cell>
          <cell r="BM434">
            <v>10080</v>
          </cell>
          <cell r="BN434">
            <v>0</v>
          </cell>
          <cell r="BO434">
            <v>1344</v>
          </cell>
          <cell r="BP434" t="str">
            <v>Y</v>
          </cell>
          <cell r="BQ434">
            <v>1</v>
          </cell>
          <cell r="BR434" t="str">
            <v>N</v>
          </cell>
          <cell r="BS434">
            <v>2150.4</v>
          </cell>
          <cell r="BT434" t="str">
            <v>Done</v>
          </cell>
          <cell r="BU434">
            <v>168</v>
          </cell>
          <cell r="BV434">
            <v>2024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Rohit Gupta</v>
          </cell>
          <cell r="E435" t="str">
            <v>-</v>
          </cell>
          <cell r="H435" t="str">
            <v>Saif Ahmad Ansari</v>
          </cell>
          <cell r="K435">
            <v>0</v>
          </cell>
          <cell r="L435" t="str">
            <v>Old</v>
          </cell>
          <cell r="M435">
            <v>45628</v>
          </cell>
          <cell r="N435">
            <v>4</v>
          </cell>
          <cell r="O435">
            <v>418</v>
          </cell>
          <cell r="P435">
            <v>45819</v>
          </cell>
          <cell r="Q435">
            <v>45993</v>
          </cell>
          <cell r="R435" t="str">
            <v>PLC-4053</v>
          </cell>
          <cell r="S435" t="str">
            <v>Prashanth Kumar Panyam</v>
          </cell>
          <cell r="T435" t="str">
            <v>Individual</v>
          </cell>
          <cell r="U435" t="str">
            <v>C2C</v>
          </cell>
          <cell r="V435" t="str">
            <v>Mphasis</v>
          </cell>
          <cell r="W435">
            <v>60</v>
          </cell>
          <cell r="X435">
            <v>0</v>
          </cell>
          <cell r="Y435" t="str">
            <v>USD</v>
          </cell>
          <cell r="Z435">
            <v>68</v>
          </cell>
          <cell r="AA435">
            <v>0</v>
          </cell>
          <cell r="AB435">
            <v>0</v>
          </cell>
          <cell r="AC435">
            <v>0</v>
          </cell>
          <cell r="AD435">
            <v>45762</v>
          </cell>
          <cell r="AE435">
            <v>22</v>
          </cell>
          <cell r="AF435">
            <v>46022</v>
          </cell>
          <cell r="AG435">
            <v>60</v>
          </cell>
          <cell r="AH435">
            <v>0</v>
          </cell>
          <cell r="AI435">
            <v>60</v>
          </cell>
          <cell r="AJ435">
            <v>68</v>
          </cell>
          <cell r="AK435">
            <v>0</v>
          </cell>
          <cell r="AL435">
            <v>0</v>
          </cell>
          <cell r="AM435">
            <v>8</v>
          </cell>
          <cell r="AN435">
            <v>0</v>
          </cell>
          <cell r="AO435">
            <v>8</v>
          </cell>
          <cell r="AP435">
            <v>0</v>
          </cell>
          <cell r="AQ435">
            <v>8</v>
          </cell>
          <cell r="AR435" t="str">
            <v>US_24890</v>
          </cell>
          <cell r="AS435">
            <v>0</v>
          </cell>
          <cell r="AT435">
            <v>160</v>
          </cell>
          <cell r="AU435">
            <v>160</v>
          </cell>
          <cell r="AV435">
            <v>0</v>
          </cell>
          <cell r="AW435">
            <v>1280</v>
          </cell>
          <cell r="AX435">
            <v>1280</v>
          </cell>
          <cell r="AY435">
            <v>1280</v>
          </cell>
          <cell r="AZ435">
            <v>28.571428571428569</v>
          </cell>
          <cell r="BA435">
            <v>12.8</v>
          </cell>
          <cell r="BB435">
            <v>2048</v>
          </cell>
          <cell r="BC435">
            <v>38.28125</v>
          </cell>
          <cell r="BD435">
            <v>1280</v>
          </cell>
          <cell r="BE435">
            <v>1024</v>
          </cell>
          <cell r="BF435">
            <v>1280</v>
          </cell>
          <cell r="BG435">
            <v>10880</v>
          </cell>
          <cell r="BH435">
            <v>10880</v>
          </cell>
          <cell r="BI435">
            <v>9600</v>
          </cell>
          <cell r="BJ435">
            <v>0</v>
          </cell>
          <cell r="BK435">
            <v>0</v>
          </cell>
          <cell r="BL435">
            <v>0</v>
          </cell>
          <cell r="BM435">
            <v>9600</v>
          </cell>
          <cell r="BN435">
            <v>0</v>
          </cell>
          <cell r="BO435">
            <v>1280</v>
          </cell>
          <cell r="BP435" t="str">
            <v>Y</v>
          </cell>
          <cell r="BQ435">
            <v>2</v>
          </cell>
          <cell r="BR435" t="str">
            <v>N</v>
          </cell>
          <cell r="BS435">
            <v>2048</v>
          </cell>
          <cell r="BT435" t="str">
            <v>Done</v>
          </cell>
          <cell r="BU435">
            <v>160</v>
          </cell>
          <cell r="BV435">
            <v>2024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Rohit Gupta</v>
          </cell>
          <cell r="E436" t="str">
            <v>Vivek Yadav</v>
          </cell>
          <cell r="H436" t="str">
            <v>Anuj Tewari</v>
          </cell>
          <cell r="J436" t="str">
            <v>ACH</v>
          </cell>
          <cell r="L436" t="str">
            <v>New</v>
          </cell>
          <cell r="M436">
            <v>45719</v>
          </cell>
          <cell r="N436">
            <v>1</v>
          </cell>
          <cell r="O436">
            <v>327</v>
          </cell>
          <cell r="P436" t="str">
            <v>-</v>
          </cell>
          <cell r="Q436">
            <v>46084</v>
          </cell>
          <cell r="R436" t="str">
            <v>PLC-4134</v>
          </cell>
          <cell r="S436" t="str">
            <v>Pravallika Nalluri</v>
          </cell>
          <cell r="T436" t="str">
            <v>Individual</v>
          </cell>
          <cell r="U436" t="str">
            <v>C2C</v>
          </cell>
          <cell r="V436" t="str">
            <v>Coforge</v>
          </cell>
          <cell r="W436">
            <v>60</v>
          </cell>
          <cell r="X436">
            <v>0</v>
          </cell>
          <cell r="Y436" t="str">
            <v>USD</v>
          </cell>
          <cell r="Z436">
            <v>70</v>
          </cell>
          <cell r="AA436">
            <v>0</v>
          </cell>
          <cell r="AB436">
            <v>0</v>
          </cell>
          <cell r="AC436">
            <v>0</v>
          </cell>
          <cell r="AD436">
            <v>45731</v>
          </cell>
          <cell r="AE436">
            <v>21</v>
          </cell>
          <cell r="AF436">
            <v>46022</v>
          </cell>
          <cell r="AG436">
            <v>60</v>
          </cell>
          <cell r="AH436">
            <v>0</v>
          </cell>
          <cell r="AI436">
            <v>60</v>
          </cell>
          <cell r="AJ436">
            <v>70</v>
          </cell>
          <cell r="AK436">
            <v>0</v>
          </cell>
          <cell r="AL436">
            <v>0</v>
          </cell>
          <cell r="AM436">
            <v>10</v>
          </cell>
          <cell r="AN436">
            <v>0</v>
          </cell>
          <cell r="AO436">
            <v>10</v>
          </cell>
          <cell r="AP436">
            <v>0</v>
          </cell>
          <cell r="AQ436">
            <v>10</v>
          </cell>
          <cell r="AR436" t="str">
            <v>US_24736</v>
          </cell>
          <cell r="AS436">
            <v>0</v>
          </cell>
          <cell r="AT436">
            <v>168</v>
          </cell>
          <cell r="AU436">
            <v>168</v>
          </cell>
          <cell r="AV436">
            <v>0</v>
          </cell>
          <cell r="AW436">
            <v>1680</v>
          </cell>
          <cell r="AX436">
            <v>1663.2</v>
          </cell>
          <cell r="AY436">
            <v>1680</v>
          </cell>
          <cell r="AZ436">
            <v>133.33333333333331</v>
          </cell>
          <cell r="BA436">
            <v>16</v>
          </cell>
          <cell r="BB436">
            <v>2688</v>
          </cell>
          <cell r="BF436">
            <v>1663.2</v>
          </cell>
          <cell r="BG436">
            <v>11760</v>
          </cell>
          <cell r="BH436">
            <v>11760</v>
          </cell>
          <cell r="BI436">
            <v>10080</v>
          </cell>
          <cell r="BJ436">
            <v>0</v>
          </cell>
          <cell r="BK436">
            <v>0</v>
          </cell>
          <cell r="BL436">
            <v>0</v>
          </cell>
          <cell r="BM436">
            <v>10080</v>
          </cell>
          <cell r="BN436">
            <v>0</v>
          </cell>
          <cell r="BO436">
            <v>1680</v>
          </cell>
          <cell r="BP436" t="str">
            <v>Y</v>
          </cell>
          <cell r="BQ436">
            <v>1</v>
          </cell>
          <cell r="BR436" t="str">
            <v>Y</v>
          </cell>
          <cell r="BS436">
            <v>2688</v>
          </cell>
          <cell r="BT436" t="str">
            <v>Done</v>
          </cell>
          <cell r="BU436">
            <v>168</v>
          </cell>
          <cell r="BV436">
            <v>2025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Rohit Gupta</v>
          </cell>
          <cell r="E437" t="str">
            <v>Vivek Yadav</v>
          </cell>
          <cell r="H437" t="str">
            <v>Anuj Tewari</v>
          </cell>
          <cell r="J437" t="str">
            <v>ACH</v>
          </cell>
          <cell r="L437" t="str">
            <v>New</v>
          </cell>
          <cell r="M437">
            <v>45719</v>
          </cell>
          <cell r="N437">
            <v>1</v>
          </cell>
          <cell r="O437">
            <v>327</v>
          </cell>
          <cell r="P437" t="str">
            <v>-</v>
          </cell>
          <cell r="Q437">
            <v>46084</v>
          </cell>
          <cell r="R437" t="str">
            <v>PLC-4134</v>
          </cell>
          <cell r="S437" t="str">
            <v>Pravallika Nalluri</v>
          </cell>
          <cell r="T437" t="str">
            <v>Individual</v>
          </cell>
          <cell r="U437" t="str">
            <v>C2C</v>
          </cell>
          <cell r="V437" t="str">
            <v>Coforge</v>
          </cell>
          <cell r="W437">
            <v>60</v>
          </cell>
          <cell r="X437">
            <v>0</v>
          </cell>
          <cell r="Y437" t="str">
            <v>USD</v>
          </cell>
          <cell r="Z437">
            <v>70</v>
          </cell>
          <cell r="AA437">
            <v>0</v>
          </cell>
          <cell r="AB437">
            <v>0</v>
          </cell>
          <cell r="AC437">
            <v>0</v>
          </cell>
          <cell r="AD437">
            <v>45762</v>
          </cell>
          <cell r="AE437">
            <v>22</v>
          </cell>
          <cell r="AF437">
            <v>46022</v>
          </cell>
          <cell r="AG437">
            <v>60</v>
          </cell>
          <cell r="AH437">
            <v>0</v>
          </cell>
          <cell r="AI437">
            <v>60</v>
          </cell>
          <cell r="AJ437">
            <v>70</v>
          </cell>
          <cell r="AK437">
            <v>0</v>
          </cell>
          <cell r="AL437">
            <v>0</v>
          </cell>
          <cell r="AM437">
            <v>10</v>
          </cell>
          <cell r="AN437">
            <v>0</v>
          </cell>
          <cell r="AO437">
            <v>10</v>
          </cell>
          <cell r="AP437">
            <v>0</v>
          </cell>
          <cell r="AQ437">
            <v>10</v>
          </cell>
          <cell r="AR437" t="str">
            <v>US_24915</v>
          </cell>
          <cell r="AS437">
            <v>0</v>
          </cell>
          <cell r="AT437">
            <v>168</v>
          </cell>
          <cell r="AU437">
            <v>168</v>
          </cell>
          <cell r="AV437">
            <v>0</v>
          </cell>
          <cell r="AW437">
            <v>1680</v>
          </cell>
          <cell r="AX437">
            <v>1663.2</v>
          </cell>
          <cell r="AY437">
            <v>1680</v>
          </cell>
          <cell r="AZ437">
            <v>133.33333333333331</v>
          </cell>
          <cell r="BA437">
            <v>16</v>
          </cell>
          <cell r="BB437">
            <v>2688</v>
          </cell>
          <cell r="BF437">
            <v>1663.2</v>
          </cell>
          <cell r="BG437">
            <v>11760</v>
          </cell>
          <cell r="BH437">
            <v>11760</v>
          </cell>
          <cell r="BI437">
            <v>10080</v>
          </cell>
          <cell r="BJ437">
            <v>0</v>
          </cell>
          <cell r="BK437">
            <v>0</v>
          </cell>
          <cell r="BL437">
            <v>0</v>
          </cell>
          <cell r="BM437">
            <v>10080</v>
          </cell>
          <cell r="BN437">
            <v>0</v>
          </cell>
          <cell r="BO437">
            <v>1680</v>
          </cell>
          <cell r="BP437" t="str">
            <v>Y</v>
          </cell>
          <cell r="BQ437">
            <v>2</v>
          </cell>
          <cell r="BR437" t="str">
            <v>Y</v>
          </cell>
          <cell r="BS437">
            <v>2688</v>
          </cell>
          <cell r="BT437" t="str">
            <v>Done</v>
          </cell>
          <cell r="BU437">
            <v>168</v>
          </cell>
          <cell r="BV437">
            <v>2025</v>
          </cell>
        </row>
        <row r="438">
          <cell r="A438" t="str">
            <v>Lucknow</v>
          </cell>
          <cell r="B438" t="str">
            <v>Trust</v>
          </cell>
          <cell r="C438" t="str">
            <v>Mid Level</v>
          </cell>
          <cell r="D438" t="str">
            <v>Bhanu Pratap Singh</v>
          </cell>
          <cell r="E438" t="str">
            <v>-</v>
          </cell>
          <cell r="G438">
            <v>0</v>
          </cell>
          <cell r="H438" t="str">
            <v>Bhanu Pratap Singh</v>
          </cell>
          <cell r="K438">
            <v>0</v>
          </cell>
          <cell r="L438" t="str">
            <v>Old</v>
          </cell>
          <cell r="M438">
            <v>45411</v>
          </cell>
          <cell r="N438">
            <v>2</v>
          </cell>
          <cell r="O438">
            <v>635</v>
          </cell>
          <cell r="P438" t="str">
            <v>-</v>
          </cell>
          <cell r="Q438">
            <v>45776</v>
          </cell>
          <cell r="R438" t="str">
            <v>PLC-3746</v>
          </cell>
          <cell r="S438" t="str">
            <v>Pravat Jena</v>
          </cell>
          <cell r="T438" t="str">
            <v>Individual</v>
          </cell>
          <cell r="U438" t="str">
            <v>C2C</v>
          </cell>
          <cell r="V438" t="str">
            <v>Movate</v>
          </cell>
          <cell r="W438">
            <v>65</v>
          </cell>
          <cell r="X438">
            <v>0</v>
          </cell>
          <cell r="Y438" t="str">
            <v>USD</v>
          </cell>
          <cell r="Z438">
            <v>75.400000000000006</v>
          </cell>
          <cell r="AA438">
            <v>0</v>
          </cell>
          <cell r="AB438">
            <v>0</v>
          </cell>
          <cell r="AC438">
            <v>0</v>
          </cell>
          <cell r="AD438">
            <v>45672</v>
          </cell>
          <cell r="AE438">
            <v>23</v>
          </cell>
          <cell r="AF438">
            <v>46022</v>
          </cell>
          <cell r="AG438">
            <v>65</v>
          </cell>
          <cell r="AH438">
            <v>0</v>
          </cell>
          <cell r="AI438">
            <v>65</v>
          </cell>
          <cell r="AJ438">
            <v>75.400000000000006</v>
          </cell>
          <cell r="AK438">
            <v>0</v>
          </cell>
          <cell r="AL438">
            <v>0</v>
          </cell>
          <cell r="AM438">
            <v>10.400000000000006</v>
          </cell>
          <cell r="AN438">
            <v>0</v>
          </cell>
          <cell r="AO438">
            <v>10.400000000000006</v>
          </cell>
          <cell r="AP438">
            <v>0</v>
          </cell>
          <cell r="AQ438">
            <v>10.400000000000006</v>
          </cell>
          <cell r="AR438" t="str">
            <v>US_24161</v>
          </cell>
          <cell r="AS438">
            <v>0</v>
          </cell>
          <cell r="AT438">
            <v>168</v>
          </cell>
          <cell r="AU438">
            <v>168</v>
          </cell>
          <cell r="AV438">
            <v>0</v>
          </cell>
          <cell r="AW438">
            <v>1747.200000000001</v>
          </cell>
          <cell r="AX438">
            <v>1747.200000000001</v>
          </cell>
          <cell r="AY438">
            <v>1747.200000000001</v>
          </cell>
          <cell r="AZ438">
            <v>0</v>
          </cell>
          <cell r="BA438">
            <v>0</v>
          </cell>
          <cell r="BB438">
            <v>0</v>
          </cell>
          <cell r="BD438">
            <v>1747.200000000001</v>
          </cell>
          <cell r="BF438">
            <v>1747.200000000001</v>
          </cell>
          <cell r="BG438">
            <v>12667.2</v>
          </cell>
          <cell r="BH438">
            <v>12667.2</v>
          </cell>
          <cell r="BI438">
            <v>10920</v>
          </cell>
          <cell r="BJ438">
            <v>0</v>
          </cell>
          <cell r="BK438">
            <v>0</v>
          </cell>
          <cell r="BL438">
            <v>0</v>
          </cell>
          <cell r="BM438">
            <v>10920</v>
          </cell>
          <cell r="BN438">
            <v>0</v>
          </cell>
          <cell r="BO438">
            <v>1747.2000000000007</v>
          </cell>
          <cell r="BP438" t="str">
            <v>Y</v>
          </cell>
          <cell r="BQ438">
            <v>1</v>
          </cell>
          <cell r="BR438" t="str">
            <v>Y</v>
          </cell>
          <cell r="BS438">
            <v>0</v>
          </cell>
          <cell r="BT438" t="str">
            <v>Done</v>
          </cell>
          <cell r="BU438">
            <v>168</v>
          </cell>
          <cell r="BV438">
            <v>2024</v>
          </cell>
        </row>
        <row r="439">
          <cell r="A439" t="str">
            <v>Lucknow</v>
          </cell>
          <cell r="B439" t="str">
            <v>Trust</v>
          </cell>
          <cell r="C439" t="str">
            <v>Mid Level</v>
          </cell>
          <cell r="D439" t="str">
            <v>Bhanu Pratap Singh</v>
          </cell>
          <cell r="E439" t="str">
            <v>-</v>
          </cell>
          <cell r="G439">
            <v>0</v>
          </cell>
          <cell r="H439" t="str">
            <v>Bhanu Pratap Singh</v>
          </cell>
          <cell r="K439">
            <v>0</v>
          </cell>
          <cell r="L439" t="str">
            <v>Old</v>
          </cell>
          <cell r="M439">
            <v>45411</v>
          </cell>
          <cell r="N439">
            <v>2</v>
          </cell>
          <cell r="O439">
            <v>635</v>
          </cell>
          <cell r="P439" t="str">
            <v>-</v>
          </cell>
          <cell r="Q439">
            <v>45776</v>
          </cell>
          <cell r="R439" t="str">
            <v>PLC-3746</v>
          </cell>
          <cell r="S439" t="str">
            <v>Pravat Jena</v>
          </cell>
          <cell r="T439" t="str">
            <v>Individual</v>
          </cell>
          <cell r="U439" t="str">
            <v>C2C</v>
          </cell>
          <cell r="V439" t="str">
            <v>Movate</v>
          </cell>
          <cell r="W439">
            <v>65</v>
          </cell>
          <cell r="X439">
            <v>0</v>
          </cell>
          <cell r="Y439" t="str">
            <v>USD</v>
          </cell>
          <cell r="Z439">
            <v>75.400000000000006</v>
          </cell>
          <cell r="AA439">
            <v>0</v>
          </cell>
          <cell r="AB439">
            <v>0</v>
          </cell>
          <cell r="AC439">
            <v>0</v>
          </cell>
          <cell r="AD439">
            <v>45703</v>
          </cell>
          <cell r="AE439">
            <v>20</v>
          </cell>
          <cell r="AF439">
            <v>46022</v>
          </cell>
          <cell r="AG439">
            <v>65</v>
          </cell>
          <cell r="AH439">
            <v>0</v>
          </cell>
          <cell r="AI439">
            <v>65</v>
          </cell>
          <cell r="AJ439">
            <v>75.400000000000006</v>
          </cell>
          <cell r="AK439">
            <v>0</v>
          </cell>
          <cell r="AL439">
            <v>0</v>
          </cell>
          <cell r="AM439">
            <v>10.400000000000006</v>
          </cell>
          <cell r="AN439">
            <v>0</v>
          </cell>
          <cell r="AO439">
            <v>10.400000000000006</v>
          </cell>
          <cell r="AP439">
            <v>0</v>
          </cell>
          <cell r="AQ439">
            <v>10.400000000000006</v>
          </cell>
          <cell r="AR439" t="str">
            <v>US_24370</v>
          </cell>
          <cell r="AS439">
            <v>0</v>
          </cell>
          <cell r="AT439">
            <v>128</v>
          </cell>
          <cell r="AU439">
            <v>128</v>
          </cell>
          <cell r="AV439">
            <v>0</v>
          </cell>
          <cell r="AW439">
            <v>1331.2000000000007</v>
          </cell>
          <cell r="AX439">
            <v>1331.2000000000007</v>
          </cell>
          <cell r="AY439">
            <v>1331.2000000000007</v>
          </cell>
          <cell r="AZ439">
            <v>0</v>
          </cell>
          <cell r="BA439">
            <v>0</v>
          </cell>
          <cell r="BB439">
            <v>0</v>
          </cell>
          <cell r="BD439">
            <v>1331.2000000000007</v>
          </cell>
          <cell r="BF439">
            <v>1331.2000000000007</v>
          </cell>
          <cell r="BG439">
            <v>9651.2000000000007</v>
          </cell>
          <cell r="BH439">
            <v>9651.2000000000007</v>
          </cell>
          <cell r="BI439">
            <v>8320</v>
          </cell>
          <cell r="BJ439">
            <v>0</v>
          </cell>
          <cell r="BK439">
            <v>0</v>
          </cell>
          <cell r="BL439">
            <v>0</v>
          </cell>
          <cell r="BM439">
            <v>8320</v>
          </cell>
          <cell r="BN439">
            <v>0</v>
          </cell>
          <cell r="BO439">
            <v>1331.2000000000007</v>
          </cell>
          <cell r="BP439" t="str">
            <v>Y</v>
          </cell>
          <cell r="BQ439">
            <v>1</v>
          </cell>
          <cell r="BR439" t="str">
            <v>Y</v>
          </cell>
          <cell r="BS439">
            <v>0</v>
          </cell>
          <cell r="BT439" t="str">
            <v>Done</v>
          </cell>
          <cell r="BU439">
            <v>128</v>
          </cell>
          <cell r="BV439">
            <v>2024</v>
          </cell>
        </row>
        <row r="440">
          <cell r="A440" t="str">
            <v>Lucknow</v>
          </cell>
          <cell r="B440" t="str">
            <v>Trust</v>
          </cell>
          <cell r="C440" t="str">
            <v>Mid Level</v>
          </cell>
          <cell r="D440" t="str">
            <v>Bhanu Pratap Singh</v>
          </cell>
          <cell r="E440" t="str">
            <v>-</v>
          </cell>
          <cell r="G440">
            <v>0</v>
          </cell>
          <cell r="H440" t="str">
            <v>Bhanu Pratap Singh</v>
          </cell>
          <cell r="K440">
            <v>0</v>
          </cell>
          <cell r="L440" t="str">
            <v>Old</v>
          </cell>
          <cell r="M440">
            <v>45411</v>
          </cell>
          <cell r="N440">
            <v>2</v>
          </cell>
          <cell r="O440">
            <v>635</v>
          </cell>
          <cell r="P440" t="str">
            <v>-</v>
          </cell>
          <cell r="Q440">
            <v>45776</v>
          </cell>
          <cell r="R440" t="str">
            <v>PLC-3746</v>
          </cell>
          <cell r="S440" t="str">
            <v>Pravat Jena</v>
          </cell>
          <cell r="T440" t="str">
            <v>Individual</v>
          </cell>
          <cell r="U440" t="str">
            <v>C2C</v>
          </cell>
          <cell r="V440" t="str">
            <v>Movate</v>
          </cell>
          <cell r="W440">
            <v>65</v>
          </cell>
          <cell r="X440">
            <v>0</v>
          </cell>
          <cell r="Y440" t="str">
            <v>USD</v>
          </cell>
          <cell r="Z440">
            <v>75.400000000000006</v>
          </cell>
          <cell r="AA440">
            <v>0</v>
          </cell>
          <cell r="AB440">
            <v>0</v>
          </cell>
          <cell r="AC440">
            <v>0</v>
          </cell>
          <cell r="AD440">
            <v>45731</v>
          </cell>
          <cell r="AE440">
            <v>21</v>
          </cell>
          <cell r="AF440">
            <v>46022</v>
          </cell>
          <cell r="AG440">
            <v>65</v>
          </cell>
          <cell r="AH440">
            <v>0</v>
          </cell>
          <cell r="AI440">
            <v>65</v>
          </cell>
          <cell r="AJ440">
            <v>75.400000000000006</v>
          </cell>
          <cell r="AK440">
            <v>0</v>
          </cell>
          <cell r="AL440">
            <v>0</v>
          </cell>
          <cell r="AM440">
            <v>10.400000000000006</v>
          </cell>
          <cell r="AN440">
            <v>0</v>
          </cell>
          <cell r="AO440">
            <v>10.400000000000006</v>
          </cell>
          <cell r="AP440">
            <v>0</v>
          </cell>
          <cell r="AQ440">
            <v>10.400000000000006</v>
          </cell>
          <cell r="AR440" t="str">
            <v>US_24566</v>
          </cell>
          <cell r="AS440">
            <v>0</v>
          </cell>
          <cell r="AT440">
            <v>168</v>
          </cell>
          <cell r="AU440">
            <v>168</v>
          </cell>
          <cell r="AV440">
            <v>0</v>
          </cell>
          <cell r="AW440">
            <v>1747.200000000001</v>
          </cell>
          <cell r="AX440">
            <v>1747.200000000001</v>
          </cell>
          <cell r="AY440">
            <v>1747.200000000001</v>
          </cell>
          <cell r="AZ440">
            <v>0</v>
          </cell>
          <cell r="BA440">
            <v>0</v>
          </cell>
          <cell r="BB440">
            <v>0</v>
          </cell>
          <cell r="BD440">
            <v>1747.200000000001</v>
          </cell>
          <cell r="BF440">
            <v>1747.200000000001</v>
          </cell>
          <cell r="BG440">
            <v>12667.2</v>
          </cell>
          <cell r="BH440">
            <v>12667.2</v>
          </cell>
          <cell r="BI440">
            <v>10920</v>
          </cell>
          <cell r="BJ440">
            <v>0</v>
          </cell>
          <cell r="BK440">
            <v>0</v>
          </cell>
          <cell r="BL440">
            <v>0</v>
          </cell>
          <cell r="BM440">
            <v>10920</v>
          </cell>
          <cell r="BN440">
            <v>0</v>
          </cell>
          <cell r="BO440">
            <v>1747.2000000000007</v>
          </cell>
          <cell r="BP440" t="str">
            <v>Y</v>
          </cell>
          <cell r="BQ440">
            <v>1</v>
          </cell>
          <cell r="BR440" t="str">
            <v>Y</v>
          </cell>
          <cell r="BS440">
            <v>0</v>
          </cell>
          <cell r="BT440" t="str">
            <v>Done</v>
          </cell>
          <cell r="BU440">
            <v>168</v>
          </cell>
          <cell r="BV440">
            <v>2024</v>
          </cell>
        </row>
        <row r="441">
          <cell r="A441" t="str">
            <v>Lucknow</v>
          </cell>
          <cell r="B441" t="str">
            <v>Trust</v>
          </cell>
          <cell r="C441" t="str">
            <v>Mid Level</v>
          </cell>
          <cell r="D441" t="str">
            <v>Bhanu Pratap Singh</v>
          </cell>
          <cell r="E441" t="str">
            <v>-</v>
          </cell>
          <cell r="G441">
            <v>0</v>
          </cell>
          <cell r="H441" t="str">
            <v>Bhanu Pratap Singh</v>
          </cell>
          <cell r="K441">
            <v>0</v>
          </cell>
          <cell r="L441" t="str">
            <v>Old</v>
          </cell>
          <cell r="M441">
            <v>45411</v>
          </cell>
          <cell r="N441">
            <v>2</v>
          </cell>
          <cell r="O441">
            <v>635</v>
          </cell>
          <cell r="P441" t="str">
            <v>-</v>
          </cell>
          <cell r="Q441">
            <v>45776</v>
          </cell>
          <cell r="R441" t="str">
            <v>PLC-3746</v>
          </cell>
          <cell r="S441" t="str">
            <v>Pravat Jena</v>
          </cell>
          <cell r="T441" t="str">
            <v>Individual</v>
          </cell>
          <cell r="U441" t="str">
            <v>C2C</v>
          </cell>
          <cell r="V441" t="str">
            <v>Movate</v>
          </cell>
          <cell r="W441">
            <v>65</v>
          </cell>
          <cell r="X441">
            <v>0</v>
          </cell>
          <cell r="Y441" t="str">
            <v>USD</v>
          </cell>
          <cell r="Z441">
            <v>75.400000000000006</v>
          </cell>
          <cell r="AA441">
            <v>0</v>
          </cell>
          <cell r="AB441">
            <v>0</v>
          </cell>
          <cell r="AC441">
            <v>0</v>
          </cell>
          <cell r="AD441">
            <v>45762</v>
          </cell>
          <cell r="AE441">
            <v>22</v>
          </cell>
          <cell r="AF441">
            <v>46022</v>
          </cell>
          <cell r="AG441">
            <v>65</v>
          </cell>
          <cell r="AH441">
            <v>0</v>
          </cell>
          <cell r="AI441">
            <v>65</v>
          </cell>
          <cell r="AJ441">
            <v>75.400000000000006</v>
          </cell>
          <cell r="AK441">
            <v>0</v>
          </cell>
          <cell r="AL441">
            <v>0</v>
          </cell>
          <cell r="AM441">
            <v>10.400000000000006</v>
          </cell>
          <cell r="AN441">
            <v>0</v>
          </cell>
          <cell r="AO441">
            <v>10.400000000000006</v>
          </cell>
          <cell r="AP441">
            <v>0</v>
          </cell>
          <cell r="AQ441">
            <v>10.400000000000006</v>
          </cell>
          <cell r="AR441" t="str">
            <v>US_24782</v>
          </cell>
          <cell r="AS441">
            <v>0</v>
          </cell>
          <cell r="AT441">
            <v>176</v>
          </cell>
          <cell r="AU441">
            <v>176</v>
          </cell>
          <cell r="AV441">
            <v>0</v>
          </cell>
          <cell r="AW441">
            <v>1830.400000000001</v>
          </cell>
          <cell r="AX441">
            <v>1830.400000000001</v>
          </cell>
          <cell r="AY441">
            <v>1830.400000000001</v>
          </cell>
          <cell r="AZ441">
            <v>0</v>
          </cell>
          <cell r="BA441">
            <v>0</v>
          </cell>
          <cell r="BB441">
            <v>0</v>
          </cell>
          <cell r="BD441">
            <v>1830.400000000001</v>
          </cell>
          <cell r="BF441">
            <v>1830.400000000001</v>
          </cell>
          <cell r="BG441">
            <v>13270.400000000001</v>
          </cell>
          <cell r="BH441">
            <v>13270.400000000001</v>
          </cell>
          <cell r="BI441">
            <v>11440</v>
          </cell>
          <cell r="BJ441">
            <v>0</v>
          </cell>
          <cell r="BK441">
            <v>0</v>
          </cell>
          <cell r="BL441">
            <v>0</v>
          </cell>
          <cell r="BM441">
            <v>11440</v>
          </cell>
          <cell r="BN441">
            <v>0</v>
          </cell>
          <cell r="BO441">
            <v>1830.4000000000015</v>
          </cell>
          <cell r="BP441" t="str">
            <v>Y</v>
          </cell>
          <cell r="BQ441">
            <v>2</v>
          </cell>
          <cell r="BR441" t="str">
            <v>Y</v>
          </cell>
          <cell r="BS441">
            <v>0</v>
          </cell>
          <cell r="BT441" t="str">
            <v>Done</v>
          </cell>
          <cell r="BU441">
            <v>176</v>
          </cell>
          <cell r="BV441">
            <v>2024</v>
          </cell>
        </row>
        <row r="442">
          <cell r="A442" t="str">
            <v>Lucknow</v>
          </cell>
          <cell r="B442" t="str">
            <v>Vantedge</v>
          </cell>
          <cell r="C442" t="str">
            <v>Senior</v>
          </cell>
          <cell r="D442" t="str">
            <v>Umar Mujahid Husain</v>
          </cell>
          <cell r="E442" t="str">
            <v>-</v>
          </cell>
          <cell r="F442" t="str">
            <v>-</v>
          </cell>
          <cell r="G442" t="str">
            <v>-</v>
          </cell>
          <cell r="H442" t="str">
            <v>Abhay Pratap Singh</v>
          </cell>
          <cell r="L442" t="str">
            <v>New</v>
          </cell>
          <cell r="M442">
            <v>45761</v>
          </cell>
          <cell r="N442">
            <v>2</v>
          </cell>
          <cell r="O442">
            <v>285</v>
          </cell>
          <cell r="P442" t="str">
            <v>-</v>
          </cell>
          <cell r="Q442">
            <v>46126</v>
          </cell>
          <cell r="R442" t="str">
            <v>PLC-4217</v>
          </cell>
          <cell r="S442" t="str">
            <v>Praveen Narayana</v>
          </cell>
          <cell r="T442" t="str">
            <v>Individual</v>
          </cell>
          <cell r="U442" t="str">
            <v>FTE</v>
          </cell>
          <cell r="V442" t="str">
            <v>Tech Mahindra</v>
          </cell>
          <cell r="W442">
            <v>0</v>
          </cell>
          <cell r="X442">
            <v>0</v>
          </cell>
          <cell r="Y442" t="str">
            <v>USD</v>
          </cell>
          <cell r="Z442">
            <v>20825</v>
          </cell>
          <cell r="AA442">
            <v>0</v>
          </cell>
          <cell r="AB442">
            <v>0</v>
          </cell>
          <cell r="AC442">
            <v>0</v>
          </cell>
          <cell r="AD442">
            <v>45762</v>
          </cell>
          <cell r="AE442">
            <v>1</v>
          </cell>
          <cell r="AF442">
            <v>46022</v>
          </cell>
          <cell r="AG442">
            <v>0</v>
          </cell>
          <cell r="AH442">
            <v>0</v>
          </cell>
          <cell r="AI442">
            <v>0</v>
          </cell>
          <cell r="AJ442">
            <v>20825</v>
          </cell>
          <cell r="AK442">
            <v>0</v>
          </cell>
          <cell r="AL442">
            <v>0</v>
          </cell>
          <cell r="AM442">
            <v>20825</v>
          </cell>
          <cell r="AN442">
            <v>0</v>
          </cell>
          <cell r="AO442">
            <v>20825</v>
          </cell>
          <cell r="AP442">
            <v>0</v>
          </cell>
          <cell r="AQ442">
            <v>20825</v>
          </cell>
          <cell r="AR442" t="str">
            <v>US_24756</v>
          </cell>
          <cell r="AS442">
            <v>0</v>
          </cell>
          <cell r="AT442">
            <v>1</v>
          </cell>
          <cell r="AU442">
            <v>1</v>
          </cell>
          <cell r="AV442">
            <v>0</v>
          </cell>
          <cell r="AW442">
            <v>20825</v>
          </cell>
          <cell r="AX442">
            <v>20825</v>
          </cell>
          <cell r="AY442">
            <v>20825</v>
          </cell>
          <cell r="AZ442">
            <v>91</v>
          </cell>
          <cell r="BA442">
            <v>31654</v>
          </cell>
          <cell r="BB442">
            <v>31654</v>
          </cell>
          <cell r="BC442">
            <v>59</v>
          </cell>
          <cell r="BD442">
            <v>20825</v>
          </cell>
          <cell r="BE442">
            <v>16660</v>
          </cell>
          <cell r="BF442">
            <v>20825</v>
          </cell>
          <cell r="BG442">
            <v>20825</v>
          </cell>
          <cell r="BH442">
            <v>20825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20825</v>
          </cell>
          <cell r="BP442" t="str">
            <v>Y</v>
          </cell>
          <cell r="BQ442">
            <v>2</v>
          </cell>
          <cell r="BR442" t="str">
            <v>Y</v>
          </cell>
          <cell r="BS442">
            <v>31654</v>
          </cell>
          <cell r="BT442" t="str">
            <v>Done</v>
          </cell>
          <cell r="BU442">
            <v>0</v>
          </cell>
          <cell r="BV442">
            <v>2025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E443" t="str">
            <v>Shashank Yadav</v>
          </cell>
          <cell r="H443" t="str">
            <v>Abhishek Verma</v>
          </cell>
          <cell r="L443" t="str">
            <v>New</v>
          </cell>
          <cell r="M443">
            <v>45733</v>
          </cell>
          <cell r="N443">
            <v>1</v>
          </cell>
          <cell r="O443">
            <v>313</v>
          </cell>
          <cell r="P443" t="str">
            <v>-</v>
          </cell>
          <cell r="Q443">
            <v>46098</v>
          </cell>
          <cell r="R443" t="str">
            <v>PLC-4156</v>
          </cell>
          <cell r="S443" t="str">
            <v>Princess Shimmadar Manaois-Battung</v>
          </cell>
          <cell r="T443" t="str">
            <v>Individual</v>
          </cell>
          <cell r="U443" t="str">
            <v>Referral</v>
          </cell>
          <cell r="V443" t="str">
            <v>Reflik</v>
          </cell>
          <cell r="W443">
            <v>0</v>
          </cell>
          <cell r="X443">
            <v>0</v>
          </cell>
          <cell r="Y443" t="str">
            <v>USD</v>
          </cell>
          <cell r="Z443">
            <v>3.8</v>
          </cell>
          <cell r="AA443">
            <v>0</v>
          </cell>
          <cell r="AB443">
            <v>0</v>
          </cell>
          <cell r="AC443">
            <v>0</v>
          </cell>
          <cell r="AD443">
            <v>45731</v>
          </cell>
          <cell r="AE443">
            <v>11</v>
          </cell>
          <cell r="AF443">
            <v>46022</v>
          </cell>
          <cell r="AG443">
            <v>0</v>
          </cell>
          <cell r="AH443">
            <v>0</v>
          </cell>
          <cell r="AI443">
            <v>0</v>
          </cell>
          <cell r="AJ443">
            <v>3.8</v>
          </cell>
          <cell r="AK443">
            <v>0</v>
          </cell>
          <cell r="AL443">
            <v>0</v>
          </cell>
          <cell r="AM443">
            <v>3.8</v>
          </cell>
          <cell r="AN443">
            <v>0</v>
          </cell>
          <cell r="AO443">
            <v>3.8</v>
          </cell>
          <cell r="AP443">
            <v>0</v>
          </cell>
          <cell r="AQ443">
            <v>3.8</v>
          </cell>
          <cell r="AR443" t="str">
            <v>US_24747</v>
          </cell>
          <cell r="AS443">
            <v>0</v>
          </cell>
          <cell r="AT443">
            <v>88</v>
          </cell>
          <cell r="AU443">
            <v>88</v>
          </cell>
          <cell r="AV443">
            <v>0</v>
          </cell>
          <cell r="AW443">
            <v>334.4</v>
          </cell>
          <cell r="AX443">
            <v>334.4</v>
          </cell>
          <cell r="AY443">
            <v>334.4</v>
          </cell>
          <cell r="AZ443">
            <v>141.66666666666669</v>
          </cell>
          <cell r="BA443">
            <v>6.08</v>
          </cell>
          <cell r="BB443">
            <v>535.04</v>
          </cell>
          <cell r="BC443">
            <v>32</v>
          </cell>
          <cell r="BD443">
            <v>334.4</v>
          </cell>
          <cell r="BE443">
            <v>267.52</v>
          </cell>
          <cell r="BF443">
            <v>334.4</v>
          </cell>
          <cell r="BG443">
            <v>334.4</v>
          </cell>
          <cell r="BH443">
            <v>334.4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334.4</v>
          </cell>
          <cell r="BP443" t="str">
            <v>Y</v>
          </cell>
          <cell r="BQ443">
            <v>1</v>
          </cell>
          <cell r="BR443" t="str">
            <v>Y</v>
          </cell>
          <cell r="BS443">
            <v>535.04</v>
          </cell>
          <cell r="BT443" t="str">
            <v>Done</v>
          </cell>
          <cell r="BU443">
            <v>88</v>
          </cell>
          <cell r="BV443">
            <v>2025</v>
          </cell>
        </row>
        <row r="444">
          <cell r="A444" t="str">
            <v>Lucknow</v>
          </cell>
          <cell r="B444" t="str">
            <v>Trust</v>
          </cell>
          <cell r="C444" t="str">
            <v>Mid Level</v>
          </cell>
          <cell r="D444" t="str">
            <v>Shashank Yadav</v>
          </cell>
          <cell r="E444" t="str">
            <v>Shashank Yadav</v>
          </cell>
          <cell r="H444" t="str">
            <v>Abhishek Verma</v>
          </cell>
          <cell r="L444" t="str">
            <v>New</v>
          </cell>
          <cell r="M444">
            <v>45733</v>
          </cell>
          <cell r="N444">
            <v>1</v>
          </cell>
          <cell r="O444">
            <v>313</v>
          </cell>
          <cell r="P444" t="str">
            <v>-</v>
          </cell>
          <cell r="Q444">
            <v>46098</v>
          </cell>
          <cell r="R444" t="str">
            <v>PLC-4156</v>
          </cell>
          <cell r="S444" t="str">
            <v>Princess Shimmadar Manaois-Battung</v>
          </cell>
          <cell r="T444" t="str">
            <v>Individual</v>
          </cell>
          <cell r="U444" t="str">
            <v>Referral</v>
          </cell>
          <cell r="V444" t="str">
            <v>Reflik</v>
          </cell>
          <cell r="W444">
            <v>0</v>
          </cell>
          <cell r="X444">
            <v>0</v>
          </cell>
          <cell r="Y444" t="str">
            <v>USD</v>
          </cell>
          <cell r="Z444">
            <v>3.8</v>
          </cell>
          <cell r="AA444">
            <v>0</v>
          </cell>
          <cell r="AB444">
            <v>0</v>
          </cell>
          <cell r="AC444">
            <v>0</v>
          </cell>
          <cell r="AD444">
            <v>45762</v>
          </cell>
          <cell r="AE444">
            <v>22</v>
          </cell>
          <cell r="AF444">
            <v>46022</v>
          </cell>
          <cell r="AG444">
            <v>0</v>
          </cell>
          <cell r="AH444">
            <v>0</v>
          </cell>
          <cell r="AI444">
            <v>0</v>
          </cell>
          <cell r="AJ444">
            <v>3.8</v>
          </cell>
          <cell r="AK444">
            <v>0</v>
          </cell>
          <cell r="AL444">
            <v>0</v>
          </cell>
          <cell r="AM444">
            <v>3.8</v>
          </cell>
          <cell r="AN444">
            <v>0</v>
          </cell>
          <cell r="AO444">
            <v>3.8</v>
          </cell>
          <cell r="AP444">
            <v>0</v>
          </cell>
          <cell r="AQ444">
            <v>3.8</v>
          </cell>
          <cell r="AR444" t="str">
            <v>US_24924</v>
          </cell>
          <cell r="AS444">
            <v>0</v>
          </cell>
          <cell r="AT444">
            <v>176</v>
          </cell>
          <cell r="AU444">
            <v>176</v>
          </cell>
          <cell r="AV444">
            <v>0</v>
          </cell>
          <cell r="AW444">
            <v>668.8</v>
          </cell>
          <cell r="AX444">
            <v>668.8</v>
          </cell>
          <cell r="AY444">
            <v>668.8</v>
          </cell>
          <cell r="AZ444">
            <v>141.66666666666669</v>
          </cell>
          <cell r="BA444">
            <v>6.08</v>
          </cell>
          <cell r="BB444">
            <v>1070.08</v>
          </cell>
          <cell r="BC444">
            <v>32</v>
          </cell>
          <cell r="BD444">
            <v>668.8</v>
          </cell>
          <cell r="BE444">
            <v>535.04</v>
          </cell>
          <cell r="BF444">
            <v>668.8</v>
          </cell>
          <cell r="BG444">
            <v>668.8</v>
          </cell>
          <cell r="BH444">
            <v>668.8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668.8</v>
          </cell>
          <cell r="BP444" t="str">
            <v>Y</v>
          </cell>
          <cell r="BQ444">
            <v>2</v>
          </cell>
          <cell r="BR444" t="str">
            <v>Y</v>
          </cell>
          <cell r="BS444">
            <v>1070.08</v>
          </cell>
          <cell r="BT444" t="str">
            <v>Done</v>
          </cell>
          <cell r="BU444">
            <v>176</v>
          </cell>
          <cell r="BV444">
            <v>2025</v>
          </cell>
        </row>
        <row r="445">
          <cell r="A445" t="str">
            <v>Lucknow</v>
          </cell>
          <cell r="B445" t="str">
            <v>Trust</v>
          </cell>
          <cell r="C445" t="str">
            <v>Mid Level</v>
          </cell>
          <cell r="D445" t="str">
            <v>Bhanu Pratap Singh</v>
          </cell>
          <cell r="E445" t="str">
            <v>-</v>
          </cell>
          <cell r="H445" t="str">
            <v>Bhanu Pratap Singh</v>
          </cell>
          <cell r="L445" t="str">
            <v>New</v>
          </cell>
          <cell r="M445">
            <v>45663</v>
          </cell>
          <cell r="N445">
            <v>1</v>
          </cell>
          <cell r="O445">
            <v>383</v>
          </cell>
          <cell r="P445" t="str">
            <v>-</v>
          </cell>
          <cell r="Q445">
            <v>46028</v>
          </cell>
          <cell r="S445" t="str">
            <v>Priya Pola</v>
          </cell>
          <cell r="T445" t="str">
            <v>Individual</v>
          </cell>
          <cell r="U445" t="str">
            <v>FTE</v>
          </cell>
          <cell r="V445" t="str">
            <v>Tredence</v>
          </cell>
          <cell r="W445">
            <v>0</v>
          </cell>
          <cell r="X445">
            <v>0</v>
          </cell>
          <cell r="Y445" t="str">
            <v>USD</v>
          </cell>
          <cell r="Z445">
            <v>14800</v>
          </cell>
          <cell r="AA445">
            <v>0</v>
          </cell>
          <cell r="AB445">
            <v>0</v>
          </cell>
          <cell r="AC445">
            <v>0</v>
          </cell>
          <cell r="AD445">
            <v>45672</v>
          </cell>
          <cell r="AE445">
            <v>1</v>
          </cell>
          <cell r="AF445">
            <v>46022</v>
          </cell>
          <cell r="AG445">
            <v>0</v>
          </cell>
          <cell r="AH445">
            <v>0</v>
          </cell>
          <cell r="AI445">
            <v>0</v>
          </cell>
          <cell r="AJ445">
            <v>14800</v>
          </cell>
          <cell r="AK445">
            <v>0</v>
          </cell>
          <cell r="AL445">
            <v>0</v>
          </cell>
          <cell r="AM445">
            <v>14800</v>
          </cell>
          <cell r="AN445">
            <v>0</v>
          </cell>
          <cell r="AO445">
            <v>14800</v>
          </cell>
          <cell r="AP445">
            <v>0</v>
          </cell>
          <cell r="AQ445">
            <v>14800</v>
          </cell>
          <cell r="AR445" t="str">
            <v>US_24324</v>
          </cell>
          <cell r="AS445">
            <v>0</v>
          </cell>
          <cell r="AT445">
            <v>1</v>
          </cell>
          <cell r="AU445">
            <v>1</v>
          </cell>
          <cell r="AV445">
            <v>0</v>
          </cell>
          <cell r="AW445">
            <v>14800</v>
          </cell>
          <cell r="AX445">
            <v>14800</v>
          </cell>
          <cell r="AY445">
            <v>14800</v>
          </cell>
          <cell r="AZ445">
            <v>0</v>
          </cell>
          <cell r="BA445">
            <v>0</v>
          </cell>
          <cell r="BB445">
            <v>0</v>
          </cell>
          <cell r="BF445">
            <v>14800</v>
          </cell>
          <cell r="BG445">
            <v>14800</v>
          </cell>
          <cell r="BH445">
            <v>14800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14800</v>
          </cell>
          <cell r="BP445" t="str">
            <v>Y</v>
          </cell>
          <cell r="BQ445">
            <v>1</v>
          </cell>
          <cell r="BR445" t="str">
            <v>Y</v>
          </cell>
          <cell r="BS445">
            <v>0</v>
          </cell>
          <cell r="BT445" t="str">
            <v>Done</v>
          </cell>
          <cell r="BU445">
            <v>0</v>
          </cell>
          <cell r="BV445">
            <v>2025</v>
          </cell>
        </row>
        <row r="446">
          <cell r="A446" t="str">
            <v>Chennai</v>
          </cell>
          <cell r="B446" t="str">
            <v>Chennai</v>
          </cell>
          <cell r="C446" t="str">
            <v>Mid Level</v>
          </cell>
          <cell r="D446" t="str">
            <v>Akbar Ibrahim</v>
          </cell>
          <cell r="E446" t="str">
            <v>-</v>
          </cell>
          <cell r="H446" t="str">
            <v>Prasanna Venkatesan N</v>
          </cell>
          <cell r="K446">
            <v>0</v>
          </cell>
          <cell r="L446" t="str">
            <v>Old</v>
          </cell>
          <cell r="M446">
            <v>45589</v>
          </cell>
          <cell r="N446">
            <v>4</v>
          </cell>
          <cell r="O446">
            <v>457</v>
          </cell>
          <cell r="P446">
            <v>45961</v>
          </cell>
          <cell r="Q446">
            <v>45954</v>
          </cell>
          <cell r="R446" t="str">
            <v>PLC-4019</v>
          </cell>
          <cell r="S446" t="str">
            <v>Pulla Rao Grandhi</v>
          </cell>
          <cell r="T446" t="str">
            <v>Individual</v>
          </cell>
          <cell r="U446" t="str">
            <v>C2C</v>
          </cell>
          <cell r="V446" t="str">
            <v>LTIMindtree</v>
          </cell>
          <cell r="W446">
            <v>65</v>
          </cell>
          <cell r="X446">
            <v>0</v>
          </cell>
          <cell r="Y446" t="str">
            <v>USD</v>
          </cell>
          <cell r="Z446">
            <v>71</v>
          </cell>
          <cell r="AA446">
            <v>0</v>
          </cell>
          <cell r="AB446">
            <v>0</v>
          </cell>
          <cell r="AC446">
            <v>0</v>
          </cell>
          <cell r="AD446">
            <v>45672</v>
          </cell>
          <cell r="AE446">
            <v>23</v>
          </cell>
          <cell r="AF446">
            <v>46022</v>
          </cell>
          <cell r="AG446">
            <v>65</v>
          </cell>
          <cell r="AH446">
            <v>0</v>
          </cell>
          <cell r="AI446">
            <v>65</v>
          </cell>
          <cell r="AJ446">
            <v>68.87</v>
          </cell>
          <cell r="AK446">
            <v>0</v>
          </cell>
          <cell r="AL446">
            <v>0</v>
          </cell>
          <cell r="AM446">
            <v>3.8700000000000045</v>
          </cell>
          <cell r="AN446">
            <v>0</v>
          </cell>
          <cell r="AO446">
            <v>3.8700000000000045</v>
          </cell>
          <cell r="AP446">
            <v>0</v>
          </cell>
          <cell r="AQ446">
            <v>3.8700000000000045</v>
          </cell>
          <cell r="AR446" t="str">
            <v>US_24292</v>
          </cell>
          <cell r="AS446">
            <v>0</v>
          </cell>
          <cell r="AT446">
            <v>168</v>
          </cell>
          <cell r="AU446">
            <v>168</v>
          </cell>
          <cell r="AV446">
            <v>0</v>
          </cell>
          <cell r="AW446">
            <v>650.16000000000076</v>
          </cell>
          <cell r="AX446">
            <v>650.16000000000076</v>
          </cell>
          <cell r="AY446">
            <v>650.16000000000076</v>
          </cell>
          <cell r="AZ446">
            <v>33.333333333333329</v>
          </cell>
          <cell r="BA446">
            <v>6.1920000000000073</v>
          </cell>
          <cell r="BB446">
            <v>1040.2560000000012</v>
          </cell>
          <cell r="BD446">
            <v>650.16000000000076</v>
          </cell>
          <cell r="BF446">
            <v>650.16000000000076</v>
          </cell>
          <cell r="BG446">
            <v>11928</v>
          </cell>
          <cell r="BH446">
            <v>11570.16</v>
          </cell>
          <cell r="BI446">
            <v>10920</v>
          </cell>
          <cell r="BJ446">
            <v>0</v>
          </cell>
          <cell r="BK446">
            <v>0</v>
          </cell>
          <cell r="BL446">
            <v>0</v>
          </cell>
          <cell r="BM446">
            <v>10920</v>
          </cell>
          <cell r="BN446">
            <v>0</v>
          </cell>
          <cell r="BO446">
            <v>650.15999999999985</v>
          </cell>
          <cell r="BP446" t="str">
            <v>Y</v>
          </cell>
          <cell r="BQ446">
            <v>1</v>
          </cell>
          <cell r="BR446" t="str">
            <v>N</v>
          </cell>
          <cell r="BS446">
            <v>1040.2560000000012</v>
          </cell>
          <cell r="BT446" t="str">
            <v>Done</v>
          </cell>
          <cell r="BU446">
            <v>168</v>
          </cell>
          <cell r="BV446">
            <v>2024</v>
          </cell>
        </row>
        <row r="447">
          <cell r="A447" t="str">
            <v>Chennai</v>
          </cell>
          <cell r="B447" t="str">
            <v>Chennai</v>
          </cell>
          <cell r="C447" t="str">
            <v>Mid Level</v>
          </cell>
          <cell r="D447" t="str">
            <v>Akbar Ibrahim</v>
          </cell>
          <cell r="E447" t="str">
            <v>-</v>
          </cell>
          <cell r="H447" t="str">
            <v>Prasanna Venkatesan N</v>
          </cell>
          <cell r="K447">
            <v>0</v>
          </cell>
          <cell r="L447" t="str">
            <v>Old</v>
          </cell>
          <cell r="M447">
            <v>45589</v>
          </cell>
          <cell r="N447">
            <v>4</v>
          </cell>
          <cell r="O447">
            <v>457</v>
          </cell>
          <cell r="P447">
            <v>45961</v>
          </cell>
          <cell r="Q447">
            <v>45954</v>
          </cell>
          <cell r="R447" t="str">
            <v>PLC-4019</v>
          </cell>
          <cell r="S447" t="str">
            <v>Pulla Rao Grandhi</v>
          </cell>
          <cell r="T447" t="str">
            <v>Individual</v>
          </cell>
          <cell r="U447" t="str">
            <v>C2C</v>
          </cell>
          <cell r="V447" t="str">
            <v>LTIMindtree</v>
          </cell>
          <cell r="W447">
            <v>65</v>
          </cell>
          <cell r="X447">
            <v>0</v>
          </cell>
          <cell r="Y447" t="str">
            <v>USD</v>
          </cell>
          <cell r="Z447">
            <v>71</v>
          </cell>
          <cell r="AA447">
            <v>0</v>
          </cell>
          <cell r="AB447">
            <v>0</v>
          </cell>
          <cell r="AC447">
            <v>0</v>
          </cell>
          <cell r="AD447">
            <v>45703</v>
          </cell>
          <cell r="AE447">
            <v>20</v>
          </cell>
          <cell r="AF447">
            <v>46022</v>
          </cell>
          <cell r="AG447">
            <v>65</v>
          </cell>
          <cell r="AH447">
            <v>0</v>
          </cell>
          <cell r="AI447">
            <v>65</v>
          </cell>
          <cell r="AJ447">
            <v>68.87</v>
          </cell>
          <cell r="AK447">
            <v>0</v>
          </cell>
          <cell r="AL447">
            <v>0</v>
          </cell>
          <cell r="AM447">
            <v>3.8700000000000045</v>
          </cell>
          <cell r="AN447">
            <v>0</v>
          </cell>
          <cell r="AO447">
            <v>3.8700000000000045</v>
          </cell>
          <cell r="AP447">
            <v>0</v>
          </cell>
          <cell r="AQ447">
            <v>3.8700000000000045</v>
          </cell>
          <cell r="AR447" t="str">
            <v>US_24491</v>
          </cell>
          <cell r="AS447">
            <v>0</v>
          </cell>
          <cell r="AT447">
            <v>152</v>
          </cell>
          <cell r="AU447">
            <v>152</v>
          </cell>
          <cell r="AV447">
            <v>0</v>
          </cell>
          <cell r="AW447">
            <v>588.24000000000069</v>
          </cell>
          <cell r="AX447">
            <v>588.24000000000069</v>
          </cell>
          <cell r="AY447">
            <v>588.24000000000069</v>
          </cell>
          <cell r="AZ447">
            <v>33.333333333333329</v>
          </cell>
          <cell r="BA447">
            <v>6.1920000000000073</v>
          </cell>
          <cell r="BB447">
            <v>941.18400000000111</v>
          </cell>
          <cell r="BD447">
            <v>588.24000000000069</v>
          </cell>
          <cell r="BF447">
            <v>588.24000000000069</v>
          </cell>
          <cell r="BG447">
            <v>10792</v>
          </cell>
          <cell r="BH447">
            <v>10468.240000000002</v>
          </cell>
          <cell r="BI447">
            <v>9880</v>
          </cell>
          <cell r="BJ447">
            <v>0</v>
          </cell>
          <cell r="BK447">
            <v>0</v>
          </cell>
          <cell r="BL447">
            <v>0</v>
          </cell>
          <cell r="BM447">
            <v>9880</v>
          </cell>
          <cell r="BN447">
            <v>0</v>
          </cell>
          <cell r="BO447">
            <v>588.2400000000016</v>
          </cell>
          <cell r="BP447" t="str">
            <v>Y</v>
          </cell>
          <cell r="BQ447">
            <v>1</v>
          </cell>
          <cell r="BR447" t="str">
            <v>N</v>
          </cell>
          <cell r="BS447">
            <v>941.18400000000111</v>
          </cell>
          <cell r="BT447" t="str">
            <v>Done</v>
          </cell>
          <cell r="BU447">
            <v>152</v>
          </cell>
          <cell r="BV447">
            <v>2024</v>
          </cell>
        </row>
        <row r="448">
          <cell r="A448" t="str">
            <v>Chennai</v>
          </cell>
          <cell r="B448" t="str">
            <v>Chennai</v>
          </cell>
          <cell r="C448" t="str">
            <v>Mid Level</v>
          </cell>
          <cell r="D448" t="str">
            <v>Akbar Ibrahim</v>
          </cell>
          <cell r="E448" t="str">
            <v>-</v>
          </cell>
          <cell r="H448" t="str">
            <v>Prasanna Venkatesan N</v>
          </cell>
          <cell r="K448">
            <v>0</v>
          </cell>
          <cell r="L448" t="str">
            <v>Old</v>
          </cell>
          <cell r="M448">
            <v>45589</v>
          </cell>
          <cell r="N448">
            <v>4</v>
          </cell>
          <cell r="O448">
            <v>457</v>
          </cell>
          <cell r="P448">
            <v>45961</v>
          </cell>
          <cell r="Q448">
            <v>45954</v>
          </cell>
          <cell r="R448" t="str">
            <v>PLC-4019</v>
          </cell>
          <cell r="S448" t="str">
            <v>Pulla Rao Grandhi</v>
          </cell>
          <cell r="T448" t="str">
            <v>Individual</v>
          </cell>
          <cell r="U448" t="str">
            <v>C2C</v>
          </cell>
          <cell r="V448" t="str">
            <v>LTIMindtree</v>
          </cell>
          <cell r="W448">
            <v>65</v>
          </cell>
          <cell r="X448">
            <v>0</v>
          </cell>
          <cell r="Y448" t="str">
            <v>USD</v>
          </cell>
          <cell r="Z448">
            <v>71</v>
          </cell>
          <cell r="AA448">
            <v>0</v>
          </cell>
          <cell r="AB448">
            <v>0</v>
          </cell>
          <cell r="AC448">
            <v>0</v>
          </cell>
          <cell r="AD448">
            <v>45731</v>
          </cell>
          <cell r="AE448">
            <v>21</v>
          </cell>
          <cell r="AF448">
            <v>46022</v>
          </cell>
          <cell r="AG448">
            <v>65</v>
          </cell>
          <cell r="AH448">
            <v>0</v>
          </cell>
          <cell r="AI448">
            <v>65</v>
          </cell>
          <cell r="AJ448">
            <v>68.87</v>
          </cell>
          <cell r="AK448">
            <v>0</v>
          </cell>
          <cell r="AL448">
            <v>0</v>
          </cell>
          <cell r="AM448">
            <v>3.8700000000000045</v>
          </cell>
          <cell r="AN448">
            <v>0</v>
          </cell>
          <cell r="AO448">
            <v>3.8700000000000045</v>
          </cell>
          <cell r="AP448">
            <v>0</v>
          </cell>
          <cell r="AQ448">
            <v>3.8700000000000045</v>
          </cell>
          <cell r="AR448" t="str">
            <v>US_24677</v>
          </cell>
          <cell r="AS448">
            <v>0</v>
          </cell>
          <cell r="AT448">
            <v>168</v>
          </cell>
          <cell r="AU448">
            <v>168</v>
          </cell>
          <cell r="AV448">
            <v>0</v>
          </cell>
          <cell r="AW448">
            <v>650.16000000000076</v>
          </cell>
          <cell r="AX448">
            <v>650.16000000000076</v>
          </cell>
          <cell r="AY448">
            <v>650.16000000000076</v>
          </cell>
          <cell r="AZ448">
            <v>33.333333333333329</v>
          </cell>
          <cell r="BA448">
            <v>6.1920000000000073</v>
          </cell>
          <cell r="BB448">
            <v>1040.2560000000012</v>
          </cell>
          <cell r="BD448">
            <v>650.16000000000076</v>
          </cell>
          <cell r="BF448">
            <v>650.16000000000076</v>
          </cell>
          <cell r="BG448">
            <v>11928</v>
          </cell>
          <cell r="BH448">
            <v>11570.16</v>
          </cell>
          <cell r="BI448">
            <v>10920</v>
          </cell>
          <cell r="BJ448">
            <v>0</v>
          </cell>
          <cell r="BK448">
            <v>0</v>
          </cell>
          <cell r="BL448">
            <v>0</v>
          </cell>
          <cell r="BM448">
            <v>10920</v>
          </cell>
          <cell r="BN448">
            <v>0</v>
          </cell>
          <cell r="BO448">
            <v>650.15999999999985</v>
          </cell>
          <cell r="BP448" t="str">
            <v>Y</v>
          </cell>
          <cell r="BQ448">
            <v>1</v>
          </cell>
          <cell r="BR448" t="str">
            <v>N</v>
          </cell>
          <cell r="BS448">
            <v>1040.2560000000012</v>
          </cell>
          <cell r="BT448" t="str">
            <v>Done</v>
          </cell>
          <cell r="BU448">
            <v>168</v>
          </cell>
          <cell r="BV448">
            <v>2024</v>
          </cell>
        </row>
        <row r="449">
          <cell r="A449" t="str">
            <v>Chennai</v>
          </cell>
          <cell r="B449" t="str">
            <v>Chennai</v>
          </cell>
          <cell r="C449" t="str">
            <v>Mid Level</v>
          </cell>
          <cell r="D449" t="str">
            <v>Akbar Ibrahim</v>
          </cell>
          <cell r="E449" t="str">
            <v>-</v>
          </cell>
          <cell r="H449" t="str">
            <v>Prasanna Venkatesan N</v>
          </cell>
          <cell r="K449">
            <v>0</v>
          </cell>
          <cell r="L449" t="str">
            <v>Old</v>
          </cell>
          <cell r="M449">
            <v>45589</v>
          </cell>
          <cell r="N449">
            <v>4</v>
          </cell>
          <cell r="O449">
            <v>457</v>
          </cell>
          <cell r="P449">
            <v>45961</v>
          </cell>
          <cell r="Q449">
            <v>45954</v>
          </cell>
          <cell r="R449" t="str">
            <v>PLC-4019</v>
          </cell>
          <cell r="S449" t="str">
            <v>Pulla Rao Grandhi</v>
          </cell>
          <cell r="T449" t="str">
            <v>Individual</v>
          </cell>
          <cell r="U449" t="str">
            <v>C2C</v>
          </cell>
          <cell r="V449" t="str">
            <v>LTIMindtree</v>
          </cell>
          <cell r="W449">
            <v>65</v>
          </cell>
          <cell r="X449">
            <v>0</v>
          </cell>
          <cell r="Y449" t="str">
            <v>USD</v>
          </cell>
          <cell r="Z449">
            <v>71</v>
          </cell>
          <cell r="AA449">
            <v>0</v>
          </cell>
          <cell r="AB449">
            <v>0</v>
          </cell>
          <cell r="AC449">
            <v>0</v>
          </cell>
          <cell r="AD449">
            <v>45762</v>
          </cell>
          <cell r="AE449">
            <v>22</v>
          </cell>
          <cell r="AF449">
            <v>46022</v>
          </cell>
          <cell r="AG449">
            <v>65</v>
          </cell>
          <cell r="AH449">
            <v>0</v>
          </cell>
          <cell r="AI449">
            <v>65</v>
          </cell>
          <cell r="AJ449">
            <v>68.87</v>
          </cell>
          <cell r="AK449">
            <v>0</v>
          </cell>
          <cell r="AL449">
            <v>0</v>
          </cell>
          <cell r="AM449">
            <v>3.8700000000000045</v>
          </cell>
          <cell r="AN449">
            <v>0</v>
          </cell>
          <cell r="AO449">
            <v>3.8700000000000045</v>
          </cell>
          <cell r="AP449">
            <v>0</v>
          </cell>
          <cell r="AQ449">
            <v>3.8700000000000045</v>
          </cell>
          <cell r="AR449" t="str">
            <v>US_24882</v>
          </cell>
          <cell r="AS449">
            <v>0</v>
          </cell>
          <cell r="AT449">
            <v>176</v>
          </cell>
          <cell r="AU449">
            <v>176</v>
          </cell>
          <cell r="AV449">
            <v>0</v>
          </cell>
          <cell r="AW449">
            <v>681.1200000000008</v>
          </cell>
          <cell r="AX449">
            <v>681.1200000000008</v>
          </cell>
          <cell r="AY449">
            <v>681.1200000000008</v>
          </cell>
          <cell r="AZ449">
            <v>33.333333333333329</v>
          </cell>
          <cell r="BA449">
            <v>6.1920000000000073</v>
          </cell>
          <cell r="BB449">
            <v>1089.7920000000013</v>
          </cell>
          <cell r="BD449">
            <v>681.1200000000008</v>
          </cell>
          <cell r="BF449">
            <v>681.1200000000008</v>
          </cell>
          <cell r="BG449">
            <v>12496</v>
          </cell>
          <cell r="BH449">
            <v>12121.12</v>
          </cell>
          <cell r="BI449">
            <v>11440</v>
          </cell>
          <cell r="BJ449">
            <v>0</v>
          </cell>
          <cell r="BK449">
            <v>0</v>
          </cell>
          <cell r="BL449">
            <v>0</v>
          </cell>
          <cell r="BM449">
            <v>11440</v>
          </cell>
          <cell r="BN449">
            <v>0</v>
          </cell>
          <cell r="BO449">
            <v>681.1200000000008</v>
          </cell>
          <cell r="BP449" t="str">
            <v>Y</v>
          </cell>
          <cell r="BQ449">
            <v>2</v>
          </cell>
          <cell r="BR449" t="str">
            <v>N</v>
          </cell>
          <cell r="BS449">
            <v>1089.7920000000013</v>
          </cell>
          <cell r="BT449" t="str">
            <v>Done</v>
          </cell>
          <cell r="BU449">
            <v>176</v>
          </cell>
          <cell r="BV449">
            <v>2024</v>
          </cell>
        </row>
        <row r="450">
          <cell r="A450" t="str">
            <v>Chennai</v>
          </cell>
          <cell r="B450" t="str">
            <v>Chennai</v>
          </cell>
          <cell r="C450" t="str">
            <v>Mid Level</v>
          </cell>
          <cell r="D450" t="str">
            <v>Vinoth L</v>
          </cell>
          <cell r="E450" t="str">
            <v>-</v>
          </cell>
          <cell r="F450">
            <v>0</v>
          </cell>
          <cell r="H450" t="str">
            <v>Dinesh Kumar Veluchamy</v>
          </cell>
          <cell r="K450">
            <v>0</v>
          </cell>
          <cell r="L450" t="str">
            <v>Old</v>
          </cell>
          <cell r="M450">
            <v>45337</v>
          </cell>
          <cell r="N450">
            <v>1</v>
          </cell>
          <cell r="O450">
            <v>709</v>
          </cell>
          <cell r="P450">
            <v>45678</v>
          </cell>
          <cell r="Q450">
            <v>45702</v>
          </cell>
          <cell r="R450" t="str">
            <v>PLC-3618</v>
          </cell>
          <cell r="S450" t="str">
            <v>Rafi Rahman</v>
          </cell>
          <cell r="T450" t="str">
            <v>Individual</v>
          </cell>
          <cell r="U450" t="str">
            <v>C2C</v>
          </cell>
          <cell r="V450" t="str">
            <v>LTIMindtree</v>
          </cell>
          <cell r="W450">
            <v>82</v>
          </cell>
          <cell r="X450">
            <v>0</v>
          </cell>
          <cell r="Y450" t="str">
            <v>USD</v>
          </cell>
          <cell r="Z450">
            <v>88</v>
          </cell>
          <cell r="AA450">
            <v>132</v>
          </cell>
          <cell r="AB450">
            <v>0</v>
          </cell>
          <cell r="AC450">
            <v>0</v>
          </cell>
          <cell r="AD450">
            <v>45672</v>
          </cell>
          <cell r="AE450">
            <v>15</v>
          </cell>
          <cell r="AF450">
            <v>46022</v>
          </cell>
          <cell r="AG450">
            <v>82</v>
          </cell>
          <cell r="AH450">
            <v>0</v>
          </cell>
          <cell r="AI450">
            <v>82</v>
          </cell>
          <cell r="AJ450">
            <v>85.36</v>
          </cell>
          <cell r="AK450">
            <v>128.04</v>
          </cell>
          <cell r="AL450">
            <v>128.04</v>
          </cell>
          <cell r="AM450">
            <v>3.3599999999999994</v>
          </cell>
          <cell r="AN450">
            <v>128.04</v>
          </cell>
          <cell r="AO450">
            <v>3.3599999999999994</v>
          </cell>
          <cell r="AP450">
            <v>20</v>
          </cell>
          <cell r="AQ450">
            <v>3.3599999999999994</v>
          </cell>
          <cell r="AR450" t="str">
            <v>US_24254</v>
          </cell>
          <cell r="AS450">
            <v>0</v>
          </cell>
          <cell r="AT450">
            <v>112</v>
          </cell>
          <cell r="AU450">
            <v>112</v>
          </cell>
          <cell r="AV450">
            <v>0</v>
          </cell>
          <cell r="AW450">
            <v>376.31999999999994</v>
          </cell>
          <cell r="AX450">
            <v>376.31999999999994</v>
          </cell>
          <cell r="AY450">
            <v>376.31999999999994</v>
          </cell>
          <cell r="AZ450">
            <v>50</v>
          </cell>
          <cell r="BA450">
            <v>5.3759999999999994</v>
          </cell>
          <cell r="BB450">
            <v>602.11199999999997</v>
          </cell>
          <cell r="BC450">
            <v>53.225806451612897</v>
          </cell>
          <cell r="BD450">
            <v>376.31999999999994</v>
          </cell>
          <cell r="BE450">
            <v>301.05599999999993</v>
          </cell>
          <cell r="BF450">
            <v>376.31999999999994</v>
          </cell>
          <cell r="BG450">
            <v>9856</v>
          </cell>
          <cell r="BH450">
            <v>9560.32</v>
          </cell>
          <cell r="BI450">
            <v>9184</v>
          </cell>
          <cell r="BJ450">
            <v>0</v>
          </cell>
          <cell r="BK450">
            <v>0</v>
          </cell>
          <cell r="BL450">
            <v>0</v>
          </cell>
          <cell r="BM450">
            <v>9184</v>
          </cell>
          <cell r="BN450">
            <v>0</v>
          </cell>
          <cell r="BO450">
            <v>376.31999999999971</v>
          </cell>
          <cell r="BP450" t="str">
            <v>Y</v>
          </cell>
          <cell r="BQ450">
            <v>1</v>
          </cell>
          <cell r="BR450" t="str">
            <v>Y</v>
          </cell>
          <cell r="BS450">
            <v>602.11199999999997</v>
          </cell>
          <cell r="BT450" t="str">
            <v>Done</v>
          </cell>
          <cell r="BU450">
            <v>112</v>
          </cell>
          <cell r="BV450">
            <v>2024</v>
          </cell>
        </row>
        <row r="451">
          <cell r="A451" t="str">
            <v>Lucknow</v>
          </cell>
          <cell r="B451" t="str">
            <v>RPO</v>
          </cell>
          <cell r="C451" t="str">
            <v>Mid Level</v>
          </cell>
          <cell r="D451" t="str">
            <v>Ankit Pandey</v>
          </cell>
          <cell r="E451" t="str">
            <v>-</v>
          </cell>
          <cell r="H451" t="str">
            <v>Shubham Rastogi</v>
          </cell>
          <cell r="L451" t="str">
            <v>New</v>
          </cell>
          <cell r="M451">
            <v>45733</v>
          </cell>
          <cell r="N451">
            <v>1</v>
          </cell>
          <cell r="O451">
            <v>313</v>
          </cell>
          <cell r="P451" t="str">
            <v>-</v>
          </cell>
          <cell r="Q451">
            <v>46098</v>
          </cell>
          <cell r="R451" t="str">
            <v>PLC-4179</v>
          </cell>
          <cell r="S451" t="str">
            <v>Raghu Guttikonda</v>
          </cell>
          <cell r="T451" t="str">
            <v>Individual</v>
          </cell>
          <cell r="U451" t="str">
            <v>FTE</v>
          </cell>
          <cell r="V451" t="str">
            <v>GPC RPO</v>
          </cell>
          <cell r="W451">
            <v>0</v>
          </cell>
          <cell r="X451">
            <v>0</v>
          </cell>
          <cell r="Y451" t="str">
            <v>USD</v>
          </cell>
          <cell r="Z451">
            <v>3000</v>
          </cell>
          <cell r="AA451">
            <v>0</v>
          </cell>
          <cell r="AB451">
            <v>0</v>
          </cell>
          <cell r="AC451">
            <v>0</v>
          </cell>
          <cell r="AD451">
            <v>45731</v>
          </cell>
          <cell r="AE451">
            <v>1</v>
          </cell>
          <cell r="AF451">
            <v>46022</v>
          </cell>
          <cell r="AG451">
            <v>0</v>
          </cell>
          <cell r="AH451">
            <v>0</v>
          </cell>
          <cell r="AI451">
            <v>0</v>
          </cell>
          <cell r="AJ451">
            <v>3000</v>
          </cell>
          <cell r="AK451">
            <v>0</v>
          </cell>
          <cell r="AL451">
            <v>0</v>
          </cell>
          <cell r="AM451">
            <v>3000</v>
          </cell>
          <cell r="AN451">
            <v>0</v>
          </cell>
          <cell r="AO451">
            <v>3000</v>
          </cell>
          <cell r="AP451">
            <v>0</v>
          </cell>
          <cell r="AQ451">
            <v>3000</v>
          </cell>
          <cell r="AR451" t="str">
            <v>US_24541</v>
          </cell>
          <cell r="AS451">
            <v>0</v>
          </cell>
          <cell r="AT451">
            <v>1</v>
          </cell>
          <cell r="AU451">
            <v>1</v>
          </cell>
          <cell r="AV451">
            <v>0</v>
          </cell>
          <cell r="AW451">
            <v>3000</v>
          </cell>
          <cell r="AX451">
            <v>3000</v>
          </cell>
          <cell r="AY451">
            <v>3000</v>
          </cell>
          <cell r="AZ451">
            <v>103.75000000000001</v>
          </cell>
          <cell r="BA451">
            <v>4800</v>
          </cell>
          <cell r="BB451">
            <v>4800</v>
          </cell>
          <cell r="BF451">
            <v>3000</v>
          </cell>
          <cell r="BG451">
            <v>3000</v>
          </cell>
          <cell r="BH451">
            <v>3000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3000</v>
          </cell>
          <cell r="BP451" t="str">
            <v>Y</v>
          </cell>
          <cell r="BQ451">
            <v>1</v>
          </cell>
          <cell r="BR451" t="str">
            <v>Y</v>
          </cell>
          <cell r="BS451">
            <v>4800</v>
          </cell>
          <cell r="BT451" t="str">
            <v>Done</v>
          </cell>
          <cell r="BU451">
            <v>0</v>
          </cell>
          <cell r="BV451">
            <v>2025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Harsh Agarwal</v>
          </cell>
          <cell r="E452" t="str">
            <v>-</v>
          </cell>
          <cell r="F452" t="str">
            <v>-</v>
          </cell>
          <cell r="G452" t="str">
            <v>-</v>
          </cell>
          <cell r="H452" t="str">
            <v>Pushpendra Kumar</v>
          </cell>
          <cell r="K452" t="str">
            <v>-</v>
          </cell>
          <cell r="L452" t="str">
            <v>New</v>
          </cell>
          <cell r="M452">
            <v>45748</v>
          </cell>
          <cell r="N452">
            <v>2</v>
          </cell>
          <cell r="O452">
            <v>298</v>
          </cell>
          <cell r="P452">
            <v>45926</v>
          </cell>
          <cell r="Q452">
            <v>46113</v>
          </cell>
          <cell r="R452" t="str">
            <v>PLC-4194</v>
          </cell>
          <cell r="S452" t="str">
            <v>Raja Pamisetty</v>
          </cell>
          <cell r="T452" t="str">
            <v>Individual</v>
          </cell>
          <cell r="U452" t="str">
            <v>C2C</v>
          </cell>
          <cell r="V452" t="str">
            <v>Fanatics</v>
          </cell>
          <cell r="W452">
            <v>90</v>
          </cell>
          <cell r="X452">
            <v>0</v>
          </cell>
          <cell r="Y452" t="str">
            <v>USD</v>
          </cell>
          <cell r="Z452">
            <v>135</v>
          </cell>
          <cell r="AA452">
            <v>0</v>
          </cell>
          <cell r="AB452">
            <v>0</v>
          </cell>
          <cell r="AC452">
            <v>0</v>
          </cell>
          <cell r="AD452">
            <v>45762</v>
          </cell>
          <cell r="AE452">
            <v>22</v>
          </cell>
          <cell r="AF452">
            <v>46022</v>
          </cell>
          <cell r="AG452">
            <v>90</v>
          </cell>
          <cell r="AH452">
            <v>0</v>
          </cell>
          <cell r="AI452">
            <v>90</v>
          </cell>
          <cell r="AJ452">
            <v>135</v>
          </cell>
          <cell r="AK452">
            <v>0</v>
          </cell>
          <cell r="AL452">
            <v>0</v>
          </cell>
          <cell r="AM452">
            <v>20</v>
          </cell>
          <cell r="AN452">
            <v>0</v>
          </cell>
          <cell r="AO452">
            <v>20</v>
          </cell>
          <cell r="AP452">
            <v>0</v>
          </cell>
          <cell r="AQ452">
            <v>20</v>
          </cell>
          <cell r="AR452" t="str">
            <v>US_24942</v>
          </cell>
          <cell r="AS452">
            <v>0</v>
          </cell>
          <cell r="AT452">
            <v>176</v>
          </cell>
          <cell r="AU452">
            <v>176</v>
          </cell>
          <cell r="AV452">
            <v>0</v>
          </cell>
          <cell r="AW452">
            <v>3520</v>
          </cell>
          <cell r="AX452">
            <v>3520</v>
          </cell>
          <cell r="AY452">
            <v>3520</v>
          </cell>
          <cell r="AZ452">
            <v>66.666666666666657</v>
          </cell>
          <cell r="BA452">
            <v>24</v>
          </cell>
          <cell r="BB452">
            <v>4224</v>
          </cell>
          <cell r="BC452">
            <v>42</v>
          </cell>
          <cell r="BD452">
            <v>3520</v>
          </cell>
          <cell r="BE452">
            <v>2816</v>
          </cell>
          <cell r="BF452">
            <v>3520</v>
          </cell>
          <cell r="BG452">
            <v>23760</v>
          </cell>
          <cell r="BH452">
            <v>23760</v>
          </cell>
          <cell r="BI452">
            <v>15840</v>
          </cell>
          <cell r="BJ452">
            <v>0</v>
          </cell>
          <cell r="BK452">
            <v>0</v>
          </cell>
          <cell r="BL452">
            <v>0</v>
          </cell>
          <cell r="BM452">
            <v>15840</v>
          </cell>
          <cell r="BN452">
            <v>0</v>
          </cell>
          <cell r="BO452">
            <v>7920</v>
          </cell>
          <cell r="BP452" t="str">
            <v>Y</v>
          </cell>
          <cell r="BQ452">
            <v>2</v>
          </cell>
          <cell r="BR452" t="str">
            <v>Y</v>
          </cell>
          <cell r="BS452">
            <v>4224</v>
          </cell>
          <cell r="BT452" t="str">
            <v>Done</v>
          </cell>
          <cell r="BU452">
            <v>176</v>
          </cell>
          <cell r="BV452">
            <v>2025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H453" t="str">
            <v>Pass Through</v>
          </cell>
          <cell r="K453">
            <v>0</v>
          </cell>
          <cell r="L453" t="str">
            <v>Old</v>
          </cell>
          <cell r="M453">
            <v>45519</v>
          </cell>
          <cell r="N453">
            <v>3</v>
          </cell>
          <cell r="O453">
            <v>527</v>
          </cell>
          <cell r="P453" t="str">
            <v>-</v>
          </cell>
          <cell r="Q453">
            <v>45884</v>
          </cell>
          <cell r="R453" t="str">
            <v>PLC-Passthrough</v>
          </cell>
          <cell r="S453" t="str">
            <v>Rajamouli Thota</v>
          </cell>
          <cell r="T453" t="str">
            <v>Individual</v>
          </cell>
          <cell r="U453" t="str">
            <v>C2C</v>
          </cell>
          <cell r="V453" t="str">
            <v>Coforge</v>
          </cell>
          <cell r="W453">
            <v>83</v>
          </cell>
          <cell r="X453">
            <v>0</v>
          </cell>
          <cell r="Y453" t="str">
            <v>USD</v>
          </cell>
          <cell r="Z453">
            <v>85</v>
          </cell>
          <cell r="AA453">
            <v>0</v>
          </cell>
          <cell r="AB453">
            <v>0</v>
          </cell>
          <cell r="AC453">
            <v>0</v>
          </cell>
          <cell r="AD453">
            <v>45672</v>
          </cell>
          <cell r="AE453">
            <v>23</v>
          </cell>
          <cell r="AF453">
            <v>46022</v>
          </cell>
          <cell r="AG453">
            <v>83</v>
          </cell>
          <cell r="AH453">
            <v>0</v>
          </cell>
          <cell r="AI453">
            <v>83</v>
          </cell>
          <cell r="AJ453">
            <v>85</v>
          </cell>
          <cell r="AK453">
            <v>0</v>
          </cell>
          <cell r="AL453">
            <v>0</v>
          </cell>
          <cell r="AM453">
            <v>2</v>
          </cell>
          <cell r="AN453">
            <v>0</v>
          </cell>
          <cell r="AO453">
            <v>2</v>
          </cell>
          <cell r="AP453">
            <v>0</v>
          </cell>
          <cell r="AQ453">
            <v>2</v>
          </cell>
          <cell r="AR453" t="str">
            <v>US_24266</v>
          </cell>
          <cell r="AS453">
            <v>0</v>
          </cell>
          <cell r="AT453">
            <v>168</v>
          </cell>
          <cell r="AU453">
            <v>168</v>
          </cell>
          <cell r="AV453">
            <v>0</v>
          </cell>
          <cell r="AW453">
            <v>336</v>
          </cell>
          <cell r="AX453">
            <v>336</v>
          </cell>
          <cell r="AY453">
            <v>336</v>
          </cell>
          <cell r="AZ453">
            <v>0</v>
          </cell>
          <cell r="BA453">
            <v>0</v>
          </cell>
          <cell r="BB453">
            <v>0</v>
          </cell>
          <cell r="BD453">
            <v>336</v>
          </cell>
          <cell r="BF453">
            <v>336</v>
          </cell>
          <cell r="BG453">
            <v>14280</v>
          </cell>
          <cell r="BH453">
            <v>14280</v>
          </cell>
          <cell r="BI453">
            <v>13944</v>
          </cell>
          <cell r="BJ453">
            <v>0</v>
          </cell>
          <cell r="BK453">
            <v>0</v>
          </cell>
          <cell r="BL453">
            <v>0</v>
          </cell>
          <cell r="BM453">
            <v>13944</v>
          </cell>
          <cell r="BN453">
            <v>0</v>
          </cell>
          <cell r="BO453">
            <v>336</v>
          </cell>
          <cell r="BP453" t="str">
            <v>Y</v>
          </cell>
          <cell r="BQ453">
            <v>1</v>
          </cell>
          <cell r="BR453" t="str">
            <v>Y</v>
          </cell>
          <cell r="BS453">
            <v>0</v>
          </cell>
          <cell r="BT453" t="str">
            <v>Done</v>
          </cell>
          <cell r="BU453">
            <v>168</v>
          </cell>
          <cell r="BV453">
            <v>2024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H454" t="str">
            <v>Pass Through</v>
          </cell>
          <cell r="K454">
            <v>0</v>
          </cell>
          <cell r="L454" t="str">
            <v>Old</v>
          </cell>
          <cell r="M454">
            <v>45519</v>
          </cell>
          <cell r="N454">
            <v>3</v>
          </cell>
          <cell r="O454">
            <v>527</v>
          </cell>
          <cell r="P454" t="str">
            <v>-</v>
          </cell>
          <cell r="Q454">
            <v>45884</v>
          </cell>
          <cell r="R454" t="str">
            <v>PLC-Passthrough</v>
          </cell>
          <cell r="S454" t="str">
            <v>Rajamouli Thota</v>
          </cell>
          <cell r="T454" t="str">
            <v>Individual</v>
          </cell>
          <cell r="U454" t="str">
            <v>C2C</v>
          </cell>
          <cell r="V454" t="str">
            <v>Coforge</v>
          </cell>
          <cell r="W454">
            <v>83</v>
          </cell>
          <cell r="X454">
            <v>0</v>
          </cell>
          <cell r="Y454" t="str">
            <v>USD</v>
          </cell>
          <cell r="Z454">
            <v>85</v>
          </cell>
          <cell r="AA454">
            <v>0</v>
          </cell>
          <cell r="AB454">
            <v>0</v>
          </cell>
          <cell r="AC454">
            <v>0</v>
          </cell>
          <cell r="AD454">
            <v>45703</v>
          </cell>
          <cell r="AE454">
            <v>20</v>
          </cell>
          <cell r="AF454">
            <v>46022</v>
          </cell>
          <cell r="AG454">
            <v>83</v>
          </cell>
          <cell r="AH454">
            <v>0</v>
          </cell>
          <cell r="AI454">
            <v>83</v>
          </cell>
          <cell r="AJ454">
            <v>85</v>
          </cell>
          <cell r="AK454">
            <v>0</v>
          </cell>
          <cell r="AL454">
            <v>0</v>
          </cell>
          <cell r="AM454">
            <v>2</v>
          </cell>
          <cell r="AN454">
            <v>0</v>
          </cell>
          <cell r="AO454">
            <v>2</v>
          </cell>
          <cell r="AP454">
            <v>0</v>
          </cell>
          <cell r="AQ454">
            <v>2</v>
          </cell>
          <cell r="AR454" t="str">
            <v>US_24467</v>
          </cell>
          <cell r="AS454">
            <v>0</v>
          </cell>
          <cell r="AT454">
            <v>152</v>
          </cell>
          <cell r="AU454">
            <v>152</v>
          </cell>
          <cell r="AV454">
            <v>0</v>
          </cell>
          <cell r="AW454">
            <v>304</v>
          </cell>
          <cell r="AX454">
            <v>304</v>
          </cell>
          <cell r="AY454">
            <v>304</v>
          </cell>
          <cell r="AZ454">
            <v>0</v>
          </cell>
          <cell r="BA454">
            <v>0</v>
          </cell>
          <cell r="BB454">
            <v>0</v>
          </cell>
          <cell r="BD454">
            <v>304</v>
          </cell>
          <cell r="BF454">
            <v>304</v>
          </cell>
          <cell r="BG454">
            <v>12920</v>
          </cell>
          <cell r="BH454">
            <v>12920</v>
          </cell>
          <cell r="BI454">
            <v>12616</v>
          </cell>
          <cell r="BJ454">
            <v>0</v>
          </cell>
          <cell r="BK454">
            <v>0</v>
          </cell>
          <cell r="BL454">
            <v>0</v>
          </cell>
          <cell r="BM454">
            <v>12616</v>
          </cell>
          <cell r="BN454">
            <v>0</v>
          </cell>
          <cell r="BO454">
            <v>304</v>
          </cell>
          <cell r="BP454" t="str">
            <v>Y</v>
          </cell>
          <cell r="BQ454">
            <v>1</v>
          </cell>
          <cell r="BR454" t="str">
            <v>Y</v>
          </cell>
          <cell r="BS454">
            <v>0</v>
          </cell>
          <cell r="BT454" t="str">
            <v>Done</v>
          </cell>
          <cell r="BU454">
            <v>152</v>
          </cell>
          <cell r="BV454">
            <v>2024</v>
          </cell>
        </row>
        <row r="455">
          <cell r="A455" t="str">
            <v>Lucknow</v>
          </cell>
          <cell r="B455" t="str">
            <v>Mavericks</v>
          </cell>
          <cell r="C455" t="str">
            <v>Mid Level</v>
          </cell>
          <cell r="D455" t="str">
            <v>Mohammad Fakhrul</v>
          </cell>
          <cell r="E455" t="str">
            <v>-</v>
          </cell>
          <cell r="H455" t="str">
            <v>Pass Through</v>
          </cell>
          <cell r="K455">
            <v>0</v>
          </cell>
          <cell r="L455" t="str">
            <v>Old</v>
          </cell>
          <cell r="M455">
            <v>45519</v>
          </cell>
          <cell r="N455">
            <v>3</v>
          </cell>
          <cell r="O455">
            <v>527</v>
          </cell>
          <cell r="P455" t="str">
            <v>-</v>
          </cell>
          <cell r="Q455">
            <v>45884</v>
          </cell>
          <cell r="R455" t="str">
            <v>PLC-Passthrough</v>
          </cell>
          <cell r="S455" t="str">
            <v>Rajamouli Thota</v>
          </cell>
          <cell r="T455" t="str">
            <v>Individual</v>
          </cell>
          <cell r="U455" t="str">
            <v>C2C</v>
          </cell>
          <cell r="V455" t="str">
            <v>Coforge</v>
          </cell>
          <cell r="W455">
            <v>83</v>
          </cell>
          <cell r="X455">
            <v>0</v>
          </cell>
          <cell r="Y455" t="str">
            <v>USD</v>
          </cell>
          <cell r="Z455">
            <v>85</v>
          </cell>
          <cell r="AA455">
            <v>0</v>
          </cell>
          <cell r="AB455">
            <v>0</v>
          </cell>
          <cell r="AC455">
            <v>0</v>
          </cell>
          <cell r="AD455">
            <v>45731</v>
          </cell>
          <cell r="AE455">
            <v>21</v>
          </cell>
          <cell r="AF455">
            <v>46022</v>
          </cell>
          <cell r="AG455">
            <v>83</v>
          </cell>
          <cell r="AH455">
            <v>0</v>
          </cell>
          <cell r="AI455">
            <v>83</v>
          </cell>
          <cell r="AJ455">
            <v>85</v>
          </cell>
          <cell r="AK455">
            <v>0</v>
          </cell>
          <cell r="AL455">
            <v>0</v>
          </cell>
          <cell r="AM455">
            <v>2</v>
          </cell>
          <cell r="AN455">
            <v>0</v>
          </cell>
          <cell r="AO455">
            <v>2</v>
          </cell>
          <cell r="AP455">
            <v>0</v>
          </cell>
          <cell r="AQ455">
            <v>2</v>
          </cell>
          <cell r="AR455" t="str">
            <v>US_24654</v>
          </cell>
          <cell r="AS455">
            <v>0</v>
          </cell>
          <cell r="AT455">
            <v>168</v>
          </cell>
          <cell r="AU455">
            <v>168</v>
          </cell>
          <cell r="AV455">
            <v>0</v>
          </cell>
          <cell r="AW455">
            <v>336</v>
          </cell>
          <cell r="AX455">
            <v>336</v>
          </cell>
          <cell r="AY455">
            <v>336</v>
          </cell>
          <cell r="AZ455">
            <v>0</v>
          </cell>
          <cell r="BA455">
            <v>0</v>
          </cell>
          <cell r="BB455">
            <v>0</v>
          </cell>
          <cell r="BD455">
            <v>336</v>
          </cell>
          <cell r="BF455">
            <v>336</v>
          </cell>
          <cell r="BG455">
            <v>14280</v>
          </cell>
          <cell r="BH455">
            <v>14280</v>
          </cell>
          <cell r="BI455">
            <v>13944</v>
          </cell>
          <cell r="BJ455">
            <v>0</v>
          </cell>
          <cell r="BK455">
            <v>0</v>
          </cell>
          <cell r="BL455">
            <v>0</v>
          </cell>
          <cell r="BM455">
            <v>13944</v>
          </cell>
          <cell r="BN455">
            <v>0</v>
          </cell>
          <cell r="BO455">
            <v>336</v>
          </cell>
          <cell r="BP455" t="str">
            <v>Y</v>
          </cell>
          <cell r="BQ455">
            <v>1</v>
          </cell>
          <cell r="BR455" t="str">
            <v>Y</v>
          </cell>
          <cell r="BS455">
            <v>0</v>
          </cell>
          <cell r="BT455" t="str">
            <v>Done</v>
          </cell>
          <cell r="BU455">
            <v>168</v>
          </cell>
          <cell r="BV455">
            <v>2024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H456" t="str">
            <v>Pass Through</v>
          </cell>
          <cell r="K456">
            <v>0</v>
          </cell>
          <cell r="L456" t="str">
            <v>Old</v>
          </cell>
          <cell r="M456">
            <v>45519</v>
          </cell>
          <cell r="N456">
            <v>3</v>
          </cell>
          <cell r="O456">
            <v>527</v>
          </cell>
          <cell r="P456" t="str">
            <v>-</v>
          </cell>
          <cell r="Q456">
            <v>45884</v>
          </cell>
          <cell r="R456" t="str">
            <v>PLC-Passthrough</v>
          </cell>
          <cell r="S456" t="str">
            <v>Rajamouli Thota</v>
          </cell>
          <cell r="T456" t="str">
            <v>Individual</v>
          </cell>
          <cell r="U456" t="str">
            <v>C2C</v>
          </cell>
          <cell r="V456" t="str">
            <v>Coforge</v>
          </cell>
          <cell r="W456">
            <v>83</v>
          </cell>
          <cell r="X456">
            <v>0</v>
          </cell>
          <cell r="Y456" t="str">
            <v>USD</v>
          </cell>
          <cell r="Z456">
            <v>85</v>
          </cell>
          <cell r="AA456">
            <v>0</v>
          </cell>
          <cell r="AB456">
            <v>0</v>
          </cell>
          <cell r="AC456">
            <v>0</v>
          </cell>
          <cell r="AD456">
            <v>45762</v>
          </cell>
          <cell r="AE456">
            <v>22</v>
          </cell>
          <cell r="AF456">
            <v>46022</v>
          </cell>
          <cell r="AG456">
            <v>83</v>
          </cell>
          <cell r="AH456">
            <v>0</v>
          </cell>
          <cell r="AI456">
            <v>83</v>
          </cell>
          <cell r="AJ456">
            <v>85</v>
          </cell>
          <cell r="AK456">
            <v>0</v>
          </cell>
          <cell r="AL456">
            <v>0</v>
          </cell>
          <cell r="AM456">
            <v>2</v>
          </cell>
          <cell r="AN456">
            <v>0</v>
          </cell>
          <cell r="AO456">
            <v>2</v>
          </cell>
          <cell r="AP456">
            <v>0</v>
          </cell>
          <cell r="AQ456">
            <v>2</v>
          </cell>
          <cell r="AR456" t="str">
            <v>US_24859</v>
          </cell>
          <cell r="AS456">
            <v>0</v>
          </cell>
          <cell r="AT456">
            <v>176</v>
          </cell>
          <cell r="AU456">
            <v>176</v>
          </cell>
          <cell r="AV456">
            <v>0</v>
          </cell>
          <cell r="AW456">
            <v>352</v>
          </cell>
          <cell r="AX456">
            <v>352</v>
          </cell>
          <cell r="AY456">
            <v>352</v>
          </cell>
          <cell r="AZ456">
            <v>0</v>
          </cell>
          <cell r="BA456">
            <v>0</v>
          </cell>
          <cell r="BB456">
            <v>0</v>
          </cell>
          <cell r="BD456">
            <v>352</v>
          </cell>
          <cell r="BF456">
            <v>352</v>
          </cell>
          <cell r="BG456">
            <v>14960</v>
          </cell>
          <cell r="BH456">
            <v>14960</v>
          </cell>
          <cell r="BI456">
            <v>14608</v>
          </cell>
          <cell r="BJ456">
            <v>0</v>
          </cell>
          <cell r="BK456">
            <v>0</v>
          </cell>
          <cell r="BL456">
            <v>0</v>
          </cell>
          <cell r="BM456">
            <v>14608</v>
          </cell>
          <cell r="BN456">
            <v>0</v>
          </cell>
          <cell r="BO456">
            <v>352</v>
          </cell>
          <cell r="BP456" t="str">
            <v>Y</v>
          </cell>
          <cell r="BQ456">
            <v>2</v>
          </cell>
          <cell r="BR456" t="str">
            <v>Y</v>
          </cell>
          <cell r="BS456">
            <v>0</v>
          </cell>
          <cell r="BT456" t="str">
            <v>Done</v>
          </cell>
          <cell r="BU456">
            <v>176</v>
          </cell>
          <cell r="BV456">
            <v>2024</v>
          </cell>
        </row>
        <row r="457">
          <cell r="A457" t="str">
            <v>Lucknow</v>
          </cell>
          <cell r="B457" t="str">
            <v>RPO</v>
          </cell>
          <cell r="C457" t="str">
            <v>Mid Level</v>
          </cell>
          <cell r="D457" t="str">
            <v>Ankit Pandey</v>
          </cell>
          <cell r="E457" t="str">
            <v>-</v>
          </cell>
          <cell r="H457" t="str">
            <v>Sagar Chandani</v>
          </cell>
          <cell r="K457" t="str">
            <v>N.A</v>
          </cell>
          <cell r="L457" t="str">
            <v>New</v>
          </cell>
          <cell r="M457">
            <v>45705</v>
          </cell>
          <cell r="N457">
            <v>1</v>
          </cell>
          <cell r="O457">
            <v>341</v>
          </cell>
          <cell r="P457" t="str">
            <v>-</v>
          </cell>
          <cell r="Q457">
            <v>46070</v>
          </cell>
          <cell r="R457" t="str">
            <v>PLC-4143</v>
          </cell>
          <cell r="S457" t="str">
            <v>Rajarajan Radhakrishnan</v>
          </cell>
          <cell r="T457" t="str">
            <v>Individual</v>
          </cell>
          <cell r="U457" t="str">
            <v>RPO</v>
          </cell>
          <cell r="V457" t="str">
            <v>GPC RPO</v>
          </cell>
          <cell r="W457">
            <v>0</v>
          </cell>
          <cell r="X457">
            <v>0</v>
          </cell>
          <cell r="Y457" t="str">
            <v>USD</v>
          </cell>
          <cell r="Z457">
            <v>3000</v>
          </cell>
          <cell r="AA457">
            <v>0</v>
          </cell>
          <cell r="AB457">
            <v>0</v>
          </cell>
          <cell r="AC457">
            <v>0</v>
          </cell>
          <cell r="AD457">
            <v>45703</v>
          </cell>
          <cell r="AE457">
            <v>10</v>
          </cell>
          <cell r="AF457">
            <v>46022</v>
          </cell>
          <cell r="AG457">
            <v>0</v>
          </cell>
          <cell r="AH457">
            <v>0</v>
          </cell>
          <cell r="AI457">
            <v>0</v>
          </cell>
          <cell r="AJ457">
            <v>3000</v>
          </cell>
          <cell r="AK457">
            <v>0</v>
          </cell>
          <cell r="AL457">
            <v>0</v>
          </cell>
          <cell r="AM457">
            <v>3000</v>
          </cell>
          <cell r="AN457">
            <v>0</v>
          </cell>
          <cell r="AO457">
            <v>3000</v>
          </cell>
          <cell r="AP457">
            <v>0</v>
          </cell>
          <cell r="AQ457">
            <v>0</v>
          </cell>
          <cell r="AR457" t="str">
            <v>US_24397</v>
          </cell>
          <cell r="AS457">
            <v>0</v>
          </cell>
          <cell r="AT457">
            <v>1</v>
          </cell>
          <cell r="AU457">
            <v>1</v>
          </cell>
          <cell r="AV457">
            <v>0</v>
          </cell>
          <cell r="AW457">
            <v>3000</v>
          </cell>
          <cell r="AX457">
            <v>3000</v>
          </cell>
          <cell r="AY457">
            <v>3000</v>
          </cell>
          <cell r="AZ457">
            <v>116.3</v>
          </cell>
          <cell r="BA457">
            <v>0</v>
          </cell>
          <cell r="BB457">
            <v>0</v>
          </cell>
          <cell r="BF457">
            <v>3000</v>
          </cell>
          <cell r="BG457">
            <v>3000</v>
          </cell>
          <cell r="BH457">
            <v>3000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3000</v>
          </cell>
          <cell r="BP457" t="str">
            <v>Y</v>
          </cell>
          <cell r="BQ457">
            <v>1</v>
          </cell>
          <cell r="BR457" t="str">
            <v>Y</v>
          </cell>
          <cell r="BS457">
            <v>0</v>
          </cell>
          <cell r="BT457" t="str">
            <v>Done</v>
          </cell>
          <cell r="BU457">
            <v>0</v>
          </cell>
          <cell r="BV457">
            <v>2025</v>
          </cell>
        </row>
        <row r="458">
          <cell r="A458" t="str">
            <v>Lucknow</v>
          </cell>
          <cell r="B458" t="str">
            <v>Americas</v>
          </cell>
          <cell r="C458" t="str">
            <v>Mid Level</v>
          </cell>
          <cell r="D458" t="str">
            <v>Rajesh Khanna</v>
          </cell>
          <cell r="E458" t="str">
            <v>Garima Shukla</v>
          </cell>
          <cell r="H458" t="str">
            <v>Sarthak Dixit</v>
          </cell>
          <cell r="K458">
            <v>0</v>
          </cell>
          <cell r="L458" t="str">
            <v>Old</v>
          </cell>
          <cell r="M458">
            <v>45544</v>
          </cell>
          <cell r="N458">
            <v>3</v>
          </cell>
          <cell r="O458">
            <v>502</v>
          </cell>
          <cell r="P458">
            <v>45730</v>
          </cell>
          <cell r="Q458">
            <v>45909</v>
          </cell>
          <cell r="S458" t="str">
            <v>Rajat Garg</v>
          </cell>
          <cell r="T458" t="str">
            <v>Individual</v>
          </cell>
          <cell r="U458" t="str">
            <v>C2C</v>
          </cell>
          <cell r="V458" t="str">
            <v>Fanatics</v>
          </cell>
          <cell r="W458">
            <v>17</v>
          </cell>
          <cell r="X458">
            <v>0</v>
          </cell>
          <cell r="Y458" t="str">
            <v>USD</v>
          </cell>
          <cell r="Z458">
            <v>39</v>
          </cell>
          <cell r="AA458">
            <v>0</v>
          </cell>
          <cell r="AB458">
            <v>0</v>
          </cell>
          <cell r="AC458">
            <v>7</v>
          </cell>
          <cell r="AD458">
            <v>45672</v>
          </cell>
          <cell r="AE458">
            <v>22</v>
          </cell>
          <cell r="AF458">
            <v>46022</v>
          </cell>
          <cell r="AG458">
            <v>17</v>
          </cell>
          <cell r="AH458">
            <v>0</v>
          </cell>
          <cell r="AI458">
            <v>24</v>
          </cell>
          <cell r="AJ458">
            <v>39</v>
          </cell>
          <cell r="AK458">
            <v>0</v>
          </cell>
          <cell r="AL458">
            <v>0</v>
          </cell>
          <cell r="AM458">
            <v>15</v>
          </cell>
          <cell r="AN458">
            <v>0</v>
          </cell>
          <cell r="AO458">
            <v>15</v>
          </cell>
          <cell r="AP458">
            <v>0</v>
          </cell>
          <cell r="AQ458">
            <v>15</v>
          </cell>
          <cell r="AR458" t="str">
            <v>US_24163</v>
          </cell>
          <cell r="AS458">
            <v>0</v>
          </cell>
          <cell r="AT458">
            <v>189</v>
          </cell>
          <cell r="AU458">
            <v>189</v>
          </cell>
          <cell r="AV458">
            <v>0</v>
          </cell>
          <cell r="AW458">
            <v>2835</v>
          </cell>
          <cell r="AX458">
            <v>2835</v>
          </cell>
          <cell r="AY458">
            <v>2835</v>
          </cell>
          <cell r="AZ458">
            <v>0</v>
          </cell>
          <cell r="BA458">
            <v>0</v>
          </cell>
          <cell r="BB458">
            <v>0</v>
          </cell>
          <cell r="BD458">
            <v>2835</v>
          </cell>
          <cell r="BF458">
            <v>2835</v>
          </cell>
          <cell r="BG458">
            <v>7371</v>
          </cell>
          <cell r="BH458">
            <v>7371</v>
          </cell>
          <cell r="BI458">
            <v>3213</v>
          </cell>
          <cell r="BJ458">
            <v>0</v>
          </cell>
          <cell r="BK458">
            <v>1323</v>
          </cell>
          <cell r="BL458">
            <v>0</v>
          </cell>
          <cell r="BM458">
            <v>4536</v>
          </cell>
          <cell r="BN458">
            <v>7</v>
          </cell>
          <cell r="BO458">
            <v>2835</v>
          </cell>
          <cell r="BP458" t="str">
            <v>Y</v>
          </cell>
          <cell r="BQ458">
            <v>1</v>
          </cell>
          <cell r="BR458" t="str">
            <v>N</v>
          </cell>
          <cell r="BS458">
            <v>0</v>
          </cell>
          <cell r="BT458" t="str">
            <v>Done</v>
          </cell>
          <cell r="BU458">
            <v>189</v>
          </cell>
          <cell r="BV458">
            <v>2024</v>
          </cell>
        </row>
        <row r="459">
          <cell r="A459" t="str">
            <v>Lucknow</v>
          </cell>
          <cell r="B459" t="str">
            <v>Americas</v>
          </cell>
          <cell r="C459" t="str">
            <v>Mid Level</v>
          </cell>
          <cell r="D459" t="str">
            <v>Rajesh Khanna</v>
          </cell>
          <cell r="E459" t="str">
            <v>Garima Shukla</v>
          </cell>
          <cell r="H459" t="str">
            <v>Sarthak Dixit</v>
          </cell>
          <cell r="K459">
            <v>0</v>
          </cell>
          <cell r="L459" t="str">
            <v>Old</v>
          </cell>
          <cell r="M459">
            <v>45544</v>
          </cell>
          <cell r="N459">
            <v>3</v>
          </cell>
          <cell r="O459">
            <v>502</v>
          </cell>
          <cell r="P459">
            <v>45730</v>
          </cell>
          <cell r="Q459">
            <v>45909</v>
          </cell>
          <cell r="S459" t="str">
            <v>Rajat Garg</v>
          </cell>
          <cell r="T459" t="str">
            <v>Individual</v>
          </cell>
          <cell r="U459" t="str">
            <v>C2C</v>
          </cell>
          <cell r="V459" t="str">
            <v>Fanatics</v>
          </cell>
          <cell r="W459">
            <v>17</v>
          </cell>
          <cell r="X459">
            <v>0</v>
          </cell>
          <cell r="Y459" t="str">
            <v>USD</v>
          </cell>
          <cell r="Z459">
            <v>39</v>
          </cell>
          <cell r="AA459">
            <v>0</v>
          </cell>
          <cell r="AB459">
            <v>0</v>
          </cell>
          <cell r="AC459">
            <v>7</v>
          </cell>
          <cell r="AD459">
            <v>45703</v>
          </cell>
          <cell r="AE459">
            <v>20</v>
          </cell>
          <cell r="AF459">
            <v>46022</v>
          </cell>
          <cell r="AG459">
            <v>17</v>
          </cell>
          <cell r="AH459">
            <v>0</v>
          </cell>
          <cell r="AI459">
            <v>24</v>
          </cell>
          <cell r="AJ459">
            <v>39</v>
          </cell>
          <cell r="AK459">
            <v>0</v>
          </cell>
          <cell r="AL459">
            <v>0</v>
          </cell>
          <cell r="AM459">
            <v>15</v>
          </cell>
          <cell r="AN459">
            <v>0</v>
          </cell>
          <cell r="AO459">
            <v>15</v>
          </cell>
          <cell r="AP459">
            <v>0</v>
          </cell>
          <cell r="AQ459">
            <v>15</v>
          </cell>
          <cell r="AR459" t="str">
            <v>US_24372</v>
          </cell>
          <cell r="AS459">
            <v>0</v>
          </cell>
          <cell r="AT459">
            <v>144</v>
          </cell>
          <cell r="AU459">
            <v>144</v>
          </cell>
          <cell r="AV459">
            <v>0</v>
          </cell>
          <cell r="AW459">
            <v>2160</v>
          </cell>
          <cell r="AX459">
            <v>2160</v>
          </cell>
          <cell r="AY459">
            <v>2160</v>
          </cell>
          <cell r="AZ459">
            <v>0</v>
          </cell>
          <cell r="BA459">
            <v>0</v>
          </cell>
          <cell r="BB459">
            <v>0</v>
          </cell>
          <cell r="BD459">
            <v>2160</v>
          </cell>
          <cell r="BF459">
            <v>2160</v>
          </cell>
          <cell r="BG459">
            <v>5616</v>
          </cell>
          <cell r="BH459">
            <v>5616</v>
          </cell>
          <cell r="BI459">
            <v>2448</v>
          </cell>
          <cell r="BJ459">
            <v>0</v>
          </cell>
          <cell r="BK459">
            <v>1008</v>
          </cell>
          <cell r="BL459">
            <v>0</v>
          </cell>
          <cell r="BM459">
            <v>3456</v>
          </cell>
          <cell r="BN459">
            <v>7</v>
          </cell>
          <cell r="BO459">
            <v>2160</v>
          </cell>
          <cell r="BP459" t="str">
            <v>Y</v>
          </cell>
          <cell r="BQ459">
            <v>1</v>
          </cell>
          <cell r="BR459" t="str">
            <v>N</v>
          </cell>
          <cell r="BS459">
            <v>0</v>
          </cell>
          <cell r="BT459" t="str">
            <v>Done</v>
          </cell>
          <cell r="BU459">
            <v>144</v>
          </cell>
          <cell r="BV459">
            <v>2024</v>
          </cell>
        </row>
        <row r="460">
          <cell r="A460" t="str">
            <v>Lucknow</v>
          </cell>
          <cell r="B460" t="str">
            <v>Americas</v>
          </cell>
          <cell r="C460" t="str">
            <v>Mid Level</v>
          </cell>
          <cell r="D460" t="str">
            <v>Rajesh Khanna</v>
          </cell>
          <cell r="E460" t="str">
            <v>Garima Shukla</v>
          </cell>
          <cell r="H460" t="str">
            <v>Sarthak Dixit</v>
          </cell>
          <cell r="K460">
            <v>0</v>
          </cell>
          <cell r="L460" t="str">
            <v>Old</v>
          </cell>
          <cell r="M460">
            <v>45544</v>
          </cell>
          <cell r="N460">
            <v>3</v>
          </cell>
          <cell r="O460">
            <v>502</v>
          </cell>
          <cell r="P460">
            <v>45730</v>
          </cell>
          <cell r="Q460">
            <v>45909</v>
          </cell>
          <cell r="S460" t="str">
            <v>Rajat Garg</v>
          </cell>
          <cell r="T460" t="str">
            <v>Individual</v>
          </cell>
          <cell r="U460" t="str">
            <v>C2C</v>
          </cell>
          <cell r="V460" t="str">
            <v>Fanatics</v>
          </cell>
          <cell r="W460">
            <v>17</v>
          </cell>
          <cell r="X460">
            <v>0</v>
          </cell>
          <cell r="Y460" t="str">
            <v>USD</v>
          </cell>
          <cell r="Z460">
            <v>39</v>
          </cell>
          <cell r="AA460">
            <v>0</v>
          </cell>
          <cell r="AB460">
            <v>0</v>
          </cell>
          <cell r="AC460">
            <v>7</v>
          </cell>
          <cell r="AD460">
            <v>45731</v>
          </cell>
          <cell r="AE460">
            <v>10</v>
          </cell>
          <cell r="AF460">
            <v>46022</v>
          </cell>
          <cell r="AG460">
            <v>17</v>
          </cell>
          <cell r="AH460">
            <v>0</v>
          </cell>
          <cell r="AI460">
            <v>24</v>
          </cell>
          <cell r="AJ460">
            <v>39</v>
          </cell>
          <cell r="AK460">
            <v>0</v>
          </cell>
          <cell r="AL460">
            <v>0</v>
          </cell>
          <cell r="AM460">
            <v>15</v>
          </cell>
          <cell r="AN460">
            <v>0</v>
          </cell>
          <cell r="AO460">
            <v>15</v>
          </cell>
          <cell r="AP460">
            <v>0</v>
          </cell>
          <cell r="AQ460">
            <v>15</v>
          </cell>
          <cell r="AR460" t="str">
            <v>US_24529</v>
          </cell>
          <cell r="AS460">
            <v>0</v>
          </cell>
          <cell r="AT460">
            <v>90</v>
          </cell>
          <cell r="AU460">
            <v>90</v>
          </cell>
          <cell r="AV460">
            <v>0</v>
          </cell>
          <cell r="AW460">
            <v>1350</v>
          </cell>
          <cell r="AX460">
            <v>1350</v>
          </cell>
          <cell r="AY460">
            <v>1350</v>
          </cell>
          <cell r="AZ460">
            <v>0</v>
          </cell>
          <cell r="BA460">
            <v>0</v>
          </cell>
          <cell r="BB460">
            <v>0</v>
          </cell>
          <cell r="BD460">
            <v>1350</v>
          </cell>
          <cell r="BF460">
            <v>1350</v>
          </cell>
          <cell r="BG460">
            <v>3510</v>
          </cell>
          <cell r="BH460">
            <v>3510</v>
          </cell>
          <cell r="BI460">
            <v>1530</v>
          </cell>
          <cell r="BJ460">
            <v>0</v>
          </cell>
          <cell r="BK460">
            <v>630</v>
          </cell>
          <cell r="BL460">
            <v>0</v>
          </cell>
          <cell r="BM460">
            <v>2160</v>
          </cell>
          <cell r="BN460">
            <v>7</v>
          </cell>
          <cell r="BO460">
            <v>1350</v>
          </cell>
          <cell r="BP460" t="str">
            <v>Y</v>
          </cell>
          <cell r="BQ460">
            <v>1</v>
          </cell>
          <cell r="BR460" t="str">
            <v>N</v>
          </cell>
          <cell r="BS460">
            <v>0</v>
          </cell>
          <cell r="BT460" t="str">
            <v>Done</v>
          </cell>
          <cell r="BU460">
            <v>90</v>
          </cell>
          <cell r="BV460">
            <v>2024</v>
          </cell>
        </row>
        <row r="461">
          <cell r="A461" t="str">
            <v>Lucknow</v>
          </cell>
          <cell r="B461" t="str">
            <v>Pioneer</v>
          </cell>
          <cell r="C461" t="str">
            <v>Mid Level</v>
          </cell>
          <cell r="D461" t="str">
            <v>Lucky Jain</v>
          </cell>
          <cell r="E461" t="str">
            <v>-</v>
          </cell>
          <cell r="H461" t="str">
            <v>Abhishek Rajpoot</v>
          </cell>
          <cell r="L461" t="str">
            <v>New</v>
          </cell>
          <cell r="M461">
            <v>45670</v>
          </cell>
          <cell r="N461">
            <v>1</v>
          </cell>
          <cell r="O461">
            <v>376</v>
          </cell>
          <cell r="P461" t="str">
            <v>-</v>
          </cell>
          <cell r="Q461">
            <v>46035</v>
          </cell>
          <cell r="R461" t="str">
            <v>PLC-4099</v>
          </cell>
          <cell r="S461" t="str">
            <v>Rajeev Madan</v>
          </cell>
          <cell r="T461" t="str">
            <v>Split</v>
          </cell>
          <cell r="U461" t="str">
            <v>FTE</v>
          </cell>
          <cell r="V461" t="str">
            <v>RCG Global</v>
          </cell>
          <cell r="W461">
            <v>0</v>
          </cell>
          <cell r="X461">
            <v>0</v>
          </cell>
          <cell r="Y461" t="str">
            <v>USD</v>
          </cell>
          <cell r="Z461">
            <v>5000</v>
          </cell>
          <cell r="AA461">
            <v>0</v>
          </cell>
          <cell r="AB461">
            <v>0</v>
          </cell>
          <cell r="AC461">
            <v>0</v>
          </cell>
          <cell r="AD461">
            <v>45672</v>
          </cell>
          <cell r="AE461">
            <v>1</v>
          </cell>
          <cell r="AF461">
            <v>46022</v>
          </cell>
          <cell r="AG461">
            <v>0</v>
          </cell>
          <cell r="AH461">
            <v>0</v>
          </cell>
          <cell r="AI461">
            <v>0</v>
          </cell>
          <cell r="AJ461">
            <v>5000</v>
          </cell>
          <cell r="AK461">
            <v>0</v>
          </cell>
          <cell r="AL461">
            <v>0</v>
          </cell>
          <cell r="AM461">
            <v>5000</v>
          </cell>
          <cell r="AN461">
            <v>0</v>
          </cell>
          <cell r="AO461">
            <v>2500</v>
          </cell>
          <cell r="AP461">
            <v>0</v>
          </cell>
          <cell r="AQ461">
            <v>2500</v>
          </cell>
          <cell r="AR461" t="str">
            <v>US_24346</v>
          </cell>
          <cell r="AS461">
            <v>0</v>
          </cell>
          <cell r="AT461">
            <v>1</v>
          </cell>
          <cell r="AU461">
            <v>1</v>
          </cell>
          <cell r="AV461">
            <v>0</v>
          </cell>
          <cell r="AW461">
            <v>2500</v>
          </cell>
          <cell r="AX461">
            <v>2500</v>
          </cell>
          <cell r="AY461">
            <v>2500</v>
          </cell>
          <cell r="AZ461">
            <v>66.666666666666657</v>
          </cell>
          <cell r="BA461">
            <v>3000</v>
          </cell>
          <cell r="BB461">
            <v>3000</v>
          </cell>
          <cell r="BF461">
            <v>2500</v>
          </cell>
          <cell r="BG461">
            <v>2500</v>
          </cell>
          <cell r="BH461">
            <v>2500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2500</v>
          </cell>
          <cell r="BP461" t="str">
            <v>Y</v>
          </cell>
          <cell r="BQ461">
            <v>1</v>
          </cell>
          <cell r="BR461" t="str">
            <v>Y</v>
          </cell>
          <cell r="BS461">
            <v>3000</v>
          </cell>
          <cell r="BT461" t="str">
            <v>Done</v>
          </cell>
          <cell r="BU461">
            <v>0</v>
          </cell>
          <cell r="BV461">
            <v>2025</v>
          </cell>
        </row>
        <row r="462">
          <cell r="A462" t="str">
            <v>Lucknow</v>
          </cell>
          <cell r="B462" t="str">
            <v>Vantedge</v>
          </cell>
          <cell r="C462" t="str">
            <v>Mid Level</v>
          </cell>
          <cell r="D462" t="str">
            <v>Rashmi Bhatnagar</v>
          </cell>
          <cell r="E462" t="str">
            <v>-</v>
          </cell>
          <cell r="H462" t="str">
            <v>Abhishek Rajpoot</v>
          </cell>
          <cell r="L462" t="str">
            <v>New</v>
          </cell>
          <cell r="M462">
            <v>45670</v>
          </cell>
          <cell r="N462">
            <v>1</v>
          </cell>
          <cell r="O462">
            <v>376</v>
          </cell>
          <cell r="P462" t="str">
            <v>-</v>
          </cell>
          <cell r="Q462">
            <v>46035</v>
          </cell>
          <cell r="R462" t="str">
            <v>PLC-4099</v>
          </cell>
          <cell r="S462" t="str">
            <v>Rajeev Madan</v>
          </cell>
          <cell r="T462" t="str">
            <v>Split</v>
          </cell>
          <cell r="U462" t="str">
            <v>FTE</v>
          </cell>
          <cell r="V462" t="str">
            <v>RCG Global</v>
          </cell>
          <cell r="W462">
            <v>0</v>
          </cell>
          <cell r="X462">
            <v>0</v>
          </cell>
          <cell r="Y462" t="str">
            <v>USD</v>
          </cell>
          <cell r="Z462">
            <v>5000</v>
          </cell>
          <cell r="AA462">
            <v>0</v>
          </cell>
          <cell r="AB462">
            <v>0</v>
          </cell>
          <cell r="AC462">
            <v>0</v>
          </cell>
          <cell r="AD462">
            <v>45672</v>
          </cell>
          <cell r="AE462">
            <v>1</v>
          </cell>
          <cell r="AF462">
            <v>46022</v>
          </cell>
          <cell r="AG462">
            <v>0</v>
          </cell>
          <cell r="AH462">
            <v>0</v>
          </cell>
          <cell r="AI462">
            <v>0</v>
          </cell>
          <cell r="AJ462">
            <v>5000</v>
          </cell>
          <cell r="AK462">
            <v>0</v>
          </cell>
          <cell r="AL462">
            <v>0</v>
          </cell>
          <cell r="AM462">
            <v>5000</v>
          </cell>
          <cell r="AN462">
            <v>0</v>
          </cell>
          <cell r="AO462">
            <v>2500</v>
          </cell>
          <cell r="AP462">
            <v>0</v>
          </cell>
          <cell r="AQ462">
            <v>2500</v>
          </cell>
          <cell r="AR462" t="str">
            <v>US_24346</v>
          </cell>
          <cell r="AS462">
            <v>0</v>
          </cell>
          <cell r="AT462">
            <v>1</v>
          </cell>
          <cell r="AU462">
            <v>1</v>
          </cell>
          <cell r="AV462">
            <v>0</v>
          </cell>
          <cell r="AW462">
            <v>2500</v>
          </cell>
          <cell r="AX462">
            <v>2500</v>
          </cell>
          <cell r="AY462">
            <v>2500</v>
          </cell>
          <cell r="AZ462">
            <v>66.666666666666657</v>
          </cell>
          <cell r="BA462">
            <v>3000</v>
          </cell>
          <cell r="BB462">
            <v>3000</v>
          </cell>
          <cell r="BF462">
            <v>2500</v>
          </cell>
          <cell r="BG462">
            <v>2500</v>
          </cell>
          <cell r="BH462">
            <v>2500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2500</v>
          </cell>
          <cell r="BP462" t="str">
            <v>Y</v>
          </cell>
          <cell r="BQ462">
            <v>1</v>
          </cell>
          <cell r="BR462" t="str">
            <v>Y</v>
          </cell>
          <cell r="BS462">
            <v>3000</v>
          </cell>
          <cell r="BT462" t="str">
            <v>Done</v>
          </cell>
          <cell r="BU462">
            <v>0</v>
          </cell>
          <cell r="BV462">
            <v>2025</v>
          </cell>
        </row>
        <row r="463">
          <cell r="A463" t="str">
            <v>Chennai</v>
          </cell>
          <cell r="B463" t="str">
            <v>Chennai</v>
          </cell>
          <cell r="C463" t="str">
            <v>Mid Level</v>
          </cell>
          <cell r="D463" t="str">
            <v>Vinoth L</v>
          </cell>
          <cell r="E463" t="str">
            <v>Akbar Ibrahim</v>
          </cell>
          <cell r="F463" t="str">
            <v>Vinoth L</v>
          </cell>
          <cell r="H463" t="str">
            <v>Tejaswini Kanaparthi</v>
          </cell>
          <cell r="K463">
            <v>0</v>
          </cell>
          <cell r="L463" t="str">
            <v>Old</v>
          </cell>
          <cell r="M463">
            <v>45307</v>
          </cell>
          <cell r="N463">
            <v>1</v>
          </cell>
          <cell r="O463">
            <v>739</v>
          </cell>
          <cell r="P463">
            <v>45733</v>
          </cell>
          <cell r="Q463">
            <v>45672</v>
          </cell>
          <cell r="R463" t="str">
            <v>PLC-3605</v>
          </cell>
          <cell r="S463" t="str">
            <v>Rajeshkannan Mohan</v>
          </cell>
          <cell r="T463" t="str">
            <v>Split</v>
          </cell>
          <cell r="U463" t="str">
            <v>C2C</v>
          </cell>
          <cell r="V463" t="str">
            <v>Citius Tech</v>
          </cell>
          <cell r="W463">
            <v>65</v>
          </cell>
          <cell r="X463">
            <v>0</v>
          </cell>
          <cell r="Y463" t="str">
            <v>USD</v>
          </cell>
          <cell r="Z463">
            <v>73</v>
          </cell>
          <cell r="AA463">
            <v>0</v>
          </cell>
          <cell r="AB463">
            <v>0</v>
          </cell>
          <cell r="AC463">
            <v>0</v>
          </cell>
          <cell r="AD463">
            <v>45672</v>
          </cell>
          <cell r="AE463">
            <v>22</v>
          </cell>
          <cell r="AF463">
            <v>46022</v>
          </cell>
          <cell r="AG463">
            <v>65</v>
          </cell>
          <cell r="AH463">
            <v>0</v>
          </cell>
          <cell r="AI463">
            <v>65</v>
          </cell>
          <cell r="AJ463">
            <v>73</v>
          </cell>
          <cell r="AK463">
            <v>0</v>
          </cell>
          <cell r="AL463">
            <v>0</v>
          </cell>
          <cell r="AM463">
            <v>8</v>
          </cell>
          <cell r="AN463">
            <v>0</v>
          </cell>
          <cell r="AO463">
            <v>4</v>
          </cell>
          <cell r="AP463">
            <v>0</v>
          </cell>
          <cell r="AQ463">
            <v>4</v>
          </cell>
          <cell r="AR463" t="str">
            <v>US_24154</v>
          </cell>
          <cell r="AS463">
            <v>0</v>
          </cell>
          <cell r="AT463">
            <v>168</v>
          </cell>
          <cell r="AU463">
            <v>168</v>
          </cell>
          <cell r="AV463">
            <v>0</v>
          </cell>
          <cell r="AW463">
            <v>672</v>
          </cell>
          <cell r="AX463">
            <v>672</v>
          </cell>
          <cell r="AY463">
            <v>672</v>
          </cell>
          <cell r="AZ463">
            <v>25</v>
          </cell>
          <cell r="BA463">
            <v>6.4</v>
          </cell>
          <cell r="BB463">
            <v>0</v>
          </cell>
          <cell r="BC463">
            <v>53.225806451612897</v>
          </cell>
          <cell r="BD463">
            <v>0</v>
          </cell>
          <cell r="BE463">
            <v>0</v>
          </cell>
          <cell r="BF463">
            <v>0</v>
          </cell>
          <cell r="BG463">
            <v>6132</v>
          </cell>
          <cell r="BH463">
            <v>6132</v>
          </cell>
          <cell r="BI463">
            <v>5460</v>
          </cell>
          <cell r="BJ463">
            <v>0</v>
          </cell>
          <cell r="BK463">
            <v>0</v>
          </cell>
          <cell r="BL463">
            <v>0</v>
          </cell>
          <cell r="BM463">
            <v>5460</v>
          </cell>
          <cell r="BN463">
            <v>0</v>
          </cell>
          <cell r="BO463">
            <v>672</v>
          </cell>
          <cell r="BP463" t="str">
            <v>Y</v>
          </cell>
          <cell r="BQ463">
            <v>1</v>
          </cell>
          <cell r="BR463" t="str">
            <v>Y</v>
          </cell>
          <cell r="BS463">
            <v>0</v>
          </cell>
          <cell r="BT463" t="str">
            <v>Done</v>
          </cell>
          <cell r="BU463">
            <v>168</v>
          </cell>
          <cell r="BV463">
            <v>2024</v>
          </cell>
        </row>
        <row r="464">
          <cell r="A464" t="str">
            <v>Chennai</v>
          </cell>
          <cell r="B464" t="str">
            <v>Chennai</v>
          </cell>
          <cell r="C464" t="str">
            <v>Mid Level</v>
          </cell>
          <cell r="D464" t="str">
            <v>Akbar Ibrahim</v>
          </cell>
          <cell r="E464" t="str">
            <v>Vinoth L</v>
          </cell>
          <cell r="F464" t="str">
            <v>Akbar Ibrahim</v>
          </cell>
          <cell r="H464" t="str">
            <v>Tejaswini Kanaparthi</v>
          </cell>
          <cell r="K464">
            <v>0</v>
          </cell>
          <cell r="L464" t="str">
            <v>Old</v>
          </cell>
          <cell r="M464">
            <v>45307</v>
          </cell>
          <cell r="N464">
            <v>1</v>
          </cell>
          <cell r="O464">
            <v>739</v>
          </cell>
          <cell r="P464">
            <v>45733</v>
          </cell>
          <cell r="Q464">
            <v>45672</v>
          </cell>
          <cell r="R464" t="str">
            <v>PLC-3605</v>
          </cell>
          <cell r="S464" t="str">
            <v>Rajeshkannan Mohan</v>
          </cell>
          <cell r="T464" t="str">
            <v>Split</v>
          </cell>
          <cell r="U464" t="str">
            <v>C2C</v>
          </cell>
          <cell r="V464" t="str">
            <v>Citius Tech</v>
          </cell>
          <cell r="W464">
            <v>65</v>
          </cell>
          <cell r="X464">
            <v>0</v>
          </cell>
          <cell r="Y464" t="str">
            <v>USD</v>
          </cell>
          <cell r="Z464">
            <v>73</v>
          </cell>
          <cell r="AA464">
            <v>0</v>
          </cell>
          <cell r="AB464">
            <v>0</v>
          </cell>
          <cell r="AC464">
            <v>0</v>
          </cell>
          <cell r="AD464">
            <v>45672</v>
          </cell>
          <cell r="AE464">
            <v>22</v>
          </cell>
          <cell r="AF464">
            <v>46022</v>
          </cell>
          <cell r="AG464">
            <v>65</v>
          </cell>
          <cell r="AH464">
            <v>0</v>
          </cell>
          <cell r="AI464">
            <v>65</v>
          </cell>
          <cell r="AJ464">
            <v>73</v>
          </cell>
          <cell r="AK464">
            <v>0</v>
          </cell>
          <cell r="AL464">
            <v>0</v>
          </cell>
          <cell r="AM464">
            <v>8</v>
          </cell>
          <cell r="AN464">
            <v>0</v>
          </cell>
          <cell r="AO464">
            <v>4</v>
          </cell>
          <cell r="AP464">
            <v>0</v>
          </cell>
          <cell r="AQ464">
            <v>4</v>
          </cell>
          <cell r="AR464" t="str">
            <v>US_24154</v>
          </cell>
          <cell r="AS464">
            <v>0</v>
          </cell>
          <cell r="AT464">
            <v>168</v>
          </cell>
          <cell r="AU464">
            <v>168</v>
          </cell>
          <cell r="AV464">
            <v>0</v>
          </cell>
          <cell r="AW464">
            <v>672</v>
          </cell>
          <cell r="AX464">
            <v>672</v>
          </cell>
          <cell r="AY464">
            <v>672</v>
          </cell>
          <cell r="AZ464">
            <v>25</v>
          </cell>
          <cell r="BA464">
            <v>6.4</v>
          </cell>
          <cell r="BB464">
            <v>0</v>
          </cell>
          <cell r="BD464">
            <v>0</v>
          </cell>
          <cell r="BF464">
            <v>0</v>
          </cell>
          <cell r="BG464">
            <v>6132</v>
          </cell>
          <cell r="BH464">
            <v>6132</v>
          </cell>
          <cell r="BI464">
            <v>5460</v>
          </cell>
          <cell r="BJ464">
            <v>0</v>
          </cell>
          <cell r="BK464">
            <v>0</v>
          </cell>
          <cell r="BL464">
            <v>0</v>
          </cell>
          <cell r="BM464">
            <v>5460</v>
          </cell>
          <cell r="BN464">
            <v>0</v>
          </cell>
          <cell r="BO464">
            <v>672</v>
          </cell>
          <cell r="BP464" t="str">
            <v>Y</v>
          </cell>
          <cell r="BQ464">
            <v>1</v>
          </cell>
          <cell r="BR464" t="str">
            <v>Y</v>
          </cell>
          <cell r="BS464">
            <v>0</v>
          </cell>
          <cell r="BT464" t="str">
            <v>Done</v>
          </cell>
          <cell r="BU464">
            <v>168</v>
          </cell>
          <cell r="BV464">
            <v>2024</v>
          </cell>
        </row>
        <row r="465">
          <cell r="A465" t="str">
            <v>Chennai</v>
          </cell>
          <cell r="B465" t="str">
            <v>Chennai</v>
          </cell>
          <cell r="C465" t="str">
            <v>Mid Level</v>
          </cell>
          <cell r="D465" t="str">
            <v>Vinoth L</v>
          </cell>
          <cell r="E465" t="str">
            <v>Akbar Ibrahim</v>
          </cell>
          <cell r="F465" t="str">
            <v>Vinoth L</v>
          </cell>
          <cell r="H465" t="str">
            <v>Tejaswini Kanaparthi</v>
          </cell>
          <cell r="K465">
            <v>0</v>
          </cell>
          <cell r="L465" t="str">
            <v>Old</v>
          </cell>
          <cell r="M465">
            <v>45307</v>
          </cell>
          <cell r="N465">
            <v>1</v>
          </cell>
          <cell r="O465">
            <v>739</v>
          </cell>
          <cell r="P465">
            <v>45733</v>
          </cell>
          <cell r="Q465">
            <v>45672</v>
          </cell>
          <cell r="R465" t="str">
            <v>PLC-3605</v>
          </cell>
          <cell r="S465" t="str">
            <v>Rajeshkannan Mohan</v>
          </cell>
          <cell r="T465" t="str">
            <v>Split</v>
          </cell>
          <cell r="U465" t="str">
            <v>C2C</v>
          </cell>
          <cell r="V465" t="str">
            <v>Citius Tech</v>
          </cell>
          <cell r="W465">
            <v>65</v>
          </cell>
          <cell r="X465">
            <v>0</v>
          </cell>
          <cell r="Y465" t="str">
            <v>USD</v>
          </cell>
          <cell r="Z465">
            <v>73</v>
          </cell>
          <cell r="AA465">
            <v>0</v>
          </cell>
          <cell r="AB465">
            <v>0</v>
          </cell>
          <cell r="AC465">
            <v>0</v>
          </cell>
          <cell r="AD465">
            <v>45703</v>
          </cell>
          <cell r="AE465">
            <v>20</v>
          </cell>
          <cell r="AF465">
            <v>46022</v>
          </cell>
          <cell r="AG465">
            <v>65</v>
          </cell>
          <cell r="AH465">
            <v>0</v>
          </cell>
          <cell r="AI465">
            <v>65</v>
          </cell>
          <cell r="AJ465">
            <v>73</v>
          </cell>
          <cell r="AK465">
            <v>0</v>
          </cell>
          <cell r="AL465">
            <v>0</v>
          </cell>
          <cell r="AM465">
            <v>8</v>
          </cell>
          <cell r="AN465">
            <v>0</v>
          </cell>
          <cell r="AO465">
            <v>4</v>
          </cell>
          <cell r="AP465">
            <v>0</v>
          </cell>
          <cell r="AQ465">
            <v>4</v>
          </cell>
          <cell r="AR465" t="str">
            <v>US_24363</v>
          </cell>
          <cell r="AS465">
            <v>0</v>
          </cell>
          <cell r="AT465">
            <v>160</v>
          </cell>
          <cell r="AU465">
            <v>160</v>
          </cell>
          <cell r="AV465">
            <v>0</v>
          </cell>
          <cell r="AW465">
            <v>640</v>
          </cell>
          <cell r="AX465">
            <v>640</v>
          </cell>
          <cell r="AY465">
            <v>640</v>
          </cell>
          <cell r="AZ465">
            <v>25</v>
          </cell>
          <cell r="BA465">
            <v>6.4</v>
          </cell>
          <cell r="BB465">
            <v>0</v>
          </cell>
          <cell r="BC465">
            <v>53.225806451612897</v>
          </cell>
          <cell r="BD465">
            <v>0</v>
          </cell>
          <cell r="BE465">
            <v>0</v>
          </cell>
          <cell r="BF465">
            <v>0</v>
          </cell>
          <cell r="BG465">
            <v>5840</v>
          </cell>
          <cell r="BH465">
            <v>5840</v>
          </cell>
          <cell r="BI465">
            <v>5200</v>
          </cell>
          <cell r="BJ465">
            <v>0</v>
          </cell>
          <cell r="BK465">
            <v>0</v>
          </cell>
          <cell r="BL465">
            <v>0</v>
          </cell>
          <cell r="BM465">
            <v>5200</v>
          </cell>
          <cell r="BN465">
            <v>0</v>
          </cell>
          <cell r="BO465">
            <v>640</v>
          </cell>
          <cell r="BP465" t="str">
            <v>Y</v>
          </cell>
          <cell r="BQ465">
            <v>1</v>
          </cell>
          <cell r="BR465" t="str">
            <v>Y</v>
          </cell>
          <cell r="BS465">
            <v>0</v>
          </cell>
          <cell r="BT465" t="str">
            <v>Done</v>
          </cell>
          <cell r="BU465">
            <v>160</v>
          </cell>
          <cell r="BV465">
            <v>2024</v>
          </cell>
        </row>
        <row r="466">
          <cell r="A466" t="str">
            <v>Chennai</v>
          </cell>
          <cell r="B466" t="str">
            <v>Chennai</v>
          </cell>
          <cell r="C466" t="str">
            <v>Mid Level</v>
          </cell>
          <cell r="D466" t="str">
            <v>Akbar Ibrahim</v>
          </cell>
          <cell r="E466" t="str">
            <v>Vinoth L</v>
          </cell>
          <cell r="F466" t="str">
            <v>Akbar Ibrahim</v>
          </cell>
          <cell r="H466" t="str">
            <v>Tejaswini Kanaparthi</v>
          </cell>
          <cell r="K466">
            <v>0</v>
          </cell>
          <cell r="L466" t="str">
            <v>Old</v>
          </cell>
          <cell r="M466">
            <v>45307</v>
          </cell>
          <cell r="N466">
            <v>1</v>
          </cell>
          <cell r="O466">
            <v>739</v>
          </cell>
          <cell r="P466">
            <v>45733</v>
          </cell>
          <cell r="Q466">
            <v>45672</v>
          </cell>
          <cell r="R466" t="str">
            <v>PLC-3605</v>
          </cell>
          <cell r="S466" t="str">
            <v>Rajeshkannan Mohan</v>
          </cell>
          <cell r="T466" t="str">
            <v>Split</v>
          </cell>
          <cell r="U466" t="str">
            <v>C2C</v>
          </cell>
          <cell r="V466" t="str">
            <v>Citius Tech</v>
          </cell>
          <cell r="W466">
            <v>65</v>
          </cell>
          <cell r="X466">
            <v>0</v>
          </cell>
          <cell r="Y466" t="str">
            <v>USD</v>
          </cell>
          <cell r="Z466">
            <v>73</v>
          </cell>
          <cell r="AA466">
            <v>0</v>
          </cell>
          <cell r="AB466">
            <v>0</v>
          </cell>
          <cell r="AC466">
            <v>0</v>
          </cell>
          <cell r="AD466">
            <v>45703</v>
          </cell>
          <cell r="AE466">
            <v>20</v>
          </cell>
          <cell r="AF466">
            <v>46022</v>
          </cell>
          <cell r="AG466">
            <v>65</v>
          </cell>
          <cell r="AH466">
            <v>0</v>
          </cell>
          <cell r="AI466">
            <v>65</v>
          </cell>
          <cell r="AJ466">
            <v>73</v>
          </cell>
          <cell r="AK466">
            <v>0</v>
          </cell>
          <cell r="AL466">
            <v>0</v>
          </cell>
          <cell r="AM466">
            <v>8</v>
          </cell>
          <cell r="AN466">
            <v>0</v>
          </cell>
          <cell r="AO466">
            <v>4</v>
          </cell>
          <cell r="AP466">
            <v>0</v>
          </cell>
          <cell r="AQ466">
            <v>4</v>
          </cell>
          <cell r="AR466" t="str">
            <v>US_24363</v>
          </cell>
          <cell r="AS466">
            <v>0</v>
          </cell>
          <cell r="AT466">
            <v>160</v>
          </cell>
          <cell r="AU466">
            <v>160</v>
          </cell>
          <cell r="AV466">
            <v>0</v>
          </cell>
          <cell r="AW466">
            <v>640</v>
          </cell>
          <cell r="AX466">
            <v>640</v>
          </cell>
          <cell r="AY466">
            <v>640</v>
          </cell>
          <cell r="AZ466">
            <v>25</v>
          </cell>
          <cell r="BA466">
            <v>6.4</v>
          </cell>
          <cell r="BB466">
            <v>0</v>
          </cell>
          <cell r="BD466">
            <v>0</v>
          </cell>
          <cell r="BF466">
            <v>0</v>
          </cell>
          <cell r="BG466">
            <v>5840</v>
          </cell>
          <cell r="BH466">
            <v>5840</v>
          </cell>
          <cell r="BI466">
            <v>5200</v>
          </cell>
          <cell r="BJ466">
            <v>0</v>
          </cell>
          <cell r="BK466">
            <v>0</v>
          </cell>
          <cell r="BL466">
            <v>0</v>
          </cell>
          <cell r="BM466">
            <v>5200</v>
          </cell>
          <cell r="BN466">
            <v>0</v>
          </cell>
          <cell r="BO466">
            <v>640</v>
          </cell>
          <cell r="BP466" t="str">
            <v>Y</v>
          </cell>
          <cell r="BQ466">
            <v>1</v>
          </cell>
          <cell r="BR466" t="str">
            <v>Y</v>
          </cell>
          <cell r="BS466">
            <v>0</v>
          </cell>
          <cell r="BT466" t="str">
            <v>Done</v>
          </cell>
          <cell r="BU466">
            <v>160</v>
          </cell>
          <cell r="BV466">
            <v>2024</v>
          </cell>
        </row>
        <row r="467">
          <cell r="A467" t="str">
            <v>Chennai</v>
          </cell>
          <cell r="B467" t="str">
            <v>Chennai</v>
          </cell>
          <cell r="C467" t="str">
            <v>Mid Level</v>
          </cell>
          <cell r="D467" t="str">
            <v>Vinoth L</v>
          </cell>
          <cell r="E467" t="str">
            <v>Akbar Ibrahim</v>
          </cell>
          <cell r="F467" t="str">
            <v>Vinoth L</v>
          </cell>
          <cell r="H467" t="str">
            <v>Tejaswini Kanaparthi</v>
          </cell>
          <cell r="K467">
            <v>0</v>
          </cell>
          <cell r="L467" t="str">
            <v>Old</v>
          </cell>
          <cell r="M467">
            <v>45307</v>
          </cell>
          <cell r="N467">
            <v>1</v>
          </cell>
          <cell r="O467">
            <v>739</v>
          </cell>
          <cell r="P467">
            <v>45733</v>
          </cell>
          <cell r="Q467">
            <v>45672</v>
          </cell>
          <cell r="R467" t="str">
            <v>PLC-3605</v>
          </cell>
          <cell r="S467" t="str">
            <v>Rajeshkannan Mohan</v>
          </cell>
          <cell r="T467" t="str">
            <v>Split</v>
          </cell>
          <cell r="U467" t="str">
            <v>C2C</v>
          </cell>
          <cell r="V467" t="str">
            <v>Citius Tech</v>
          </cell>
          <cell r="W467">
            <v>65</v>
          </cell>
          <cell r="X467">
            <v>0</v>
          </cell>
          <cell r="Y467" t="str">
            <v>USD</v>
          </cell>
          <cell r="Z467">
            <v>73</v>
          </cell>
          <cell r="AA467">
            <v>0</v>
          </cell>
          <cell r="AB467">
            <v>0</v>
          </cell>
          <cell r="AC467">
            <v>0</v>
          </cell>
          <cell r="AD467">
            <v>45731</v>
          </cell>
          <cell r="AE467">
            <v>11</v>
          </cell>
          <cell r="AF467">
            <v>46022</v>
          </cell>
          <cell r="AG467">
            <v>65</v>
          </cell>
          <cell r="AH467">
            <v>0</v>
          </cell>
          <cell r="AI467">
            <v>65</v>
          </cell>
          <cell r="AJ467">
            <v>73</v>
          </cell>
          <cell r="AK467">
            <v>0</v>
          </cell>
          <cell r="AL467">
            <v>0</v>
          </cell>
          <cell r="AM467">
            <v>8</v>
          </cell>
          <cell r="AN467">
            <v>0</v>
          </cell>
          <cell r="AO467">
            <v>4</v>
          </cell>
          <cell r="AP467">
            <v>0</v>
          </cell>
          <cell r="AQ467">
            <v>4</v>
          </cell>
          <cell r="AR467" t="str">
            <v>US_24559</v>
          </cell>
          <cell r="AS467">
            <v>0</v>
          </cell>
          <cell r="AT467">
            <v>64</v>
          </cell>
          <cell r="AU467">
            <v>64</v>
          </cell>
          <cell r="AV467">
            <v>0</v>
          </cell>
          <cell r="AW467">
            <v>256</v>
          </cell>
          <cell r="AX467">
            <v>256</v>
          </cell>
          <cell r="AY467">
            <v>256</v>
          </cell>
          <cell r="AZ467">
            <v>25</v>
          </cell>
          <cell r="BA467">
            <v>6.4</v>
          </cell>
          <cell r="BB467">
            <v>0</v>
          </cell>
          <cell r="BC467">
            <v>53.225806451612897</v>
          </cell>
          <cell r="BD467">
            <v>0</v>
          </cell>
          <cell r="BE467">
            <v>0</v>
          </cell>
          <cell r="BF467">
            <v>0</v>
          </cell>
          <cell r="BG467">
            <v>2336</v>
          </cell>
          <cell r="BH467">
            <v>2336</v>
          </cell>
          <cell r="BI467">
            <v>2080</v>
          </cell>
          <cell r="BJ467">
            <v>0</v>
          </cell>
          <cell r="BK467">
            <v>0</v>
          </cell>
          <cell r="BL467">
            <v>0</v>
          </cell>
          <cell r="BM467">
            <v>2080</v>
          </cell>
          <cell r="BN467">
            <v>0</v>
          </cell>
          <cell r="BO467">
            <v>256</v>
          </cell>
          <cell r="BP467" t="str">
            <v>Y</v>
          </cell>
          <cell r="BQ467">
            <v>1</v>
          </cell>
          <cell r="BR467" t="str">
            <v>Y</v>
          </cell>
          <cell r="BS467">
            <v>0</v>
          </cell>
          <cell r="BT467" t="str">
            <v>Done</v>
          </cell>
          <cell r="BU467">
            <v>64</v>
          </cell>
          <cell r="BV467">
            <v>2024</v>
          </cell>
        </row>
        <row r="468">
          <cell r="A468" t="str">
            <v>Chennai</v>
          </cell>
          <cell r="B468" t="str">
            <v>Chennai</v>
          </cell>
          <cell r="C468" t="str">
            <v>Mid Level</v>
          </cell>
          <cell r="D468" t="str">
            <v>Akbar Ibrahim</v>
          </cell>
          <cell r="E468" t="str">
            <v>Vinoth L</v>
          </cell>
          <cell r="F468" t="str">
            <v>Akbar Ibrahim</v>
          </cell>
          <cell r="H468" t="str">
            <v>Tejaswini Kanaparthi</v>
          </cell>
          <cell r="K468">
            <v>0</v>
          </cell>
          <cell r="L468" t="str">
            <v>Old</v>
          </cell>
          <cell r="M468">
            <v>45307</v>
          </cell>
          <cell r="N468">
            <v>1</v>
          </cell>
          <cell r="O468">
            <v>739</v>
          </cell>
          <cell r="P468">
            <v>45733</v>
          </cell>
          <cell r="Q468">
            <v>45672</v>
          </cell>
          <cell r="R468" t="str">
            <v>PLC-3605</v>
          </cell>
          <cell r="S468" t="str">
            <v>Rajeshkannan Mohan</v>
          </cell>
          <cell r="T468" t="str">
            <v>Split</v>
          </cell>
          <cell r="U468" t="str">
            <v>C2C</v>
          </cell>
          <cell r="V468" t="str">
            <v>Citius Tech</v>
          </cell>
          <cell r="W468">
            <v>65</v>
          </cell>
          <cell r="X468">
            <v>0</v>
          </cell>
          <cell r="Y468" t="str">
            <v>USD</v>
          </cell>
          <cell r="Z468">
            <v>73</v>
          </cell>
          <cell r="AA468">
            <v>0</v>
          </cell>
          <cell r="AB468">
            <v>0</v>
          </cell>
          <cell r="AC468">
            <v>0</v>
          </cell>
          <cell r="AD468">
            <v>45731</v>
          </cell>
          <cell r="AE468">
            <v>11</v>
          </cell>
          <cell r="AF468">
            <v>46022</v>
          </cell>
          <cell r="AG468">
            <v>65</v>
          </cell>
          <cell r="AH468">
            <v>0</v>
          </cell>
          <cell r="AI468">
            <v>65</v>
          </cell>
          <cell r="AJ468">
            <v>73</v>
          </cell>
          <cell r="AK468">
            <v>0</v>
          </cell>
          <cell r="AL468">
            <v>0</v>
          </cell>
          <cell r="AM468">
            <v>8</v>
          </cell>
          <cell r="AN468">
            <v>0</v>
          </cell>
          <cell r="AO468">
            <v>4</v>
          </cell>
          <cell r="AP468">
            <v>0</v>
          </cell>
          <cell r="AQ468">
            <v>4</v>
          </cell>
          <cell r="AR468" t="str">
            <v>US_24559</v>
          </cell>
          <cell r="AS468">
            <v>0</v>
          </cell>
          <cell r="AT468">
            <v>64</v>
          </cell>
          <cell r="AU468">
            <v>64</v>
          </cell>
          <cell r="AV468">
            <v>0</v>
          </cell>
          <cell r="AW468">
            <v>256</v>
          </cell>
          <cell r="AX468">
            <v>256</v>
          </cell>
          <cell r="AY468">
            <v>256</v>
          </cell>
          <cell r="AZ468">
            <v>25</v>
          </cell>
          <cell r="BA468">
            <v>6.4</v>
          </cell>
          <cell r="BB468">
            <v>0</v>
          </cell>
          <cell r="BD468">
            <v>0</v>
          </cell>
          <cell r="BF468">
            <v>0</v>
          </cell>
          <cell r="BG468">
            <v>2336</v>
          </cell>
          <cell r="BH468">
            <v>2336</v>
          </cell>
          <cell r="BI468">
            <v>2080</v>
          </cell>
          <cell r="BJ468">
            <v>0</v>
          </cell>
          <cell r="BK468">
            <v>0</v>
          </cell>
          <cell r="BL468">
            <v>0</v>
          </cell>
          <cell r="BM468">
            <v>2080</v>
          </cell>
          <cell r="BN468">
            <v>0</v>
          </cell>
          <cell r="BO468">
            <v>256</v>
          </cell>
          <cell r="BP468" t="str">
            <v>Y</v>
          </cell>
          <cell r="BQ468">
            <v>1</v>
          </cell>
          <cell r="BR468" t="str">
            <v>Y</v>
          </cell>
          <cell r="BS468">
            <v>0</v>
          </cell>
          <cell r="BT468" t="str">
            <v>Done</v>
          </cell>
          <cell r="BU468">
            <v>64</v>
          </cell>
          <cell r="BV468">
            <v>2024</v>
          </cell>
        </row>
        <row r="469">
          <cell r="A469" t="str">
            <v>Chennai</v>
          </cell>
          <cell r="B469" t="str">
            <v>Chennai</v>
          </cell>
          <cell r="C469" t="str">
            <v>Mid Level</v>
          </cell>
          <cell r="D469" t="str">
            <v>Vinoth L</v>
          </cell>
          <cell r="E469" t="str">
            <v>-</v>
          </cell>
          <cell r="F469" t="str">
            <v>-</v>
          </cell>
          <cell r="G469" t="str">
            <v>-</v>
          </cell>
          <cell r="H469" t="str">
            <v>Gayathri.J</v>
          </cell>
          <cell r="K469" t="str">
            <v>-</v>
          </cell>
          <cell r="L469" t="str">
            <v>New</v>
          </cell>
          <cell r="M469">
            <v>45765</v>
          </cell>
          <cell r="N469">
            <v>2</v>
          </cell>
          <cell r="O469">
            <v>281</v>
          </cell>
          <cell r="P469" t="str">
            <v>-</v>
          </cell>
          <cell r="Q469">
            <v>46130</v>
          </cell>
          <cell r="R469" t="str">
            <v>PLC-4242</v>
          </cell>
          <cell r="S469" t="str">
            <v>Rajeshkannan Mohan-2</v>
          </cell>
          <cell r="T469" t="str">
            <v>Individual</v>
          </cell>
          <cell r="U469" t="str">
            <v>C2C</v>
          </cell>
          <cell r="V469" t="str">
            <v>Citius Tech</v>
          </cell>
          <cell r="W469">
            <v>65</v>
          </cell>
          <cell r="X469">
            <v>0</v>
          </cell>
          <cell r="Y469" t="str">
            <v>USD</v>
          </cell>
          <cell r="Z469">
            <v>73</v>
          </cell>
          <cell r="AA469">
            <v>0</v>
          </cell>
          <cell r="AB469">
            <v>0</v>
          </cell>
          <cell r="AC469">
            <v>0</v>
          </cell>
          <cell r="AD469">
            <v>45762</v>
          </cell>
          <cell r="AE469">
            <v>9</v>
          </cell>
          <cell r="AF469">
            <v>46022</v>
          </cell>
          <cell r="AG469">
            <v>65</v>
          </cell>
          <cell r="AH469">
            <v>0</v>
          </cell>
          <cell r="AI469">
            <v>65</v>
          </cell>
          <cell r="AJ469">
            <v>73</v>
          </cell>
          <cell r="AK469">
            <v>0</v>
          </cell>
          <cell r="AL469">
            <v>0</v>
          </cell>
          <cell r="AM469">
            <v>8</v>
          </cell>
          <cell r="AN469">
            <v>0</v>
          </cell>
          <cell r="AO469">
            <v>8</v>
          </cell>
          <cell r="AP469">
            <v>0</v>
          </cell>
          <cell r="AQ469">
            <v>8</v>
          </cell>
          <cell r="AR469" t="str">
            <v>US_24951</v>
          </cell>
          <cell r="AS469">
            <v>0</v>
          </cell>
          <cell r="AT469">
            <v>72</v>
          </cell>
          <cell r="AU469">
            <v>72</v>
          </cell>
          <cell r="AV469">
            <v>0</v>
          </cell>
          <cell r="AW469">
            <v>576</v>
          </cell>
          <cell r="AX469">
            <v>576</v>
          </cell>
          <cell r="AY469">
            <v>576</v>
          </cell>
          <cell r="AZ469">
            <v>60</v>
          </cell>
          <cell r="BA469">
            <v>9.6</v>
          </cell>
          <cell r="BB469">
            <v>691.19999999999993</v>
          </cell>
          <cell r="BC469">
            <v>67</v>
          </cell>
          <cell r="BD469">
            <v>576</v>
          </cell>
          <cell r="BE469">
            <v>691.2</v>
          </cell>
          <cell r="BF469">
            <v>576</v>
          </cell>
          <cell r="BG469">
            <v>5256</v>
          </cell>
          <cell r="BH469">
            <v>5256</v>
          </cell>
          <cell r="BI469">
            <v>4680</v>
          </cell>
          <cell r="BJ469">
            <v>0</v>
          </cell>
          <cell r="BK469">
            <v>0</v>
          </cell>
          <cell r="BL469">
            <v>0</v>
          </cell>
          <cell r="BM469">
            <v>4680</v>
          </cell>
          <cell r="BN469">
            <v>0</v>
          </cell>
          <cell r="BO469">
            <v>576</v>
          </cell>
          <cell r="BP469" t="str">
            <v>Y</v>
          </cell>
          <cell r="BQ469">
            <v>2</v>
          </cell>
          <cell r="BR469" t="str">
            <v>Y</v>
          </cell>
          <cell r="BS469">
            <v>691.19999999999993</v>
          </cell>
          <cell r="BT469" t="str">
            <v>Done</v>
          </cell>
          <cell r="BU469">
            <v>72</v>
          </cell>
          <cell r="BV469">
            <v>2025</v>
          </cell>
        </row>
        <row r="470">
          <cell r="A470" t="str">
            <v>Chennai</v>
          </cell>
          <cell r="B470" t="str">
            <v>Chennai</v>
          </cell>
          <cell r="C470" t="str">
            <v>Mid Level</v>
          </cell>
          <cell r="D470" t="str">
            <v>Vinoth L</v>
          </cell>
          <cell r="E470" t="str">
            <v>-</v>
          </cell>
          <cell r="H470" t="str">
            <v>M Harinath</v>
          </cell>
          <cell r="K470">
            <v>0</v>
          </cell>
          <cell r="L470" t="str">
            <v>Old</v>
          </cell>
          <cell r="M470">
            <v>45488</v>
          </cell>
          <cell r="N470">
            <v>3</v>
          </cell>
          <cell r="O470">
            <v>558</v>
          </cell>
          <cell r="P470" t="str">
            <v>-</v>
          </cell>
          <cell r="Q470">
            <v>45853</v>
          </cell>
          <cell r="R470" t="str">
            <v>PLC-3863</v>
          </cell>
          <cell r="S470" t="str">
            <v>Rajeshwari Malleti</v>
          </cell>
          <cell r="T470" t="str">
            <v>Individual</v>
          </cell>
          <cell r="U470" t="str">
            <v>C2C</v>
          </cell>
          <cell r="V470" t="str">
            <v>LTIMindtree</v>
          </cell>
          <cell r="W470">
            <v>75</v>
          </cell>
          <cell r="X470">
            <v>0</v>
          </cell>
          <cell r="Y470" t="str">
            <v>USD</v>
          </cell>
          <cell r="Z470">
            <v>82</v>
          </cell>
          <cell r="AA470">
            <v>0</v>
          </cell>
          <cell r="AB470">
            <v>0</v>
          </cell>
          <cell r="AC470">
            <v>0</v>
          </cell>
          <cell r="AD470">
            <v>45672</v>
          </cell>
          <cell r="AE470">
            <v>23</v>
          </cell>
          <cell r="AF470">
            <v>46022</v>
          </cell>
          <cell r="AG470">
            <v>75</v>
          </cell>
          <cell r="AH470">
            <v>0</v>
          </cell>
          <cell r="AI470">
            <v>75</v>
          </cell>
          <cell r="AJ470">
            <v>79.539999999999992</v>
          </cell>
          <cell r="AK470">
            <v>0</v>
          </cell>
          <cell r="AL470">
            <v>0</v>
          </cell>
          <cell r="AM470">
            <v>4.539999999999992</v>
          </cell>
          <cell r="AN470">
            <v>0</v>
          </cell>
          <cell r="AO470">
            <v>4.539999999999992</v>
          </cell>
          <cell r="AP470">
            <v>0</v>
          </cell>
          <cell r="AQ470">
            <v>4.539999999999992</v>
          </cell>
          <cell r="AR470" t="str">
            <v>US_24249</v>
          </cell>
          <cell r="AS470">
            <v>0</v>
          </cell>
          <cell r="AT470">
            <v>184</v>
          </cell>
          <cell r="AU470">
            <v>184</v>
          </cell>
          <cell r="AV470">
            <v>0</v>
          </cell>
          <cell r="AW470">
            <v>835.35999999999854</v>
          </cell>
          <cell r="AX470">
            <v>835.35999999999854</v>
          </cell>
          <cell r="AY470">
            <v>835.35999999999854</v>
          </cell>
          <cell r="AZ470">
            <v>66.666666666666657</v>
          </cell>
          <cell r="BA470">
            <v>9.9879999999999818</v>
          </cell>
          <cell r="BB470">
            <v>1837.7919999999967</v>
          </cell>
          <cell r="BC470">
            <v>53.225806451612897</v>
          </cell>
          <cell r="BD470">
            <v>835.35999999999854</v>
          </cell>
          <cell r="BE470">
            <v>668.28799999999887</v>
          </cell>
          <cell r="BF470">
            <v>835.35999999999854</v>
          </cell>
          <cell r="BG470">
            <v>15088</v>
          </cell>
          <cell r="BH470">
            <v>14635.359999999999</v>
          </cell>
          <cell r="BI470">
            <v>13800</v>
          </cell>
          <cell r="BJ470">
            <v>0</v>
          </cell>
          <cell r="BK470">
            <v>0</v>
          </cell>
          <cell r="BL470">
            <v>0</v>
          </cell>
          <cell r="BM470">
            <v>13800</v>
          </cell>
          <cell r="BN470">
            <v>0</v>
          </cell>
          <cell r="BO470">
            <v>835.35999999999876</v>
          </cell>
          <cell r="BP470" t="str">
            <v>Y</v>
          </cell>
          <cell r="BQ470">
            <v>1</v>
          </cell>
          <cell r="BR470" t="str">
            <v>Y</v>
          </cell>
          <cell r="BS470">
            <v>1837.7919999999967</v>
          </cell>
          <cell r="BT470" t="str">
            <v>Done</v>
          </cell>
          <cell r="BU470">
            <v>184</v>
          </cell>
          <cell r="BV470">
            <v>2024</v>
          </cell>
        </row>
        <row r="471">
          <cell r="A471" t="str">
            <v>Chennai</v>
          </cell>
          <cell r="B471" t="str">
            <v>Chennai</v>
          </cell>
          <cell r="C471" t="str">
            <v>Mid Level</v>
          </cell>
          <cell r="D471" t="str">
            <v>Vinoth L</v>
          </cell>
          <cell r="E471" t="str">
            <v>-</v>
          </cell>
          <cell r="H471" t="str">
            <v>M Harinath</v>
          </cell>
          <cell r="K471">
            <v>0</v>
          </cell>
          <cell r="L471" t="str">
            <v>Old</v>
          </cell>
          <cell r="M471">
            <v>45488</v>
          </cell>
          <cell r="N471">
            <v>3</v>
          </cell>
          <cell r="O471">
            <v>558</v>
          </cell>
          <cell r="P471" t="str">
            <v>-</v>
          </cell>
          <cell r="Q471">
            <v>45853</v>
          </cell>
          <cell r="R471" t="str">
            <v>PLC-3863</v>
          </cell>
          <cell r="S471" t="str">
            <v>Rajeshwari Malleti</v>
          </cell>
          <cell r="T471" t="str">
            <v>Individual</v>
          </cell>
          <cell r="U471" t="str">
            <v>C2C</v>
          </cell>
          <cell r="V471" t="str">
            <v>LTIMindtree</v>
          </cell>
          <cell r="W471">
            <v>75</v>
          </cell>
          <cell r="X471">
            <v>0</v>
          </cell>
          <cell r="Y471" t="str">
            <v>USD</v>
          </cell>
          <cell r="Z471">
            <v>82</v>
          </cell>
          <cell r="AA471">
            <v>0</v>
          </cell>
          <cell r="AB471">
            <v>0</v>
          </cell>
          <cell r="AC471">
            <v>0</v>
          </cell>
          <cell r="AD471">
            <v>45703</v>
          </cell>
          <cell r="AE471">
            <v>20</v>
          </cell>
          <cell r="AF471">
            <v>46022</v>
          </cell>
          <cell r="AG471">
            <v>75</v>
          </cell>
          <cell r="AH471">
            <v>0</v>
          </cell>
          <cell r="AI471">
            <v>75</v>
          </cell>
          <cell r="AJ471">
            <v>79.539999999999992</v>
          </cell>
          <cell r="AK471">
            <v>0</v>
          </cell>
          <cell r="AL471">
            <v>0</v>
          </cell>
          <cell r="AM471">
            <v>4.539999999999992</v>
          </cell>
          <cell r="AN471">
            <v>0</v>
          </cell>
          <cell r="AO471">
            <v>4.539999999999992</v>
          </cell>
          <cell r="AP471">
            <v>0</v>
          </cell>
          <cell r="AQ471">
            <v>4.539999999999992</v>
          </cell>
          <cell r="AR471" t="str">
            <v>US_24454</v>
          </cell>
          <cell r="AS471">
            <v>0</v>
          </cell>
          <cell r="AT471">
            <v>152</v>
          </cell>
          <cell r="AU471">
            <v>152</v>
          </cell>
          <cell r="AV471">
            <v>0</v>
          </cell>
          <cell r="AW471">
            <v>690.07999999999879</v>
          </cell>
          <cell r="AX471">
            <v>690.07999999999879</v>
          </cell>
          <cell r="AY471">
            <v>690.07999999999879</v>
          </cell>
          <cell r="AZ471">
            <v>66.666666666666657</v>
          </cell>
          <cell r="BA471">
            <v>9.9879999999999818</v>
          </cell>
          <cell r="BB471">
            <v>1518.1759999999972</v>
          </cell>
          <cell r="BC471">
            <v>53.225806451612897</v>
          </cell>
          <cell r="BD471">
            <v>690.07999999999879</v>
          </cell>
          <cell r="BE471">
            <v>552.06399999999906</v>
          </cell>
          <cell r="BF471">
            <v>690.07999999999879</v>
          </cell>
          <cell r="BG471">
            <v>12464</v>
          </cell>
          <cell r="BH471">
            <v>12090.079999999998</v>
          </cell>
          <cell r="BI471">
            <v>11400</v>
          </cell>
          <cell r="BJ471">
            <v>0</v>
          </cell>
          <cell r="BK471">
            <v>0</v>
          </cell>
          <cell r="BL471">
            <v>0</v>
          </cell>
          <cell r="BM471">
            <v>11400</v>
          </cell>
          <cell r="BN471">
            <v>0</v>
          </cell>
          <cell r="BO471">
            <v>690.07999999999811</v>
          </cell>
          <cell r="BP471" t="str">
            <v>Y</v>
          </cell>
          <cell r="BQ471">
            <v>1</v>
          </cell>
          <cell r="BR471" t="str">
            <v>Y</v>
          </cell>
          <cell r="BS471">
            <v>1518.1759999999972</v>
          </cell>
          <cell r="BT471" t="str">
            <v>Done</v>
          </cell>
          <cell r="BU471">
            <v>152</v>
          </cell>
          <cell r="BV471">
            <v>2024</v>
          </cell>
        </row>
        <row r="472">
          <cell r="A472" t="str">
            <v>Chennai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H472" t="str">
            <v>M Harinath</v>
          </cell>
          <cell r="K472">
            <v>0</v>
          </cell>
          <cell r="L472" t="str">
            <v>Old</v>
          </cell>
          <cell r="M472">
            <v>45488</v>
          </cell>
          <cell r="N472">
            <v>3</v>
          </cell>
          <cell r="O472">
            <v>558</v>
          </cell>
          <cell r="P472" t="str">
            <v>-</v>
          </cell>
          <cell r="Q472">
            <v>45853</v>
          </cell>
          <cell r="R472" t="str">
            <v>PLC-3863</v>
          </cell>
          <cell r="S472" t="str">
            <v>Rajeshwari Malleti</v>
          </cell>
          <cell r="T472" t="str">
            <v>Individual</v>
          </cell>
          <cell r="U472" t="str">
            <v>C2C</v>
          </cell>
          <cell r="V472" t="str">
            <v>LTIMindtree</v>
          </cell>
          <cell r="W472">
            <v>75</v>
          </cell>
          <cell r="X472">
            <v>0</v>
          </cell>
          <cell r="Y472" t="str">
            <v>USD</v>
          </cell>
          <cell r="Z472">
            <v>82</v>
          </cell>
          <cell r="AA472">
            <v>0</v>
          </cell>
          <cell r="AB472">
            <v>0</v>
          </cell>
          <cell r="AC472">
            <v>0</v>
          </cell>
          <cell r="AD472">
            <v>45731</v>
          </cell>
          <cell r="AE472">
            <v>21</v>
          </cell>
          <cell r="AF472">
            <v>46022</v>
          </cell>
          <cell r="AG472">
            <v>75</v>
          </cell>
          <cell r="AH472">
            <v>0</v>
          </cell>
          <cell r="AI472">
            <v>75</v>
          </cell>
          <cell r="AJ472">
            <v>79.539999999999992</v>
          </cell>
          <cell r="AK472">
            <v>0</v>
          </cell>
          <cell r="AL472">
            <v>0</v>
          </cell>
          <cell r="AM472">
            <v>4.539999999999992</v>
          </cell>
          <cell r="AN472">
            <v>0</v>
          </cell>
          <cell r="AO472">
            <v>4.539999999999992</v>
          </cell>
          <cell r="AP472">
            <v>0</v>
          </cell>
          <cell r="AQ472">
            <v>4.539999999999992</v>
          </cell>
          <cell r="AR472" t="str">
            <v>US_24642</v>
          </cell>
          <cell r="AS472">
            <v>0</v>
          </cell>
          <cell r="AT472">
            <v>168</v>
          </cell>
          <cell r="AU472">
            <v>168</v>
          </cell>
          <cell r="AV472">
            <v>0</v>
          </cell>
          <cell r="AW472">
            <v>762.71999999999866</v>
          </cell>
          <cell r="AX472">
            <v>762.71999999999866</v>
          </cell>
          <cell r="AY472">
            <v>762.71999999999866</v>
          </cell>
          <cell r="AZ472">
            <v>66.666666666666657</v>
          </cell>
          <cell r="BA472">
            <v>9.9879999999999818</v>
          </cell>
          <cell r="BB472">
            <v>1677.983999999997</v>
          </cell>
          <cell r="BC472">
            <v>53.225806451612897</v>
          </cell>
          <cell r="BD472">
            <v>762.71999999999866</v>
          </cell>
          <cell r="BE472">
            <v>610.17599999999891</v>
          </cell>
          <cell r="BF472">
            <v>762.71999999999866</v>
          </cell>
          <cell r="BG472">
            <v>13776</v>
          </cell>
          <cell r="BH472">
            <v>13362.72</v>
          </cell>
          <cell r="BI472">
            <v>12600</v>
          </cell>
          <cell r="BJ472">
            <v>0</v>
          </cell>
          <cell r="BK472">
            <v>0</v>
          </cell>
          <cell r="BL472">
            <v>0</v>
          </cell>
          <cell r="BM472">
            <v>12600</v>
          </cell>
          <cell r="BN472">
            <v>0</v>
          </cell>
          <cell r="BO472">
            <v>762.71999999999935</v>
          </cell>
          <cell r="BP472" t="str">
            <v>Y</v>
          </cell>
          <cell r="BQ472">
            <v>1</v>
          </cell>
          <cell r="BR472" t="str">
            <v>Y</v>
          </cell>
          <cell r="BS472">
            <v>1677.983999999997</v>
          </cell>
          <cell r="BT472" t="str">
            <v>Done</v>
          </cell>
          <cell r="BU472">
            <v>168</v>
          </cell>
          <cell r="BV472">
            <v>2024</v>
          </cell>
        </row>
        <row r="473">
          <cell r="A473" t="str">
            <v>Chennai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H473" t="str">
            <v>M Harinath</v>
          </cell>
          <cell r="K473">
            <v>0</v>
          </cell>
          <cell r="L473" t="str">
            <v>Old</v>
          </cell>
          <cell r="M473">
            <v>45488</v>
          </cell>
          <cell r="N473">
            <v>3</v>
          </cell>
          <cell r="O473">
            <v>558</v>
          </cell>
          <cell r="P473" t="str">
            <v>-</v>
          </cell>
          <cell r="Q473">
            <v>45853</v>
          </cell>
          <cell r="R473" t="str">
            <v>PLC-3863</v>
          </cell>
          <cell r="S473" t="str">
            <v>Rajeshwari Malleti</v>
          </cell>
          <cell r="T473" t="str">
            <v>Individual</v>
          </cell>
          <cell r="U473" t="str">
            <v>C2C</v>
          </cell>
          <cell r="V473" t="str">
            <v>LTIMindtree</v>
          </cell>
          <cell r="W473">
            <v>75</v>
          </cell>
          <cell r="X473">
            <v>0</v>
          </cell>
          <cell r="Y473" t="str">
            <v>USD</v>
          </cell>
          <cell r="Z473">
            <v>82</v>
          </cell>
          <cell r="AA473">
            <v>0</v>
          </cell>
          <cell r="AB473">
            <v>0</v>
          </cell>
          <cell r="AC473">
            <v>0</v>
          </cell>
          <cell r="AD473">
            <v>45762</v>
          </cell>
          <cell r="AE473">
            <v>22</v>
          </cell>
          <cell r="AF473">
            <v>46022</v>
          </cell>
          <cell r="AG473">
            <v>75</v>
          </cell>
          <cell r="AH473">
            <v>0</v>
          </cell>
          <cell r="AI473">
            <v>75</v>
          </cell>
          <cell r="AJ473">
            <v>79.539999999999992</v>
          </cell>
          <cell r="AK473">
            <v>0</v>
          </cell>
          <cell r="AL473">
            <v>0</v>
          </cell>
          <cell r="AM473">
            <v>4.539999999999992</v>
          </cell>
          <cell r="AN473">
            <v>0</v>
          </cell>
          <cell r="AO473">
            <v>4.539999999999992</v>
          </cell>
          <cell r="AP473">
            <v>0</v>
          </cell>
          <cell r="AQ473">
            <v>4.539999999999992</v>
          </cell>
          <cell r="AR473" t="str">
            <v>US_24849</v>
          </cell>
          <cell r="AS473">
            <v>0</v>
          </cell>
          <cell r="AT473">
            <v>176</v>
          </cell>
          <cell r="AU473">
            <v>176</v>
          </cell>
          <cell r="AV473">
            <v>0</v>
          </cell>
          <cell r="AW473">
            <v>799.0399999999986</v>
          </cell>
          <cell r="AX473">
            <v>799.0399999999986</v>
          </cell>
          <cell r="AY473">
            <v>799.0399999999986</v>
          </cell>
          <cell r="AZ473">
            <v>66.666666666666657</v>
          </cell>
          <cell r="BA473">
            <v>9.9879999999999818</v>
          </cell>
          <cell r="BB473">
            <v>1757.8879999999967</v>
          </cell>
          <cell r="BC473">
            <v>53.225806451612897</v>
          </cell>
          <cell r="BD473">
            <v>799.0399999999986</v>
          </cell>
          <cell r="BE473">
            <v>639.23199999999883</v>
          </cell>
          <cell r="BF473">
            <v>799.0399999999986</v>
          </cell>
          <cell r="BG473">
            <v>14432</v>
          </cell>
          <cell r="BH473">
            <v>13999.039999999999</v>
          </cell>
          <cell r="BI473">
            <v>13200</v>
          </cell>
          <cell r="BJ473">
            <v>0</v>
          </cell>
          <cell r="BK473">
            <v>0</v>
          </cell>
          <cell r="BL473">
            <v>0</v>
          </cell>
          <cell r="BM473">
            <v>13200</v>
          </cell>
          <cell r="BN473">
            <v>0</v>
          </cell>
          <cell r="BO473">
            <v>799.03999999999905</v>
          </cell>
          <cell r="BP473" t="str">
            <v>Y</v>
          </cell>
          <cell r="BQ473">
            <v>2</v>
          </cell>
          <cell r="BR473" t="str">
            <v>Y</v>
          </cell>
          <cell r="BS473">
            <v>1757.8879999999967</v>
          </cell>
          <cell r="BT473" t="str">
            <v>Done</v>
          </cell>
          <cell r="BU473">
            <v>176</v>
          </cell>
          <cell r="BV473">
            <v>2024</v>
          </cell>
        </row>
        <row r="474">
          <cell r="A474" t="str">
            <v>Lucknow</v>
          </cell>
          <cell r="B474" t="str">
            <v>Mavericks</v>
          </cell>
          <cell r="C474" t="str">
            <v>Mid Level</v>
          </cell>
          <cell r="D474" t="str">
            <v>Kashif Nabi</v>
          </cell>
          <cell r="E474" t="str">
            <v>-</v>
          </cell>
          <cell r="H474" t="str">
            <v>Khatib Rahman</v>
          </cell>
          <cell r="K474">
            <v>0</v>
          </cell>
          <cell r="L474" t="str">
            <v>Old</v>
          </cell>
          <cell r="M474">
            <v>45628</v>
          </cell>
          <cell r="N474">
            <v>4</v>
          </cell>
          <cell r="O474">
            <v>418</v>
          </cell>
          <cell r="P474">
            <v>45688</v>
          </cell>
          <cell r="Q474">
            <v>45993</v>
          </cell>
          <cell r="R474" t="str">
            <v>PLC-4047</v>
          </cell>
          <cell r="S474" t="str">
            <v>Rajeshwary Laxman Pattar</v>
          </cell>
          <cell r="T474" t="str">
            <v>Individual</v>
          </cell>
          <cell r="U474" t="str">
            <v>C2C</v>
          </cell>
          <cell r="V474" t="str">
            <v>Cigniti</v>
          </cell>
          <cell r="W474">
            <v>75</v>
          </cell>
          <cell r="X474">
            <v>0</v>
          </cell>
          <cell r="Y474" t="str">
            <v>USD</v>
          </cell>
          <cell r="Z474">
            <v>85</v>
          </cell>
          <cell r="AA474">
            <v>0</v>
          </cell>
          <cell r="AB474">
            <v>0</v>
          </cell>
          <cell r="AC474">
            <v>0</v>
          </cell>
          <cell r="AD474">
            <v>45672</v>
          </cell>
          <cell r="AE474">
            <v>22</v>
          </cell>
          <cell r="AF474">
            <v>46022</v>
          </cell>
          <cell r="AG474">
            <v>75</v>
          </cell>
          <cell r="AH474">
            <v>0</v>
          </cell>
          <cell r="AI474">
            <v>75</v>
          </cell>
          <cell r="AJ474">
            <v>85</v>
          </cell>
          <cell r="AK474">
            <v>0</v>
          </cell>
          <cell r="AL474">
            <v>0</v>
          </cell>
          <cell r="AM474">
            <v>10</v>
          </cell>
          <cell r="AN474">
            <v>0</v>
          </cell>
          <cell r="AO474">
            <v>10</v>
          </cell>
          <cell r="AP474">
            <v>0</v>
          </cell>
          <cell r="AQ474">
            <v>10</v>
          </cell>
          <cell r="AR474" t="str">
            <v>US_24310</v>
          </cell>
          <cell r="AS474">
            <v>0</v>
          </cell>
          <cell r="AT474">
            <v>176</v>
          </cell>
          <cell r="AU474">
            <v>176</v>
          </cell>
          <cell r="AV474">
            <v>0</v>
          </cell>
          <cell r="AW474">
            <v>1760</v>
          </cell>
          <cell r="AX474">
            <v>1760</v>
          </cell>
          <cell r="AY474">
            <v>1760</v>
          </cell>
          <cell r="AZ474">
            <v>33.333333333333329</v>
          </cell>
          <cell r="BA474">
            <v>16</v>
          </cell>
          <cell r="BB474">
            <v>2816</v>
          </cell>
          <cell r="BD474">
            <v>1760</v>
          </cell>
          <cell r="BF474">
            <v>1760</v>
          </cell>
          <cell r="BG474">
            <v>14960</v>
          </cell>
          <cell r="BH474">
            <v>14960</v>
          </cell>
          <cell r="BI474">
            <v>13200</v>
          </cell>
          <cell r="BJ474">
            <v>0</v>
          </cell>
          <cell r="BK474">
            <v>0</v>
          </cell>
          <cell r="BL474">
            <v>0</v>
          </cell>
          <cell r="BM474">
            <v>13200</v>
          </cell>
          <cell r="BN474">
            <v>0</v>
          </cell>
          <cell r="BO474">
            <v>1760</v>
          </cell>
          <cell r="BP474" t="str">
            <v>Y</v>
          </cell>
          <cell r="BQ474">
            <v>1</v>
          </cell>
          <cell r="BR474" t="str">
            <v>Y</v>
          </cell>
          <cell r="BS474">
            <v>2816</v>
          </cell>
          <cell r="BT474" t="str">
            <v>Done</v>
          </cell>
          <cell r="BU474">
            <v>176</v>
          </cell>
          <cell r="BV474">
            <v>2024</v>
          </cell>
        </row>
        <row r="475">
          <cell r="A475" t="str">
            <v>Lucknow</v>
          </cell>
          <cell r="B475" t="str">
            <v>Trust</v>
          </cell>
          <cell r="C475" t="str">
            <v>Mid Level</v>
          </cell>
          <cell r="D475" t="str">
            <v>Harsh Agarwal</v>
          </cell>
          <cell r="E475" t="str">
            <v>-</v>
          </cell>
          <cell r="H475" t="str">
            <v>Sana Zohra</v>
          </cell>
          <cell r="K475">
            <v>0</v>
          </cell>
          <cell r="L475" t="str">
            <v>Old</v>
          </cell>
          <cell r="M475">
            <v>45446</v>
          </cell>
          <cell r="N475">
            <v>2</v>
          </cell>
          <cell r="O475">
            <v>600</v>
          </cell>
          <cell r="P475">
            <v>45730</v>
          </cell>
          <cell r="Q475">
            <v>45811</v>
          </cell>
          <cell r="R475" t="str">
            <v>PLC-3795</v>
          </cell>
          <cell r="S475" t="str">
            <v>Rama Subrahmanyam Jonnalagadda</v>
          </cell>
          <cell r="T475" t="str">
            <v>Individual</v>
          </cell>
          <cell r="U475" t="str">
            <v>C2C</v>
          </cell>
          <cell r="V475" t="str">
            <v>Birlasoft</v>
          </cell>
          <cell r="W475">
            <v>95</v>
          </cell>
          <cell r="X475">
            <v>0</v>
          </cell>
          <cell r="Y475" t="str">
            <v>CAD</v>
          </cell>
          <cell r="Z475">
            <v>105</v>
          </cell>
          <cell r="AA475">
            <v>0</v>
          </cell>
          <cell r="AB475">
            <v>0</v>
          </cell>
          <cell r="AC475">
            <v>1.5</v>
          </cell>
          <cell r="AD475">
            <v>45672</v>
          </cell>
          <cell r="AE475">
            <v>22</v>
          </cell>
          <cell r="AF475">
            <v>46022</v>
          </cell>
          <cell r="AG475">
            <v>67.45</v>
          </cell>
          <cell r="AH475">
            <v>0</v>
          </cell>
          <cell r="AI475">
            <v>68.95</v>
          </cell>
          <cell r="AJ475">
            <v>74.55</v>
          </cell>
          <cell r="AK475">
            <v>0</v>
          </cell>
          <cell r="AL475">
            <v>0</v>
          </cell>
          <cell r="AM475">
            <v>5.5999999999999943</v>
          </cell>
          <cell r="AN475">
            <v>0</v>
          </cell>
          <cell r="AO475">
            <v>5.5999999999999943</v>
          </cell>
          <cell r="AP475">
            <v>0</v>
          </cell>
          <cell r="AQ475">
            <v>5.5999999999999943</v>
          </cell>
          <cell r="AR475" t="str">
            <v>CAD_1405</v>
          </cell>
          <cell r="AS475">
            <v>0</v>
          </cell>
          <cell r="AT475">
            <v>176</v>
          </cell>
          <cell r="AU475">
            <v>176</v>
          </cell>
          <cell r="AV475">
            <v>0</v>
          </cell>
          <cell r="AW475">
            <v>985.599999999999</v>
          </cell>
          <cell r="AX475">
            <v>985.599999999999</v>
          </cell>
          <cell r="AY475">
            <v>985.599999999999</v>
          </cell>
          <cell r="AZ475">
            <v>60</v>
          </cell>
          <cell r="BA475">
            <v>12.319999999999986</v>
          </cell>
          <cell r="BB475">
            <v>2168.3199999999974</v>
          </cell>
          <cell r="BD475">
            <v>985.599999999999</v>
          </cell>
          <cell r="BF475">
            <v>985.599999999999</v>
          </cell>
          <cell r="BG475">
            <v>18480</v>
          </cell>
          <cell r="BH475">
            <v>13120.8</v>
          </cell>
          <cell r="BI475">
            <v>12387.848</v>
          </cell>
          <cell r="BJ475">
            <v>0</v>
          </cell>
          <cell r="BK475">
            <v>264</v>
          </cell>
          <cell r="BL475">
            <v>0</v>
          </cell>
          <cell r="BM475">
            <v>12651.848</v>
          </cell>
          <cell r="BN475">
            <v>1.5</v>
          </cell>
          <cell r="BO475">
            <v>468.95199999999932</v>
          </cell>
          <cell r="BP475" t="str">
            <v>Y</v>
          </cell>
          <cell r="BQ475">
            <v>1</v>
          </cell>
          <cell r="BR475" t="str">
            <v>Y</v>
          </cell>
          <cell r="BS475">
            <v>2168.3199999999974</v>
          </cell>
          <cell r="BT475" t="str">
            <v>Done</v>
          </cell>
          <cell r="BU475">
            <v>176</v>
          </cell>
          <cell r="BV475">
            <v>2024</v>
          </cell>
        </row>
        <row r="476">
          <cell r="A476" t="str">
            <v>Lucknow</v>
          </cell>
          <cell r="B476" t="str">
            <v>Trust</v>
          </cell>
          <cell r="C476" t="str">
            <v>Mid Level</v>
          </cell>
          <cell r="D476" t="str">
            <v>Harsh Agarwal</v>
          </cell>
          <cell r="E476" t="str">
            <v>-</v>
          </cell>
          <cell r="H476" t="str">
            <v>Sana Zohra</v>
          </cell>
          <cell r="K476">
            <v>0</v>
          </cell>
          <cell r="L476" t="str">
            <v>Old</v>
          </cell>
          <cell r="M476">
            <v>45446</v>
          </cell>
          <cell r="N476">
            <v>2</v>
          </cell>
          <cell r="O476">
            <v>600</v>
          </cell>
          <cell r="P476">
            <v>45730</v>
          </cell>
          <cell r="Q476">
            <v>45811</v>
          </cell>
          <cell r="R476" t="str">
            <v>PLC-3795</v>
          </cell>
          <cell r="S476" t="str">
            <v>Rama Subrahmanyam Jonnalagadda</v>
          </cell>
          <cell r="T476" t="str">
            <v>Individual</v>
          </cell>
          <cell r="U476" t="str">
            <v>C2C</v>
          </cell>
          <cell r="V476" t="str">
            <v>Birlasoft</v>
          </cell>
          <cell r="W476">
            <v>95</v>
          </cell>
          <cell r="X476">
            <v>0</v>
          </cell>
          <cell r="Y476" t="str">
            <v>CAD</v>
          </cell>
          <cell r="Z476">
            <v>105</v>
          </cell>
          <cell r="AA476">
            <v>0</v>
          </cell>
          <cell r="AB476">
            <v>0</v>
          </cell>
          <cell r="AC476">
            <v>1.5</v>
          </cell>
          <cell r="AD476">
            <v>45703</v>
          </cell>
          <cell r="AE476">
            <v>20</v>
          </cell>
          <cell r="AF476">
            <v>46022</v>
          </cell>
          <cell r="AG476">
            <v>67.45</v>
          </cell>
          <cell r="AH476">
            <v>0</v>
          </cell>
          <cell r="AI476">
            <v>68.95</v>
          </cell>
          <cell r="AJ476">
            <v>74.55</v>
          </cell>
          <cell r="AK476">
            <v>0</v>
          </cell>
          <cell r="AL476">
            <v>0</v>
          </cell>
          <cell r="AM476">
            <v>5.5999999999999943</v>
          </cell>
          <cell r="AN476">
            <v>0</v>
          </cell>
          <cell r="AO476">
            <v>5.5999999999999943</v>
          </cell>
          <cell r="AP476">
            <v>0</v>
          </cell>
          <cell r="AQ476">
            <v>5.5999999999999943</v>
          </cell>
          <cell r="AR476" t="str">
            <v>CAD_1431</v>
          </cell>
          <cell r="AS476">
            <v>0</v>
          </cell>
          <cell r="AT476">
            <v>160</v>
          </cell>
          <cell r="AU476">
            <v>160</v>
          </cell>
          <cell r="AV476">
            <v>0</v>
          </cell>
          <cell r="AW476">
            <v>895.99999999999909</v>
          </cell>
          <cell r="AX476">
            <v>895.99999999999909</v>
          </cell>
          <cell r="AY476">
            <v>895.99999999999909</v>
          </cell>
          <cell r="AZ476">
            <v>60</v>
          </cell>
          <cell r="BA476">
            <v>12.319999999999986</v>
          </cell>
          <cell r="BB476">
            <v>1971.1999999999978</v>
          </cell>
          <cell r="BD476">
            <v>895.99999999999909</v>
          </cell>
          <cell r="BF476">
            <v>895.99999999999909</v>
          </cell>
          <cell r="BG476">
            <v>16800</v>
          </cell>
          <cell r="BH476">
            <v>11928</v>
          </cell>
          <cell r="BI476">
            <v>11261.68</v>
          </cell>
          <cell r="BJ476">
            <v>0</v>
          </cell>
          <cell r="BK476">
            <v>240</v>
          </cell>
          <cell r="BL476">
            <v>0</v>
          </cell>
          <cell r="BM476">
            <v>11501.68</v>
          </cell>
          <cell r="BN476">
            <v>1.5</v>
          </cell>
          <cell r="BO476">
            <v>426.31999999999971</v>
          </cell>
          <cell r="BP476" t="str">
            <v>Y</v>
          </cell>
          <cell r="BQ476">
            <v>1</v>
          </cell>
          <cell r="BR476" t="str">
            <v>Y</v>
          </cell>
          <cell r="BS476">
            <v>1971.1999999999978</v>
          </cell>
          <cell r="BT476" t="str">
            <v>Done</v>
          </cell>
          <cell r="BU476">
            <v>160</v>
          </cell>
          <cell r="BV476">
            <v>2024</v>
          </cell>
        </row>
        <row r="477">
          <cell r="A477" t="str">
            <v>Lucknow</v>
          </cell>
          <cell r="B477" t="str">
            <v>Trust</v>
          </cell>
          <cell r="C477" t="str">
            <v>Mid Level</v>
          </cell>
          <cell r="D477" t="str">
            <v>Harsh Agarwal</v>
          </cell>
          <cell r="E477" t="str">
            <v>-</v>
          </cell>
          <cell r="H477" t="str">
            <v>Sana Zohra</v>
          </cell>
          <cell r="K477">
            <v>0</v>
          </cell>
          <cell r="L477" t="str">
            <v>Old</v>
          </cell>
          <cell r="M477">
            <v>45446</v>
          </cell>
          <cell r="N477">
            <v>2</v>
          </cell>
          <cell r="O477">
            <v>600</v>
          </cell>
          <cell r="P477">
            <v>45730</v>
          </cell>
          <cell r="Q477">
            <v>45811</v>
          </cell>
          <cell r="R477" t="str">
            <v>PLC-3795</v>
          </cell>
          <cell r="S477" t="str">
            <v>Rama Subrahmanyam Jonnalagadda</v>
          </cell>
          <cell r="T477" t="str">
            <v>Individual</v>
          </cell>
          <cell r="U477" t="str">
            <v>C2C</v>
          </cell>
          <cell r="V477" t="str">
            <v>Birlasoft</v>
          </cell>
          <cell r="W477">
            <v>95</v>
          </cell>
          <cell r="X477">
            <v>0</v>
          </cell>
          <cell r="Y477" t="str">
            <v>CAD</v>
          </cell>
          <cell r="Z477">
            <v>105</v>
          </cell>
          <cell r="AA477">
            <v>0</v>
          </cell>
          <cell r="AB477">
            <v>0</v>
          </cell>
          <cell r="AC477">
            <v>1.5</v>
          </cell>
          <cell r="AD477">
            <v>45731</v>
          </cell>
          <cell r="AE477">
            <v>10</v>
          </cell>
          <cell r="AF477">
            <v>46022</v>
          </cell>
          <cell r="AG477">
            <v>67.45</v>
          </cell>
          <cell r="AH477">
            <v>0</v>
          </cell>
          <cell r="AI477">
            <v>68.95</v>
          </cell>
          <cell r="AJ477">
            <v>74.55</v>
          </cell>
          <cell r="AK477">
            <v>0</v>
          </cell>
          <cell r="AL477">
            <v>0</v>
          </cell>
          <cell r="AM477">
            <v>5.5999999999999943</v>
          </cell>
          <cell r="AN477">
            <v>0</v>
          </cell>
          <cell r="AO477">
            <v>5.5999999999999943</v>
          </cell>
          <cell r="AP477">
            <v>0</v>
          </cell>
          <cell r="AQ477">
            <v>5.5999999999999943</v>
          </cell>
          <cell r="AR477" t="str">
            <v>CAD_1456</v>
          </cell>
          <cell r="AS477">
            <v>0</v>
          </cell>
          <cell r="AT477">
            <v>80</v>
          </cell>
          <cell r="AU477">
            <v>80</v>
          </cell>
          <cell r="AV477">
            <v>0</v>
          </cell>
          <cell r="AW477">
            <v>447.99999999999955</v>
          </cell>
          <cell r="AX477">
            <v>447.99999999999955</v>
          </cell>
          <cell r="AY477">
            <v>447.99999999999955</v>
          </cell>
          <cell r="AZ477">
            <v>60</v>
          </cell>
          <cell r="BA477">
            <v>12.319999999999986</v>
          </cell>
          <cell r="BB477">
            <v>985.59999999999889</v>
          </cell>
          <cell r="BD477">
            <v>447.99999999999955</v>
          </cell>
          <cell r="BF477">
            <v>447.99999999999955</v>
          </cell>
          <cell r="BG477">
            <v>8400</v>
          </cell>
          <cell r="BH477">
            <v>5964</v>
          </cell>
          <cell r="BI477">
            <v>5630.84</v>
          </cell>
          <cell r="BJ477">
            <v>0</v>
          </cell>
          <cell r="BK477">
            <v>120</v>
          </cell>
          <cell r="BL477">
            <v>0</v>
          </cell>
          <cell r="BM477">
            <v>5750.84</v>
          </cell>
          <cell r="BN477">
            <v>1.5</v>
          </cell>
          <cell r="BO477">
            <v>213.15999999999985</v>
          </cell>
          <cell r="BP477" t="str">
            <v>Y</v>
          </cell>
          <cell r="BQ477">
            <v>1</v>
          </cell>
          <cell r="BR477" t="str">
            <v>Y</v>
          </cell>
          <cell r="BS477">
            <v>985.59999999999889</v>
          </cell>
          <cell r="BT477" t="str">
            <v>Done</v>
          </cell>
          <cell r="BU477">
            <v>80</v>
          </cell>
          <cell r="BV477">
            <v>2024</v>
          </cell>
        </row>
        <row r="478">
          <cell r="A478" t="str">
            <v>Lucknow</v>
          </cell>
          <cell r="B478" t="str">
            <v>Titans</v>
          </cell>
          <cell r="C478" t="str">
            <v>Mid Level</v>
          </cell>
          <cell r="D478" t="str">
            <v>Nitin Saxena</v>
          </cell>
          <cell r="E478" t="str">
            <v>Nitin Saxena</v>
          </cell>
          <cell r="H478" t="str">
            <v>Ratnesh Kashyap</v>
          </cell>
          <cell r="K478">
            <v>0</v>
          </cell>
          <cell r="L478" t="str">
            <v>Old</v>
          </cell>
          <cell r="M478">
            <v>45448</v>
          </cell>
          <cell r="N478">
            <v>2</v>
          </cell>
          <cell r="O478">
            <v>598</v>
          </cell>
          <cell r="P478">
            <v>46022</v>
          </cell>
          <cell r="Q478">
            <v>45813</v>
          </cell>
          <cell r="R478" t="str">
            <v>PLC-3806</v>
          </cell>
          <cell r="S478" t="str">
            <v>Rameez Haslani</v>
          </cell>
          <cell r="T478" t="str">
            <v>Individual</v>
          </cell>
          <cell r="U478" t="str">
            <v>C2C</v>
          </cell>
          <cell r="V478" t="str">
            <v>Genpact</v>
          </cell>
          <cell r="W478">
            <v>70</v>
          </cell>
          <cell r="X478">
            <v>0</v>
          </cell>
          <cell r="Y478" t="str">
            <v>CAD</v>
          </cell>
          <cell r="Z478">
            <v>85</v>
          </cell>
          <cell r="AA478">
            <v>0</v>
          </cell>
          <cell r="AB478">
            <v>0</v>
          </cell>
          <cell r="AC478">
            <v>0</v>
          </cell>
          <cell r="AD478">
            <v>45672</v>
          </cell>
          <cell r="AE478">
            <v>23</v>
          </cell>
          <cell r="AF478">
            <v>46022</v>
          </cell>
          <cell r="AG478">
            <v>49.699999999999996</v>
          </cell>
          <cell r="AH478">
            <v>0</v>
          </cell>
          <cell r="AI478">
            <v>49.699999999999996</v>
          </cell>
          <cell r="AJ478">
            <v>60.349999999999994</v>
          </cell>
          <cell r="AK478">
            <v>0</v>
          </cell>
          <cell r="AL478">
            <v>0</v>
          </cell>
          <cell r="AM478">
            <v>10.649999999999999</v>
          </cell>
          <cell r="AN478">
            <v>0</v>
          </cell>
          <cell r="AO478">
            <v>10.649999999999999</v>
          </cell>
          <cell r="AP478">
            <v>0</v>
          </cell>
          <cell r="AQ478">
            <v>10.649999999999999</v>
          </cell>
          <cell r="AR478" t="str">
            <v>CAD_1404</v>
          </cell>
          <cell r="AS478">
            <v>0</v>
          </cell>
          <cell r="AT478">
            <v>176</v>
          </cell>
          <cell r="AU478">
            <v>176</v>
          </cell>
          <cell r="AV478">
            <v>0</v>
          </cell>
          <cell r="AW478">
            <v>1874.3999999999996</v>
          </cell>
          <cell r="AX478">
            <v>1874.3999999999996</v>
          </cell>
          <cell r="AY478">
            <v>1874.3999999999996</v>
          </cell>
          <cell r="AZ478">
            <v>57.142857142857139</v>
          </cell>
          <cell r="BA478">
            <v>23.429999999999996</v>
          </cell>
          <cell r="BB478">
            <v>4123.6799999999994</v>
          </cell>
          <cell r="BC478">
            <v>63</v>
          </cell>
          <cell r="BD478">
            <v>1874.3999999999996</v>
          </cell>
          <cell r="BE478">
            <v>2249.2799999999993</v>
          </cell>
          <cell r="BF478">
            <v>1874.3999999999996</v>
          </cell>
          <cell r="BG478">
            <v>14960</v>
          </cell>
          <cell r="BH478">
            <v>10621.599999999999</v>
          </cell>
          <cell r="BI478">
            <v>9127.8880000000008</v>
          </cell>
          <cell r="BJ478">
            <v>0</v>
          </cell>
          <cell r="BK478">
            <v>0</v>
          </cell>
          <cell r="BL478">
            <v>0</v>
          </cell>
          <cell r="BM478">
            <v>9127.8880000000008</v>
          </cell>
          <cell r="BN478">
            <v>0</v>
          </cell>
          <cell r="BO478">
            <v>1493.7119999999977</v>
          </cell>
          <cell r="BP478" t="str">
            <v>Y</v>
          </cell>
          <cell r="BQ478">
            <v>1</v>
          </cell>
          <cell r="BR478" t="str">
            <v>Y</v>
          </cell>
          <cell r="BS478">
            <v>4123.6799999999994</v>
          </cell>
          <cell r="BT478" t="str">
            <v>Done</v>
          </cell>
          <cell r="BU478">
            <v>176</v>
          </cell>
          <cell r="BV478">
            <v>2024</v>
          </cell>
        </row>
        <row r="479">
          <cell r="A479" t="str">
            <v>Lucknow</v>
          </cell>
          <cell r="B479" t="str">
            <v>Titans</v>
          </cell>
          <cell r="C479" t="str">
            <v>Mid Level</v>
          </cell>
          <cell r="D479" t="str">
            <v>Nitin Saxena</v>
          </cell>
          <cell r="E479" t="str">
            <v>Nitin Saxena</v>
          </cell>
          <cell r="H479" t="str">
            <v>Ratnesh Kashyap</v>
          </cell>
          <cell r="K479">
            <v>0</v>
          </cell>
          <cell r="L479" t="str">
            <v>Old</v>
          </cell>
          <cell r="M479">
            <v>45448</v>
          </cell>
          <cell r="N479">
            <v>2</v>
          </cell>
          <cell r="O479">
            <v>598</v>
          </cell>
          <cell r="P479">
            <v>46022</v>
          </cell>
          <cell r="Q479">
            <v>45813</v>
          </cell>
          <cell r="R479" t="str">
            <v>PLC-3806</v>
          </cell>
          <cell r="S479" t="str">
            <v>Rameez Haslani</v>
          </cell>
          <cell r="T479" t="str">
            <v>Individual</v>
          </cell>
          <cell r="U479" t="str">
            <v>C2C</v>
          </cell>
          <cell r="V479" t="str">
            <v>Genpact</v>
          </cell>
          <cell r="W479">
            <v>70</v>
          </cell>
          <cell r="X479">
            <v>0</v>
          </cell>
          <cell r="Y479" t="str">
            <v>CAD</v>
          </cell>
          <cell r="Z479">
            <v>85</v>
          </cell>
          <cell r="AA479">
            <v>0</v>
          </cell>
          <cell r="AB479">
            <v>0</v>
          </cell>
          <cell r="AC479">
            <v>0</v>
          </cell>
          <cell r="AD479">
            <v>45703</v>
          </cell>
          <cell r="AE479">
            <v>20</v>
          </cell>
          <cell r="AF479">
            <v>46022</v>
          </cell>
          <cell r="AG479">
            <v>49.699999999999996</v>
          </cell>
          <cell r="AH479">
            <v>0</v>
          </cell>
          <cell r="AI479">
            <v>49.699999999999996</v>
          </cell>
          <cell r="AJ479">
            <v>60.349999999999994</v>
          </cell>
          <cell r="AK479">
            <v>0</v>
          </cell>
          <cell r="AL479">
            <v>0</v>
          </cell>
          <cell r="AM479">
            <v>10.649999999999999</v>
          </cell>
          <cell r="AN479">
            <v>0</v>
          </cell>
          <cell r="AO479">
            <v>10.649999999999999</v>
          </cell>
          <cell r="AP479">
            <v>0</v>
          </cell>
          <cell r="AQ479">
            <v>10.649999999999999</v>
          </cell>
          <cell r="AR479" t="str">
            <v>CAD_1430</v>
          </cell>
          <cell r="AS479">
            <v>0</v>
          </cell>
          <cell r="AT479">
            <v>152</v>
          </cell>
          <cell r="AU479">
            <v>152</v>
          </cell>
          <cell r="AV479">
            <v>0</v>
          </cell>
          <cell r="AW479">
            <v>1618.7999999999997</v>
          </cell>
          <cell r="AX479">
            <v>1618.7999999999997</v>
          </cell>
          <cell r="AY479">
            <v>1618.7999999999997</v>
          </cell>
          <cell r="AZ479">
            <v>57.142857142857139</v>
          </cell>
          <cell r="BA479">
            <v>23.429999999999996</v>
          </cell>
          <cell r="BB479">
            <v>3561.3599999999992</v>
          </cell>
          <cell r="BC479">
            <v>63</v>
          </cell>
          <cell r="BD479">
            <v>1618.7999999999997</v>
          </cell>
          <cell r="BE479">
            <v>1942.5599999999997</v>
          </cell>
          <cell r="BF479">
            <v>1618.7999999999997</v>
          </cell>
          <cell r="BG479">
            <v>12920</v>
          </cell>
          <cell r="BH479">
            <v>9173.1999999999989</v>
          </cell>
          <cell r="BI479">
            <v>7883.1760000000004</v>
          </cell>
          <cell r="BJ479">
            <v>0</v>
          </cell>
          <cell r="BK479">
            <v>0</v>
          </cell>
          <cell r="BL479">
            <v>0</v>
          </cell>
          <cell r="BM479">
            <v>7883.1760000000004</v>
          </cell>
          <cell r="BN479">
            <v>0</v>
          </cell>
          <cell r="BO479">
            <v>1290.0239999999985</v>
          </cell>
          <cell r="BP479" t="str">
            <v>Y</v>
          </cell>
          <cell r="BQ479">
            <v>1</v>
          </cell>
          <cell r="BR479" t="str">
            <v>Y</v>
          </cell>
          <cell r="BS479">
            <v>3561.3599999999992</v>
          </cell>
          <cell r="BT479" t="str">
            <v>Done</v>
          </cell>
          <cell r="BU479">
            <v>152</v>
          </cell>
          <cell r="BV479">
            <v>2024</v>
          </cell>
        </row>
        <row r="480">
          <cell r="A480" t="str">
            <v>Lucknow</v>
          </cell>
          <cell r="B480" t="str">
            <v>Titans</v>
          </cell>
          <cell r="C480" t="str">
            <v>Mid Level</v>
          </cell>
          <cell r="D480" t="str">
            <v>Nitin Saxena</v>
          </cell>
          <cell r="E480" t="str">
            <v>Nitin Saxena</v>
          </cell>
          <cell r="H480" t="str">
            <v>Ratnesh Kashyap</v>
          </cell>
          <cell r="K480">
            <v>0</v>
          </cell>
          <cell r="L480" t="str">
            <v>Old</v>
          </cell>
          <cell r="M480">
            <v>45448</v>
          </cell>
          <cell r="N480">
            <v>2</v>
          </cell>
          <cell r="O480">
            <v>598</v>
          </cell>
          <cell r="P480">
            <v>46022</v>
          </cell>
          <cell r="Q480">
            <v>45813</v>
          </cell>
          <cell r="R480" t="str">
            <v>PLC-3806</v>
          </cell>
          <cell r="S480" t="str">
            <v>Rameez Haslani</v>
          </cell>
          <cell r="T480" t="str">
            <v>Individual</v>
          </cell>
          <cell r="U480" t="str">
            <v>C2C</v>
          </cell>
          <cell r="V480" t="str">
            <v>Genpact</v>
          </cell>
          <cell r="W480">
            <v>70</v>
          </cell>
          <cell r="X480">
            <v>0</v>
          </cell>
          <cell r="Y480" t="str">
            <v>CAD</v>
          </cell>
          <cell r="Z480">
            <v>85</v>
          </cell>
          <cell r="AA480">
            <v>0</v>
          </cell>
          <cell r="AB480">
            <v>0</v>
          </cell>
          <cell r="AC480">
            <v>0</v>
          </cell>
          <cell r="AD480">
            <v>45731</v>
          </cell>
          <cell r="AE480">
            <v>21</v>
          </cell>
          <cell r="AF480">
            <v>46022</v>
          </cell>
          <cell r="AG480">
            <v>49.699999999999996</v>
          </cell>
          <cell r="AH480">
            <v>0</v>
          </cell>
          <cell r="AI480">
            <v>49.699999999999996</v>
          </cell>
          <cell r="AJ480">
            <v>60.349999999999994</v>
          </cell>
          <cell r="AK480">
            <v>0</v>
          </cell>
          <cell r="AL480">
            <v>0</v>
          </cell>
          <cell r="AM480">
            <v>10.649999999999999</v>
          </cell>
          <cell r="AN480">
            <v>0</v>
          </cell>
          <cell r="AO480">
            <v>10.649999999999999</v>
          </cell>
          <cell r="AP480">
            <v>0</v>
          </cell>
          <cell r="AQ480">
            <v>10.649999999999999</v>
          </cell>
          <cell r="AR480" t="str">
            <v>CAD_1455</v>
          </cell>
          <cell r="AS480">
            <v>0</v>
          </cell>
          <cell r="AT480">
            <v>168</v>
          </cell>
          <cell r="AU480">
            <v>168</v>
          </cell>
          <cell r="AV480">
            <v>0</v>
          </cell>
          <cell r="AW480">
            <v>1789.1999999999998</v>
          </cell>
          <cell r="AX480">
            <v>1789.1999999999998</v>
          </cell>
          <cell r="AY480">
            <v>1789.1999999999998</v>
          </cell>
          <cell r="AZ480">
            <v>57.142857142857139</v>
          </cell>
          <cell r="BA480">
            <v>23.429999999999996</v>
          </cell>
          <cell r="BB480">
            <v>3936.2399999999993</v>
          </cell>
          <cell r="BC480">
            <v>63</v>
          </cell>
          <cell r="BD480">
            <v>1789.1999999999998</v>
          </cell>
          <cell r="BE480">
            <v>2147.0399999999995</v>
          </cell>
          <cell r="BF480">
            <v>1789.1999999999998</v>
          </cell>
          <cell r="BG480">
            <v>14280</v>
          </cell>
          <cell r="BH480">
            <v>10138.799999999999</v>
          </cell>
          <cell r="BI480">
            <v>8712.9840000000004</v>
          </cell>
          <cell r="BJ480">
            <v>0</v>
          </cell>
          <cell r="BK480">
            <v>0</v>
          </cell>
          <cell r="BL480">
            <v>0</v>
          </cell>
          <cell r="BM480">
            <v>8712.9840000000004</v>
          </cell>
          <cell r="BN480">
            <v>0</v>
          </cell>
          <cell r="BO480">
            <v>1425.8159999999989</v>
          </cell>
          <cell r="BP480" t="str">
            <v>Y</v>
          </cell>
          <cell r="BQ480">
            <v>1</v>
          </cell>
          <cell r="BR480" t="str">
            <v>Y</v>
          </cell>
          <cell r="BS480">
            <v>3936.2399999999993</v>
          </cell>
          <cell r="BT480" t="str">
            <v>Done</v>
          </cell>
          <cell r="BU480">
            <v>168</v>
          </cell>
          <cell r="BV480">
            <v>2024</v>
          </cell>
        </row>
        <row r="481">
          <cell r="A481" t="str">
            <v>Lucknow</v>
          </cell>
          <cell r="B481" t="str">
            <v>Titans</v>
          </cell>
          <cell r="C481" t="str">
            <v>Mid Level</v>
          </cell>
          <cell r="D481" t="str">
            <v>Nitin Saxena</v>
          </cell>
          <cell r="E481" t="str">
            <v>Nitin Saxena</v>
          </cell>
          <cell r="H481" t="str">
            <v>Ratnesh Kashyap</v>
          </cell>
          <cell r="K481">
            <v>0</v>
          </cell>
          <cell r="L481" t="str">
            <v>Old</v>
          </cell>
          <cell r="M481">
            <v>45448</v>
          </cell>
          <cell r="N481">
            <v>2</v>
          </cell>
          <cell r="O481">
            <v>598</v>
          </cell>
          <cell r="P481">
            <v>46022</v>
          </cell>
          <cell r="Q481">
            <v>45813</v>
          </cell>
          <cell r="R481" t="str">
            <v>PLC-3806</v>
          </cell>
          <cell r="S481" t="str">
            <v>Rameez Haslani</v>
          </cell>
          <cell r="T481" t="str">
            <v>Individual</v>
          </cell>
          <cell r="U481" t="str">
            <v>C2C</v>
          </cell>
          <cell r="V481" t="str">
            <v>Genpact</v>
          </cell>
          <cell r="W481">
            <v>70</v>
          </cell>
          <cell r="X481">
            <v>0</v>
          </cell>
          <cell r="Y481" t="str">
            <v>CAD</v>
          </cell>
          <cell r="Z481">
            <v>85</v>
          </cell>
          <cell r="AA481">
            <v>0</v>
          </cell>
          <cell r="AB481">
            <v>0</v>
          </cell>
          <cell r="AC481">
            <v>0</v>
          </cell>
          <cell r="AD481">
            <v>45762</v>
          </cell>
          <cell r="AE481">
            <v>22</v>
          </cell>
          <cell r="AF481">
            <v>46022</v>
          </cell>
          <cell r="AG481">
            <v>49.699999999999996</v>
          </cell>
          <cell r="AH481">
            <v>0</v>
          </cell>
          <cell r="AI481">
            <v>49.699999999999996</v>
          </cell>
          <cell r="AJ481">
            <v>60.349999999999994</v>
          </cell>
          <cell r="AK481">
            <v>0</v>
          </cell>
          <cell r="AL481">
            <v>0</v>
          </cell>
          <cell r="AM481">
            <v>10.649999999999999</v>
          </cell>
          <cell r="AN481">
            <v>0</v>
          </cell>
          <cell r="AO481">
            <v>10.649999999999999</v>
          </cell>
          <cell r="AP481">
            <v>0</v>
          </cell>
          <cell r="AQ481">
            <v>10.649999999999999</v>
          </cell>
          <cell r="AR481" t="str">
            <v>CAD_1481</v>
          </cell>
          <cell r="AS481">
            <v>0</v>
          </cell>
          <cell r="AT481">
            <v>168</v>
          </cell>
          <cell r="AU481">
            <v>168</v>
          </cell>
          <cell r="AV481">
            <v>0</v>
          </cell>
          <cell r="AW481">
            <v>1789.1999999999998</v>
          </cell>
          <cell r="AX481">
            <v>1789.1999999999998</v>
          </cell>
          <cell r="AY481">
            <v>1789.1999999999998</v>
          </cell>
          <cell r="AZ481">
            <v>57.142857142857139</v>
          </cell>
          <cell r="BA481">
            <v>23.429999999999996</v>
          </cell>
          <cell r="BB481">
            <v>3936.2399999999993</v>
          </cell>
          <cell r="BC481">
            <v>63</v>
          </cell>
          <cell r="BD481">
            <v>1789.1999999999998</v>
          </cell>
          <cell r="BE481">
            <v>2147.0399999999995</v>
          </cell>
          <cell r="BF481">
            <v>1789.1999999999998</v>
          </cell>
          <cell r="BG481">
            <v>14280</v>
          </cell>
          <cell r="BH481">
            <v>10138.799999999999</v>
          </cell>
          <cell r="BI481">
            <v>8712.9840000000004</v>
          </cell>
          <cell r="BJ481">
            <v>0</v>
          </cell>
          <cell r="BK481">
            <v>0</v>
          </cell>
          <cell r="BL481">
            <v>0</v>
          </cell>
          <cell r="BM481">
            <v>8712.9840000000004</v>
          </cell>
          <cell r="BN481">
            <v>0</v>
          </cell>
          <cell r="BO481">
            <v>1425.8159999999989</v>
          </cell>
          <cell r="BP481" t="str">
            <v>Y</v>
          </cell>
          <cell r="BQ481">
            <v>2</v>
          </cell>
          <cell r="BR481" t="str">
            <v>N</v>
          </cell>
          <cell r="BS481">
            <v>3936.2399999999993</v>
          </cell>
          <cell r="BT481" t="str">
            <v>Done</v>
          </cell>
          <cell r="BU481">
            <v>168</v>
          </cell>
          <cell r="BV481">
            <v>2024</v>
          </cell>
        </row>
        <row r="482">
          <cell r="A482" t="str">
            <v>Lucknow</v>
          </cell>
          <cell r="B482" t="str">
            <v>TRUST</v>
          </cell>
          <cell r="C482" t="str">
            <v>Mid Level</v>
          </cell>
          <cell r="D482" t="str">
            <v>Bhanu Pratap Singh</v>
          </cell>
          <cell r="E482" t="str">
            <v>-</v>
          </cell>
          <cell r="H482" t="str">
            <v>Virendra Vikram Singh</v>
          </cell>
          <cell r="L482" t="str">
            <v>New</v>
          </cell>
          <cell r="M482">
            <v>45719</v>
          </cell>
          <cell r="N482">
            <v>1</v>
          </cell>
          <cell r="O482">
            <v>327</v>
          </cell>
          <cell r="P482" t="str">
            <v>-</v>
          </cell>
          <cell r="Q482">
            <v>46084</v>
          </cell>
          <cell r="R482" t="str">
            <v>PLC-4083</v>
          </cell>
          <cell r="S482" t="str">
            <v>Ramiro Espinosa Zambrano</v>
          </cell>
          <cell r="T482" t="str">
            <v>Individual</v>
          </cell>
          <cell r="U482" t="str">
            <v>FTE</v>
          </cell>
          <cell r="V482" t="str">
            <v>Infosys</v>
          </cell>
          <cell r="W482">
            <v>0</v>
          </cell>
          <cell r="X482">
            <v>0</v>
          </cell>
          <cell r="Y482" t="str">
            <v>USD</v>
          </cell>
          <cell r="Z482">
            <v>3500</v>
          </cell>
          <cell r="AA482">
            <v>0</v>
          </cell>
          <cell r="AB482">
            <v>0</v>
          </cell>
          <cell r="AC482">
            <v>0</v>
          </cell>
          <cell r="AD482">
            <v>45731</v>
          </cell>
          <cell r="AE482">
            <v>1</v>
          </cell>
          <cell r="AF482">
            <v>46022</v>
          </cell>
          <cell r="AG482">
            <v>0</v>
          </cell>
          <cell r="AH482">
            <v>0</v>
          </cell>
          <cell r="AI482">
            <v>0</v>
          </cell>
          <cell r="AJ482">
            <v>3500</v>
          </cell>
          <cell r="AK482">
            <v>0</v>
          </cell>
          <cell r="AL482">
            <v>0</v>
          </cell>
          <cell r="AM482">
            <v>3500</v>
          </cell>
          <cell r="AN482">
            <v>0</v>
          </cell>
          <cell r="AO482">
            <v>3500</v>
          </cell>
          <cell r="AP482">
            <v>0</v>
          </cell>
          <cell r="AQ482">
            <v>3500</v>
          </cell>
          <cell r="AR482" t="str">
            <v>US_24714</v>
          </cell>
          <cell r="AS482">
            <v>0</v>
          </cell>
          <cell r="AT482">
            <v>1</v>
          </cell>
          <cell r="AU482">
            <v>1</v>
          </cell>
          <cell r="AV482">
            <v>0</v>
          </cell>
          <cell r="AW482">
            <v>3500</v>
          </cell>
          <cell r="AX482">
            <v>3500</v>
          </cell>
          <cell r="AY482">
            <v>3500</v>
          </cell>
          <cell r="AZ482">
            <v>85.714285714285708</v>
          </cell>
          <cell r="BA482">
            <v>5600</v>
          </cell>
          <cell r="BB482">
            <v>5600</v>
          </cell>
          <cell r="BF482">
            <v>3500</v>
          </cell>
          <cell r="BG482">
            <v>3500</v>
          </cell>
          <cell r="BH482">
            <v>3500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3500</v>
          </cell>
          <cell r="BP482" t="str">
            <v>Y</v>
          </cell>
          <cell r="BQ482">
            <v>1</v>
          </cell>
          <cell r="BR482" t="str">
            <v>Y</v>
          </cell>
          <cell r="BS482">
            <v>5600</v>
          </cell>
          <cell r="BT482" t="str">
            <v>Done</v>
          </cell>
          <cell r="BU482">
            <v>0</v>
          </cell>
          <cell r="BV482">
            <v>2025</v>
          </cell>
        </row>
        <row r="483">
          <cell r="A483" t="str">
            <v>Lucknow</v>
          </cell>
          <cell r="B483" t="str">
            <v>Titans</v>
          </cell>
          <cell r="C483" t="str">
            <v>Mid Level</v>
          </cell>
          <cell r="D483" t="str">
            <v>Nitin Saxena</v>
          </cell>
          <cell r="E483" t="str">
            <v>-</v>
          </cell>
          <cell r="H483" t="str">
            <v>Shubham Srivastava</v>
          </cell>
          <cell r="K483">
            <v>0</v>
          </cell>
          <cell r="L483" t="str">
            <v>Old</v>
          </cell>
          <cell r="M483">
            <v>45638</v>
          </cell>
          <cell r="N483">
            <v>4</v>
          </cell>
          <cell r="O483">
            <v>408</v>
          </cell>
          <cell r="P483" t="str">
            <v>-</v>
          </cell>
          <cell r="Q483">
            <v>46003</v>
          </cell>
          <cell r="R483" t="str">
            <v>PLC-4075</v>
          </cell>
          <cell r="S483" t="str">
            <v>Ramya Teja Tamminedi</v>
          </cell>
          <cell r="T483" t="str">
            <v>Individual</v>
          </cell>
          <cell r="U483" t="str">
            <v>C2C</v>
          </cell>
          <cell r="V483" t="str">
            <v>Genpact</v>
          </cell>
          <cell r="W483">
            <v>42</v>
          </cell>
          <cell r="X483">
            <v>63</v>
          </cell>
          <cell r="Y483" t="str">
            <v>CAD</v>
          </cell>
          <cell r="Z483">
            <v>60</v>
          </cell>
          <cell r="AA483">
            <v>90</v>
          </cell>
          <cell r="AB483">
            <v>0</v>
          </cell>
          <cell r="AC483">
            <v>0</v>
          </cell>
          <cell r="AD483">
            <v>45672</v>
          </cell>
          <cell r="AE483">
            <v>23</v>
          </cell>
          <cell r="AF483">
            <v>46022</v>
          </cell>
          <cell r="AG483">
            <v>29.82</v>
          </cell>
          <cell r="AH483">
            <v>46.676699999999997</v>
          </cell>
          <cell r="AI483">
            <v>29.82</v>
          </cell>
          <cell r="AJ483">
            <v>42.599999999999994</v>
          </cell>
          <cell r="AK483">
            <v>66.680999999999997</v>
          </cell>
          <cell r="AL483">
            <v>20.004300000000001</v>
          </cell>
          <cell r="AM483">
            <v>12.779999999999994</v>
          </cell>
          <cell r="AN483">
            <v>20.004300000000001</v>
          </cell>
          <cell r="AO483">
            <v>12.779999999999994</v>
          </cell>
          <cell r="AP483">
            <v>20</v>
          </cell>
          <cell r="AQ483">
            <v>12.779999999999994</v>
          </cell>
          <cell r="AR483" t="str">
            <v>CAD_1415</v>
          </cell>
          <cell r="AS483">
            <v>0</v>
          </cell>
          <cell r="AT483">
            <v>176</v>
          </cell>
          <cell r="AU483">
            <v>176</v>
          </cell>
          <cell r="AV483">
            <v>0</v>
          </cell>
          <cell r="AW483">
            <v>2249.2799999999988</v>
          </cell>
          <cell r="AX483">
            <v>2249.2799999999988</v>
          </cell>
          <cell r="AY483">
            <v>2249.2799999999988</v>
          </cell>
          <cell r="AZ483">
            <v>50</v>
          </cell>
          <cell r="BA483">
            <v>20.44799999999999</v>
          </cell>
          <cell r="BB483">
            <v>3598.8479999999981</v>
          </cell>
          <cell r="BC483">
            <v>63</v>
          </cell>
          <cell r="BD483">
            <v>2249.2799999999988</v>
          </cell>
          <cell r="BE483">
            <v>2699.1359999999986</v>
          </cell>
          <cell r="BF483">
            <v>2249.2799999999988</v>
          </cell>
          <cell r="BG483">
            <v>10560</v>
          </cell>
          <cell r="BH483">
            <v>7497.5999999999985</v>
          </cell>
          <cell r="BI483">
            <v>5476.7327999999998</v>
          </cell>
          <cell r="BJ483">
            <v>0</v>
          </cell>
          <cell r="BK483">
            <v>0</v>
          </cell>
          <cell r="BL483">
            <v>0</v>
          </cell>
          <cell r="BM483">
            <v>5476.7327999999998</v>
          </cell>
          <cell r="BN483">
            <v>0</v>
          </cell>
          <cell r="BO483">
            <v>2020.8671999999988</v>
          </cell>
          <cell r="BP483" t="str">
            <v>Y</v>
          </cell>
          <cell r="BQ483">
            <v>1</v>
          </cell>
          <cell r="BR483" t="str">
            <v>N</v>
          </cell>
          <cell r="BS483">
            <v>3598.8479999999981</v>
          </cell>
          <cell r="BT483" t="str">
            <v>Done</v>
          </cell>
          <cell r="BU483">
            <v>176</v>
          </cell>
          <cell r="BV483">
            <v>2024</v>
          </cell>
        </row>
        <row r="484">
          <cell r="A484" t="str">
            <v>Lucknow</v>
          </cell>
          <cell r="B484" t="str">
            <v>Titans</v>
          </cell>
          <cell r="C484" t="str">
            <v>Mid Level</v>
          </cell>
          <cell r="D484" t="str">
            <v>Nitin Saxena</v>
          </cell>
          <cell r="E484" t="str">
            <v>-</v>
          </cell>
          <cell r="H484" t="str">
            <v>Shubham Srivastava</v>
          </cell>
          <cell r="K484">
            <v>0</v>
          </cell>
          <cell r="L484" t="str">
            <v>Old</v>
          </cell>
          <cell r="M484">
            <v>45638</v>
          </cell>
          <cell r="N484">
            <v>4</v>
          </cell>
          <cell r="O484">
            <v>408</v>
          </cell>
          <cell r="P484" t="str">
            <v>-</v>
          </cell>
          <cell r="Q484">
            <v>46003</v>
          </cell>
          <cell r="R484" t="str">
            <v>PLC-4075</v>
          </cell>
          <cell r="S484" t="str">
            <v>Ramya Teja Tamminedi</v>
          </cell>
          <cell r="T484" t="str">
            <v>Individual</v>
          </cell>
          <cell r="U484" t="str">
            <v>C2C</v>
          </cell>
          <cell r="V484" t="str">
            <v>Genpact</v>
          </cell>
          <cell r="W484">
            <v>42</v>
          </cell>
          <cell r="X484">
            <v>63</v>
          </cell>
          <cell r="Y484" t="str">
            <v>CAD</v>
          </cell>
          <cell r="Z484">
            <v>60</v>
          </cell>
          <cell r="AA484">
            <v>90</v>
          </cell>
          <cell r="AB484">
            <v>0</v>
          </cell>
          <cell r="AC484">
            <v>0</v>
          </cell>
          <cell r="AD484">
            <v>45703</v>
          </cell>
          <cell r="AE484">
            <v>20</v>
          </cell>
          <cell r="AF484">
            <v>46022</v>
          </cell>
          <cell r="AG484">
            <v>29.82</v>
          </cell>
          <cell r="AH484">
            <v>46.676699999999997</v>
          </cell>
          <cell r="AI484">
            <v>29.82</v>
          </cell>
          <cell r="AJ484">
            <v>42.599999999999994</v>
          </cell>
          <cell r="AK484">
            <v>66.680999999999997</v>
          </cell>
          <cell r="AL484">
            <v>20.004300000000001</v>
          </cell>
          <cell r="AM484">
            <v>12.779999999999994</v>
          </cell>
          <cell r="AN484">
            <v>20.004300000000001</v>
          </cell>
          <cell r="AO484">
            <v>12.779999999999994</v>
          </cell>
          <cell r="AP484">
            <v>20</v>
          </cell>
          <cell r="AQ484">
            <v>12.779999999999994</v>
          </cell>
          <cell r="AR484" t="str">
            <v>CAD_1440</v>
          </cell>
          <cell r="AS484">
            <v>0</v>
          </cell>
          <cell r="AT484">
            <v>152</v>
          </cell>
          <cell r="AU484">
            <v>152</v>
          </cell>
          <cell r="AV484">
            <v>0</v>
          </cell>
          <cell r="AW484">
            <v>1942.559999999999</v>
          </cell>
          <cell r="AX484">
            <v>1942.559999999999</v>
          </cell>
          <cell r="AY484">
            <v>1942.559999999999</v>
          </cell>
          <cell r="AZ484">
            <v>50</v>
          </cell>
          <cell r="BA484">
            <v>20.44799999999999</v>
          </cell>
          <cell r="BB484">
            <v>3108.0959999999986</v>
          </cell>
          <cell r="BC484">
            <v>63</v>
          </cell>
          <cell r="BD484">
            <v>1942.559999999999</v>
          </cell>
          <cell r="BE484">
            <v>2331.0719999999988</v>
          </cell>
          <cell r="BF484">
            <v>1942.559999999999</v>
          </cell>
          <cell r="BG484">
            <v>9120</v>
          </cell>
          <cell r="BH484">
            <v>6475.1999999999989</v>
          </cell>
          <cell r="BI484">
            <v>4729.9056</v>
          </cell>
          <cell r="BJ484">
            <v>0</v>
          </cell>
          <cell r="BK484">
            <v>0</v>
          </cell>
          <cell r="BL484">
            <v>0</v>
          </cell>
          <cell r="BM484">
            <v>4729.9056</v>
          </cell>
          <cell r="BN484">
            <v>0</v>
          </cell>
          <cell r="BO484">
            <v>1745.2943999999989</v>
          </cell>
          <cell r="BP484" t="str">
            <v>Y</v>
          </cell>
          <cell r="BQ484">
            <v>1</v>
          </cell>
          <cell r="BR484" t="str">
            <v>N</v>
          </cell>
          <cell r="BS484">
            <v>3108.0959999999986</v>
          </cell>
          <cell r="BT484" t="str">
            <v>Done</v>
          </cell>
          <cell r="BU484">
            <v>152</v>
          </cell>
          <cell r="BV484">
            <v>2024</v>
          </cell>
        </row>
        <row r="485">
          <cell r="A485" t="str">
            <v>Lucknow</v>
          </cell>
          <cell r="B485" t="str">
            <v>Titans</v>
          </cell>
          <cell r="C485" t="str">
            <v>Mid Level</v>
          </cell>
          <cell r="D485" t="str">
            <v>Nitin Saxena</v>
          </cell>
          <cell r="E485" t="str">
            <v>-</v>
          </cell>
          <cell r="H485" t="str">
            <v>Shubham Srivastava</v>
          </cell>
          <cell r="K485">
            <v>0</v>
          </cell>
          <cell r="L485" t="str">
            <v>Old</v>
          </cell>
          <cell r="M485">
            <v>45638</v>
          </cell>
          <cell r="N485">
            <v>4</v>
          </cell>
          <cell r="O485">
            <v>408</v>
          </cell>
          <cell r="P485" t="str">
            <v>-</v>
          </cell>
          <cell r="Q485">
            <v>46003</v>
          </cell>
          <cell r="R485" t="str">
            <v>PLC-4075</v>
          </cell>
          <cell r="S485" t="str">
            <v>Ramya Teja Tamminedi</v>
          </cell>
          <cell r="T485" t="str">
            <v>Individual</v>
          </cell>
          <cell r="U485" t="str">
            <v>C2C</v>
          </cell>
          <cell r="V485" t="str">
            <v>Genpact</v>
          </cell>
          <cell r="W485">
            <v>42</v>
          </cell>
          <cell r="X485">
            <v>63</v>
          </cell>
          <cell r="Y485" t="str">
            <v>CAD</v>
          </cell>
          <cell r="Z485">
            <v>60</v>
          </cell>
          <cell r="AA485">
            <v>90</v>
          </cell>
          <cell r="AB485">
            <v>0</v>
          </cell>
          <cell r="AC485">
            <v>0</v>
          </cell>
          <cell r="AD485">
            <v>45731</v>
          </cell>
          <cell r="AE485">
            <v>21</v>
          </cell>
          <cell r="AF485">
            <v>46022</v>
          </cell>
          <cell r="AG485">
            <v>29.82</v>
          </cell>
          <cell r="AH485">
            <v>46.676699999999997</v>
          </cell>
          <cell r="AI485">
            <v>29.82</v>
          </cell>
          <cell r="AJ485">
            <v>42.599999999999994</v>
          </cell>
          <cell r="AK485">
            <v>66.680999999999997</v>
          </cell>
          <cell r="AL485">
            <v>20.004300000000001</v>
          </cell>
          <cell r="AM485">
            <v>12.779999999999994</v>
          </cell>
          <cell r="AN485">
            <v>20.004300000000001</v>
          </cell>
          <cell r="AO485">
            <v>12.779999999999994</v>
          </cell>
          <cell r="AP485">
            <v>20</v>
          </cell>
          <cell r="AQ485">
            <v>12.779999999999994</v>
          </cell>
          <cell r="AR485" t="str">
            <v>CAD_1465</v>
          </cell>
          <cell r="AS485">
            <v>0</v>
          </cell>
          <cell r="AT485">
            <v>168</v>
          </cell>
          <cell r="AU485">
            <v>168</v>
          </cell>
          <cell r="AV485">
            <v>0</v>
          </cell>
          <cell r="AW485">
            <v>2147.0399999999991</v>
          </cell>
          <cell r="AX485">
            <v>2147.0399999999991</v>
          </cell>
          <cell r="AY485">
            <v>2147.0399999999991</v>
          </cell>
          <cell r="AZ485">
            <v>50</v>
          </cell>
          <cell r="BA485">
            <v>20.44799999999999</v>
          </cell>
          <cell r="BB485">
            <v>3435.2639999999983</v>
          </cell>
          <cell r="BC485">
            <v>63</v>
          </cell>
          <cell r="BD485">
            <v>2147.0399999999991</v>
          </cell>
          <cell r="BE485">
            <v>2576.4479999999985</v>
          </cell>
          <cell r="BF485">
            <v>2147.0399999999991</v>
          </cell>
          <cell r="BG485">
            <v>10080</v>
          </cell>
          <cell r="BH485">
            <v>7156.7999999999993</v>
          </cell>
          <cell r="BI485">
            <v>5227.7903999999999</v>
          </cell>
          <cell r="BJ485">
            <v>0</v>
          </cell>
          <cell r="BK485">
            <v>0</v>
          </cell>
          <cell r="BL485">
            <v>0</v>
          </cell>
          <cell r="BM485">
            <v>5227.7903999999999</v>
          </cell>
          <cell r="BN485">
            <v>0</v>
          </cell>
          <cell r="BO485">
            <v>1929.0095999999994</v>
          </cell>
          <cell r="BP485" t="str">
            <v>Y</v>
          </cell>
          <cell r="BQ485">
            <v>1</v>
          </cell>
          <cell r="BR485" t="str">
            <v>N</v>
          </cell>
          <cell r="BS485">
            <v>3435.2639999999983</v>
          </cell>
          <cell r="BT485" t="str">
            <v>Done</v>
          </cell>
          <cell r="BU485">
            <v>168</v>
          </cell>
          <cell r="BV485">
            <v>2024</v>
          </cell>
        </row>
        <row r="486">
          <cell r="A486" t="str">
            <v>Lucknow</v>
          </cell>
          <cell r="B486" t="str">
            <v>Titans</v>
          </cell>
          <cell r="C486" t="str">
            <v>Mid Level</v>
          </cell>
          <cell r="D486" t="str">
            <v>Nitin Saxena</v>
          </cell>
          <cell r="E486" t="str">
            <v>-</v>
          </cell>
          <cell r="H486" t="str">
            <v>Shubham Srivastava</v>
          </cell>
          <cell r="K486">
            <v>0</v>
          </cell>
          <cell r="L486" t="str">
            <v>Old</v>
          </cell>
          <cell r="M486">
            <v>45638</v>
          </cell>
          <cell r="N486">
            <v>4</v>
          </cell>
          <cell r="O486">
            <v>408</v>
          </cell>
          <cell r="P486" t="str">
            <v>-</v>
          </cell>
          <cell r="Q486">
            <v>46003</v>
          </cell>
          <cell r="R486" t="str">
            <v>PLC-4075</v>
          </cell>
          <cell r="S486" t="str">
            <v>Ramya Teja Tamminedi</v>
          </cell>
          <cell r="T486" t="str">
            <v>Individual</v>
          </cell>
          <cell r="U486" t="str">
            <v>C2C</v>
          </cell>
          <cell r="V486" t="str">
            <v>Genpact</v>
          </cell>
          <cell r="W486">
            <v>42</v>
          </cell>
          <cell r="X486">
            <v>63</v>
          </cell>
          <cell r="Y486" t="str">
            <v>CAD</v>
          </cell>
          <cell r="Z486">
            <v>60</v>
          </cell>
          <cell r="AA486">
            <v>90</v>
          </cell>
          <cell r="AB486">
            <v>0</v>
          </cell>
          <cell r="AC486">
            <v>0</v>
          </cell>
          <cell r="AD486">
            <v>45762</v>
          </cell>
          <cell r="AE486">
            <v>22</v>
          </cell>
          <cell r="AF486">
            <v>46022</v>
          </cell>
          <cell r="AG486">
            <v>29.82</v>
          </cell>
          <cell r="AH486">
            <v>46.676699999999997</v>
          </cell>
          <cell r="AI486">
            <v>29.82</v>
          </cell>
          <cell r="AJ486">
            <v>42.599999999999994</v>
          </cell>
          <cell r="AK486">
            <v>66.680999999999997</v>
          </cell>
          <cell r="AL486">
            <v>20.004300000000001</v>
          </cell>
          <cell r="AM486">
            <v>12.779999999999994</v>
          </cell>
          <cell r="AN486">
            <v>20.004300000000001</v>
          </cell>
          <cell r="AO486">
            <v>12.779999999999994</v>
          </cell>
          <cell r="AP486">
            <v>20</v>
          </cell>
          <cell r="AQ486">
            <v>12.779999999999994</v>
          </cell>
          <cell r="AR486" t="str">
            <v>CAD_1488</v>
          </cell>
          <cell r="AS486">
            <v>0</v>
          </cell>
          <cell r="AT486">
            <v>168</v>
          </cell>
          <cell r="AU486">
            <v>168</v>
          </cell>
          <cell r="AV486">
            <v>0</v>
          </cell>
          <cell r="AW486">
            <v>2147.0399999999991</v>
          </cell>
          <cell r="AX486">
            <v>2147.0399999999991</v>
          </cell>
          <cell r="AY486">
            <v>2147.0399999999991</v>
          </cell>
          <cell r="AZ486">
            <v>50</v>
          </cell>
          <cell r="BA486">
            <v>20.44799999999999</v>
          </cell>
          <cell r="BB486">
            <v>3435.2639999999983</v>
          </cell>
          <cell r="BC486">
            <v>63</v>
          </cell>
          <cell r="BD486">
            <v>2147.0399999999991</v>
          </cell>
          <cell r="BE486">
            <v>2576.4479999999985</v>
          </cell>
          <cell r="BF486">
            <v>2147.0399999999991</v>
          </cell>
          <cell r="BG486">
            <v>10080</v>
          </cell>
          <cell r="BH486">
            <v>7156.7999999999993</v>
          </cell>
          <cell r="BI486">
            <v>5227.7903999999999</v>
          </cell>
          <cell r="BJ486">
            <v>0</v>
          </cell>
          <cell r="BK486">
            <v>0</v>
          </cell>
          <cell r="BL486">
            <v>0</v>
          </cell>
          <cell r="BM486">
            <v>5227.7903999999999</v>
          </cell>
          <cell r="BN486">
            <v>0</v>
          </cell>
          <cell r="BO486">
            <v>1929.0095999999994</v>
          </cell>
          <cell r="BP486" t="str">
            <v>Y</v>
          </cell>
          <cell r="BQ486">
            <v>2</v>
          </cell>
          <cell r="BR486" t="str">
            <v>Y</v>
          </cell>
          <cell r="BS486">
            <v>3435.2639999999983</v>
          </cell>
          <cell r="BT486" t="str">
            <v>Done</v>
          </cell>
          <cell r="BU486">
            <v>168</v>
          </cell>
          <cell r="BV486">
            <v>2024</v>
          </cell>
        </row>
        <row r="487">
          <cell r="A487" t="str">
            <v>Lucknow</v>
          </cell>
          <cell r="B487" t="str">
            <v>Trust</v>
          </cell>
          <cell r="C487" t="str">
            <v>Mid Level</v>
          </cell>
          <cell r="D487" t="str">
            <v>Bhanu Pratap Singh</v>
          </cell>
          <cell r="E487" t="str">
            <v>-</v>
          </cell>
          <cell r="H487" t="str">
            <v>Pass Through</v>
          </cell>
          <cell r="L487" t="str">
            <v>New</v>
          </cell>
          <cell r="M487">
            <v>45698</v>
          </cell>
          <cell r="N487">
            <v>1</v>
          </cell>
          <cell r="O487">
            <v>348</v>
          </cell>
          <cell r="P487" t="str">
            <v>-</v>
          </cell>
          <cell r="Q487">
            <v>46063</v>
          </cell>
          <cell r="S487" t="str">
            <v>Ravi Aiethagoni</v>
          </cell>
          <cell r="T487" t="str">
            <v>Individual</v>
          </cell>
          <cell r="U487" t="str">
            <v>C2C</v>
          </cell>
          <cell r="V487" t="str">
            <v>Birlasoft</v>
          </cell>
          <cell r="W487">
            <v>58</v>
          </cell>
          <cell r="X487">
            <v>0</v>
          </cell>
          <cell r="Y487" t="str">
            <v>CAD</v>
          </cell>
          <cell r="Z487">
            <v>62</v>
          </cell>
          <cell r="AA487">
            <v>0</v>
          </cell>
          <cell r="AB487">
            <v>0</v>
          </cell>
          <cell r="AC487">
            <v>0</v>
          </cell>
          <cell r="AD487">
            <v>45731</v>
          </cell>
          <cell r="AE487">
            <v>21</v>
          </cell>
          <cell r="AF487">
            <v>46022</v>
          </cell>
          <cell r="AG487">
            <v>41.18</v>
          </cell>
          <cell r="AH487">
            <v>0</v>
          </cell>
          <cell r="AI487">
            <v>41.18</v>
          </cell>
          <cell r="AJ487">
            <v>44.019999999999996</v>
          </cell>
          <cell r="AK487">
            <v>0</v>
          </cell>
          <cell r="AL487">
            <v>0</v>
          </cell>
          <cell r="AM487">
            <v>2.8399999999999963</v>
          </cell>
          <cell r="AN487">
            <v>0</v>
          </cell>
          <cell r="AO487">
            <v>2.8399999999999963</v>
          </cell>
          <cell r="AP487">
            <v>0</v>
          </cell>
          <cell r="AQ487">
            <v>2.8399999999999963</v>
          </cell>
          <cell r="AR487" t="str">
            <v>CAD_1472</v>
          </cell>
          <cell r="AS487">
            <v>0</v>
          </cell>
          <cell r="AT487">
            <v>228</v>
          </cell>
          <cell r="AU487">
            <v>228</v>
          </cell>
          <cell r="AV487">
            <v>0</v>
          </cell>
          <cell r="AW487">
            <v>647.51999999999919</v>
          </cell>
          <cell r="AX487">
            <v>647.51999999999919</v>
          </cell>
          <cell r="AY487">
            <v>647.51999999999919</v>
          </cell>
          <cell r="AZ487">
            <v>0</v>
          </cell>
          <cell r="BA487">
            <v>0</v>
          </cell>
          <cell r="BB487">
            <v>0</v>
          </cell>
          <cell r="BF487">
            <v>647.51999999999919</v>
          </cell>
          <cell r="BG487">
            <v>14136</v>
          </cell>
          <cell r="BH487">
            <v>10036.56</v>
          </cell>
          <cell r="BI487">
            <v>9797.6615999999995</v>
          </cell>
          <cell r="BJ487">
            <v>0</v>
          </cell>
          <cell r="BK487">
            <v>0</v>
          </cell>
          <cell r="BL487">
            <v>0</v>
          </cell>
          <cell r="BM487">
            <v>9797.6615999999995</v>
          </cell>
          <cell r="BN487">
            <v>0</v>
          </cell>
          <cell r="BO487">
            <v>238.89840000000004</v>
          </cell>
          <cell r="BP487" t="str">
            <v>Y</v>
          </cell>
          <cell r="BQ487">
            <v>1</v>
          </cell>
          <cell r="BR487" t="str">
            <v>Y</v>
          </cell>
          <cell r="BS487">
            <v>0</v>
          </cell>
          <cell r="BT487" t="str">
            <v>Done</v>
          </cell>
          <cell r="BU487">
            <v>228</v>
          </cell>
          <cell r="BV487">
            <v>2025</v>
          </cell>
        </row>
        <row r="488">
          <cell r="A488" t="str">
            <v>Lucknow</v>
          </cell>
          <cell r="B488" t="str">
            <v>Trust</v>
          </cell>
          <cell r="C488" t="str">
            <v>Mid Level</v>
          </cell>
          <cell r="D488" t="str">
            <v>Bhanu Pratap Singh</v>
          </cell>
          <cell r="E488" t="str">
            <v>-</v>
          </cell>
          <cell r="H488" t="str">
            <v>Pass Through</v>
          </cell>
          <cell r="L488" t="str">
            <v>New</v>
          </cell>
          <cell r="M488">
            <v>45698</v>
          </cell>
          <cell r="N488">
            <v>1</v>
          </cell>
          <cell r="O488">
            <v>348</v>
          </cell>
          <cell r="P488" t="str">
            <v>-</v>
          </cell>
          <cell r="Q488">
            <v>46063</v>
          </cell>
          <cell r="S488" t="str">
            <v>Ravi Aiethagoni</v>
          </cell>
          <cell r="T488" t="str">
            <v>Individual</v>
          </cell>
          <cell r="U488" t="str">
            <v>C2C</v>
          </cell>
          <cell r="V488" t="str">
            <v>Birlasoft</v>
          </cell>
          <cell r="W488">
            <v>58</v>
          </cell>
          <cell r="X488">
            <v>0</v>
          </cell>
          <cell r="Y488" t="str">
            <v>CAD</v>
          </cell>
          <cell r="Z488">
            <v>62</v>
          </cell>
          <cell r="AA488">
            <v>0</v>
          </cell>
          <cell r="AB488">
            <v>0</v>
          </cell>
          <cell r="AC488">
            <v>0</v>
          </cell>
          <cell r="AD488">
            <v>45762</v>
          </cell>
          <cell r="AE488">
            <v>22</v>
          </cell>
          <cell r="AF488">
            <v>46022</v>
          </cell>
          <cell r="AG488">
            <v>41.18</v>
          </cell>
          <cell r="AH488">
            <v>0</v>
          </cell>
          <cell r="AI488">
            <v>41.18</v>
          </cell>
          <cell r="AJ488">
            <v>44.019999999999996</v>
          </cell>
          <cell r="AK488">
            <v>0</v>
          </cell>
          <cell r="AL488">
            <v>0</v>
          </cell>
          <cell r="AM488">
            <v>2.8399999999999963</v>
          </cell>
          <cell r="AN488">
            <v>0</v>
          </cell>
          <cell r="AO488">
            <v>2.8399999999999963</v>
          </cell>
          <cell r="AP488">
            <v>0</v>
          </cell>
          <cell r="AQ488">
            <v>2.8399999999999963</v>
          </cell>
          <cell r="AR488" t="str">
            <v>CAD_1495</v>
          </cell>
          <cell r="AS488">
            <v>0</v>
          </cell>
          <cell r="AT488">
            <v>236</v>
          </cell>
          <cell r="AU488">
            <v>236</v>
          </cell>
          <cell r="AV488">
            <v>0</v>
          </cell>
          <cell r="AW488">
            <v>670.2399999999991</v>
          </cell>
          <cell r="AX488">
            <v>670.2399999999991</v>
          </cell>
          <cell r="AY488">
            <v>670.2399999999991</v>
          </cell>
          <cell r="AZ488">
            <v>0</v>
          </cell>
          <cell r="BA488">
            <v>0</v>
          </cell>
          <cell r="BB488">
            <v>0</v>
          </cell>
          <cell r="BF488">
            <v>670.2399999999991</v>
          </cell>
          <cell r="BG488">
            <v>14632</v>
          </cell>
          <cell r="BH488">
            <v>10388.719999999999</v>
          </cell>
          <cell r="BI488">
            <v>10141.439200000001</v>
          </cell>
          <cell r="BJ488">
            <v>0</v>
          </cell>
          <cell r="BK488">
            <v>0</v>
          </cell>
          <cell r="BL488">
            <v>0</v>
          </cell>
          <cell r="BM488">
            <v>10141.439200000001</v>
          </cell>
          <cell r="BN488">
            <v>0</v>
          </cell>
          <cell r="BO488">
            <v>247.28079999999864</v>
          </cell>
          <cell r="BP488" t="str">
            <v>Y</v>
          </cell>
          <cell r="BQ488">
            <v>2</v>
          </cell>
          <cell r="BR488" t="str">
            <v>Y</v>
          </cell>
          <cell r="BS488">
            <v>0</v>
          </cell>
          <cell r="BT488" t="str">
            <v>Done</v>
          </cell>
          <cell r="BU488">
            <v>236</v>
          </cell>
          <cell r="BV488">
            <v>2025</v>
          </cell>
        </row>
        <row r="489">
          <cell r="A489" t="str">
            <v>Lucknow</v>
          </cell>
          <cell r="B489" t="str">
            <v>Trust</v>
          </cell>
          <cell r="C489" t="str">
            <v>Mid Level</v>
          </cell>
          <cell r="D489" t="str">
            <v>Vivek Mishra</v>
          </cell>
          <cell r="E489" t="str">
            <v>-</v>
          </cell>
          <cell r="H489" t="str">
            <v>Rahul Srivastava</v>
          </cell>
          <cell r="L489" t="str">
            <v>New</v>
          </cell>
          <cell r="M489">
            <v>45694</v>
          </cell>
          <cell r="N489">
            <v>1</v>
          </cell>
          <cell r="O489">
            <v>352</v>
          </cell>
          <cell r="P489" t="str">
            <v>-</v>
          </cell>
          <cell r="Q489">
            <v>46059</v>
          </cell>
          <cell r="R489" t="str">
            <v>PLC-4118</v>
          </cell>
          <cell r="S489" t="str">
            <v>Ravikant Sharma</v>
          </cell>
          <cell r="T489" t="str">
            <v>Individual</v>
          </cell>
          <cell r="U489" t="str">
            <v>C2C</v>
          </cell>
          <cell r="V489" t="str">
            <v>Government of Alberta</v>
          </cell>
          <cell r="W489">
            <v>75</v>
          </cell>
          <cell r="X489">
            <v>0</v>
          </cell>
          <cell r="Y489" t="str">
            <v>CAD</v>
          </cell>
          <cell r="Z489">
            <v>85</v>
          </cell>
          <cell r="AA489">
            <v>0</v>
          </cell>
          <cell r="AB489">
            <v>0</v>
          </cell>
          <cell r="AC489">
            <v>0</v>
          </cell>
          <cell r="AD489">
            <v>45703</v>
          </cell>
          <cell r="AE489">
            <v>17</v>
          </cell>
          <cell r="AF489">
            <v>46022</v>
          </cell>
          <cell r="AG489">
            <v>53.25</v>
          </cell>
          <cell r="AH489">
            <v>0</v>
          </cell>
          <cell r="AI489">
            <v>53.25</v>
          </cell>
          <cell r="AJ489">
            <v>60.349999999999994</v>
          </cell>
          <cell r="AK489">
            <v>0</v>
          </cell>
          <cell r="AL489">
            <v>0</v>
          </cell>
          <cell r="AM489">
            <v>7.0999999999999943</v>
          </cell>
          <cell r="AN489">
            <v>0</v>
          </cell>
          <cell r="AO489">
            <v>7.0999999999999943</v>
          </cell>
          <cell r="AP489">
            <v>0</v>
          </cell>
          <cell r="AQ489">
            <v>7.0999999999999943</v>
          </cell>
          <cell r="AR489" t="str">
            <v>CAD_1448</v>
          </cell>
          <cell r="AS489">
            <v>0</v>
          </cell>
          <cell r="AT489">
            <v>108.75</v>
          </cell>
          <cell r="AU489">
            <v>108.75</v>
          </cell>
          <cell r="AV489">
            <v>0</v>
          </cell>
          <cell r="AW489">
            <v>772.12499999999943</v>
          </cell>
          <cell r="AX489">
            <v>772.12499999999943</v>
          </cell>
          <cell r="AY489">
            <v>772.12499999999943</v>
          </cell>
          <cell r="AZ489">
            <v>0</v>
          </cell>
          <cell r="BA489">
            <v>0</v>
          </cell>
          <cell r="BB489">
            <v>0</v>
          </cell>
          <cell r="BF489">
            <v>772.12499999999943</v>
          </cell>
          <cell r="BG489">
            <v>9243.75</v>
          </cell>
          <cell r="BH489">
            <v>6563.0624999999991</v>
          </cell>
          <cell r="BI489">
            <v>6042.9656249999998</v>
          </cell>
          <cell r="BJ489">
            <v>0</v>
          </cell>
          <cell r="BK489">
            <v>0</v>
          </cell>
          <cell r="BL489">
            <v>0</v>
          </cell>
          <cell r="BM489">
            <v>6042.9656249999998</v>
          </cell>
          <cell r="BN489">
            <v>0</v>
          </cell>
          <cell r="BO489">
            <v>520.09687499999927</v>
          </cell>
          <cell r="BP489" t="str">
            <v>Y</v>
          </cell>
          <cell r="BQ489">
            <v>1</v>
          </cell>
          <cell r="BR489" t="str">
            <v>Y</v>
          </cell>
          <cell r="BS489">
            <v>0</v>
          </cell>
          <cell r="BT489" t="str">
            <v>Done</v>
          </cell>
          <cell r="BU489">
            <v>108.75</v>
          </cell>
          <cell r="BV489">
            <v>2025</v>
          </cell>
        </row>
        <row r="490">
          <cell r="A490" t="str">
            <v>Lucknow</v>
          </cell>
          <cell r="B490" t="str">
            <v>Trust</v>
          </cell>
          <cell r="C490" t="str">
            <v>Mid Level</v>
          </cell>
          <cell r="D490" t="str">
            <v>Vivek Mishra</v>
          </cell>
          <cell r="E490" t="str">
            <v>-</v>
          </cell>
          <cell r="H490" t="str">
            <v>Rahul Srivastava</v>
          </cell>
          <cell r="L490" t="str">
            <v>New</v>
          </cell>
          <cell r="M490">
            <v>45694</v>
          </cell>
          <cell r="N490">
            <v>1</v>
          </cell>
          <cell r="O490">
            <v>352</v>
          </cell>
          <cell r="P490" t="str">
            <v>-</v>
          </cell>
          <cell r="Q490">
            <v>46059</v>
          </cell>
          <cell r="R490" t="str">
            <v>PLC-4118</v>
          </cell>
          <cell r="S490" t="str">
            <v>Ravikant Sharma</v>
          </cell>
          <cell r="T490" t="str">
            <v>Individual</v>
          </cell>
          <cell r="U490" t="str">
            <v>C2C</v>
          </cell>
          <cell r="V490" t="str">
            <v>Government of Alberta</v>
          </cell>
          <cell r="W490">
            <v>75</v>
          </cell>
          <cell r="X490">
            <v>0</v>
          </cell>
          <cell r="Y490" t="str">
            <v>CAD</v>
          </cell>
          <cell r="Z490">
            <v>85</v>
          </cell>
          <cell r="AA490">
            <v>0</v>
          </cell>
          <cell r="AB490">
            <v>0</v>
          </cell>
          <cell r="AC490">
            <v>0</v>
          </cell>
          <cell r="AD490">
            <v>45731</v>
          </cell>
          <cell r="AE490">
            <v>21</v>
          </cell>
          <cell r="AF490">
            <v>46022</v>
          </cell>
          <cell r="AG490">
            <v>53.25</v>
          </cell>
          <cell r="AH490">
            <v>0</v>
          </cell>
          <cell r="AI490">
            <v>53.25</v>
          </cell>
          <cell r="AJ490">
            <v>60.349999999999994</v>
          </cell>
          <cell r="AK490">
            <v>0</v>
          </cell>
          <cell r="AL490">
            <v>0</v>
          </cell>
          <cell r="AM490">
            <v>7.0999999999999943</v>
          </cell>
          <cell r="AN490">
            <v>0</v>
          </cell>
          <cell r="AO490">
            <v>7.0999999999999943</v>
          </cell>
          <cell r="AP490">
            <v>0</v>
          </cell>
          <cell r="AQ490">
            <v>7.0999999999999943</v>
          </cell>
          <cell r="AR490" t="str">
            <v>CAD_1473</v>
          </cell>
          <cell r="AS490">
            <v>0</v>
          </cell>
          <cell r="AT490">
            <v>65.25</v>
          </cell>
          <cell r="AU490">
            <v>65.25</v>
          </cell>
          <cell r="AV490">
            <v>0</v>
          </cell>
          <cell r="AW490">
            <v>463.27499999999964</v>
          </cell>
          <cell r="AX490">
            <v>463.27499999999964</v>
          </cell>
          <cell r="AY490">
            <v>463.27499999999964</v>
          </cell>
          <cell r="AZ490">
            <v>0</v>
          </cell>
          <cell r="BA490">
            <v>0</v>
          </cell>
          <cell r="BB490">
            <v>0</v>
          </cell>
          <cell r="BF490">
            <v>463.27499999999964</v>
          </cell>
          <cell r="BG490">
            <v>5546.25</v>
          </cell>
          <cell r="BH490">
            <v>3937.8374999999996</v>
          </cell>
          <cell r="BI490">
            <v>3625.7793750000001</v>
          </cell>
          <cell r="BJ490">
            <v>0</v>
          </cell>
          <cell r="BK490">
            <v>0</v>
          </cell>
          <cell r="BL490">
            <v>0</v>
          </cell>
          <cell r="BM490">
            <v>3625.7793750000001</v>
          </cell>
          <cell r="BN490">
            <v>0</v>
          </cell>
          <cell r="BO490">
            <v>312.05812499999956</v>
          </cell>
          <cell r="BP490" t="str">
            <v>Y</v>
          </cell>
          <cell r="BQ490">
            <v>1</v>
          </cell>
          <cell r="BR490" t="str">
            <v>Y</v>
          </cell>
          <cell r="BS490">
            <v>0</v>
          </cell>
          <cell r="BT490" t="str">
            <v>Done</v>
          </cell>
          <cell r="BU490">
            <v>65.25</v>
          </cell>
          <cell r="BV490">
            <v>2025</v>
          </cell>
        </row>
        <row r="491">
          <cell r="A491" t="str">
            <v>Lucknow</v>
          </cell>
          <cell r="B491" t="str">
            <v>Trust</v>
          </cell>
          <cell r="C491" t="str">
            <v>Mid Level</v>
          </cell>
          <cell r="D491" t="str">
            <v>Vivek Mishra</v>
          </cell>
          <cell r="E491" t="str">
            <v>-</v>
          </cell>
          <cell r="H491" t="str">
            <v>Rahul Srivastava</v>
          </cell>
          <cell r="L491" t="str">
            <v>New</v>
          </cell>
          <cell r="M491">
            <v>45694</v>
          </cell>
          <cell r="N491">
            <v>1</v>
          </cell>
          <cell r="O491">
            <v>352</v>
          </cell>
          <cell r="P491" t="str">
            <v>-</v>
          </cell>
          <cell r="Q491">
            <v>46059</v>
          </cell>
          <cell r="R491" t="str">
            <v>PLC-4118</v>
          </cell>
          <cell r="S491" t="str">
            <v>Ravikant Sharma</v>
          </cell>
          <cell r="T491" t="str">
            <v>Individual</v>
          </cell>
          <cell r="U491" t="str">
            <v>C2C</v>
          </cell>
          <cell r="V491" t="str">
            <v>Government of Alberta</v>
          </cell>
          <cell r="W491">
            <v>75</v>
          </cell>
          <cell r="X491">
            <v>0</v>
          </cell>
          <cell r="Y491" t="str">
            <v>CAD</v>
          </cell>
          <cell r="Z491">
            <v>85</v>
          </cell>
          <cell r="AA491">
            <v>0</v>
          </cell>
          <cell r="AB491">
            <v>0</v>
          </cell>
          <cell r="AC491">
            <v>0</v>
          </cell>
          <cell r="AD491">
            <v>45762</v>
          </cell>
          <cell r="AE491">
            <v>22</v>
          </cell>
          <cell r="AF491">
            <v>46022</v>
          </cell>
          <cell r="AG491">
            <v>53.25</v>
          </cell>
          <cell r="AH491">
            <v>0</v>
          </cell>
          <cell r="AI491">
            <v>53.25</v>
          </cell>
          <cell r="AJ491">
            <v>60.349999999999994</v>
          </cell>
          <cell r="AK491">
            <v>0</v>
          </cell>
          <cell r="AL491">
            <v>0</v>
          </cell>
          <cell r="AM491">
            <v>7.0999999999999943</v>
          </cell>
          <cell r="AN491">
            <v>0</v>
          </cell>
          <cell r="AO491">
            <v>7.0999999999999943</v>
          </cell>
          <cell r="AP491">
            <v>0</v>
          </cell>
          <cell r="AQ491">
            <v>7.0999999999999943</v>
          </cell>
          <cell r="AR491" t="str">
            <v>CAD_1496</v>
          </cell>
          <cell r="AS491">
            <v>0</v>
          </cell>
          <cell r="AT491">
            <v>145</v>
          </cell>
          <cell r="AU491">
            <v>145</v>
          </cell>
          <cell r="AV491">
            <v>0</v>
          </cell>
          <cell r="AW491">
            <v>1029.4999999999991</v>
          </cell>
          <cell r="AX491">
            <v>1029.4999999999991</v>
          </cell>
          <cell r="AY491">
            <v>1029.4999999999991</v>
          </cell>
          <cell r="AZ491">
            <v>0</v>
          </cell>
          <cell r="BA491">
            <v>0</v>
          </cell>
          <cell r="BB491">
            <v>0</v>
          </cell>
          <cell r="BF491">
            <v>1029.4999999999991</v>
          </cell>
          <cell r="BG491">
            <v>12325</v>
          </cell>
          <cell r="BH491">
            <v>8750.75</v>
          </cell>
          <cell r="BI491">
            <v>8057.2875000000004</v>
          </cell>
          <cell r="BJ491">
            <v>0</v>
          </cell>
          <cell r="BK491">
            <v>0</v>
          </cell>
          <cell r="BL491">
            <v>0</v>
          </cell>
          <cell r="BM491">
            <v>8057.2875000000004</v>
          </cell>
          <cell r="BN491">
            <v>0</v>
          </cell>
          <cell r="BO491">
            <v>693.46249999999964</v>
          </cell>
          <cell r="BP491" t="str">
            <v>Y</v>
          </cell>
          <cell r="BQ491">
            <v>2</v>
          </cell>
          <cell r="BR491" t="str">
            <v>Y</v>
          </cell>
          <cell r="BS491">
            <v>0</v>
          </cell>
          <cell r="BT491" t="str">
            <v>Done</v>
          </cell>
          <cell r="BU491">
            <v>145</v>
          </cell>
          <cell r="BV491">
            <v>2025</v>
          </cell>
        </row>
        <row r="492">
          <cell r="A492" t="str">
            <v>Lucknow</v>
          </cell>
          <cell r="B492" t="str">
            <v>Americas</v>
          </cell>
          <cell r="C492" t="str">
            <v>Mid Level</v>
          </cell>
          <cell r="D492" t="str">
            <v>Rajesh Khanna</v>
          </cell>
          <cell r="E492" t="str">
            <v>Garima Shukla</v>
          </cell>
          <cell r="H492" t="str">
            <v>Sarthak Dixit</v>
          </cell>
          <cell r="K492">
            <v>0</v>
          </cell>
          <cell r="L492" t="str">
            <v>Old</v>
          </cell>
          <cell r="M492">
            <v>45460</v>
          </cell>
          <cell r="N492">
            <v>2</v>
          </cell>
          <cell r="O492">
            <v>586</v>
          </cell>
          <cell r="P492">
            <v>45747</v>
          </cell>
          <cell r="Q492">
            <v>45825</v>
          </cell>
          <cell r="S492" t="str">
            <v>Ravikanti Sai Nikhil</v>
          </cell>
          <cell r="T492" t="str">
            <v>Individual</v>
          </cell>
          <cell r="U492" t="str">
            <v>C2C</v>
          </cell>
          <cell r="V492" t="str">
            <v>Fanatics</v>
          </cell>
          <cell r="W492">
            <v>17.849174475680499</v>
          </cell>
          <cell r="X492">
            <v>0</v>
          </cell>
          <cell r="Y492" t="str">
            <v>USD</v>
          </cell>
          <cell r="Z492">
            <v>39</v>
          </cell>
          <cell r="AA492">
            <v>0</v>
          </cell>
          <cell r="AB492">
            <v>0</v>
          </cell>
          <cell r="AC492">
            <v>6.1508255243195009</v>
          </cell>
          <cell r="AD492">
            <v>45672</v>
          </cell>
          <cell r="AE492">
            <v>22</v>
          </cell>
          <cell r="AF492">
            <v>46022</v>
          </cell>
          <cell r="AG492">
            <v>17.849174475680499</v>
          </cell>
          <cell r="AH492">
            <v>0</v>
          </cell>
          <cell r="AI492">
            <v>24</v>
          </cell>
          <cell r="AJ492">
            <v>39</v>
          </cell>
          <cell r="AK492">
            <v>0</v>
          </cell>
          <cell r="AL492">
            <v>0</v>
          </cell>
          <cell r="AM492">
            <v>15</v>
          </cell>
          <cell r="AN492">
            <v>0</v>
          </cell>
          <cell r="AO492">
            <v>15</v>
          </cell>
          <cell r="AP492">
            <v>0</v>
          </cell>
          <cell r="AQ492">
            <v>15</v>
          </cell>
          <cell r="AR492" t="str">
            <v>US_24244</v>
          </cell>
          <cell r="AS492">
            <v>0</v>
          </cell>
          <cell r="AT492">
            <v>198</v>
          </cell>
          <cell r="AU492">
            <v>198</v>
          </cell>
          <cell r="AV492">
            <v>0</v>
          </cell>
          <cell r="AW492">
            <v>2970</v>
          </cell>
          <cell r="AX492">
            <v>2970</v>
          </cell>
          <cell r="AY492">
            <v>2970</v>
          </cell>
          <cell r="AZ492">
            <v>0</v>
          </cell>
          <cell r="BA492">
            <v>0</v>
          </cell>
          <cell r="BB492">
            <v>0</v>
          </cell>
          <cell r="BD492">
            <v>2970</v>
          </cell>
          <cell r="BF492">
            <v>2970</v>
          </cell>
          <cell r="BG492">
            <v>7722</v>
          </cell>
          <cell r="BH492">
            <v>7722</v>
          </cell>
          <cell r="BI492">
            <v>3534.136546184739</v>
          </cell>
          <cell r="BJ492">
            <v>0</v>
          </cell>
          <cell r="BK492">
            <v>1217.8634538152612</v>
          </cell>
          <cell r="BL492">
            <v>0</v>
          </cell>
          <cell r="BM492">
            <v>4752</v>
          </cell>
          <cell r="BN492">
            <v>6.1508255243195009</v>
          </cell>
          <cell r="BO492">
            <v>2970</v>
          </cell>
          <cell r="BP492" t="str">
            <v>Y</v>
          </cell>
          <cell r="BQ492">
            <v>1</v>
          </cell>
          <cell r="BR492" t="str">
            <v>N</v>
          </cell>
          <cell r="BS492">
            <v>0</v>
          </cell>
          <cell r="BT492" t="str">
            <v>Done</v>
          </cell>
          <cell r="BU492">
            <v>198</v>
          </cell>
          <cell r="BV492">
            <v>2024</v>
          </cell>
        </row>
        <row r="493">
          <cell r="A493" t="str">
            <v>Lucknow</v>
          </cell>
          <cell r="B493" t="str">
            <v>Americas</v>
          </cell>
          <cell r="C493" t="str">
            <v>Mid Level</v>
          </cell>
          <cell r="D493" t="str">
            <v>Rajesh Khanna</v>
          </cell>
          <cell r="E493" t="str">
            <v>Garima Shukla</v>
          </cell>
          <cell r="H493" t="str">
            <v>Sarthak Dixit</v>
          </cell>
          <cell r="K493">
            <v>0</v>
          </cell>
          <cell r="L493" t="str">
            <v>Old</v>
          </cell>
          <cell r="M493">
            <v>45460</v>
          </cell>
          <cell r="N493">
            <v>2</v>
          </cell>
          <cell r="O493">
            <v>586</v>
          </cell>
          <cell r="P493">
            <v>45747</v>
          </cell>
          <cell r="Q493">
            <v>45825</v>
          </cell>
          <cell r="S493" t="str">
            <v>Ravikanti Sai Nikhil</v>
          </cell>
          <cell r="T493" t="str">
            <v>Individual</v>
          </cell>
          <cell r="U493" t="str">
            <v>C2C</v>
          </cell>
          <cell r="V493" t="str">
            <v>Fanatics</v>
          </cell>
          <cell r="W493">
            <v>17.849174475680499</v>
          </cell>
          <cell r="X493">
            <v>0</v>
          </cell>
          <cell r="Y493" t="str">
            <v>USD</v>
          </cell>
          <cell r="Z493">
            <v>39</v>
          </cell>
          <cell r="AA493">
            <v>0</v>
          </cell>
          <cell r="AB493">
            <v>0</v>
          </cell>
          <cell r="AC493">
            <v>6.1508255243195009</v>
          </cell>
          <cell r="AD493">
            <v>45703</v>
          </cell>
          <cell r="AE493">
            <v>20</v>
          </cell>
          <cell r="AF493">
            <v>46022</v>
          </cell>
          <cell r="AG493">
            <v>17.849174475680499</v>
          </cell>
          <cell r="AH493">
            <v>0</v>
          </cell>
          <cell r="AI493">
            <v>24</v>
          </cell>
          <cell r="AJ493">
            <v>39</v>
          </cell>
          <cell r="AK493">
            <v>0</v>
          </cell>
          <cell r="AL493">
            <v>0</v>
          </cell>
          <cell r="AM493">
            <v>15</v>
          </cell>
          <cell r="AN493">
            <v>0</v>
          </cell>
          <cell r="AO493">
            <v>15</v>
          </cell>
          <cell r="AP493">
            <v>0</v>
          </cell>
          <cell r="AQ493">
            <v>15</v>
          </cell>
          <cell r="AR493" t="str">
            <v>US_24450</v>
          </cell>
          <cell r="AS493">
            <v>0</v>
          </cell>
          <cell r="AT493">
            <v>153</v>
          </cell>
          <cell r="AU493">
            <v>153</v>
          </cell>
          <cell r="AV493">
            <v>0</v>
          </cell>
          <cell r="AW493">
            <v>2295</v>
          </cell>
          <cell r="AX493">
            <v>2295</v>
          </cell>
          <cell r="AY493">
            <v>2295</v>
          </cell>
          <cell r="AZ493">
            <v>0</v>
          </cell>
          <cell r="BA493">
            <v>0</v>
          </cell>
          <cell r="BB493">
            <v>0</v>
          </cell>
          <cell r="BD493">
            <v>2295</v>
          </cell>
          <cell r="BF493">
            <v>2295</v>
          </cell>
          <cell r="BG493">
            <v>5967</v>
          </cell>
          <cell r="BH493">
            <v>5967</v>
          </cell>
          <cell r="BI493">
            <v>2730.9236947791164</v>
          </cell>
          <cell r="BJ493">
            <v>0</v>
          </cell>
          <cell r="BK493">
            <v>941.07630522088368</v>
          </cell>
          <cell r="BL493">
            <v>0</v>
          </cell>
          <cell r="BM493">
            <v>3672</v>
          </cell>
          <cell r="BN493">
            <v>6.1508255243195009</v>
          </cell>
          <cell r="BO493">
            <v>2295</v>
          </cell>
          <cell r="BP493" t="str">
            <v>Y</v>
          </cell>
          <cell r="BQ493">
            <v>1</v>
          </cell>
          <cell r="BR493" t="str">
            <v>N</v>
          </cell>
          <cell r="BS493">
            <v>0</v>
          </cell>
          <cell r="BT493" t="str">
            <v>Done</v>
          </cell>
          <cell r="BU493">
            <v>153</v>
          </cell>
          <cell r="BV493">
            <v>2024</v>
          </cell>
        </row>
        <row r="494">
          <cell r="A494" t="str">
            <v>Lucknow</v>
          </cell>
          <cell r="B494" t="str">
            <v>Americas</v>
          </cell>
          <cell r="C494" t="str">
            <v>Mid Level</v>
          </cell>
          <cell r="D494" t="str">
            <v>Rajesh Khanna</v>
          </cell>
          <cell r="E494" t="str">
            <v>Garima Shukla</v>
          </cell>
          <cell r="H494" t="str">
            <v>Sarthak Dixit</v>
          </cell>
          <cell r="K494">
            <v>0</v>
          </cell>
          <cell r="L494" t="str">
            <v>Old</v>
          </cell>
          <cell r="M494">
            <v>45460</v>
          </cell>
          <cell r="N494">
            <v>2</v>
          </cell>
          <cell r="O494">
            <v>586</v>
          </cell>
          <cell r="P494">
            <v>45747</v>
          </cell>
          <cell r="Q494">
            <v>45825</v>
          </cell>
          <cell r="S494" t="str">
            <v>Ravikanti Sai Nikhil</v>
          </cell>
          <cell r="T494" t="str">
            <v>Individual</v>
          </cell>
          <cell r="U494" t="str">
            <v>C2C</v>
          </cell>
          <cell r="V494" t="str">
            <v>Fanatics</v>
          </cell>
          <cell r="W494">
            <v>17.849174475680499</v>
          </cell>
          <cell r="X494">
            <v>0</v>
          </cell>
          <cell r="Y494" t="str">
            <v>USD</v>
          </cell>
          <cell r="Z494">
            <v>39</v>
          </cell>
          <cell r="AA494">
            <v>0</v>
          </cell>
          <cell r="AB494">
            <v>0</v>
          </cell>
          <cell r="AC494">
            <v>6.1508255243195009</v>
          </cell>
          <cell r="AD494">
            <v>45731</v>
          </cell>
          <cell r="AE494">
            <v>21</v>
          </cell>
          <cell r="AF494">
            <v>46022</v>
          </cell>
          <cell r="AG494">
            <v>17.849174475680499</v>
          </cell>
          <cell r="AH494">
            <v>0</v>
          </cell>
          <cell r="AI494">
            <v>24</v>
          </cell>
          <cell r="AJ494">
            <v>39</v>
          </cell>
          <cell r="AK494">
            <v>0</v>
          </cell>
          <cell r="AL494">
            <v>0</v>
          </cell>
          <cell r="AM494">
            <v>15</v>
          </cell>
          <cell r="AN494">
            <v>0</v>
          </cell>
          <cell r="AO494">
            <v>15</v>
          </cell>
          <cell r="AP494">
            <v>0</v>
          </cell>
          <cell r="AQ494">
            <v>15</v>
          </cell>
          <cell r="AR494" t="str">
            <v>US_24638</v>
          </cell>
          <cell r="AS494">
            <v>0</v>
          </cell>
          <cell r="AT494">
            <v>189</v>
          </cell>
          <cell r="AU494">
            <v>189</v>
          </cell>
          <cell r="AV494">
            <v>0</v>
          </cell>
          <cell r="AW494">
            <v>2835</v>
          </cell>
          <cell r="AX494">
            <v>2835</v>
          </cell>
          <cell r="AY494">
            <v>2835</v>
          </cell>
          <cell r="AZ494">
            <v>0</v>
          </cell>
          <cell r="BA494">
            <v>0</v>
          </cell>
          <cell r="BB494">
            <v>0</v>
          </cell>
          <cell r="BD494">
            <v>2835</v>
          </cell>
          <cell r="BF494">
            <v>2835</v>
          </cell>
          <cell r="BG494">
            <v>7371</v>
          </cell>
          <cell r="BH494">
            <v>7371</v>
          </cell>
          <cell r="BI494">
            <v>3373.4939759036142</v>
          </cell>
          <cell r="BJ494">
            <v>0</v>
          </cell>
          <cell r="BK494">
            <v>1162.5060240963858</v>
          </cell>
          <cell r="BL494">
            <v>0</v>
          </cell>
          <cell r="BM494">
            <v>4536</v>
          </cell>
          <cell r="BN494">
            <v>6.1508255243195009</v>
          </cell>
          <cell r="BO494">
            <v>2835</v>
          </cell>
          <cell r="BP494" t="str">
            <v>Y</v>
          </cell>
          <cell r="BQ494">
            <v>1</v>
          </cell>
          <cell r="BR494" t="str">
            <v>N</v>
          </cell>
          <cell r="BS494">
            <v>0</v>
          </cell>
          <cell r="BT494" t="str">
            <v>Done</v>
          </cell>
          <cell r="BU494">
            <v>189</v>
          </cell>
          <cell r="BV494">
            <v>2024</v>
          </cell>
        </row>
        <row r="495">
          <cell r="A495" t="str">
            <v>Lucknow</v>
          </cell>
          <cell r="B495" t="str">
            <v>Titans</v>
          </cell>
          <cell r="C495" t="str">
            <v>Mid Level</v>
          </cell>
          <cell r="D495" t="str">
            <v>Nitin Saxena</v>
          </cell>
          <cell r="E495" t="str">
            <v>Nitin Saxena</v>
          </cell>
          <cell r="H495" t="str">
            <v>Hamza Ali</v>
          </cell>
          <cell r="J495" t="str">
            <v>ACH</v>
          </cell>
          <cell r="K495">
            <v>0</v>
          </cell>
          <cell r="L495" t="str">
            <v>Old</v>
          </cell>
          <cell r="M495">
            <v>45365</v>
          </cell>
          <cell r="N495">
            <v>1</v>
          </cell>
          <cell r="O495">
            <v>681</v>
          </cell>
          <cell r="P495">
            <v>45742</v>
          </cell>
          <cell r="Q495">
            <v>45730</v>
          </cell>
          <cell r="R495" t="str">
            <v>PLC-3671</v>
          </cell>
          <cell r="S495" t="str">
            <v>Raviteja Paturi</v>
          </cell>
          <cell r="T495" t="str">
            <v>Individual</v>
          </cell>
          <cell r="U495">
            <v>1099</v>
          </cell>
          <cell r="V495" t="str">
            <v>Genpact</v>
          </cell>
          <cell r="W495">
            <v>20</v>
          </cell>
          <cell r="X495">
            <v>30</v>
          </cell>
          <cell r="Y495" t="str">
            <v>USD</v>
          </cell>
          <cell r="Z495">
            <v>28</v>
          </cell>
          <cell r="AA495">
            <v>42</v>
          </cell>
          <cell r="AB495">
            <v>0</v>
          </cell>
          <cell r="AC495">
            <v>0</v>
          </cell>
          <cell r="AD495">
            <v>45672</v>
          </cell>
          <cell r="AE495">
            <v>22</v>
          </cell>
          <cell r="AF495">
            <v>46022</v>
          </cell>
          <cell r="AG495">
            <v>21.400000000000002</v>
          </cell>
          <cell r="AH495">
            <v>32.1</v>
          </cell>
          <cell r="AI495">
            <v>21.400000000000002</v>
          </cell>
          <cell r="AJ495">
            <v>28</v>
          </cell>
          <cell r="AK495">
            <v>42</v>
          </cell>
          <cell r="AL495">
            <v>9.8999999999999986</v>
          </cell>
          <cell r="AM495">
            <v>6.5999999999999979</v>
          </cell>
          <cell r="AN495">
            <v>9.8999999999999986</v>
          </cell>
          <cell r="AO495">
            <v>6.5999999999999979</v>
          </cell>
          <cell r="AP495">
            <v>9.8999999999999986</v>
          </cell>
          <cell r="AQ495">
            <v>6.5999999999999979</v>
          </cell>
          <cell r="AR495" t="str">
            <v>US_24218</v>
          </cell>
          <cell r="AS495">
            <v>22</v>
          </cell>
          <cell r="AT495">
            <v>160</v>
          </cell>
          <cell r="AU495">
            <v>160</v>
          </cell>
          <cell r="AV495">
            <v>217.79999999999995</v>
          </cell>
          <cell r="AW495">
            <v>1055.9999999999995</v>
          </cell>
          <cell r="AX495">
            <v>1261.0619999999994</v>
          </cell>
          <cell r="AY495">
            <v>1055.9999999999995</v>
          </cell>
          <cell r="AZ495">
            <v>106.25</v>
          </cell>
          <cell r="BA495">
            <v>22.439999999999991</v>
          </cell>
          <cell r="BB495">
            <v>3590.3999999999987</v>
          </cell>
          <cell r="BC495">
            <v>63</v>
          </cell>
          <cell r="BD495">
            <v>1055.9999999999995</v>
          </cell>
          <cell r="BE495">
            <v>1267.1999999999994</v>
          </cell>
          <cell r="BF495">
            <v>1261.0619999999994</v>
          </cell>
          <cell r="BG495">
            <v>4480</v>
          </cell>
          <cell r="BH495">
            <v>4480</v>
          </cell>
          <cell r="BI495">
            <v>3200</v>
          </cell>
          <cell r="BJ495">
            <v>1.4000000000000001</v>
          </cell>
          <cell r="BK495">
            <v>0</v>
          </cell>
          <cell r="BL495">
            <v>224.00000000000003</v>
          </cell>
          <cell r="BM495">
            <v>3424</v>
          </cell>
          <cell r="BN495">
            <v>1.4000000000000001</v>
          </cell>
          <cell r="BO495">
            <v>1056</v>
          </cell>
          <cell r="BP495" t="str">
            <v>Y</v>
          </cell>
          <cell r="BQ495">
            <v>1</v>
          </cell>
          <cell r="BR495" t="str">
            <v>Y</v>
          </cell>
          <cell r="BS495">
            <v>3590.3999999999987</v>
          </cell>
          <cell r="BT495" t="str">
            <v>Done</v>
          </cell>
          <cell r="BU495">
            <v>160</v>
          </cell>
          <cell r="BV495">
            <v>2024</v>
          </cell>
        </row>
        <row r="496">
          <cell r="A496" t="str">
            <v>Lucknow</v>
          </cell>
          <cell r="B496" t="str">
            <v>Titans</v>
          </cell>
          <cell r="C496" t="str">
            <v>Mid Level</v>
          </cell>
          <cell r="D496" t="str">
            <v>Nitin Saxena</v>
          </cell>
          <cell r="E496" t="str">
            <v>Nitin Saxena</v>
          </cell>
          <cell r="H496" t="str">
            <v>Hamza Ali</v>
          </cell>
          <cell r="J496" t="str">
            <v>ACH</v>
          </cell>
          <cell r="K496">
            <v>0</v>
          </cell>
          <cell r="L496" t="str">
            <v>Old</v>
          </cell>
          <cell r="M496">
            <v>45365</v>
          </cell>
          <cell r="N496">
            <v>1</v>
          </cell>
          <cell r="O496">
            <v>681</v>
          </cell>
          <cell r="P496">
            <v>45742</v>
          </cell>
          <cell r="Q496">
            <v>45730</v>
          </cell>
          <cell r="R496" t="str">
            <v>PLC-3671</v>
          </cell>
          <cell r="S496" t="str">
            <v>Raviteja Paturi</v>
          </cell>
          <cell r="T496" t="str">
            <v>Individual</v>
          </cell>
          <cell r="U496">
            <v>1099</v>
          </cell>
          <cell r="V496" t="str">
            <v>Genpact</v>
          </cell>
          <cell r="W496">
            <v>20</v>
          </cell>
          <cell r="X496">
            <v>30</v>
          </cell>
          <cell r="Y496" t="str">
            <v>USD</v>
          </cell>
          <cell r="Z496">
            <v>28</v>
          </cell>
          <cell r="AA496">
            <v>42</v>
          </cell>
          <cell r="AB496">
            <v>0</v>
          </cell>
          <cell r="AC496">
            <v>0</v>
          </cell>
          <cell r="AD496">
            <v>45703</v>
          </cell>
          <cell r="AE496">
            <v>20</v>
          </cell>
          <cell r="AF496">
            <v>46022</v>
          </cell>
          <cell r="AG496">
            <v>21.400000000000002</v>
          </cell>
          <cell r="AH496">
            <v>32.1</v>
          </cell>
          <cell r="AI496">
            <v>21.400000000000002</v>
          </cell>
          <cell r="AJ496">
            <v>28</v>
          </cell>
          <cell r="AK496">
            <v>42</v>
          </cell>
          <cell r="AL496">
            <v>9.8999999999999986</v>
          </cell>
          <cell r="AM496">
            <v>6.5999999999999979</v>
          </cell>
          <cell r="AN496">
            <v>9.8999999999999986</v>
          </cell>
          <cell r="AO496">
            <v>6.5999999999999979</v>
          </cell>
          <cell r="AP496">
            <v>9.8999999999999986</v>
          </cell>
          <cell r="AQ496">
            <v>6.5999999999999979</v>
          </cell>
          <cell r="AR496" t="str">
            <v>US_24425</v>
          </cell>
          <cell r="AS496">
            <v>14</v>
          </cell>
          <cell r="AT496">
            <v>160</v>
          </cell>
          <cell r="AU496">
            <v>160</v>
          </cell>
          <cell r="AV496">
            <v>138.59999999999997</v>
          </cell>
          <cell r="AW496">
            <v>1055.9999999999995</v>
          </cell>
          <cell r="AX496">
            <v>1182.6539999999995</v>
          </cell>
          <cell r="AY496">
            <v>1055.9999999999995</v>
          </cell>
          <cell r="AZ496">
            <v>106.25</v>
          </cell>
          <cell r="BA496">
            <v>22.439999999999991</v>
          </cell>
          <cell r="BB496">
            <v>3590.3999999999987</v>
          </cell>
          <cell r="BC496">
            <v>63</v>
          </cell>
          <cell r="BD496">
            <v>1055.9999999999995</v>
          </cell>
          <cell r="BE496">
            <v>1267.1999999999994</v>
          </cell>
          <cell r="BF496">
            <v>1182.6539999999995</v>
          </cell>
          <cell r="BG496">
            <v>4480</v>
          </cell>
          <cell r="BH496">
            <v>4480</v>
          </cell>
          <cell r="BI496">
            <v>3200</v>
          </cell>
          <cell r="BJ496">
            <v>1.4000000000000001</v>
          </cell>
          <cell r="BK496">
            <v>0</v>
          </cell>
          <cell r="BL496">
            <v>224.00000000000003</v>
          </cell>
          <cell r="BM496">
            <v>3424</v>
          </cell>
          <cell r="BN496">
            <v>1.4000000000000001</v>
          </cell>
          <cell r="BO496">
            <v>1056</v>
          </cell>
          <cell r="BP496" t="str">
            <v>Y</v>
          </cell>
          <cell r="BQ496">
            <v>1</v>
          </cell>
          <cell r="BR496" t="str">
            <v>Y</v>
          </cell>
          <cell r="BS496">
            <v>3590.3999999999987</v>
          </cell>
          <cell r="BT496" t="str">
            <v>Done</v>
          </cell>
          <cell r="BU496">
            <v>160</v>
          </cell>
          <cell r="BV496">
            <v>2024</v>
          </cell>
        </row>
        <row r="497">
          <cell r="A497" t="str">
            <v>Lucknow</v>
          </cell>
          <cell r="B497" t="str">
            <v>Titans</v>
          </cell>
          <cell r="C497" t="str">
            <v>Mid Level</v>
          </cell>
          <cell r="D497" t="str">
            <v>Nitin Saxena</v>
          </cell>
          <cell r="E497" t="str">
            <v>Nitin Saxena</v>
          </cell>
          <cell r="H497" t="str">
            <v>Hamza Ali</v>
          </cell>
          <cell r="J497" t="str">
            <v>ACH</v>
          </cell>
          <cell r="K497">
            <v>0</v>
          </cell>
          <cell r="L497" t="str">
            <v>Old</v>
          </cell>
          <cell r="M497">
            <v>45365</v>
          </cell>
          <cell r="N497">
            <v>1</v>
          </cell>
          <cell r="O497">
            <v>681</v>
          </cell>
          <cell r="P497">
            <v>45742</v>
          </cell>
          <cell r="Q497">
            <v>45730</v>
          </cell>
          <cell r="R497" t="str">
            <v>PLC-3671</v>
          </cell>
          <cell r="S497" t="str">
            <v>Raviteja Paturi</v>
          </cell>
          <cell r="T497" t="str">
            <v>Individual</v>
          </cell>
          <cell r="U497">
            <v>1099</v>
          </cell>
          <cell r="V497" t="str">
            <v>Genpact</v>
          </cell>
          <cell r="W497">
            <v>20</v>
          </cell>
          <cell r="X497">
            <v>30</v>
          </cell>
          <cell r="Y497" t="str">
            <v>USD</v>
          </cell>
          <cell r="Z497">
            <v>28</v>
          </cell>
          <cell r="AA497">
            <v>42</v>
          </cell>
          <cell r="AB497">
            <v>0</v>
          </cell>
          <cell r="AC497">
            <v>0</v>
          </cell>
          <cell r="AD497">
            <v>45731</v>
          </cell>
          <cell r="AE497">
            <v>18</v>
          </cell>
          <cell r="AF497">
            <v>46022</v>
          </cell>
          <cell r="AG497">
            <v>21.400000000000002</v>
          </cell>
          <cell r="AH497">
            <v>32.1</v>
          </cell>
          <cell r="AI497">
            <v>21.400000000000002</v>
          </cell>
          <cell r="AJ497">
            <v>28</v>
          </cell>
          <cell r="AK497">
            <v>42</v>
          </cell>
          <cell r="AL497">
            <v>9.8999999999999986</v>
          </cell>
          <cell r="AM497">
            <v>6.5999999999999979</v>
          </cell>
          <cell r="AN497">
            <v>9.8999999999999986</v>
          </cell>
          <cell r="AO497">
            <v>6.5999999999999979</v>
          </cell>
          <cell r="AP497">
            <v>9.8999999999999986</v>
          </cell>
          <cell r="AQ497">
            <v>6.5999999999999979</v>
          </cell>
          <cell r="AR497" t="str">
            <v>US_24617</v>
          </cell>
          <cell r="AS497">
            <v>0</v>
          </cell>
          <cell r="AT497">
            <v>160</v>
          </cell>
          <cell r="AU497">
            <v>160</v>
          </cell>
          <cell r="AV497">
            <v>0</v>
          </cell>
          <cell r="AW497">
            <v>1055.9999999999995</v>
          </cell>
          <cell r="AX497">
            <v>1045.4399999999996</v>
          </cell>
          <cell r="AY497">
            <v>1055.9999999999995</v>
          </cell>
          <cell r="AZ497">
            <v>106.25</v>
          </cell>
          <cell r="BA497">
            <v>22.439999999999991</v>
          </cell>
          <cell r="BB497">
            <v>0</v>
          </cell>
          <cell r="BC497">
            <v>63</v>
          </cell>
          <cell r="BD497">
            <v>0</v>
          </cell>
          <cell r="BE497">
            <v>0</v>
          </cell>
          <cell r="BF497">
            <v>0</v>
          </cell>
          <cell r="BG497">
            <v>4480</v>
          </cell>
          <cell r="BH497">
            <v>4480</v>
          </cell>
          <cell r="BI497">
            <v>3200</v>
          </cell>
          <cell r="BJ497">
            <v>1.4000000000000001</v>
          </cell>
          <cell r="BK497">
            <v>0</v>
          </cell>
          <cell r="BL497">
            <v>224.00000000000003</v>
          </cell>
          <cell r="BM497">
            <v>3424</v>
          </cell>
          <cell r="BN497">
            <v>1.4000000000000001</v>
          </cell>
          <cell r="BO497">
            <v>1056</v>
          </cell>
          <cell r="BP497" t="str">
            <v>Y</v>
          </cell>
          <cell r="BQ497">
            <v>1</v>
          </cell>
          <cell r="BR497" t="str">
            <v>Y</v>
          </cell>
          <cell r="BS497">
            <v>0</v>
          </cell>
          <cell r="BT497" t="str">
            <v>Done</v>
          </cell>
          <cell r="BU497">
            <v>160</v>
          </cell>
          <cell r="BV497">
            <v>2024</v>
          </cell>
        </row>
        <row r="498">
          <cell r="A498" t="str">
            <v>Lucknow</v>
          </cell>
          <cell r="B498" t="str">
            <v>Trust</v>
          </cell>
          <cell r="C498" t="str">
            <v>Mid Level</v>
          </cell>
          <cell r="D498" t="str">
            <v>Harsh Agarwal</v>
          </cell>
          <cell r="E498" t="str">
            <v>-</v>
          </cell>
          <cell r="H498" t="str">
            <v>Sana Zohra</v>
          </cell>
          <cell r="K498">
            <v>0</v>
          </cell>
          <cell r="L498" t="str">
            <v>Old</v>
          </cell>
          <cell r="M498">
            <v>45453</v>
          </cell>
          <cell r="N498">
            <v>2</v>
          </cell>
          <cell r="O498">
            <v>593</v>
          </cell>
          <cell r="P498">
            <v>45912</v>
          </cell>
          <cell r="Q498">
            <v>45818</v>
          </cell>
          <cell r="R498" t="str">
            <v>PLC-3792</v>
          </cell>
          <cell r="S498" t="str">
            <v>Raymond Benison</v>
          </cell>
          <cell r="T498" t="str">
            <v>Individual</v>
          </cell>
          <cell r="U498" t="str">
            <v>W2</v>
          </cell>
          <cell r="V498" t="str">
            <v>Morton Way</v>
          </cell>
          <cell r="W498">
            <v>52</v>
          </cell>
          <cell r="X498">
            <v>0</v>
          </cell>
          <cell r="Y498" t="str">
            <v>USD</v>
          </cell>
          <cell r="Z498">
            <v>70</v>
          </cell>
          <cell r="AA498">
            <v>0</v>
          </cell>
          <cell r="AB498">
            <v>0</v>
          </cell>
          <cell r="AC498">
            <v>0</v>
          </cell>
          <cell r="AD498">
            <v>45672</v>
          </cell>
          <cell r="AE498">
            <v>23</v>
          </cell>
          <cell r="AF498">
            <v>46022</v>
          </cell>
          <cell r="AG498">
            <v>59.8</v>
          </cell>
          <cell r="AH498">
            <v>0</v>
          </cell>
          <cell r="AI498">
            <v>59.8</v>
          </cell>
          <cell r="AJ498">
            <v>70</v>
          </cell>
          <cell r="AK498">
            <v>0</v>
          </cell>
          <cell r="AL498">
            <v>0</v>
          </cell>
          <cell r="AM498">
            <v>10.200000000000003</v>
          </cell>
          <cell r="AN498">
            <v>0</v>
          </cell>
          <cell r="AO498">
            <v>10.200000000000003</v>
          </cell>
          <cell r="AP498">
            <v>0</v>
          </cell>
          <cell r="AQ498">
            <v>10.200000000000003</v>
          </cell>
          <cell r="AR498" t="str">
            <v>US_24241</v>
          </cell>
          <cell r="AS498">
            <v>0</v>
          </cell>
          <cell r="AT498">
            <v>168</v>
          </cell>
          <cell r="AU498">
            <v>168</v>
          </cell>
          <cell r="AV498">
            <v>0</v>
          </cell>
          <cell r="AW498">
            <v>1713.6000000000004</v>
          </cell>
          <cell r="AX498">
            <v>1713.6000000000004</v>
          </cell>
          <cell r="AY498">
            <v>1713.6000000000004</v>
          </cell>
          <cell r="AZ498">
            <v>60</v>
          </cell>
          <cell r="BA498">
            <v>22.440000000000005</v>
          </cell>
          <cell r="BB498">
            <v>3769.920000000001</v>
          </cell>
          <cell r="BD498">
            <v>1713.6000000000004</v>
          </cell>
          <cell r="BF498">
            <v>1713.6000000000004</v>
          </cell>
          <cell r="BG498">
            <v>11760</v>
          </cell>
          <cell r="BH498">
            <v>11760</v>
          </cell>
          <cell r="BI498">
            <v>8736</v>
          </cell>
          <cell r="BJ498">
            <v>7.8</v>
          </cell>
          <cell r="BK498">
            <v>0</v>
          </cell>
          <cell r="BL498">
            <v>1310.3999999999999</v>
          </cell>
          <cell r="BM498">
            <v>10046.4</v>
          </cell>
          <cell r="BN498">
            <v>7.8</v>
          </cell>
          <cell r="BO498">
            <v>1713.6000000000001</v>
          </cell>
          <cell r="BP498" t="str">
            <v>Y</v>
          </cell>
          <cell r="BQ498">
            <v>1</v>
          </cell>
          <cell r="BR498" t="str">
            <v>Y</v>
          </cell>
          <cell r="BS498">
            <v>3769.920000000001</v>
          </cell>
          <cell r="BT498" t="str">
            <v>Done</v>
          </cell>
          <cell r="BU498">
            <v>168</v>
          </cell>
          <cell r="BV498">
            <v>2024</v>
          </cell>
        </row>
        <row r="499">
          <cell r="A499" t="str">
            <v>Lucknow</v>
          </cell>
          <cell r="B499" t="str">
            <v>Trust</v>
          </cell>
          <cell r="C499" t="str">
            <v>Mid Level</v>
          </cell>
          <cell r="D499" t="str">
            <v>Harsh Agarwal</v>
          </cell>
          <cell r="E499" t="str">
            <v>-</v>
          </cell>
          <cell r="H499" t="str">
            <v>Sana Zohra</v>
          </cell>
          <cell r="K499">
            <v>0</v>
          </cell>
          <cell r="L499" t="str">
            <v>Old</v>
          </cell>
          <cell r="M499">
            <v>45453</v>
          </cell>
          <cell r="N499">
            <v>2</v>
          </cell>
          <cell r="O499">
            <v>593</v>
          </cell>
          <cell r="P499">
            <v>45912</v>
          </cell>
          <cell r="Q499">
            <v>45818</v>
          </cell>
          <cell r="R499" t="str">
            <v>PLC-3792</v>
          </cell>
          <cell r="S499" t="str">
            <v>Raymond Benison</v>
          </cell>
          <cell r="T499" t="str">
            <v>Individual</v>
          </cell>
          <cell r="U499" t="str">
            <v>W2</v>
          </cell>
          <cell r="V499" t="str">
            <v>Morton Way</v>
          </cell>
          <cell r="W499">
            <v>52</v>
          </cell>
          <cell r="X499">
            <v>0</v>
          </cell>
          <cell r="Y499" t="str">
            <v>USD</v>
          </cell>
          <cell r="Z499">
            <v>70</v>
          </cell>
          <cell r="AA499">
            <v>0</v>
          </cell>
          <cell r="AB499">
            <v>0</v>
          </cell>
          <cell r="AC499">
            <v>0</v>
          </cell>
          <cell r="AD499">
            <v>45703</v>
          </cell>
          <cell r="AE499">
            <v>20</v>
          </cell>
          <cell r="AF499">
            <v>46022</v>
          </cell>
          <cell r="AG499">
            <v>59.8</v>
          </cell>
          <cell r="AH499">
            <v>0</v>
          </cell>
          <cell r="AI499">
            <v>59.8</v>
          </cell>
          <cell r="AJ499">
            <v>70</v>
          </cell>
          <cell r="AK499">
            <v>0</v>
          </cell>
          <cell r="AL499">
            <v>0</v>
          </cell>
          <cell r="AM499">
            <v>10.200000000000003</v>
          </cell>
          <cell r="AN499">
            <v>0</v>
          </cell>
          <cell r="AO499">
            <v>10.200000000000003</v>
          </cell>
          <cell r="AP499">
            <v>0</v>
          </cell>
          <cell r="AQ499">
            <v>10.200000000000003</v>
          </cell>
          <cell r="AR499" t="str">
            <v>US_24447</v>
          </cell>
          <cell r="AS499">
            <v>0</v>
          </cell>
          <cell r="AT499">
            <v>152</v>
          </cell>
          <cell r="AU499">
            <v>152</v>
          </cell>
          <cell r="AV499">
            <v>0</v>
          </cell>
          <cell r="AW499">
            <v>1550.4000000000005</v>
          </cell>
          <cell r="AX499">
            <v>1550.4000000000005</v>
          </cell>
          <cell r="AY499">
            <v>1550.4000000000005</v>
          </cell>
          <cell r="AZ499">
            <v>60</v>
          </cell>
          <cell r="BA499">
            <v>22.440000000000005</v>
          </cell>
          <cell r="BB499">
            <v>3410.8800000000006</v>
          </cell>
          <cell r="BD499">
            <v>1550.4000000000005</v>
          </cell>
          <cell r="BF499">
            <v>1550.4000000000005</v>
          </cell>
          <cell r="BG499">
            <v>10640</v>
          </cell>
          <cell r="BH499">
            <v>10640</v>
          </cell>
          <cell r="BI499">
            <v>7904</v>
          </cell>
          <cell r="BJ499">
            <v>7.8</v>
          </cell>
          <cell r="BK499">
            <v>0</v>
          </cell>
          <cell r="BL499">
            <v>1185.5999999999999</v>
          </cell>
          <cell r="BM499">
            <v>9089.6</v>
          </cell>
          <cell r="BN499">
            <v>7.8</v>
          </cell>
          <cell r="BO499">
            <v>1550.4</v>
          </cell>
          <cell r="BP499" t="str">
            <v>Y</v>
          </cell>
          <cell r="BQ499">
            <v>1</v>
          </cell>
          <cell r="BR499" t="str">
            <v>Y</v>
          </cell>
          <cell r="BS499">
            <v>3410.8800000000006</v>
          </cell>
          <cell r="BT499" t="str">
            <v>Done</v>
          </cell>
          <cell r="BU499">
            <v>152</v>
          </cell>
          <cell r="BV499">
            <v>2024</v>
          </cell>
        </row>
        <row r="500">
          <cell r="A500" t="str">
            <v>Lucknow</v>
          </cell>
          <cell r="B500" t="str">
            <v>Trust</v>
          </cell>
          <cell r="C500" t="str">
            <v>Mid Level</v>
          </cell>
          <cell r="D500" t="str">
            <v>Harsh Agarwal</v>
          </cell>
          <cell r="E500" t="str">
            <v>-</v>
          </cell>
          <cell r="H500" t="str">
            <v>Sana Zohra</v>
          </cell>
          <cell r="K500">
            <v>0</v>
          </cell>
          <cell r="L500" t="str">
            <v>Old</v>
          </cell>
          <cell r="M500">
            <v>45453</v>
          </cell>
          <cell r="N500">
            <v>2</v>
          </cell>
          <cell r="O500">
            <v>593</v>
          </cell>
          <cell r="P500">
            <v>45912</v>
          </cell>
          <cell r="Q500">
            <v>45818</v>
          </cell>
          <cell r="R500" t="str">
            <v>PLC-3792</v>
          </cell>
          <cell r="S500" t="str">
            <v>Raymond Benison</v>
          </cell>
          <cell r="T500" t="str">
            <v>Individual</v>
          </cell>
          <cell r="U500" t="str">
            <v>W2</v>
          </cell>
          <cell r="V500" t="str">
            <v>Morton Way</v>
          </cell>
          <cell r="W500">
            <v>52</v>
          </cell>
          <cell r="X500">
            <v>0</v>
          </cell>
          <cell r="Y500" t="str">
            <v>USD</v>
          </cell>
          <cell r="Z500">
            <v>70</v>
          </cell>
          <cell r="AA500">
            <v>0</v>
          </cell>
          <cell r="AB500">
            <v>0</v>
          </cell>
          <cell r="AC500">
            <v>0</v>
          </cell>
          <cell r="AD500">
            <v>45731</v>
          </cell>
          <cell r="AE500">
            <v>21</v>
          </cell>
          <cell r="AF500">
            <v>46022</v>
          </cell>
          <cell r="AG500">
            <v>59.8</v>
          </cell>
          <cell r="AH500">
            <v>0</v>
          </cell>
          <cell r="AI500">
            <v>59.8</v>
          </cell>
          <cell r="AJ500">
            <v>70</v>
          </cell>
          <cell r="AK500">
            <v>0</v>
          </cell>
          <cell r="AL500">
            <v>0</v>
          </cell>
          <cell r="AM500">
            <v>10.200000000000003</v>
          </cell>
          <cell r="AN500">
            <v>0</v>
          </cell>
          <cell r="AO500">
            <v>10.200000000000003</v>
          </cell>
          <cell r="AP500">
            <v>0</v>
          </cell>
          <cell r="AQ500">
            <v>10.200000000000003</v>
          </cell>
          <cell r="AR500" t="str">
            <v>US_24636</v>
          </cell>
          <cell r="AS500">
            <v>0</v>
          </cell>
          <cell r="AT500">
            <v>168</v>
          </cell>
          <cell r="AU500">
            <v>168</v>
          </cell>
          <cell r="AV500">
            <v>0</v>
          </cell>
          <cell r="AW500">
            <v>1713.6000000000004</v>
          </cell>
          <cell r="AX500">
            <v>1713.6000000000004</v>
          </cell>
          <cell r="AY500">
            <v>1713.6000000000004</v>
          </cell>
          <cell r="AZ500">
            <v>60</v>
          </cell>
          <cell r="BA500">
            <v>22.440000000000005</v>
          </cell>
          <cell r="BB500">
            <v>3769.920000000001</v>
          </cell>
          <cell r="BD500">
            <v>1713.6000000000004</v>
          </cell>
          <cell r="BF500">
            <v>1713.6000000000004</v>
          </cell>
          <cell r="BG500">
            <v>11760</v>
          </cell>
          <cell r="BH500">
            <v>11760</v>
          </cell>
          <cell r="BI500">
            <v>8736</v>
          </cell>
          <cell r="BJ500">
            <v>7.8</v>
          </cell>
          <cell r="BK500">
            <v>0</v>
          </cell>
          <cell r="BL500">
            <v>1310.3999999999999</v>
          </cell>
          <cell r="BM500">
            <v>10046.4</v>
          </cell>
          <cell r="BN500">
            <v>7.8</v>
          </cell>
          <cell r="BO500">
            <v>1713.6000000000001</v>
          </cell>
          <cell r="BP500" t="str">
            <v>Y</v>
          </cell>
          <cell r="BQ500">
            <v>1</v>
          </cell>
          <cell r="BR500" t="str">
            <v>Y</v>
          </cell>
          <cell r="BS500">
            <v>3769.920000000001</v>
          </cell>
          <cell r="BT500" t="str">
            <v>Done</v>
          </cell>
          <cell r="BU500">
            <v>168</v>
          </cell>
          <cell r="BV500">
            <v>2024</v>
          </cell>
        </row>
        <row r="501">
          <cell r="A501" t="str">
            <v>Lucknow</v>
          </cell>
          <cell r="B501" t="str">
            <v>Trust</v>
          </cell>
          <cell r="C501" t="str">
            <v>Mid Level</v>
          </cell>
          <cell r="D501" t="str">
            <v>Harsh Agarwal</v>
          </cell>
          <cell r="E501" t="str">
            <v>-</v>
          </cell>
          <cell r="H501" t="str">
            <v>Sana Zohra</v>
          </cell>
          <cell r="K501">
            <v>0</v>
          </cell>
          <cell r="L501" t="str">
            <v>Old</v>
          </cell>
          <cell r="M501">
            <v>45453</v>
          </cell>
          <cell r="N501">
            <v>2</v>
          </cell>
          <cell r="O501">
            <v>593</v>
          </cell>
          <cell r="P501">
            <v>45912</v>
          </cell>
          <cell r="Q501">
            <v>45818</v>
          </cell>
          <cell r="R501" t="str">
            <v>PLC-3792</v>
          </cell>
          <cell r="S501" t="str">
            <v>Raymond Benison</v>
          </cell>
          <cell r="T501" t="str">
            <v>Individual</v>
          </cell>
          <cell r="U501" t="str">
            <v>W2</v>
          </cell>
          <cell r="V501" t="str">
            <v>Morton Way</v>
          </cell>
          <cell r="W501">
            <v>52</v>
          </cell>
          <cell r="X501">
            <v>0</v>
          </cell>
          <cell r="Y501" t="str">
            <v>USD</v>
          </cell>
          <cell r="Z501">
            <v>70</v>
          </cell>
          <cell r="AA501">
            <v>0</v>
          </cell>
          <cell r="AB501">
            <v>0</v>
          </cell>
          <cell r="AC501">
            <v>0</v>
          </cell>
          <cell r="AD501">
            <v>45762</v>
          </cell>
          <cell r="AE501">
            <v>22</v>
          </cell>
          <cell r="AF501">
            <v>46022</v>
          </cell>
          <cell r="AG501">
            <v>59.8</v>
          </cell>
          <cell r="AH501">
            <v>0</v>
          </cell>
          <cell r="AI501">
            <v>59.8</v>
          </cell>
          <cell r="AJ501">
            <v>70</v>
          </cell>
          <cell r="AK501">
            <v>0</v>
          </cell>
          <cell r="AL501">
            <v>0</v>
          </cell>
          <cell r="AM501">
            <v>10.200000000000003</v>
          </cell>
          <cell r="AN501">
            <v>0</v>
          </cell>
          <cell r="AO501">
            <v>10.200000000000003</v>
          </cell>
          <cell r="AP501">
            <v>0</v>
          </cell>
          <cell r="AQ501">
            <v>10.200000000000003</v>
          </cell>
          <cell r="AR501" t="str">
            <v>US_24844</v>
          </cell>
          <cell r="AS501">
            <v>0</v>
          </cell>
          <cell r="AT501">
            <v>176</v>
          </cell>
          <cell r="AU501">
            <v>176</v>
          </cell>
          <cell r="AV501">
            <v>0</v>
          </cell>
          <cell r="AW501">
            <v>1795.2000000000005</v>
          </cell>
          <cell r="AX501">
            <v>1795.2000000000005</v>
          </cell>
          <cell r="AY501">
            <v>1795.2000000000005</v>
          </cell>
          <cell r="AZ501">
            <v>60</v>
          </cell>
          <cell r="BA501">
            <v>22.440000000000005</v>
          </cell>
          <cell r="BB501">
            <v>3949.440000000001</v>
          </cell>
          <cell r="BD501">
            <v>1795.2000000000005</v>
          </cell>
          <cell r="BF501">
            <v>1795.2000000000005</v>
          </cell>
          <cell r="BG501">
            <v>12320</v>
          </cell>
          <cell r="BH501">
            <v>12320</v>
          </cell>
          <cell r="BI501">
            <v>9152</v>
          </cell>
          <cell r="BJ501">
            <v>7.8</v>
          </cell>
          <cell r="BK501">
            <v>0</v>
          </cell>
          <cell r="BL501">
            <v>1372.8</v>
          </cell>
          <cell r="BM501">
            <v>10524.8</v>
          </cell>
          <cell r="BN501">
            <v>7.8</v>
          </cell>
          <cell r="BO501">
            <v>1795.2</v>
          </cell>
          <cell r="BP501" t="str">
            <v>Y</v>
          </cell>
          <cell r="BQ501">
            <v>2</v>
          </cell>
          <cell r="BR501" t="str">
            <v>Y</v>
          </cell>
          <cell r="BS501">
            <v>3949.440000000001</v>
          </cell>
          <cell r="BT501" t="str">
            <v>Done</v>
          </cell>
          <cell r="BU501">
            <v>176</v>
          </cell>
          <cell r="BV501">
            <v>2024</v>
          </cell>
        </row>
        <row r="502">
          <cell r="A502" t="str">
            <v>Lucknow</v>
          </cell>
          <cell r="B502" t="str">
            <v>Trust</v>
          </cell>
          <cell r="C502" t="str">
            <v>Mid Level</v>
          </cell>
          <cell r="D502" t="str">
            <v>Bhanu Pratap Singh</v>
          </cell>
          <cell r="E502" t="str">
            <v>-</v>
          </cell>
          <cell r="H502" t="str">
            <v>Bhanu Pratap Singh</v>
          </cell>
          <cell r="J502" t="str">
            <v>ACH</v>
          </cell>
          <cell r="K502">
            <v>0</v>
          </cell>
          <cell r="L502" t="str">
            <v>Old</v>
          </cell>
          <cell r="M502">
            <v>45530</v>
          </cell>
          <cell r="N502">
            <v>3</v>
          </cell>
          <cell r="O502">
            <v>516</v>
          </cell>
          <cell r="P502">
            <v>46003</v>
          </cell>
          <cell r="Q502">
            <v>45895</v>
          </cell>
          <cell r="R502" t="str">
            <v>PLC-3944</v>
          </cell>
          <cell r="S502" t="str">
            <v>Rehan Mohammed</v>
          </cell>
          <cell r="T502" t="str">
            <v>Individual</v>
          </cell>
          <cell r="U502" t="str">
            <v>C2C</v>
          </cell>
          <cell r="V502" t="str">
            <v>Birlasoft</v>
          </cell>
          <cell r="W502">
            <v>87</v>
          </cell>
          <cell r="X502">
            <v>0</v>
          </cell>
          <cell r="Y502" t="str">
            <v>USD</v>
          </cell>
          <cell r="Z502">
            <v>90</v>
          </cell>
          <cell r="AA502">
            <v>0</v>
          </cell>
          <cell r="AB502">
            <v>0</v>
          </cell>
          <cell r="AC502">
            <v>1</v>
          </cell>
          <cell r="AD502">
            <v>45672</v>
          </cell>
          <cell r="AE502">
            <v>23</v>
          </cell>
          <cell r="AF502">
            <v>46022</v>
          </cell>
          <cell r="AG502">
            <v>87</v>
          </cell>
          <cell r="AH502">
            <v>0</v>
          </cell>
          <cell r="AI502">
            <v>88</v>
          </cell>
          <cell r="AJ502">
            <v>90</v>
          </cell>
          <cell r="AK502">
            <v>0</v>
          </cell>
          <cell r="AL502">
            <v>0</v>
          </cell>
          <cell r="AM502">
            <v>2</v>
          </cell>
          <cell r="AN502">
            <v>0</v>
          </cell>
          <cell r="AO502">
            <v>2</v>
          </cell>
          <cell r="AP502">
            <v>0</v>
          </cell>
          <cell r="AQ502">
            <v>2</v>
          </cell>
          <cell r="AR502" t="str">
            <v>US_24269</v>
          </cell>
          <cell r="AS502">
            <v>0</v>
          </cell>
          <cell r="AT502">
            <v>176</v>
          </cell>
          <cell r="AU502">
            <v>176</v>
          </cell>
          <cell r="AV502">
            <v>0</v>
          </cell>
          <cell r="AW502">
            <v>352</v>
          </cell>
          <cell r="AX502">
            <v>348.48</v>
          </cell>
          <cell r="AY502">
            <v>352</v>
          </cell>
          <cell r="AZ502">
            <v>0</v>
          </cell>
          <cell r="BA502">
            <v>0</v>
          </cell>
          <cell r="BB502">
            <v>0</v>
          </cell>
          <cell r="BD502">
            <v>352</v>
          </cell>
          <cell r="BF502">
            <v>348.48</v>
          </cell>
          <cell r="BG502">
            <v>15840</v>
          </cell>
          <cell r="BH502">
            <v>15840</v>
          </cell>
          <cell r="BI502">
            <v>15312</v>
          </cell>
          <cell r="BJ502">
            <v>0</v>
          </cell>
          <cell r="BK502">
            <v>176</v>
          </cell>
          <cell r="BL502">
            <v>0</v>
          </cell>
          <cell r="BM502">
            <v>15488</v>
          </cell>
          <cell r="BN502">
            <v>1</v>
          </cell>
          <cell r="BO502">
            <v>352</v>
          </cell>
          <cell r="BP502" t="str">
            <v>Y</v>
          </cell>
          <cell r="BQ502">
            <v>1</v>
          </cell>
          <cell r="BR502" t="str">
            <v>Y</v>
          </cell>
          <cell r="BS502">
            <v>0</v>
          </cell>
          <cell r="BT502" t="str">
            <v>Done</v>
          </cell>
          <cell r="BU502">
            <v>176</v>
          </cell>
          <cell r="BV502">
            <v>2024</v>
          </cell>
        </row>
        <row r="503">
          <cell r="A503" t="str">
            <v>Lucknow</v>
          </cell>
          <cell r="B503" t="str">
            <v>Trust</v>
          </cell>
          <cell r="C503" t="str">
            <v>Mid Level</v>
          </cell>
          <cell r="D503" t="str">
            <v>Bhanu Pratap Singh</v>
          </cell>
          <cell r="E503" t="str">
            <v>-</v>
          </cell>
          <cell r="H503" t="str">
            <v>Bhanu Pratap Singh</v>
          </cell>
          <cell r="J503" t="str">
            <v>ACH</v>
          </cell>
          <cell r="K503">
            <v>0</v>
          </cell>
          <cell r="L503" t="str">
            <v>Old</v>
          </cell>
          <cell r="M503">
            <v>45530</v>
          </cell>
          <cell r="N503">
            <v>3</v>
          </cell>
          <cell r="O503">
            <v>516</v>
          </cell>
          <cell r="P503">
            <v>46003</v>
          </cell>
          <cell r="Q503">
            <v>45895</v>
          </cell>
          <cell r="R503" t="str">
            <v>PLC-3944</v>
          </cell>
          <cell r="S503" t="str">
            <v>Rehan Mohammed</v>
          </cell>
          <cell r="T503" t="str">
            <v>Individual</v>
          </cell>
          <cell r="U503" t="str">
            <v>C2C</v>
          </cell>
          <cell r="V503" t="str">
            <v>Birlasoft</v>
          </cell>
          <cell r="W503">
            <v>87</v>
          </cell>
          <cell r="X503">
            <v>0</v>
          </cell>
          <cell r="Y503" t="str">
            <v>USD</v>
          </cell>
          <cell r="Z503">
            <v>90</v>
          </cell>
          <cell r="AA503">
            <v>0</v>
          </cell>
          <cell r="AB503">
            <v>0</v>
          </cell>
          <cell r="AC503">
            <v>1</v>
          </cell>
          <cell r="AD503">
            <v>45703</v>
          </cell>
          <cell r="AE503">
            <v>20</v>
          </cell>
          <cell r="AF503">
            <v>46022</v>
          </cell>
          <cell r="AG503">
            <v>87</v>
          </cell>
          <cell r="AH503">
            <v>0</v>
          </cell>
          <cell r="AI503">
            <v>88</v>
          </cell>
          <cell r="AJ503">
            <v>90</v>
          </cell>
          <cell r="AK503">
            <v>0</v>
          </cell>
          <cell r="AL503">
            <v>0</v>
          </cell>
          <cell r="AM503">
            <v>2</v>
          </cell>
          <cell r="AN503">
            <v>0</v>
          </cell>
          <cell r="AO503">
            <v>2</v>
          </cell>
          <cell r="AP503">
            <v>0</v>
          </cell>
          <cell r="AQ503">
            <v>2</v>
          </cell>
          <cell r="AR503" t="str">
            <v>US_24470</v>
          </cell>
          <cell r="AS503">
            <v>0</v>
          </cell>
          <cell r="AT503">
            <v>160</v>
          </cell>
          <cell r="AU503">
            <v>160</v>
          </cell>
          <cell r="AV503">
            <v>0</v>
          </cell>
          <cell r="AW503">
            <v>320</v>
          </cell>
          <cell r="AX503">
            <v>316.8</v>
          </cell>
          <cell r="AY503">
            <v>320</v>
          </cell>
          <cell r="AZ503">
            <v>0</v>
          </cell>
          <cell r="BA503">
            <v>0</v>
          </cell>
          <cell r="BB503">
            <v>0</v>
          </cell>
          <cell r="BD503">
            <v>320</v>
          </cell>
          <cell r="BF503">
            <v>316.8</v>
          </cell>
          <cell r="BG503">
            <v>14400</v>
          </cell>
          <cell r="BH503">
            <v>14400</v>
          </cell>
          <cell r="BI503">
            <v>13920</v>
          </cell>
          <cell r="BJ503">
            <v>0</v>
          </cell>
          <cell r="BK503">
            <v>160</v>
          </cell>
          <cell r="BL503">
            <v>0</v>
          </cell>
          <cell r="BM503">
            <v>14080</v>
          </cell>
          <cell r="BN503">
            <v>1</v>
          </cell>
          <cell r="BO503">
            <v>320</v>
          </cell>
          <cell r="BP503" t="str">
            <v>Y</v>
          </cell>
          <cell r="BQ503">
            <v>1</v>
          </cell>
          <cell r="BR503" t="str">
            <v>Y</v>
          </cell>
          <cell r="BS503">
            <v>0</v>
          </cell>
          <cell r="BT503" t="str">
            <v>Done</v>
          </cell>
          <cell r="BU503">
            <v>160</v>
          </cell>
          <cell r="BV503">
            <v>2024</v>
          </cell>
        </row>
        <row r="504">
          <cell r="A504" t="str">
            <v>Lucknow</v>
          </cell>
          <cell r="B504" t="str">
            <v>Trust</v>
          </cell>
          <cell r="C504" t="str">
            <v>Mid Level</v>
          </cell>
          <cell r="D504" t="str">
            <v>Bhanu Pratap Singh</v>
          </cell>
          <cell r="E504" t="str">
            <v>-</v>
          </cell>
          <cell r="H504" t="str">
            <v>Bhanu Pratap Singh</v>
          </cell>
          <cell r="J504" t="str">
            <v>ACH</v>
          </cell>
          <cell r="K504">
            <v>0</v>
          </cell>
          <cell r="L504" t="str">
            <v>Old</v>
          </cell>
          <cell r="M504">
            <v>45530</v>
          </cell>
          <cell r="N504">
            <v>3</v>
          </cell>
          <cell r="O504">
            <v>516</v>
          </cell>
          <cell r="P504">
            <v>46003</v>
          </cell>
          <cell r="Q504">
            <v>45895</v>
          </cell>
          <cell r="R504" t="str">
            <v>PLC-3944</v>
          </cell>
          <cell r="S504" t="str">
            <v>Rehan Mohammed</v>
          </cell>
          <cell r="T504" t="str">
            <v>Individual</v>
          </cell>
          <cell r="U504" t="str">
            <v>C2C</v>
          </cell>
          <cell r="V504" t="str">
            <v>Birlasoft</v>
          </cell>
          <cell r="W504">
            <v>87</v>
          </cell>
          <cell r="X504">
            <v>0</v>
          </cell>
          <cell r="Y504" t="str">
            <v>USD</v>
          </cell>
          <cell r="Z504">
            <v>90</v>
          </cell>
          <cell r="AA504">
            <v>0</v>
          </cell>
          <cell r="AB504">
            <v>0</v>
          </cell>
          <cell r="AC504">
            <v>1</v>
          </cell>
          <cell r="AD504">
            <v>45731</v>
          </cell>
          <cell r="AE504">
            <v>21</v>
          </cell>
          <cell r="AF504">
            <v>46022</v>
          </cell>
          <cell r="AG504">
            <v>87</v>
          </cell>
          <cell r="AH504">
            <v>0</v>
          </cell>
          <cell r="AI504">
            <v>88</v>
          </cell>
          <cell r="AJ504">
            <v>90</v>
          </cell>
          <cell r="AK504">
            <v>0</v>
          </cell>
          <cell r="AL504">
            <v>0</v>
          </cell>
          <cell r="AM504">
            <v>2</v>
          </cell>
          <cell r="AN504">
            <v>0</v>
          </cell>
          <cell r="AO504">
            <v>2</v>
          </cell>
          <cell r="AP504">
            <v>0</v>
          </cell>
          <cell r="AQ504">
            <v>2</v>
          </cell>
          <cell r="AR504" t="str">
            <v>US_24657</v>
          </cell>
          <cell r="AS504">
            <v>0</v>
          </cell>
          <cell r="AT504">
            <v>168</v>
          </cell>
          <cell r="AU504">
            <v>168</v>
          </cell>
          <cell r="AV504">
            <v>0</v>
          </cell>
          <cell r="AW504">
            <v>336</v>
          </cell>
          <cell r="AX504">
            <v>332.64</v>
          </cell>
          <cell r="AY504">
            <v>336</v>
          </cell>
          <cell r="AZ504">
            <v>0</v>
          </cell>
          <cell r="BA504">
            <v>0</v>
          </cell>
          <cell r="BB504">
            <v>0</v>
          </cell>
          <cell r="BD504">
            <v>336</v>
          </cell>
          <cell r="BF504">
            <v>332.64</v>
          </cell>
          <cell r="BG504">
            <v>15120</v>
          </cell>
          <cell r="BH504">
            <v>15120</v>
          </cell>
          <cell r="BI504">
            <v>14616</v>
          </cell>
          <cell r="BJ504">
            <v>0</v>
          </cell>
          <cell r="BK504">
            <v>168</v>
          </cell>
          <cell r="BL504">
            <v>0</v>
          </cell>
          <cell r="BM504">
            <v>14784</v>
          </cell>
          <cell r="BN504">
            <v>1</v>
          </cell>
          <cell r="BO504">
            <v>336</v>
          </cell>
          <cell r="BP504" t="str">
            <v>Y</v>
          </cell>
          <cell r="BQ504">
            <v>1</v>
          </cell>
          <cell r="BR504" t="str">
            <v>Y</v>
          </cell>
          <cell r="BS504">
            <v>0</v>
          </cell>
          <cell r="BT504" t="str">
            <v>Done</v>
          </cell>
          <cell r="BU504">
            <v>168</v>
          </cell>
          <cell r="BV504">
            <v>2024</v>
          </cell>
        </row>
        <row r="505">
          <cell r="A505" t="str">
            <v>Lucknow</v>
          </cell>
          <cell r="B505" t="str">
            <v>Trust</v>
          </cell>
          <cell r="C505" t="str">
            <v>Mid Level</v>
          </cell>
          <cell r="D505" t="str">
            <v>Bhanu Pratap Singh</v>
          </cell>
          <cell r="E505" t="str">
            <v>-</v>
          </cell>
          <cell r="H505" t="str">
            <v>Bhanu Pratap Singh</v>
          </cell>
          <cell r="J505" t="str">
            <v>ACH</v>
          </cell>
          <cell r="K505">
            <v>0</v>
          </cell>
          <cell r="L505" t="str">
            <v>Old</v>
          </cell>
          <cell r="M505">
            <v>45530</v>
          </cell>
          <cell r="N505">
            <v>3</v>
          </cell>
          <cell r="O505">
            <v>516</v>
          </cell>
          <cell r="P505">
            <v>46003</v>
          </cell>
          <cell r="Q505">
            <v>45895</v>
          </cell>
          <cell r="R505" t="str">
            <v>PLC-3944</v>
          </cell>
          <cell r="S505" t="str">
            <v>Rehan Mohammed</v>
          </cell>
          <cell r="T505" t="str">
            <v>Individual</v>
          </cell>
          <cell r="U505" t="str">
            <v>C2C</v>
          </cell>
          <cell r="V505" t="str">
            <v>Birlasoft</v>
          </cell>
          <cell r="W505">
            <v>87</v>
          </cell>
          <cell r="X505">
            <v>0</v>
          </cell>
          <cell r="Y505" t="str">
            <v>USD</v>
          </cell>
          <cell r="Z505">
            <v>90</v>
          </cell>
          <cell r="AA505">
            <v>0</v>
          </cell>
          <cell r="AB505">
            <v>0</v>
          </cell>
          <cell r="AC505">
            <v>1</v>
          </cell>
          <cell r="AD505">
            <v>45762</v>
          </cell>
          <cell r="AE505">
            <v>22</v>
          </cell>
          <cell r="AF505">
            <v>46022</v>
          </cell>
          <cell r="AG505">
            <v>87</v>
          </cell>
          <cell r="AH505">
            <v>0</v>
          </cell>
          <cell r="AI505">
            <v>88</v>
          </cell>
          <cell r="AJ505">
            <v>90</v>
          </cell>
          <cell r="AK505">
            <v>0</v>
          </cell>
          <cell r="AL505">
            <v>0</v>
          </cell>
          <cell r="AM505">
            <v>2</v>
          </cell>
          <cell r="AN505">
            <v>0</v>
          </cell>
          <cell r="AO505">
            <v>2</v>
          </cell>
          <cell r="AP505">
            <v>0</v>
          </cell>
          <cell r="AQ505">
            <v>2</v>
          </cell>
          <cell r="AR505" t="str">
            <v>US_24862</v>
          </cell>
          <cell r="AS505">
            <v>0</v>
          </cell>
          <cell r="AT505">
            <v>176</v>
          </cell>
          <cell r="AU505">
            <v>176</v>
          </cell>
          <cell r="AV505">
            <v>0</v>
          </cell>
          <cell r="AW505">
            <v>352</v>
          </cell>
          <cell r="AX505">
            <v>348.48</v>
          </cell>
          <cell r="AY505">
            <v>352</v>
          </cell>
          <cell r="AZ505">
            <v>0</v>
          </cell>
          <cell r="BA505">
            <v>0</v>
          </cell>
          <cell r="BB505">
            <v>0</v>
          </cell>
          <cell r="BD505">
            <v>352</v>
          </cell>
          <cell r="BF505">
            <v>348.48</v>
          </cell>
          <cell r="BG505">
            <v>15840</v>
          </cell>
          <cell r="BH505">
            <v>15840</v>
          </cell>
          <cell r="BI505">
            <v>15312</v>
          </cell>
          <cell r="BJ505">
            <v>0</v>
          </cell>
          <cell r="BK505">
            <v>176</v>
          </cell>
          <cell r="BL505">
            <v>0</v>
          </cell>
          <cell r="BM505">
            <v>15488</v>
          </cell>
          <cell r="BN505">
            <v>1</v>
          </cell>
          <cell r="BO505">
            <v>352</v>
          </cell>
          <cell r="BP505" t="str">
            <v>Y</v>
          </cell>
          <cell r="BQ505">
            <v>2</v>
          </cell>
          <cell r="BR505" t="str">
            <v>Y</v>
          </cell>
          <cell r="BS505">
            <v>0</v>
          </cell>
          <cell r="BT505" t="str">
            <v>Done</v>
          </cell>
          <cell r="BU505">
            <v>176</v>
          </cell>
          <cell r="BV505">
            <v>2024</v>
          </cell>
        </row>
        <row r="506">
          <cell r="A506" t="str">
            <v>Lucknow</v>
          </cell>
          <cell r="B506" t="str">
            <v>Mavericks</v>
          </cell>
          <cell r="C506" t="str">
            <v>Mid Level</v>
          </cell>
          <cell r="D506" t="str">
            <v>Kashif Nabi</v>
          </cell>
          <cell r="E506" t="str">
            <v>-</v>
          </cell>
          <cell r="F506" t="str">
            <v>-</v>
          </cell>
          <cell r="G506" t="str">
            <v>-</v>
          </cell>
          <cell r="H506" t="str">
            <v>Anshita Dwivedi</v>
          </cell>
          <cell r="J506" t="str">
            <v>ACH</v>
          </cell>
          <cell r="K506" t="str">
            <v>-</v>
          </cell>
          <cell r="L506" t="str">
            <v>New</v>
          </cell>
          <cell r="M506">
            <v>45754</v>
          </cell>
          <cell r="N506">
            <v>2</v>
          </cell>
          <cell r="O506">
            <v>292</v>
          </cell>
          <cell r="P506">
            <v>45868</v>
          </cell>
          <cell r="Q506">
            <v>46119</v>
          </cell>
          <cell r="R506" t="str">
            <v>PLC-4213</v>
          </cell>
          <cell r="S506" t="str">
            <v>Renita Blake</v>
          </cell>
          <cell r="T506" t="str">
            <v>Split</v>
          </cell>
          <cell r="U506">
            <v>1099</v>
          </cell>
          <cell r="V506" t="str">
            <v>GRI</v>
          </cell>
          <cell r="W506">
            <v>18</v>
          </cell>
          <cell r="X506">
            <v>27</v>
          </cell>
          <cell r="Y506" t="str">
            <v>USD</v>
          </cell>
          <cell r="Z506">
            <v>25</v>
          </cell>
          <cell r="AA506">
            <v>37.5</v>
          </cell>
          <cell r="AB506">
            <v>0</v>
          </cell>
          <cell r="AC506">
            <v>0</v>
          </cell>
          <cell r="AD506">
            <v>45762</v>
          </cell>
          <cell r="AE506">
            <v>18</v>
          </cell>
          <cell r="AF506">
            <v>46022</v>
          </cell>
          <cell r="AG506">
            <v>19.260000000000002</v>
          </cell>
          <cell r="AH506">
            <v>28.89</v>
          </cell>
          <cell r="AI506">
            <v>19.260000000000002</v>
          </cell>
          <cell r="AJ506">
            <v>24.404999999999998</v>
          </cell>
          <cell r="AK506">
            <v>36.607500000000002</v>
          </cell>
          <cell r="AL506">
            <v>7.7175000000000011</v>
          </cell>
          <cell r="AM506">
            <v>5.144999999999996</v>
          </cell>
          <cell r="AN506">
            <v>3.8587500000000006</v>
          </cell>
          <cell r="AO506">
            <v>2.572499999999998</v>
          </cell>
          <cell r="AP506">
            <v>3.8587500000000006</v>
          </cell>
          <cell r="AQ506">
            <v>2.572499999999998</v>
          </cell>
          <cell r="AR506" t="str">
            <v>GRI124</v>
          </cell>
          <cell r="AS506">
            <v>0</v>
          </cell>
          <cell r="AT506">
            <v>144</v>
          </cell>
          <cell r="AU506">
            <v>144</v>
          </cell>
          <cell r="AV506">
            <v>0</v>
          </cell>
          <cell r="AW506">
            <v>370.43999999999971</v>
          </cell>
          <cell r="AX506">
            <v>366.73559999999969</v>
          </cell>
          <cell r="AY506">
            <v>370.43999999999971</v>
          </cell>
          <cell r="AZ506">
            <v>0</v>
          </cell>
          <cell r="BA506">
            <v>0</v>
          </cell>
          <cell r="BB506">
            <v>0</v>
          </cell>
          <cell r="BF506">
            <v>366.73559999999969</v>
          </cell>
          <cell r="BG506">
            <v>1800</v>
          </cell>
          <cell r="BH506">
            <v>1757.1599999999999</v>
          </cell>
          <cell r="BI506">
            <v>1296</v>
          </cell>
          <cell r="BJ506">
            <v>1.2600000000000002</v>
          </cell>
          <cell r="BK506">
            <v>0</v>
          </cell>
          <cell r="BL506">
            <v>181.44000000000003</v>
          </cell>
          <cell r="BM506">
            <v>1477.44</v>
          </cell>
          <cell r="BN506">
            <v>1.2600000000000002</v>
          </cell>
          <cell r="BO506">
            <v>279.7199999999998</v>
          </cell>
          <cell r="BP506" t="str">
            <v>Y</v>
          </cell>
          <cell r="BQ506">
            <v>2</v>
          </cell>
          <cell r="BR506" t="str">
            <v>Y</v>
          </cell>
          <cell r="BS506">
            <v>0</v>
          </cell>
          <cell r="BT506" t="str">
            <v>Done</v>
          </cell>
          <cell r="BU506">
            <v>144</v>
          </cell>
          <cell r="BV506">
            <v>2025</v>
          </cell>
        </row>
        <row r="507">
          <cell r="A507" t="str">
            <v>Lucknow</v>
          </cell>
          <cell r="B507" t="str">
            <v>Titans</v>
          </cell>
          <cell r="C507" t="str">
            <v>Mid Level</v>
          </cell>
          <cell r="D507" t="str">
            <v>Nitin Saxena</v>
          </cell>
          <cell r="E507" t="str">
            <v>-</v>
          </cell>
          <cell r="F507" t="str">
            <v>-</v>
          </cell>
          <cell r="G507" t="str">
            <v>-</v>
          </cell>
          <cell r="H507" t="str">
            <v>Anshita Dwivedi</v>
          </cell>
          <cell r="J507" t="str">
            <v>ACH</v>
          </cell>
          <cell r="K507" t="str">
            <v>-</v>
          </cell>
          <cell r="L507" t="str">
            <v>New</v>
          </cell>
          <cell r="M507">
            <v>45754</v>
          </cell>
          <cell r="N507">
            <v>2</v>
          </cell>
          <cell r="O507">
            <v>292</v>
          </cell>
          <cell r="P507">
            <v>45868</v>
          </cell>
          <cell r="Q507">
            <v>46119</v>
          </cell>
          <cell r="R507" t="str">
            <v>PLC-4213</v>
          </cell>
          <cell r="S507" t="str">
            <v>Renita Blake</v>
          </cell>
          <cell r="T507" t="str">
            <v>Split</v>
          </cell>
          <cell r="U507">
            <v>1099</v>
          </cell>
          <cell r="V507" t="str">
            <v>GRI</v>
          </cell>
          <cell r="W507">
            <v>18</v>
          </cell>
          <cell r="X507">
            <v>27</v>
          </cell>
          <cell r="Y507" t="str">
            <v>USD</v>
          </cell>
          <cell r="Z507">
            <v>25</v>
          </cell>
          <cell r="AA507">
            <v>37.5</v>
          </cell>
          <cell r="AB507">
            <v>0</v>
          </cell>
          <cell r="AC507">
            <v>0</v>
          </cell>
          <cell r="AD507">
            <v>45762</v>
          </cell>
          <cell r="AE507">
            <v>18</v>
          </cell>
          <cell r="AF507">
            <v>46022</v>
          </cell>
          <cell r="AG507">
            <v>19.260000000000002</v>
          </cell>
          <cell r="AH507">
            <v>28.89</v>
          </cell>
          <cell r="AI507">
            <v>19.260000000000002</v>
          </cell>
          <cell r="AJ507">
            <v>24.404999999999998</v>
          </cell>
          <cell r="AK507">
            <v>36.607500000000002</v>
          </cell>
          <cell r="AL507">
            <v>7.7175000000000011</v>
          </cell>
          <cell r="AM507">
            <v>5.144999999999996</v>
          </cell>
          <cell r="AN507">
            <v>3.8587500000000006</v>
          </cell>
          <cell r="AO507">
            <v>2.572499999999998</v>
          </cell>
          <cell r="AP507">
            <v>3.8587500000000006</v>
          </cell>
          <cell r="AQ507">
            <v>2.572499999999998</v>
          </cell>
          <cell r="AR507" t="str">
            <v>GRI124</v>
          </cell>
          <cell r="AS507">
            <v>0</v>
          </cell>
          <cell r="AT507">
            <v>144</v>
          </cell>
          <cell r="AU507">
            <v>144</v>
          </cell>
          <cell r="AV507">
            <v>0</v>
          </cell>
          <cell r="AW507">
            <v>370.43999999999971</v>
          </cell>
          <cell r="AX507">
            <v>366.73559999999969</v>
          </cell>
          <cell r="AY507">
            <v>370.43999999999971</v>
          </cell>
          <cell r="AZ507">
            <v>0</v>
          </cell>
          <cell r="BA507">
            <v>0</v>
          </cell>
          <cell r="BB507">
            <v>0</v>
          </cell>
          <cell r="BC507">
            <v>46</v>
          </cell>
          <cell r="BD507">
            <v>370.43999999999971</v>
          </cell>
          <cell r="BE507">
            <v>296.35199999999975</v>
          </cell>
          <cell r="BF507">
            <v>366.73559999999969</v>
          </cell>
          <cell r="BG507">
            <v>1800</v>
          </cell>
          <cell r="BH507">
            <v>1757.1599999999999</v>
          </cell>
          <cell r="BI507">
            <v>1296</v>
          </cell>
          <cell r="BJ507">
            <v>1.2600000000000002</v>
          </cell>
          <cell r="BK507">
            <v>0</v>
          </cell>
          <cell r="BL507">
            <v>181.44000000000003</v>
          </cell>
          <cell r="BM507">
            <v>1477.44</v>
          </cell>
          <cell r="BN507">
            <v>1.2600000000000002</v>
          </cell>
          <cell r="BO507">
            <v>279.7199999999998</v>
          </cell>
          <cell r="BP507" t="str">
            <v>Y</v>
          </cell>
          <cell r="BQ507">
            <v>2</v>
          </cell>
          <cell r="BR507" t="str">
            <v>Y</v>
          </cell>
          <cell r="BS507">
            <v>0</v>
          </cell>
          <cell r="BT507" t="str">
            <v>Done</v>
          </cell>
          <cell r="BU507">
            <v>144</v>
          </cell>
          <cell r="BV507">
            <v>2025</v>
          </cell>
        </row>
        <row r="508">
          <cell r="A508" t="str">
            <v>Lucknow</v>
          </cell>
          <cell r="B508" t="str">
            <v>Healthcare</v>
          </cell>
          <cell r="C508" t="str">
            <v>Mid Level</v>
          </cell>
          <cell r="D508" t="str">
            <v>Ranveer Kumar</v>
          </cell>
          <cell r="E508" t="str">
            <v>-</v>
          </cell>
          <cell r="H508" t="str">
            <v>Mehak Karara</v>
          </cell>
          <cell r="J508" t="str">
            <v>ACH</v>
          </cell>
          <cell r="K508">
            <v>0</v>
          </cell>
          <cell r="L508" t="str">
            <v>Old</v>
          </cell>
          <cell r="M508">
            <v>45628</v>
          </cell>
          <cell r="N508">
            <v>4</v>
          </cell>
          <cell r="O508">
            <v>418</v>
          </cell>
          <cell r="P508">
            <v>45702</v>
          </cell>
          <cell r="Q508">
            <v>45993</v>
          </cell>
          <cell r="R508" t="str">
            <v>PLC-4</v>
          </cell>
          <cell r="S508" t="str">
            <v>Rhonnia Thorne</v>
          </cell>
          <cell r="T508" t="str">
            <v>Individual</v>
          </cell>
          <cell r="U508" t="str">
            <v>W2</v>
          </cell>
          <cell r="V508" t="str">
            <v>CSU</v>
          </cell>
          <cell r="W508">
            <v>7.25</v>
          </cell>
          <cell r="X508">
            <v>0</v>
          </cell>
          <cell r="Y508" t="str">
            <v>USD</v>
          </cell>
          <cell r="Z508">
            <v>34</v>
          </cell>
          <cell r="AA508">
            <v>0</v>
          </cell>
          <cell r="AB508">
            <v>0</v>
          </cell>
          <cell r="AC508">
            <v>14.75</v>
          </cell>
          <cell r="AD508">
            <v>45672</v>
          </cell>
          <cell r="AE508">
            <v>22</v>
          </cell>
          <cell r="AF508">
            <v>46022</v>
          </cell>
          <cell r="AG508">
            <v>8.3374999999999986</v>
          </cell>
          <cell r="AH508">
            <v>0</v>
          </cell>
          <cell r="AI508">
            <v>23.087499999999999</v>
          </cell>
          <cell r="AJ508">
            <v>31.959999999999997</v>
          </cell>
          <cell r="AK508">
            <v>0</v>
          </cell>
          <cell r="AL508">
            <v>0</v>
          </cell>
          <cell r="AM508">
            <v>8.8724999999999987</v>
          </cell>
          <cell r="AN508">
            <v>0</v>
          </cell>
          <cell r="AO508">
            <v>8.8724999999999987</v>
          </cell>
          <cell r="AP508">
            <v>0</v>
          </cell>
          <cell r="AQ508">
            <v>8.8724999999999987</v>
          </cell>
          <cell r="AU508">
            <v>176</v>
          </cell>
          <cell r="AY508">
            <v>1561.5599999999997</v>
          </cell>
          <cell r="AZ508">
            <v>25</v>
          </cell>
          <cell r="BA508">
            <v>14.196</v>
          </cell>
          <cell r="BH508">
            <v>5624.9599999999991</v>
          </cell>
          <cell r="BI508">
            <v>1276</v>
          </cell>
          <cell r="BJ508">
            <v>1.0874999999999999</v>
          </cell>
          <cell r="BK508">
            <v>2596</v>
          </cell>
          <cell r="BL508">
            <v>191.39999999999998</v>
          </cell>
          <cell r="BM508">
            <v>4063.4</v>
          </cell>
          <cell r="BN508">
            <v>15.8375</v>
          </cell>
          <cell r="BO508">
            <v>1561.5599999999995</v>
          </cell>
          <cell r="BQ508">
            <v>1</v>
          </cell>
          <cell r="BR508" t="str">
            <v>N</v>
          </cell>
          <cell r="BS508">
            <v>2498.4960000000001</v>
          </cell>
          <cell r="BT508" t="str">
            <v>Pending</v>
          </cell>
          <cell r="BU508">
            <v>0</v>
          </cell>
          <cell r="BV508">
            <v>2024</v>
          </cell>
        </row>
        <row r="509">
          <cell r="A509" t="str">
            <v>Lucknow</v>
          </cell>
          <cell r="B509" t="str">
            <v>Healthcare</v>
          </cell>
          <cell r="C509" t="str">
            <v>Mid Level</v>
          </cell>
          <cell r="D509" t="str">
            <v>Ranveer Kumar</v>
          </cell>
          <cell r="E509" t="str">
            <v>-</v>
          </cell>
          <cell r="H509" t="str">
            <v>Mehak Karara</v>
          </cell>
          <cell r="J509" t="str">
            <v>ACH</v>
          </cell>
          <cell r="K509">
            <v>0</v>
          </cell>
          <cell r="L509" t="str">
            <v>Old</v>
          </cell>
          <cell r="M509">
            <v>45628</v>
          </cell>
          <cell r="N509">
            <v>4</v>
          </cell>
          <cell r="O509">
            <v>418</v>
          </cell>
          <cell r="P509">
            <v>45702</v>
          </cell>
          <cell r="Q509">
            <v>45993</v>
          </cell>
          <cell r="R509" t="str">
            <v>PLC-4</v>
          </cell>
          <cell r="S509" t="str">
            <v>Rhonnia Thorne</v>
          </cell>
          <cell r="T509" t="str">
            <v>Individual</v>
          </cell>
          <cell r="U509" t="str">
            <v>W2</v>
          </cell>
          <cell r="V509" t="str">
            <v>CSU</v>
          </cell>
          <cell r="W509">
            <v>7.25</v>
          </cell>
          <cell r="X509">
            <v>0</v>
          </cell>
          <cell r="Y509" t="str">
            <v>USD</v>
          </cell>
          <cell r="Z509">
            <v>34</v>
          </cell>
          <cell r="AA509">
            <v>0</v>
          </cell>
          <cell r="AB509">
            <v>0</v>
          </cell>
          <cell r="AC509">
            <v>14.75</v>
          </cell>
          <cell r="AD509">
            <v>45703</v>
          </cell>
          <cell r="AE509">
            <v>9</v>
          </cell>
          <cell r="AF509">
            <v>46022</v>
          </cell>
          <cell r="AG509">
            <v>8.3374999999999986</v>
          </cell>
          <cell r="AH509">
            <v>0</v>
          </cell>
          <cell r="AI509">
            <v>23.087499999999999</v>
          </cell>
          <cell r="AJ509">
            <v>31.959999999999997</v>
          </cell>
          <cell r="AK509">
            <v>0</v>
          </cell>
          <cell r="AL509">
            <v>0</v>
          </cell>
          <cell r="AM509">
            <v>8.8724999999999987</v>
          </cell>
          <cell r="AN509">
            <v>0</v>
          </cell>
          <cell r="AO509">
            <v>8.8724999999999987</v>
          </cell>
          <cell r="AP509">
            <v>0</v>
          </cell>
          <cell r="AQ509">
            <v>8.8724999999999987</v>
          </cell>
          <cell r="AU509">
            <v>72</v>
          </cell>
          <cell r="AY509">
            <v>638.81999999999994</v>
          </cell>
          <cell r="AZ509">
            <v>25</v>
          </cell>
          <cell r="BA509">
            <v>14.196</v>
          </cell>
          <cell r="BH509">
            <v>2301.12</v>
          </cell>
          <cell r="BI509">
            <v>522</v>
          </cell>
          <cell r="BJ509">
            <v>1.0874999999999999</v>
          </cell>
          <cell r="BK509">
            <v>1062</v>
          </cell>
          <cell r="BL509">
            <v>78.3</v>
          </cell>
          <cell r="BM509">
            <v>1662.3</v>
          </cell>
          <cell r="BN509">
            <v>15.8375</v>
          </cell>
          <cell r="BO509">
            <v>638.81999999999994</v>
          </cell>
          <cell r="BQ509">
            <v>1</v>
          </cell>
          <cell r="BR509" t="str">
            <v>N</v>
          </cell>
          <cell r="BS509">
            <v>1022.112</v>
          </cell>
          <cell r="BT509" t="str">
            <v>Pending</v>
          </cell>
          <cell r="BU509">
            <v>0</v>
          </cell>
          <cell r="BV509">
            <v>2024</v>
          </cell>
        </row>
        <row r="510">
          <cell r="A510" t="str">
            <v>Lucknow</v>
          </cell>
          <cell r="B510" t="str">
            <v>Trust</v>
          </cell>
          <cell r="C510" t="str">
            <v>Mid Level</v>
          </cell>
          <cell r="D510" t="str">
            <v>Bhanu Pratap Singh</v>
          </cell>
          <cell r="E510" t="str">
            <v>-</v>
          </cell>
          <cell r="H510" t="str">
            <v>Pass Through</v>
          </cell>
          <cell r="L510" t="str">
            <v>New</v>
          </cell>
          <cell r="M510">
            <v>45664</v>
          </cell>
          <cell r="N510">
            <v>1</v>
          </cell>
          <cell r="O510">
            <v>382</v>
          </cell>
          <cell r="P510" t="str">
            <v>-</v>
          </cell>
          <cell r="Q510">
            <v>46029</v>
          </cell>
          <cell r="R510" t="str">
            <v>PLC-4085</v>
          </cell>
          <cell r="S510" t="str">
            <v>Rinki Bansal</v>
          </cell>
          <cell r="T510" t="str">
            <v>Individual</v>
          </cell>
          <cell r="U510" t="str">
            <v>C2C</v>
          </cell>
          <cell r="V510" t="str">
            <v>Global Logic</v>
          </cell>
          <cell r="W510">
            <v>76.099999999999994</v>
          </cell>
          <cell r="X510">
            <v>0</v>
          </cell>
          <cell r="Y510" t="str">
            <v>CAD</v>
          </cell>
          <cell r="Z510">
            <v>79.650000000000006</v>
          </cell>
          <cell r="AA510">
            <v>0</v>
          </cell>
          <cell r="AB510">
            <v>0</v>
          </cell>
          <cell r="AC510">
            <v>0</v>
          </cell>
          <cell r="AD510">
            <v>45672</v>
          </cell>
          <cell r="AE510">
            <v>19</v>
          </cell>
          <cell r="AF510">
            <v>46022</v>
          </cell>
          <cell r="AG510">
            <v>54.030999999999992</v>
          </cell>
          <cell r="AH510">
            <v>0</v>
          </cell>
          <cell r="AI510">
            <v>54.030999999999992</v>
          </cell>
          <cell r="AJ510">
            <v>56.551500000000004</v>
          </cell>
          <cell r="AK510">
            <v>0</v>
          </cell>
          <cell r="AL510">
            <v>0</v>
          </cell>
          <cell r="AM510">
            <v>2.5205000000000126</v>
          </cell>
          <cell r="AN510">
            <v>0</v>
          </cell>
          <cell r="AO510">
            <v>2.5205000000000126</v>
          </cell>
          <cell r="AP510">
            <v>0</v>
          </cell>
          <cell r="AQ510">
            <v>2.5205000000000126</v>
          </cell>
          <cell r="AR510" t="str">
            <v>CAD_1418</v>
          </cell>
          <cell r="AS510">
            <v>0</v>
          </cell>
          <cell r="AT510">
            <v>144</v>
          </cell>
          <cell r="AU510">
            <v>144</v>
          </cell>
          <cell r="AV510">
            <v>0</v>
          </cell>
          <cell r="AW510">
            <v>362.95200000000182</v>
          </cell>
          <cell r="AX510">
            <v>362.95200000000182</v>
          </cell>
          <cell r="AY510">
            <v>362.95200000000182</v>
          </cell>
          <cell r="AZ510">
            <v>0</v>
          </cell>
          <cell r="BA510">
            <v>0</v>
          </cell>
          <cell r="BB510">
            <v>0</v>
          </cell>
          <cell r="BF510">
            <v>362.95200000000182</v>
          </cell>
          <cell r="BG510">
            <v>11469.6</v>
          </cell>
          <cell r="BH510">
            <v>8143.4160000000011</v>
          </cell>
          <cell r="BI510">
            <v>8119.0785599999999</v>
          </cell>
          <cell r="BJ510">
            <v>0</v>
          </cell>
          <cell r="BK510">
            <v>0</v>
          </cell>
          <cell r="BL510">
            <v>0</v>
          </cell>
          <cell r="BM510">
            <v>8119.0785599999999</v>
          </cell>
          <cell r="BN510">
            <v>0</v>
          </cell>
          <cell r="BO510">
            <v>24.337440000001152</v>
          </cell>
          <cell r="BP510" t="str">
            <v>Y</v>
          </cell>
          <cell r="BQ510">
            <v>1</v>
          </cell>
          <cell r="BR510" t="str">
            <v>Y</v>
          </cell>
          <cell r="BS510">
            <v>0</v>
          </cell>
          <cell r="BT510" t="str">
            <v>Done</v>
          </cell>
          <cell r="BU510">
            <v>144</v>
          </cell>
          <cell r="BV510">
            <v>2025</v>
          </cell>
        </row>
        <row r="511">
          <cell r="A511" t="str">
            <v>Lucknow</v>
          </cell>
          <cell r="B511" t="str">
            <v>Trust</v>
          </cell>
          <cell r="C511" t="str">
            <v>Mid Level</v>
          </cell>
          <cell r="D511" t="str">
            <v>Bhanu Pratap Singh</v>
          </cell>
          <cell r="E511" t="str">
            <v>-</v>
          </cell>
          <cell r="H511" t="str">
            <v>Pass Through</v>
          </cell>
          <cell r="L511" t="str">
            <v>New</v>
          </cell>
          <cell r="M511">
            <v>45664</v>
          </cell>
          <cell r="N511">
            <v>1</v>
          </cell>
          <cell r="O511">
            <v>382</v>
          </cell>
          <cell r="P511" t="str">
            <v>-</v>
          </cell>
          <cell r="Q511">
            <v>46029</v>
          </cell>
          <cell r="R511" t="str">
            <v>PLC-4085</v>
          </cell>
          <cell r="S511" t="str">
            <v>Rinki Bansal</v>
          </cell>
          <cell r="T511" t="str">
            <v>Individual</v>
          </cell>
          <cell r="U511" t="str">
            <v>C2C</v>
          </cell>
          <cell r="V511" t="str">
            <v>Global Logic</v>
          </cell>
          <cell r="W511">
            <v>76.099999999999994</v>
          </cell>
          <cell r="X511">
            <v>0</v>
          </cell>
          <cell r="Y511" t="str">
            <v>CAD</v>
          </cell>
          <cell r="Z511">
            <v>79.650000000000006</v>
          </cell>
          <cell r="AA511">
            <v>0</v>
          </cell>
          <cell r="AB511">
            <v>0</v>
          </cell>
          <cell r="AC511">
            <v>0</v>
          </cell>
          <cell r="AD511">
            <v>45703</v>
          </cell>
          <cell r="AE511">
            <v>20</v>
          </cell>
          <cell r="AF511">
            <v>46022</v>
          </cell>
          <cell r="AG511">
            <v>54.030999999999992</v>
          </cell>
          <cell r="AH511">
            <v>0</v>
          </cell>
          <cell r="AI511">
            <v>54.030999999999992</v>
          </cell>
          <cell r="AJ511">
            <v>56.551500000000004</v>
          </cell>
          <cell r="AK511">
            <v>0</v>
          </cell>
          <cell r="AL511">
            <v>0</v>
          </cell>
          <cell r="AM511">
            <v>2.5205000000000126</v>
          </cell>
          <cell r="AN511">
            <v>0</v>
          </cell>
          <cell r="AO511">
            <v>2.5205000000000126</v>
          </cell>
          <cell r="AP511">
            <v>0</v>
          </cell>
          <cell r="AQ511">
            <v>2.5205000000000126</v>
          </cell>
          <cell r="AR511" t="str">
            <v>CAD_1442</v>
          </cell>
          <cell r="AS511">
            <v>0</v>
          </cell>
          <cell r="AT511">
            <v>160</v>
          </cell>
          <cell r="AU511">
            <v>160</v>
          </cell>
          <cell r="AV511">
            <v>0</v>
          </cell>
          <cell r="AW511">
            <v>403.28000000000202</v>
          </cell>
          <cell r="AX511">
            <v>403.28000000000202</v>
          </cell>
          <cell r="AY511">
            <v>403.28000000000202</v>
          </cell>
          <cell r="AZ511">
            <v>0</v>
          </cell>
          <cell r="BA511">
            <v>0</v>
          </cell>
          <cell r="BB511">
            <v>0</v>
          </cell>
          <cell r="BF511">
            <v>403.28000000000202</v>
          </cell>
          <cell r="BG511">
            <v>12744</v>
          </cell>
          <cell r="BH511">
            <v>9048.2400000000016</v>
          </cell>
          <cell r="BI511">
            <v>9021.1983999999993</v>
          </cell>
          <cell r="BJ511">
            <v>0</v>
          </cell>
          <cell r="BK511">
            <v>0</v>
          </cell>
          <cell r="BL511">
            <v>0</v>
          </cell>
          <cell r="BM511">
            <v>9021.1983999999993</v>
          </cell>
          <cell r="BN511">
            <v>0</v>
          </cell>
          <cell r="BO511">
            <v>27.04160000000229</v>
          </cell>
          <cell r="BP511" t="str">
            <v>Y</v>
          </cell>
          <cell r="BQ511">
            <v>1</v>
          </cell>
          <cell r="BR511" t="str">
            <v>Y</v>
          </cell>
          <cell r="BS511">
            <v>0</v>
          </cell>
          <cell r="BT511" t="str">
            <v>Done</v>
          </cell>
          <cell r="BU511">
            <v>160</v>
          </cell>
          <cell r="BV511">
            <v>2025</v>
          </cell>
        </row>
        <row r="512">
          <cell r="A512" t="str">
            <v>Lucknow</v>
          </cell>
          <cell r="B512" t="str">
            <v>Trust</v>
          </cell>
          <cell r="C512" t="str">
            <v>Mid Level</v>
          </cell>
          <cell r="D512" t="str">
            <v>Bhanu Pratap Singh</v>
          </cell>
          <cell r="E512" t="str">
            <v>-</v>
          </cell>
          <cell r="H512" t="str">
            <v>Pass Through</v>
          </cell>
          <cell r="L512" t="str">
            <v>New</v>
          </cell>
          <cell r="M512">
            <v>45664</v>
          </cell>
          <cell r="N512">
            <v>1</v>
          </cell>
          <cell r="O512">
            <v>382</v>
          </cell>
          <cell r="P512" t="str">
            <v>-</v>
          </cell>
          <cell r="Q512">
            <v>46029</v>
          </cell>
          <cell r="R512" t="str">
            <v>PLC-4085</v>
          </cell>
          <cell r="S512" t="str">
            <v>Rinki Bansal</v>
          </cell>
          <cell r="T512" t="str">
            <v>Individual</v>
          </cell>
          <cell r="U512" t="str">
            <v>C2C</v>
          </cell>
          <cell r="V512" t="str">
            <v>Global Logic</v>
          </cell>
          <cell r="W512">
            <v>76.099999999999994</v>
          </cell>
          <cell r="X512">
            <v>0</v>
          </cell>
          <cell r="Y512" t="str">
            <v>CAD</v>
          </cell>
          <cell r="Z512">
            <v>79.650000000000006</v>
          </cell>
          <cell r="AA512">
            <v>0</v>
          </cell>
          <cell r="AB512">
            <v>0</v>
          </cell>
          <cell r="AC512">
            <v>0</v>
          </cell>
          <cell r="AD512">
            <v>45731</v>
          </cell>
          <cell r="AE512">
            <v>21</v>
          </cell>
          <cell r="AF512">
            <v>46022</v>
          </cell>
          <cell r="AG512">
            <v>54.030999999999992</v>
          </cell>
          <cell r="AH512">
            <v>0</v>
          </cell>
          <cell r="AI512">
            <v>54.030999999999992</v>
          </cell>
          <cell r="AJ512">
            <v>56.551500000000004</v>
          </cell>
          <cell r="AK512">
            <v>0</v>
          </cell>
          <cell r="AL512">
            <v>0</v>
          </cell>
          <cell r="AM512">
            <v>2.5205000000000126</v>
          </cell>
          <cell r="AN512">
            <v>0</v>
          </cell>
          <cell r="AO512">
            <v>2.5205000000000126</v>
          </cell>
          <cell r="AP512">
            <v>0</v>
          </cell>
          <cell r="AQ512">
            <v>2.5205000000000126</v>
          </cell>
          <cell r="AR512" t="str">
            <v>CAD_1467</v>
          </cell>
          <cell r="AS512">
            <v>0</v>
          </cell>
          <cell r="AT512">
            <v>168</v>
          </cell>
          <cell r="AU512">
            <v>168</v>
          </cell>
          <cell r="AV512">
            <v>0</v>
          </cell>
          <cell r="AW512">
            <v>423.44400000000212</v>
          </cell>
          <cell r="AX512">
            <v>423.44400000000212</v>
          </cell>
          <cell r="AY512">
            <v>423.44400000000212</v>
          </cell>
          <cell r="AZ512">
            <v>0</v>
          </cell>
          <cell r="BA512">
            <v>0</v>
          </cell>
          <cell r="BB512">
            <v>0</v>
          </cell>
          <cell r="BF512">
            <v>423.44400000000212</v>
          </cell>
          <cell r="BG512">
            <v>13381.2</v>
          </cell>
          <cell r="BH512">
            <v>9500.652</v>
          </cell>
          <cell r="BI512">
            <v>9472.258319999999</v>
          </cell>
          <cell r="BJ512">
            <v>0</v>
          </cell>
          <cell r="BK512">
            <v>0</v>
          </cell>
          <cell r="BL512">
            <v>0</v>
          </cell>
          <cell r="BM512">
            <v>9472.258319999999</v>
          </cell>
          <cell r="BN512">
            <v>0</v>
          </cell>
          <cell r="BO512">
            <v>28.393680000001041</v>
          </cell>
          <cell r="BP512" t="str">
            <v>Y</v>
          </cell>
          <cell r="BQ512">
            <v>1</v>
          </cell>
          <cell r="BR512" t="str">
            <v>Y</v>
          </cell>
          <cell r="BS512">
            <v>0</v>
          </cell>
          <cell r="BT512" t="str">
            <v>Done</v>
          </cell>
          <cell r="BU512">
            <v>168</v>
          </cell>
          <cell r="BV512">
            <v>2025</v>
          </cell>
        </row>
        <row r="513">
          <cell r="A513" t="str">
            <v>Lucknow</v>
          </cell>
          <cell r="B513" t="str">
            <v>Trust</v>
          </cell>
          <cell r="C513" t="str">
            <v>Mid Level</v>
          </cell>
          <cell r="D513" t="str">
            <v>Bhanu Pratap Singh</v>
          </cell>
          <cell r="E513" t="str">
            <v>-</v>
          </cell>
          <cell r="H513" t="str">
            <v>Pass Through</v>
          </cell>
          <cell r="L513" t="str">
            <v>New</v>
          </cell>
          <cell r="M513">
            <v>45664</v>
          </cell>
          <cell r="N513">
            <v>1</v>
          </cell>
          <cell r="O513">
            <v>382</v>
          </cell>
          <cell r="P513" t="str">
            <v>-</v>
          </cell>
          <cell r="Q513">
            <v>46029</v>
          </cell>
          <cell r="R513" t="str">
            <v>PLC-4085</v>
          </cell>
          <cell r="S513" t="str">
            <v>Rinki Bansal</v>
          </cell>
          <cell r="T513" t="str">
            <v>Individual</v>
          </cell>
          <cell r="U513" t="str">
            <v>C2C</v>
          </cell>
          <cell r="V513" t="str">
            <v>Global Logic</v>
          </cell>
          <cell r="W513">
            <v>76.099999999999994</v>
          </cell>
          <cell r="X513">
            <v>0</v>
          </cell>
          <cell r="Y513" t="str">
            <v>CAD</v>
          </cell>
          <cell r="Z513">
            <v>79.650000000000006</v>
          </cell>
          <cell r="AA513">
            <v>0</v>
          </cell>
          <cell r="AB513">
            <v>0</v>
          </cell>
          <cell r="AC513">
            <v>0</v>
          </cell>
          <cell r="AD513">
            <v>45762</v>
          </cell>
          <cell r="AE513">
            <v>22</v>
          </cell>
          <cell r="AF513">
            <v>46022</v>
          </cell>
          <cell r="AG513">
            <v>54.030999999999992</v>
          </cell>
          <cell r="AH513">
            <v>0</v>
          </cell>
          <cell r="AI513">
            <v>54.030999999999992</v>
          </cell>
          <cell r="AJ513">
            <v>56.551500000000004</v>
          </cell>
          <cell r="AK513">
            <v>0</v>
          </cell>
          <cell r="AL513">
            <v>0</v>
          </cell>
          <cell r="AM513">
            <v>2.5205000000000126</v>
          </cell>
          <cell r="AN513">
            <v>0</v>
          </cell>
          <cell r="AO513">
            <v>2.5205000000000126</v>
          </cell>
          <cell r="AP513">
            <v>0</v>
          </cell>
          <cell r="AQ513">
            <v>2.5205000000000126</v>
          </cell>
          <cell r="AR513" t="str">
            <v>CAD_1490</v>
          </cell>
          <cell r="AS513">
            <v>0</v>
          </cell>
          <cell r="AT513">
            <v>176</v>
          </cell>
          <cell r="AU513">
            <v>176</v>
          </cell>
          <cell r="AV513">
            <v>0</v>
          </cell>
          <cell r="AW513">
            <v>443.60800000000222</v>
          </cell>
          <cell r="AX513">
            <v>443.60800000000222</v>
          </cell>
          <cell r="AY513">
            <v>443.60800000000222</v>
          </cell>
          <cell r="AZ513">
            <v>0</v>
          </cell>
          <cell r="BA513">
            <v>0</v>
          </cell>
          <cell r="BB513">
            <v>0</v>
          </cell>
          <cell r="BF513">
            <v>443.60800000000222</v>
          </cell>
          <cell r="BG513">
            <v>14018.400000000001</v>
          </cell>
          <cell r="BH513">
            <v>9953.0640000000003</v>
          </cell>
          <cell r="BI513">
            <v>9923.3182399999987</v>
          </cell>
          <cell r="BJ513">
            <v>0</v>
          </cell>
          <cell r="BK513">
            <v>0</v>
          </cell>
          <cell r="BL513">
            <v>0</v>
          </cell>
          <cell r="BM513">
            <v>9923.3182399999987</v>
          </cell>
          <cell r="BN513">
            <v>0</v>
          </cell>
          <cell r="BO513">
            <v>29.74576000000161</v>
          </cell>
          <cell r="BP513" t="str">
            <v>Y</v>
          </cell>
          <cell r="BQ513">
            <v>2</v>
          </cell>
          <cell r="BR513" t="str">
            <v>Y</v>
          </cell>
          <cell r="BS513">
            <v>0</v>
          </cell>
          <cell r="BT513" t="str">
            <v>Done</v>
          </cell>
          <cell r="BU513">
            <v>176</v>
          </cell>
          <cell r="BV513">
            <v>2025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Kashif Nabi</v>
          </cell>
          <cell r="E514" t="str">
            <v>-</v>
          </cell>
          <cell r="H514" t="str">
            <v>Priyanka Sharma</v>
          </cell>
          <cell r="J514" t="str">
            <v>ACH</v>
          </cell>
          <cell r="L514" t="str">
            <v>New</v>
          </cell>
          <cell r="M514">
            <v>45712</v>
          </cell>
          <cell r="N514">
            <v>1</v>
          </cell>
          <cell r="O514">
            <v>334</v>
          </cell>
          <cell r="P514">
            <v>45961</v>
          </cell>
          <cell r="Q514">
            <v>46077</v>
          </cell>
          <cell r="R514" t="str">
            <v>PLC-4141</v>
          </cell>
          <cell r="S514" t="str">
            <v>Robert Bartlett Baron</v>
          </cell>
          <cell r="T514" t="str">
            <v>Individual</v>
          </cell>
          <cell r="U514" t="str">
            <v>C2C</v>
          </cell>
          <cell r="V514" t="str">
            <v>GRI</v>
          </cell>
          <cell r="W514">
            <v>70.5</v>
          </cell>
          <cell r="X514">
            <v>0</v>
          </cell>
          <cell r="Y514" t="str">
            <v>USD</v>
          </cell>
          <cell r="Z514">
            <v>76</v>
          </cell>
          <cell r="AA514">
            <v>0</v>
          </cell>
          <cell r="AB514">
            <v>0</v>
          </cell>
          <cell r="AC514">
            <v>0</v>
          </cell>
          <cell r="AD514">
            <v>45703</v>
          </cell>
          <cell r="AE514">
            <v>5</v>
          </cell>
          <cell r="AF514">
            <v>46022</v>
          </cell>
          <cell r="AG514">
            <v>70.5</v>
          </cell>
          <cell r="AH514">
            <v>0</v>
          </cell>
          <cell r="AI514">
            <v>70.5</v>
          </cell>
          <cell r="AJ514">
            <v>74.191199999999995</v>
          </cell>
          <cell r="AK514">
            <v>0</v>
          </cell>
          <cell r="AL514">
            <v>0</v>
          </cell>
          <cell r="AM514">
            <v>3.6911999999999949</v>
          </cell>
          <cell r="AN514">
            <v>0</v>
          </cell>
          <cell r="AO514">
            <v>3.6911999999999949</v>
          </cell>
          <cell r="AP514">
            <v>0</v>
          </cell>
          <cell r="AQ514">
            <v>3.6911999999999949</v>
          </cell>
          <cell r="AR514" t="str">
            <v>GRI128</v>
          </cell>
          <cell r="AS514">
            <v>0</v>
          </cell>
          <cell r="AT514">
            <v>40</v>
          </cell>
          <cell r="AU514">
            <v>40</v>
          </cell>
          <cell r="AV514">
            <v>0</v>
          </cell>
          <cell r="AW514">
            <v>147.6479999999998</v>
          </cell>
          <cell r="AX514">
            <v>146.17151999999979</v>
          </cell>
          <cell r="AY514">
            <v>147.6479999999998</v>
          </cell>
          <cell r="AZ514">
            <v>100</v>
          </cell>
          <cell r="BA514">
            <v>5.9059199999999921</v>
          </cell>
          <cell r="BB514">
            <v>236.23679999999968</v>
          </cell>
          <cell r="BF514">
            <v>146.17151999999979</v>
          </cell>
          <cell r="BG514">
            <v>3040</v>
          </cell>
          <cell r="BH514">
            <v>2967.6479999999997</v>
          </cell>
          <cell r="BI514">
            <v>2820</v>
          </cell>
          <cell r="BJ514">
            <v>0</v>
          </cell>
          <cell r="BK514">
            <v>0</v>
          </cell>
          <cell r="BL514">
            <v>0</v>
          </cell>
          <cell r="BM514">
            <v>2820</v>
          </cell>
          <cell r="BN514">
            <v>0</v>
          </cell>
          <cell r="BO514">
            <v>147.64799999999968</v>
          </cell>
          <cell r="BP514" t="str">
            <v>Y</v>
          </cell>
          <cell r="BQ514">
            <v>1</v>
          </cell>
          <cell r="BR514" t="str">
            <v>Y</v>
          </cell>
          <cell r="BS514">
            <v>236.23679999999968</v>
          </cell>
          <cell r="BT514" t="str">
            <v>Done</v>
          </cell>
          <cell r="BU514">
            <v>40</v>
          </cell>
          <cell r="BV514">
            <v>2025</v>
          </cell>
        </row>
        <row r="515">
          <cell r="A515" t="str">
            <v>Lucknow</v>
          </cell>
          <cell r="B515" t="str">
            <v>Mavericks</v>
          </cell>
          <cell r="C515" t="str">
            <v>Mid Level</v>
          </cell>
          <cell r="D515" t="str">
            <v>Kashif Nabi</v>
          </cell>
          <cell r="E515" t="str">
            <v>-</v>
          </cell>
          <cell r="H515" t="str">
            <v>Priyanka Sharma</v>
          </cell>
          <cell r="J515" t="str">
            <v>ACH</v>
          </cell>
          <cell r="L515" t="str">
            <v>New</v>
          </cell>
          <cell r="M515">
            <v>45712</v>
          </cell>
          <cell r="N515">
            <v>1</v>
          </cell>
          <cell r="O515">
            <v>334</v>
          </cell>
          <cell r="P515">
            <v>45961</v>
          </cell>
          <cell r="Q515">
            <v>46077</v>
          </cell>
          <cell r="R515" t="str">
            <v>PLC-4141</v>
          </cell>
          <cell r="S515" t="str">
            <v>Robert Bartlett Baron</v>
          </cell>
          <cell r="T515" t="str">
            <v>Individual</v>
          </cell>
          <cell r="U515" t="str">
            <v>C2C</v>
          </cell>
          <cell r="V515" t="str">
            <v>GRI</v>
          </cell>
          <cell r="W515">
            <v>70.5</v>
          </cell>
          <cell r="X515">
            <v>0</v>
          </cell>
          <cell r="Y515" t="str">
            <v>USD</v>
          </cell>
          <cell r="Z515">
            <v>76</v>
          </cell>
          <cell r="AA515">
            <v>0</v>
          </cell>
          <cell r="AB515">
            <v>0</v>
          </cell>
          <cell r="AC515">
            <v>0</v>
          </cell>
          <cell r="AD515">
            <v>45731</v>
          </cell>
          <cell r="AE515">
            <v>21</v>
          </cell>
          <cell r="AF515">
            <v>46022</v>
          </cell>
          <cell r="AG515">
            <v>70.5</v>
          </cell>
          <cell r="AH515">
            <v>0</v>
          </cell>
          <cell r="AI515">
            <v>70.5</v>
          </cell>
          <cell r="AJ515">
            <v>74.191199999999995</v>
          </cell>
          <cell r="AK515">
            <v>0</v>
          </cell>
          <cell r="AL515">
            <v>0</v>
          </cell>
          <cell r="AM515">
            <v>3.6911999999999949</v>
          </cell>
          <cell r="AN515">
            <v>0</v>
          </cell>
          <cell r="AO515">
            <v>3.6911999999999949</v>
          </cell>
          <cell r="AP515">
            <v>0</v>
          </cell>
          <cell r="AQ515">
            <v>3.6911999999999949</v>
          </cell>
          <cell r="AR515" t="str">
            <v>GRI129</v>
          </cell>
          <cell r="AS515">
            <v>0</v>
          </cell>
          <cell r="AT515">
            <v>168</v>
          </cell>
          <cell r="AU515">
            <v>168</v>
          </cell>
          <cell r="AV515">
            <v>0</v>
          </cell>
          <cell r="AW515">
            <v>620.12159999999915</v>
          </cell>
          <cell r="AX515">
            <v>613.9203839999991</v>
          </cell>
          <cell r="AY515">
            <v>620.12159999999915</v>
          </cell>
          <cell r="AZ515">
            <v>100</v>
          </cell>
          <cell r="BA515">
            <v>5.9059199999999921</v>
          </cell>
          <cell r="BB515">
            <v>992.19455999999866</v>
          </cell>
          <cell r="BF515">
            <v>613.9203839999991</v>
          </cell>
          <cell r="BG515">
            <v>12768</v>
          </cell>
          <cell r="BH515">
            <v>12464.121599999999</v>
          </cell>
          <cell r="BI515">
            <v>11844</v>
          </cell>
          <cell r="BJ515">
            <v>0</v>
          </cell>
          <cell r="BK515">
            <v>0</v>
          </cell>
          <cell r="BL515">
            <v>0</v>
          </cell>
          <cell r="BM515">
            <v>11844</v>
          </cell>
          <cell r="BN515">
            <v>0</v>
          </cell>
          <cell r="BO515">
            <v>620.12159999999858</v>
          </cell>
          <cell r="BP515" t="str">
            <v>Y</v>
          </cell>
          <cell r="BQ515">
            <v>1</v>
          </cell>
          <cell r="BR515" t="str">
            <v>Y</v>
          </cell>
          <cell r="BS515">
            <v>992.19455999999866</v>
          </cell>
          <cell r="BT515" t="str">
            <v>Done</v>
          </cell>
          <cell r="BU515">
            <v>168</v>
          </cell>
          <cell r="BV515">
            <v>2025</v>
          </cell>
        </row>
        <row r="516">
          <cell r="A516" t="str">
            <v>Lucknow</v>
          </cell>
          <cell r="B516" t="str">
            <v>Mavericks</v>
          </cell>
          <cell r="C516" t="str">
            <v>Mid Level</v>
          </cell>
          <cell r="D516" t="str">
            <v>Kashif Nabi</v>
          </cell>
          <cell r="E516" t="str">
            <v>-</v>
          </cell>
          <cell r="H516" t="str">
            <v>Priyanka Sharma</v>
          </cell>
          <cell r="J516" t="str">
            <v>ACH</v>
          </cell>
          <cell r="L516" t="str">
            <v>New</v>
          </cell>
          <cell r="M516">
            <v>45712</v>
          </cell>
          <cell r="N516">
            <v>1</v>
          </cell>
          <cell r="O516">
            <v>334</v>
          </cell>
          <cell r="P516">
            <v>45961</v>
          </cell>
          <cell r="Q516">
            <v>46077</v>
          </cell>
          <cell r="R516" t="str">
            <v>PLC-4141</v>
          </cell>
          <cell r="S516" t="str">
            <v>Robert Bartlett Baron</v>
          </cell>
          <cell r="T516" t="str">
            <v>Individual</v>
          </cell>
          <cell r="U516" t="str">
            <v>C2C</v>
          </cell>
          <cell r="V516" t="str">
            <v>GRI</v>
          </cell>
          <cell r="W516">
            <v>70.5</v>
          </cell>
          <cell r="X516">
            <v>0</v>
          </cell>
          <cell r="Y516" t="str">
            <v>USD</v>
          </cell>
          <cell r="Z516">
            <v>76</v>
          </cell>
          <cell r="AA516">
            <v>0</v>
          </cell>
          <cell r="AB516">
            <v>0</v>
          </cell>
          <cell r="AC516">
            <v>0</v>
          </cell>
          <cell r="AD516">
            <v>45762</v>
          </cell>
          <cell r="AE516">
            <v>22</v>
          </cell>
          <cell r="AF516">
            <v>46022</v>
          </cell>
          <cell r="AG516">
            <v>70.5</v>
          </cell>
          <cell r="AH516">
            <v>0</v>
          </cell>
          <cell r="AI516">
            <v>70.5</v>
          </cell>
          <cell r="AJ516">
            <v>74.191199999999995</v>
          </cell>
          <cell r="AK516">
            <v>0</v>
          </cell>
          <cell r="AL516">
            <v>0</v>
          </cell>
          <cell r="AM516">
            <v>3.6911999999999949</v>
          </cell>
          <cell r="AN516">
            <v>0</v>
          </cell>
          <cell r="AO516">
            <v>3.6911999999999949</v>
          </cell>
          <cell r="AP516">
            <v>0</v>
          </cell>
          <cell r="AQ516">
            <v>3.6911999999999949</v>
          </cell>
          <cell r="AR516" t="str">
            <v>GRI130</v>
          </cell>
          <cell r="AS516">
            <v>0</v>
          </cell>
          <cell r="AT516">
            <v>168</v>
          </cell>
          <cell r="AU516">
            <v>168</v>
          </cell>
          <cell r="AV516">
            <v>0</v>
          </cell>
          <cell r="AW516">
            <v>620.12159999999915</v>
          </cell>
          <cell r="AX516">
            <v>613.9203839999991</v>
          </cell>
          <cell r="AY516">
            <v>620.12159999999915</v>
          </cell>
          <cell r="AZ516">
            <v>100</v>
          </cell>
          <cell r="BA516">
            <v>5.9059199999999921</v>
          </cell>
          <cell r="BB516">
            <v>992.19455999999866</v>
          </cell>
          <cell r="BF516">
            <v>613.9203839999991</v>
          </cell>
          <cell r="BG516">
            <v>12768</v>
          </cell>
          <cell r="BH516">
            <v>12464.121599999999</v>
          </cell>
          <cell r="BI516">
            <v>11844</v>
          </cell>
          <cell r="BJ516">
            <v>0</v>
          </cell>
          <cell r="BK516">
            <v>0</v>
          </cell>
          <cell r="BL516">
            <v>0</v>
          </cell>
          <cell r="BM516">
            <v>11844</v>
          </cell>
          <cell r="BN516">
            <v>0</v>
          </cell>
          <cell r="BO516">
            <v>620.12159999999858</v>
          </cell>
          <cell r="BP516" t="str">
            <v>Y</v>
          </cell>
          <cell r="BQ516">
            <v>2</v>
          </cell>
          <cell r="BR516" t="str">
            <v>Y</v>
          </cell>
          <cell r="BS516">
            <v>992.19455999999866</v>
          </cell>
          <cell r="BT516" t="str">
            <v>Done</v>
          </cell>
          <cell r="BU516">
            <v>168</v>
          </cell>
          <cell r="BV516">
            <v>2025</v>
          </cell>
        </row>
        <row r="517">
          <cell r="A517" t="str">
            <v>Chennai</v>
          </cell>
          <cell r="B517" t="str">
            <v>Chennai</v>
          </cell>
          <cell r="C517" t="str">
            <v>Mid Level</v>
          </cell>
          <cell r="D517" t="str">
            <v>Vinoth L</v>
          </cell>
          <cell r="E517" t="str">
            <v>-</v>
          </cell>
          <cell r="F517" t="str">
            <v>-</v>
          </cell>
          <cell r="G517" t="str">
            <v>-</v>
          </cell>
          <cell r="H517" t="str">
            <v>Dinesh Kumar Veluchamy</v>
          </cell>
          <cell r="K517" t="str">
            <v>-</v>
          </cell>
          <cell r="L517" t="str">
            <v>New</v>
          </cell>
          <cell r="M517">
            <v>45764</v>
          </cell>
          <cell r="N517">
            <v>2</v>
          </cell>
          <cell r="O517">
            <v>282</v>
          </cell>
          <cell r="P517" t="str">
            <v>-</v>
          </cell>
          <cell r="Q517">
            <v>46129</v>
          </cell>
          <cell r="R517" t="str">
            <v>PLC-4228</v>
          </cell>
          <cell r="S517" t="str">
            <v>Robert Feldman</v>
          </cell>
          <cell r="T517" t="str">
            <v>Individual</v>
          </cell>
          <cell r="U517" t="str">
            <v>W2</v>
          </cell>
          <cell r="V517" t="str">
            <v>LTIMindtree</v>
          </cell>
          <cell r="W517">
            <v>49</v>
          </cell>
          <cell r="X517">
            <v>0</v>
          </cell>
          <cell r="Y517" t="str">
            <v>USD</v>
          </cell>
          <cell r="Z517">
            <v>62</v>
          </cell>
          <cell r="AA517">
            <v>0</v>
          </cell>
          <cell r="AB517">
            <v>0</v>
          </cell>
          <cell r="AC517">
            <v>0</v>
          </cell>
          <cell r="AD517">
            <v>45762</v>
          </cell>
          <cell r="AE517">
            <v>10</v>
          </cell>
          <cell r="AF517">
            <v>46022</v>
          </cell>
          <cell r="AG517">
            <v>56.349999999999994</v>
          </cell>
          <cell r="AH517">
            <v>0</v>
          </cell>
          <cell r="AI517">
            <v>56.349999999999994</v>
          </cell>
          <cell r="AJ517">
            <v>60.14</v>
          </cell>
          <cell r="AK517">
            <v>0</v>
          </cell>
          <cell r="AL517">
            <v>0</v>
          </cell>
          <cell r="AM517">
            <v>3.7900000000000063</v>
          </cell>
          <cell r="AN517">
            <v>0</v>
          </cell>
          <cell r="AO517">
            <v>3.7900000000000063</v>
          </cell>
          <cell r="AP517">
            <v>0</v>
          </cell>
          <cell r="AQ517">
            <v>3.7900000000000063</v>
          </cell>
          <cell r="AR517" t="str">
            <v>US_24950</v>
          </cell>
          <cell r="AS517">
            <v>0</v>
          </cell>
          <cell r="AT517">
            <v>80</v>
          </cell>
          <cell r="AU517">
            <v>80</v>
          </cell>
          <cell r="AV517">
            <v>0</v>
          </cell>
          <cell r="AW517">
            <v>303.2000000000005</v>
          </cell>
          <cell r="AX517">
            <v>303.2000000000005</v>
          </cell>
          <cell r="AY517">
            <v>303.2000000000005</v>
          </cell>
          <cell r="AZ517">
            <v>120</v>
          </cell>
          <cell r="BA517">
            <v>6.0640000000000098</v>
          </cell>
          <cell r="BB517">
            <v>485.1200000000008</v>
          </cell>
          <cell r="BC517">
            <v>67</v>
          </cell>
          <cell r="BD517">
            <v>303.2000000000005</v>
          </cell>
          <cell r="BE517">
            <v>363.8400000000006</v>
          </cell>
          <cell r="BF517">
            <v>303.2000000000005</v>
          </cell>
          <cell r="BG517">
            <v>4960</v>
          </cell>
          <cell r="BH517">
            <v>4811.2</v>
          </cell>
          <cell r="BI517">
            <v>3920</v>
          </cell>
          <cell r="BJ517">
            <v>7.35</v>
          </cell>
          <cell r="BK517">
            <v>0</v>
          </cell>
          <cell r="BL517">
            <v>588</v>
          </cell>
          <cell r="BM517">
            <v>4508</v>
          </cell>
          <cell r="BN517">
            <v>7.35</v>
          </cell>
          <cell r="BO517">
            <v>303.19999999999982</v>
          </cell>
          <cell r="BP517" t="str">
            <v>Y</v>
          </cell>
          <cell r="BQ517">
            <v>2</v>
          </cell>
          <cell r="BR517" t="str">
            <v>Y</v>
          </cell>
          <cell r="BS517">
            <v>485.1200000000008</v>
          </cell>
          <cell r="BT517" t="str">
            <v>Done</v>
          </cell>
          <cell r="BU517">
            <v>80</v>
          </cell>
          <cell r="BV517">
            <v>2025</v>
          </cell>
        </row>
        <row r="518">
          <cell r="A518" t="str">
            <v>Lucknow</v>
          </cell>
          <cell r="B518" t="str">
            <v>RPO</v>
          </cell>
          <cell r="C518" t="str">
            <v>Mid Level</v>
          </cell>
          <cell r="D518" t="str">
            <v>Ankit Pandey</v>
          </cell>
          <cell r="E518" t="str">
            <v>-</v>
          </cell>
          <cell r="H518" t="str">
            <v>Sagar Chandani</v>
          </cell>
          <cell r="K518" t="str">
            <v>Ankit Pandey</v>
          </cell>
          <cell r="L518" t="str">
            <v>New</v>
          </cell>
          <cell r="M518">
            <v>45663</v>
          </cell>
          <cell r="N518">
            <v>1</v>
          </cell>
          <cell r="O518">
            <v>383</v>
          </cell>
          <cell r="P518" t="str">
            <v>-</v>
          </cell>
          <cell r="Q518">
            <v>46028</v>
          </cell>
          <cell r="R518" t="str">
            <v>PLC-4089</v>
          </cell>
          <cell r="S518" t="str">
            <v>Rohan Rodney</v>
          </cell>
          <cell r="T518" t="str">
            <v>Individual</v>
          </cell>
          <cell r="U518" t="str">
            <v>FTE</v>
          </cell>
          <cell r="V518" t="str">
            <v>GPC RPO</v>
          </cell>
          <cell r="W518">
            <v>0</v>
          </cell>
          <cell r="X518">
            <v>0</v>
          </cell>
          <cell r="Y518" t="str">
            <v>USD</v>
          </cell>
          <cell r="Z518">
            <v>3000</v>
          </cell>
          <cell r="AA518">
            <v>0</v>
          </cell>
          <cell r="AB518">
            <v>0</v>
          </cell>
          <cell r="AC518">
            <v>0</v>
          </cell>
          <cell r="AD518">
            <v>45672</v>
          </cell>
          <cell r="AE518">
            <v>1</v>
          </cell>
          <cell r="AF518">
            <v>46022</v>
          </cell>
          <cell r="AG518">
            <v>0</v>
          </cell>
          <cell r="AH518">
            <v>0</v>
          </cell>
          <cell r="AI518">
            <v>0</v>
          </cell>
          <cell r="AJ518">
            <v>3000</v>
          </cell>
          <cell r="AK518">
            <v>0</v>
          </cell>
          <cell r="AL518">
            <v>0</v>
          </cell>
          <cell r="AM518">
            <v>3000</v>
          </cell>
          <cell r="AN518">
            <v>0</v>
          </cell>
          <cell r="AO518">
            <v>3000</v>
          </cell>
          <cell r="AP518">
            <v>0</v>
          </cell>
          <cell r="AQ518">
            <v>3000</v>
          </cell>
          <cell r="AR518" t="str">
            <v>US_24188</v>
          </cell>
          <cell r="AS518">
            <v>0</v>
          </cell>
          <cell r="AT518">
            <v>1</v>
          </cell>
          <cell r="AU518">
            <v>1</v>
          </cell>
          <cell r="AV518">
            <v>0</v>
          </cell>
          <cell r="AW518">
            <v>3000</v>
          </cell>
          <cell r="AX518">
            <v>3000</v>
          </cell>
          <cell r="AY518">
            <v>3000</v>
          </cell>
          <cell r="AZ518">
            <v>116.3</v>
          </cell>
          <cell r="BA518">
            <v>4800</v>
          </cell>
          <cell r="BB518">
            <v>4800</v>
          </cell>
          <cell r="BF518">
            <v>3000</v>
          </cell>
          <cell r="BG518">
            <v>3000</v>
          </cell>
          <cell r="BH518">
            <v>3000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3000</v>
          </cell>
          <cell r="BP518" t="str">
            <v>Y</v>
          </cell>
          <cell r="BQ518">
            <v>1</v>
          </cell>
          <cell r="BR518" t="str">
            <v>Y</v>
          </cell>
          <cell r="BS518">
            <v>4800</v>
          </cell>
          <cell r="BT518" t="str">
            <v>Done</v>
          </cell>
          <cell r="BU518">
            <v>0</v>
          </cell>
          <cell r="BV518">
            <v>2025</v>
          </cell>
        </row>
        <row r="519">
          <cell r="A519" t="str">
            <v>Lucknow</v>
          </cell>
          <cell r="B519" t="str">
            <v>Mavericks</v>
          </cell>
          <cell r="C519" t="str">
            <v>Mid Level</v>
          </cell>
          <cell r="D519" t="str">
            <v>Mohammad Fakhrul</v>
          </cell>
          <cell r="E519" t="str">
            <v>-</v>
          </cell>
          <cell r="H519" t="str">
            <v>Pass Through</v>
          </cell>
          <cell r="K519">
            <v>0</v>
          </cell>
          <cell r="L519" t="str">
            <v>Old</v>
          </cell>
          <cell r="M519">
            <v>45505</v>
          </cell>
          <cell r="N519">
            <v>3</v>
          </cell>
          <cell r="O519">
            <v>541</v>
          </cell>
          <cell r="P519">
            <v>45674</v>
          </cell>
          <cell r="Q519">
            <v>45870</v>
          </cell>
          <cell r="R519" t="str">
            <v>PLC-Passthrough</v>
          </cell>
          <cell r="S519" t="str">
            <v>Rohini Radhakrishnan</v>
          </cell>
          <cell r="T519" t="str">
            <v>Individual</v>
          </cell>
          <cell r="U519" t="str">
            <v>W2</v>
          </cell>
          <cell r="V519" t="str">
            <v>Coforge</v>
          </cell>
          <cell r="W519">
            <v>51</v>
          </cell>
          <cell r="X519">
            <v>0</v>
          </cell>
          <cell r="Y519" t="str">
            <v>USD</v>
          </cell>
          <cell r="Z519">
            <v>61</v>
          </cell>
          <cell r="AA519">
            <v>0</v>
          </cell>
          <cell r="AB519">
            <v>0</v>
          </cell>
          <cell r="AC519">
            <v>0</v>
          </cell>
          <cell r="AD519">
            <v>45672</v>
          </cell>
          <cell r="AE519">
            <v>13</v>
          </cell>
          <cell r="AF519">
            <v>46022</v>
          </cell>
          <cell r="AG519">
            <v>58.65</v>
          </cell>
          <cell r="AH519">
            <v>0</v>
          </cell>
          <cell r="AI519">
            <v>58.65</v>
          </cell>
          <cell r="AJ519">
            <v>61</v>
          </cell>
          <cell r="AK519">
            <v>0</v>
          </cell>
          <cell r="AL519">
            <v>0</v>
          </cell>
          <cell r="AM519">
            <v>2.3500000000000014</v>
          </cell>
          <cell r="AN519">
            <v>0</v>
          </cell>
          <cell r="AO519">
            <v>2.3500000000000014</v>
          </cell>
          <cell r="AP519">
            <v>0</v>
          </cell>
          <cell r="AQ519">
            <v>2.3500000000000014</v>
          </cell>
          <cell r="AR519" t="str">
            <v>US_24258</v>
          </cell>
          <cell r="AS519">
            <v>0</v>
          </cell>
          <cell r="AT519">
            <v>94.5</v>
          </cell>
          <cell r="AU519">
            <v>94.5</v>
          </cell>
          <cell r="AV519">
            <v>0</v>
          </cell>
          <cell r="AW519">
            <v>222.07500000000013</v>
          </cell>
          <cell r="AX519">
            <v>222.07500000000013</v>
          </cell>
          <cell r="AY519">
            <v>222.07500000000013</v>
          </cell>
          <cell r="AZ519">
            <v>0</v>
          </cell>
          <cell r="BA519">
            <v>0</v>
          </cell>
          <cell r="BB519">
            <v>0</v>
          </cell>
          <cell r="BD519">
            <v>222.07500000000013</v>
          </cell>
          <cell r="BF519">
            <v>222.07500000000013</v>
          </cell>
          <cell r="BG519">
            <v>5764.5</v>
          </cell>
          <cell r="BH519">
            <v>5764.5</v>
          </cell>
          <cell r="BI519">
            <v>4819.5</v>
          </cell>
          <cell r="BJ519">
            <v>7.6499999999999995</v>
          </cell>
          <cell r="BK519">
            <v>0</v>
          </cell>
          <cell r="BL519">
            <v>722.92499999999995</v>
          </cell>
          <cell r="BM519">
            <v>5542.4250000000002</v>
          </cell>
          <cell r="BN519">
            <v>7.6499999999999995</v>
          </cell>
          <cell r="BO519">
            <v>222.07500000000005</v>
          </cell>
          <cell r="BP519" t="str">
            <v>Y</v>
          </cell>
          <cell r="BQ519">
            <v>1</v>
          </cell>
          <cell r="BR519" t="str">
            <v>Y</v>
          </cell>
          <cell r="BS519">
            <v>0</v>
          </cell>
          <cell r="BT519" t="str">
            <v>Done</v>
          </cell>
          <cell r="BU519">
            <v>94.5</v>
          </cell>
          <cell r="BV519">
            <v>2024</v>
          </cell>
        </row>
        <row r="520">
          <cell r="A520" t="str">
            <v>Lucknow</v>
          </cell>
          <cell r="B520" t="str">
            <v>Mavericks</v>
          </cell>
          <cell r="C520" t="str">
            <v>Mid Level</v>
          </cell>
          <cell r="D520" t="str">
            <v>Rohit Gupta</v>
          </cell>
          <cell r="E520" t="str">
            <v>-</v>
          </cell>
          <cell r="H520" t="str">
            <v>Himanshu Gupta</v>
          </cell>
          <cell r="J520" t="str">
            <v>ACH</v>
          </cell>
          <cell r="L520" t="str">
            <v>New</v>
          </cell>
          <cell r="M520">
            <v>45747</v>
          </cell>
          <cell r="N520">
            <v>1</v>
          </cell>
          <cell r="O520">
            <v>299</v>
          </cell>
          <cell r="P520" t="str">
            <v>-</v>
          </cell>
          <cell r="Q520">
            <v>46112</v>
          </cell>
          <cell r="R520" t="str">
            <v>PLC-4163</v>
          </cell>
          <cell r="S520" t="str">
            <v>Rosa Itzel Quezada Ortiz</v>
          </cell>
          <cell r="T520" t="str">
            <v>Split</v>
          </cell>
          <cell r="U520" t="str">
            <v>W2</v>
          </cell>
          <cell r="V520" t="str">
            <v>Cigniti</v>
          </cell>
          <cell r="W520">
            <v>33</v>
          </cell>
          <cell r="X520">
            <v>0</v>
          </cell>
          <cell r="Y520" t="str">
            <v>USD</v>
          </cell>
          <cell r="Z520">
            <v>46</v>
          </cell>
          <cell r="AA520">
            <v>0</v>
          </cell>
          <cell r="AB520">
            <v>0</v>
          </cell>
          <cell r="AC520">
            <v>0</v>
          </cell>
          <cell r="AD520">
            <v>45731</v>
          </cell>
          <cell r="AE520">
            <v>1</v>
          </cell>
          <cell r="AF520">
            <v>46022</v>
          </cell>
          <cell r="AG520">
            <v>37.949999999999996</v>
          </cell>
          <cell r="AH520">
            <v>0</v>
          </cell>
          <cell r="AI520">
            <v>37.949999999999996</v>
          </cell>
          <cell r="AJ520">
            <v>46</v>
          </cell>
          <cell r="AK520">
            <v>0</v>
          </cell>
          <cell r="AL520">
            <v>0</v>
          </cell>
          <cell r="AM520">
            <v>8.0500000000000043</v>
          </cell>
          <cell r="AN520">
            <v>0</v>
          </cell>
          <cell r="AO520">
            <v>4.0250000000000021</v>
          </cell>
          <cell r="AP520">
            <v>0</v>
          </cell>
          <cell r="AQ520">
            <v>4.0250000000000021</v>
          </cell>
          <cell r="AR520" t="str">
            <v>US_24733</v>
          </cell>
          <cell r="AS520">
            <v>0</v>
          </cell>
          <cell r="AT520">
            <v>8</v>
          </cell>
          <cell r="AU520">
            <v>8</v>
          </cell>
          <cell r="AV520">
            <v>0</v>
          </cell>
          <cell r="AW520">
            <v>32.200000000000017</v>
          </cell>
          <cell r="AX520">
            <v>31.878000000000018</v>
          </cell>
          <cell r="AY520">
            <v>32.200000000000017</v>
          </cell>
          <cell r="AZ520">
            <v>0</v>
          </cell>
          <cell r="BA520">
            <v>0</v>
          </cell>
          <cell r="BB520">
            <v>0</v>
          </cell>
          <cell r="BF520">
            <v>31.878000000000018</v>
          </cell>
          <cell r="BG520">
            <v>184</v>
          </cell>
          <cell r="BH520">
            <v>184</v>
          </cell>
          <cell r="BI520">
            <v>132</v>
          </cell>
          <cell r="BJ520">
            <v>4.95</v>
          </cell>
          <cell r="BK520">
            <v>0</v>
          </cell>
          <cell r="BL520">
            <v>39.6</v>
          </cell>
          <cell r="BM520">
            <v>171.6</v>
          </cell>
          <cell r="BN520">
            <v>4.95</v>
          </cell>
          <cell r="BO520">
            <v>12.399999999999999</v>
          </cell>
          <cell r="BP520" t="str">
            <v>Y</v>
          </cell>
          <cell r="BQ520">
            <v>1</v>
          </cell>
          <cell r="BR520" t="str">
            <v>Y</v>
          </cell>
          <cell r="BS520">
            <v>0</v>
          </cell>
          <cell r="BT520" t="str">
            <v>Done</v>
          </cell>
          <cell r="BU520">
            <v>8</v>
          </cell>
          <cell r="BV520">
            <v>2025</v>
          </cell>
        </row>
        <row r="521">
          <cell r="A521" t="str">
            <v>Chennai</v>
          </cell>
          <cell r="B521" t="str">
            <v>Chennai</v>
          </cell>
          <cell r="C521" t="str">
            <v>Mid Level</v>
          </cell>
          <cell r="D521" t="str">
            <v>Akbar Ibrahim</v>
          </cell>
          <cell r="E521" t="str">
            <v>-</v>
          </cell>
          <cell r="H521" t="str">
            <v>Himanshu Gupta</v>
          </cell>
          <cell r="J521" t="str">
            <v>ACH</v>
          </cell>
          <cell r="L521" t="str">
            <v>New</v>
          </cell>
          <cell r="M521">
            <v>45747</v>
          </cell>
          <cell r="N521">
            <v>1</v>
          </cell>
          <cell r="O521">
            <v>299</v>
          </cell>
          <cell r="P521" t="str">
            <v>-</v>
          </cell>
          <cell r="Q521">
            <v>46112</v>
          </cell>
          <cell r="R521" t="str">
            <v>PLC-4163</v>
          </cell>
          <cell r="S521" t="str">
            <v>Rosa Itzel Quezada Ortiz</v>
          </cell>
          <cell r="T521" t="str">
            <v>Split</v>
          </cell>
          <cell r="U521" t="str">
            <v>W2</v>
          </cell>
          <cell r="V521" t="str">
            <v>Cigniti</v>
          </cell>
          <cell r="W521">
            <v>33</v>
          </cell>
          <cell r="X521">
            <v>0</v>
          </cell>
          <cell r="Y521" t="str">
            <v>USD</v>
          </cell>
          <cell r="Z521">
            <v>46</v>
          </cell>
          <cell r="AA521">
            <v>0</v>
          </cell>
          <cell r="AB521">
            <v>0</v>
          </cell>
          <cell r="AC521">
            <v>0</v>
          </cell>
          <cell r="AD521">
            <v>45731</v>
          </cell>
          <cell r="AE521">
            <v>1</v>
          </cell>
          <cell r="AF521">
            <v>46022</v>
          </cell>
          <cell r="AG521">
            <v>37.949999999999996</v>
          </cell>
          <cell r="AH521">
            <v>0</v>
          </cell>
          <cell r="AI521">
            <v>37.949999999999996</v>
          </cell>
          <cell r="AJ521">
            <v>46</v>
          </cell>
          <cell r="AK521">
            <v>0</v>
          </cell>
          <cell r="AL521">
            <v>0</v>
          </cell>
          <cell r="AM521">
            <v>8.0500000000000043</v>
          </cell>
          <cell r="AN521">
            <v>0</v>
          </cell>
          <cell r="AO521">
            <v>4.0250000000000021</v>
          </cell>
          <cell r="AP521">
            <v>0</v>
          </cell>
          <cell r="AQ521">
            <v>4.0250000000000021</v>
          </cell>
          <cell r="AR521" t="str">
            <v>US_24733</v>
          </cell>
          <cell r="AS521">
            <v>0</v>
          </cell>
          <cell r="AT521">
            <v>8</v>
          </cell>
          <cell r="AU521">
            <v>8</v>
          </cell>
          <cell r="AV521">
            <v>0</v>
          </cell>
          <cell r="AW521">
            <v>32.200000000000017</v>
          </cell>
          <cell r="AX521">
            <v>31.878000000000018</v>
          </cell>
          <cell r="AY521">
            <v>32.200000000000017</v>
          </cell>
          <cell r="AZ521">
            <v>0</v>
          </cell>
          <cell r="BA521">
            <v>0</v>
          </cell>
          <cell r="BB521">
            <v>0</v>
          </cell>
          <cell r="BC521">
            <v>191</v>
          </cell>
          <cell r="BD521">
            <v>32.200000000000017</v>
          </cell>
          <cell r="BE521">
            <v>51.520000000000024</v>
          </cell>
          <cell r="BF521">
            <v>31.878000000000018</v>
          </cell>
          <cell r="BG521">
            <v>184</v>
          </cell>
          <cell r="BH521">
            <v>184</v>
          </cell>
          <cell r="BI521">
            <v>132</v>
          </cell>
          <cell r="BJ521">
            <v>4.95</v>
          </cell>
          <cell r="BK521">
            <v>0</v>
          </cell>
          <cell r="BL521">
            <v>39.6</v>
          </cell>
          <cell r="BM521">
            <v>171.6</v>
          </cell>
          <cell r="BN521">
            <v>4.95</v>
          </cell>
          <cell r="BO521">
            <v>12.399999999999999</v>
          </cell>
          <cell r="BP521" t="str">
            <v>Y</v>
          </cell>
          <cell r="BQ521">
            <v>1</v>
          </cell>
          <cell r="BR521" t="str">
            <v>Y</v>
          </cell>
          <cell r="BS521">
            <v>0</v>
          </cell>
          <cell r="BT521" t="str">
            <v>Done</v>
          </cell>
          <cell r="BU521">
            <v>8</v>
          </cell>
          <cell r="BV521">
            <v>2025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H522" t="str">
            <v>Himanshu Gupta</v>
          </cell>
          <cell r="J522" t="str">
            <v>ACH</v>
          </cell>
          <cell r="L522" t="str">
            <v>New</v>
          </cell>
          <cell r="M522">
            <v>45747</v>
          </cell>
          <cell r="N522">
            <v>1</v>
          </cell>
          <cell r="O522">
            <v>299</v>
          </cell>
          <cell r="P522" t="str">
            <v>-</v>
          </cell>
          <cell r="Q522">
            <v>46112</v>
          </cell>
          <cell r="R522" t="str">
            <v>PLC-4163</v>
          </cell>
          <cell r="S522" t="str">
            <v>Rosa Itzel Quezada Ortiz</v>
          </cell>
          <cell r="T522" t="str">
            <v>Split</v>
          </cell>
          <cell r="U522" t="str">
            <v>W2</v>
          </cell>
          <cell r="V522" t="str">
            <v>Cigniti</v>
          </cell>
          <cell r="W522">
            <v>33</v>
          </cell>
          <cell r="X522">
            <v>0</v>
          </cell>
          <cell r="Y522" t="str">
            <v>USD</v>
          </cell>
          <cell r="Z522">
            <v>46</v>
          </cell>
          <cell r="AA522">
            <v>0</v>
          </cell>
          <cell r="AB522">
            <v>0</v>
          </cell>
          <cell r="AC522">
            <v>0</v>
          </cell>
          <cell r="AD522">
            <v>45762</v>
          </cell>
          <cell r="AE522">
            <v>22</v>
          </cell>
          <cell r="AF522">
            <v>46022</v>
          </cell>
          <cell r="AG522">
            <v>37.949999999999996</v>
          </cell>
          <cell r="AH522">
            <v>0</v>
          </cell>
          <cell r="AI522">
            <v>37.949999999999996</v>
          </cell>
          <cell r="AJ522">
            <v>46</v>
          </cell>
          <cell r="AK522">
            <v>0</v>
          </cell>
          <cell r="AL522">
            <v>0</v>
          </cell>
          <cell r="AM522">
            <v>8.0500000000000043</v>
          </cell>
          <cell r="AN522">
            <v>0</v>
          </cell>
          <cell r="AO522">
            <v>4.0250000000000021</v>
          </cell>
          <cell r="AP522">
            <v>0</v>
          </cell>
          <cell r="AQ522">
            <v>4.0250000000000021</v>
          </cell>
          <cell r="AR522" t="str">
            <v>US_24912</v>
          </cell>
          <cell r="AS522">
            <v>0</v>
          </cell>
          <cell r="AT522">
            <v>176</v>
          </cell>
          <cell r="AU522">
            <v>176</v>
          </cell>
          <cell r="AV522">
            <v>0</v>
          </cell>
          <cell r="AW522">
            <v>708.40000000000032</v>
          </cell>
          <cell r="AX522">
            <v>701.31600000000026</v>
          </cell>
          <cell r="AY522">
            <v>708.40000000000032</v>
          </cell>
          <cell r="AZ522">
            <v>0</v>
          </cell>
          <cell r="BA522">
            <v>0</v>
          </cell>
          <cell r="BB522">
            <v>0</v>
          </cell>
          <cell r="BF522">
            <v>701.31600000000026</v>
          </cell>
          <cell r="BG522">
            <v>4048</v>
          </cell>
          <cell r="BH522">
            <v>4048</v>
          </cell>
          <cell r="BI522">
            <v>2904</v>
          </cell>
          <cell r="BJ522">
            <v>4.95</v>
          </cell>
          <cell r="BK522">
            <v>0</v>
          </cell>
          <cell r="BL522">
            <v>871.2</v>
          </cell>
          <cell r="BM522">
            <v>3775.2</v>
          </cell>
          <cell r="BN522">
            <v>4.95</v>
          </cell>
          <cell r="BO522">
            <v>272.79999999999995</v>
          </cell>
          <cell r="BP522" t="str">
            <v>Y</v>
          </cell>
          <cell r="BQ522">
            <v>2</v>
          </cell>
          <cell r="BR522" t="str">
            <v>N</v>
          </cell>
          <cell r="BS522">
            <v>0</v>
          </cell>
          <cell r="BT522" t="str">
            <v>Done</v>
          </cell>
          <cell r="BU522">
            <v>176</v>
          </cell>
          <cell r="BV522">
            <v>2025</v>
          </cell>
        </row>
        <row r="523">
          <cell r="A523" t="str">
            <v>Chennai</v>
          </cell>
          <cell r="B523" t="str">
            <v>Chennai</v>
          </cell>
          <cell r="C523" t="str">
            <v>Mid Level</v>
          </cell>
          <cell r="D523" t="str">
            <v>Akbar Ibrahim</v>
          </cell>
          <cell r="E523" t="str">
            <v>-</v>
          </cell>
          <cell r="H523" t="str">
            <v>Himanshu Gupta</v>
          </cell>
          <cell r="J523" t="str">
            <v>ACH</v>
          </cell>
          <cell r="L523" t="str">
            <v>New</v>
          </cell>
          <cell r="M523">
            <v>45747</v>
          </cell>
          <cell r="N523">
            <v>1</v>
          </cell>
          <cell r="O523">
            <v>299</v>
          </cell>
          <cell r="P523" t="str">
            <v>-</v>
          </cell>
          <cell r="Q523">
            <v>46112</v>
          </cell>
          <cell r="R523" t="str">
            <v>PLC-4163</v>
          </cell>
          <cell r="S523" t="str">
            <v>Rosa Itzel Quezada Ortiz</v>
          </cell>
          <cell r="T523" t="str">
            <v>Split</v>
          </cell>
          <cell r="U523" t="str">
            <v>W2</v>
          </cell>
          <cell r="V523" t="str">
            <v>Cigniti</v>
          </cell>
          <cell r="W523">
            <v>33</v>
          </cell>
          <cell r="X523">
            <v>0</v>
          </cell>
          <cell r="Y523" t="str">
            <v>USD</v>
          </cell>
          <cell r="Z523">
            <v>46</v>
          </cell>
          <cell r="AA523">
            <v>0</v>
          </cell>
          <cell r="AB523">
            <v>0</v>
          </cell>
          <cell r="AC523">
            <v>0</v>
          </cell>
          <cell r="AD523">
            <v>45762</v>
          </cell>
          <cell r="AE523">
            <v>22</v>
          </cell>
          <cell r="AF523">
            <v>46022</v>
          </cell>
          <cell r="AG523">
            <v>37.949999999999996</v>
          </cell>
          <cell r="AH523">
            <v>0</v>
          </cell>
          <cell r="AI523">
            <v>37.949999999999996</v>
          </cell>
          <cell r="AJ523">
            <v>46</v>
          </cell>
          <cell r="AK523">
            <v>0</v>
          </cell>
          <cell r="AL523">
            <v>0</v>
          </cell>
          <cell r="AM523">
            <v>8.0500000000000043</v>
          </cell>
          <cell r="AN523">
            <v>0</v>
          </cell>
          <cell r="AO523">
            <v>4.0250000000000021</v>
          </cell>
          <cell r="AP523">
            <v>0</v>
          </cell>
          <cell r="AQ523">
            <v>4.0250000000000021</v>
          </cell>
          <cell r="AR523" t="str">
            <v>US_24912</v>
          </cell>
          <cell r="AS523">
            <v>0</v>
          </cell>
          <cell r="AT523">
            <v>176</v>
          </cell>
          <cell r="AU523">
            <v>176</v>
          </cell>
          <cell r="AV523">
            <v>0</v>
          </cell>
          <cell r="AW523">
            <v>708.40000000000032</v>
          </cell>
          <cell r="AX523">
            <v>701.31600000000026</v>
          </cell>
          <cell r="AY523">
            <v>708.40000000000032</v>
          </cell>
          <cell r="AZ523">
            <v>0</v>
          </cell>
          <cell r="BA523">
            <v>0</v>
          </cell>
          <cell r="BB523">
            <v>0</v>
          </cell>
          <cell r="BC523">
            <v>191</v>
          </cell>
          <cell r="BD523">
            <v>708.40000000000032</v>
          </cell>
          <cell r="BE523">
            <v>1133.4400000000005</v>
          </cell>
          <cell r="BF523">
            <v>701.31600000000026</v>
          </cell>
          <cell r="BG523">
            <v>4048</v>
          </cell>
          <cell r="BH523">
            <v>4048</v>
          </cell>
          <cell r="BI523">
            <v>2904</v>
          </cell>
          <cell r="BJ523">
            <v>4.95</v>
          </cell>
          <cell r="BK523">
            <v>0</v>
          </cell>
          <cell r="BL523">
            <v>871.2</v>
          </cell>
          <cell r="BM523">
            <v>3775.2</v>
          </cell>
          <cell r="BN523">
            <v>4.95</v>
          </cell>
          <cell r="BO523">
            <v>272.79999999999995</v>
          </cell>
          <cell r="BP523" t="str">
            <v>Y</v>
          </cell>
          <cell r="BQ523">
            <v>2</v>
          </cell>
          <cell r="BR523" t="str">
            <v>N</v>
          </cell>
          <cell r="BS523">
            <v>0</v>
          </cell>
          <cell r="BT523" t="str">
            <v>Done</v>
          </cell>
          <cell r="BU523">
            <v>176</v>
          </cell>
          <cell r="BV523">
            <v>2025</v>
          </cell>
        </row>
        <row r="524">
          <cell r="A524" t="str">
            <v>Lucknow</v>
          </cell>
          <cell r="B524" t="str">
            <v>Mavericks</v>
          </cell>
          <cell r="C524" t="str">
            <v>Mid Level</v>
          </cell>
          <cell r="D524" t="str">
            <v>Rohit Gupta</v>
          </cell>
          <cell r="E524" t="str">
            <v>-</v>
          </cell>
          <cell r="H524" t="str">
            <v>Himanshu Gupta</v>
          </cell>
          <cell r="J524" t="str">
            <v>ACH</v>
          </cell>
          <cell r="L524" t="str">
            <v>New</v>
          </cell>
          <cell r="M524">
            <v>45747</v>
          </cell>
          <cell r="N524">
            <v>1</v>
          </cell>
          <cell r="O524">
            <v>299</v>
          </cell>
          <cell r="P524" t="str">
            <v>-</v>
          </cell>
          <cell r="Q524">
            <v>46112</v>
          </cell>
          <cell r="R524" t="str">
            <v>PLC-4163</v>
          </cell>
          <cell r="S524" t="str">
            <v>Rosa Itzel Quezada Ortiz</v>
          </cell>
          <cell r="T524" t="str">
            <v>Split</v>
          </cell>
          <cell r="U524" t="str">
            <v>W2</v>
          </cell>
          <cell r="V524" t="str">
            <v>Cigniti</v>
          </cell>
          <cell r="W524">
            <v>33</v>
          </cell>
          <cell r="X524">
            <v>0</v>
          </cell>
          <cell r="Y524" t="str">
            <v>USD</v>
          </cell>
          <cell r="Z524">
            <v>46</v>
          </cell>
          <cell r="AA524">
            <v>0</v>
          </cell>
          <cell r="AB524">
            <v>0</v>
          </cell>
          <cell r="AC524">
            <v>0</v>
          </cell>
          <cell r="AD524">
            <v>45762</v>
          </cell>
          <cell r="AE524">
            <v>22</v>
          </cell>
          <cell r="AF524">
            <v>46022</v>
          </cell>
          <cell r="AG524">
            <v>37.949999999999996</v>
          </cell>
          <cell r="AH524">
            <v>0</v>
          </cell>
          <cell r="AI524">
            <v>37.949999999999996</v>
          </cell>
          <cell r="AJ524">
            <v>46</v>
          </cell>
          <cell r="AK524">
            <v>0</v>
          </cell>
          <cell r="AL524">
            <v>0</v>
          </cell>
          <cell r="AM524">
            <v>8.0500000000000043</v>
          </cell>
          <cell r="AN524">
            <v>0</v>
          </cell>
          <cell r="AO524">
            <v>4.0250000000000021</v>
          </cell>
          <cell r="AP524">
            <v>0</v>
          </cell>
          <cell r="AQ524">
            <v>4.0250000000000021</v>
          </cell>
          <cell r="AR524" t="str">
            <v>US_24912</v>
          </cell>
          <cell r="AS524">
            <v>0</v>
          </cell>
          <cell r="AT524">
            <v>176</v>
          </cell>
          <cell r="AU524">
            <v>176</v>
          </cell>
          <cell r="AV524">
            <v>0</v>
          </cell>
          <cell r="AW524">
            <v>708.40000000000032</v>
          </cell>
          <cell r="AX524">
            <v>701.31600000000026</v>
          </cell>
          <cell r="AY524">
            <v>708.40000000000032</v>
          </cell>
          <cell r="AZ524">
            <v>0</v>
          </cell>
          <cell r="BA524">
            <v>0</v>
          </cell>
          <cell r="BB524">
            <v>0</v>
          </cell>
          <cell r="BF524">
            <v>701.31600000000026</v>
          </cell>
          <cell r="BG524">
            <v>4048</v>
          </cell>
          <cell r="BH524">
            <v>4048</v>
          </cell>
          <cell r="BI524">
            <v>2904</v>
          </cell>
          <cell r="BJ524">
            <v>4.95</v>
          </cell>
          <cell r="BK524">
            <v>0</v>
          </cell>
          <cell r="BL524">
            <v>871.2</v>
          </cell>
          <cell r="BM524">
            <v>3775.2</v>
          </cell>
          <cell r="BN524">
            <v>4.95</v>
          </cell>
          <cell r="BO524">
            <v>272.79999999999995</v>
          </cell>
          <cell r="BP524" t="str">
            <v>Y</v>
          </cell>
          <cell r="BQ524">
            <v>2</v>
          </cell>
          <cell r="BR524" t="str">
            <v>N</v>
          </cell>
          <cell r="BS524">
            <v>0</v>
          </cell>
          <cell r="BT524" t="str">
            <v>Done</v>
          </cell>
          <cell r="BU524">
            <v>176</v>
          </cell>
          <cell r="BV524">
            <v>2025</v>
          </cell>
        </row>
        <row r="525">
          <cell r="A525" t="str">
            <v>Chennai</v>
          </cell>
          <cell r="B525" t="str">
            <v>Chennai</v>
          </cell>
          <cell r="C525" t="str">
            <v>Mid Level</v>
          </cell>
          <cell r="D525" t="str">
            <v>Akbar Ibrahim</v>
          </cell>
          <cell r="E525" t="str">
            <v>-</v>
          </cell>
          <cell r="H525" t="str">
            <v>Himanshu Gupta</v>
          </cell>
          <cell r="J525" t="str">
            <v>ACH</v>
          </cell>
          <cell r="L525" t="str">
            <v>New</v>
          </cell>
          <cell r="M525">
            <v>45747</v>
          </cell>
          <cell r="N525">
            <v>1</v>
          </cell>
          <cell r="O525">
            <v>299</v>
          </cell>
          <cell r="P525" t="str">
            <v>-</v>
          </cell>
          <cell r="Q525">
            <v>46112</v>
          </cell>
          <cell r="R525" t="str">
            <v>PLC-4163</v>
          </cell>
          <cell r="S525" t="str">
            <v>Rosa Itzel Quezada Ortiz</v>
          </cell>
          <cell r="T525" t="str">
            <v>Split</v>
          </cell>
          <cell r="U525" t="str">
            <v>W2</v>
          </cell>
          <cell r="V525" t="str">
            <v>Cigniti</v>
          </cell>
          <cell r="W525">
            <v>33</v>
          </cell>
          <cell r="X525">
            <v>0</v>
          </cell>
          <cell r="Y525" t="str">
            <v>USD</v>
          </cell>
          <cell r="Z525">
            <v>46</v>
          </cell>
          <cell r="AA525">
            <v>0</v>
          </cell>
          <cell r="AB525">
            <v>0</v>
          </cell>
          <cell r="AC525">
            <v>0</v>
          </cell>
          <cell r="AD525">
            <v>45762</v>
          </cell>
          <cell r="AE525">
            <v>22</v>
          </cell>
          <cell r="AF525">
            <v>46022</v>
          </cell>
          <cell r="AG525">
            <v>37.949999999999996</v>
          </cell>
          <cell r="AH525">
            <v>0</v>
          </cell>
          <cell r="AI525">
            <v>37.949999999999996</v>
          </cell>
          <cell r="AJ525">
            <v>46</v>
          </cell>
          <cell r="AK525">
            <v>0</v>
          </cell>
          <cell r="AL525">
            <v>0</v>
          </cell>
          <cell r="AM525">
            <v>8.0500000000000043</v>
          </cell>
          <cell r="AN525">
            <v>0</v>
          </cell>
          <cell r="AO525">
            <v>4.0250000000000021</v>
          </cell>
          <cell r="AP525">
            <v>0</v>
          </cell>
          <cell r="AQ525">
            <v>4.0250000000000021</v>
          </cell>
          <cell r="AR525" t="str">
            <v>US_24912</v>
          </cell>
          <cell r="AS525">
            <v>0</v>
          </cell>
          <cell r="AT525">
            <v>176</v>
          </cell>
          <cell r="AU525">
            <v>176</v>
          </cell>
          <cell r="AV525">
            <v>0</v>
          </cell>
          <cell r="AW525">
            <v>708.40000000000032</v>
          </cell>
          <cell r="AX525">
            <v>701.31600000000026</v>
          </cell>
          <cell r="AY525">
            <v>708.40000000000032</v>
          </cell>
          <cell r="AZ525">
            <v>0</v>
          </cell>
          <cell r="BA525">
            <v>0</v>
          </cell>
          <cell r="BB525">
            <v>0</v>
          </cell>
          <cell r="BC525">
            <v>191</v>
          </cell>
          <cell r="BD525">
            <v>708.40000000000032</v>
          </cell>
          <cell r="BE525">
            <v>1133.4400000000005</v>
          </cell>
          <cell r="BF525">
            <v>701.31600000000026</v>
          </cell>
          <cell r="BG525">
            <v>4048</v>
          </cell>
          <cell r="BH525">
            <v>4048</v>
          </cell>
          <cell r="BI525">
            <v>2904</v>
          </cell>
          <cell r="BJ525">
            <v>4.95</v>
          </cell>
          <cell r="BK525">
            <v>0</v>
          </cell>
          <cell r="BL525">
            <v>871.2</v>
          </cell>
          <cell r="BM525">
            <v>3775.2</v>
          </cell>
          <cell r="BN525">
            <v>4.95</v>
          </cell>
          <cell r="BO525">
            <v>272.79999999999995</v>
          </cell>
          <cell r="BP525" t="str">
            <v>Y</v>
          </cell>
          <cell r="BQ525">
            <v>2</v>
          </cell>
          <cell r="BR525" t="str">
            <v>N</v>
          </cell>
          <cell r="BS525">
            <v>0</v>
          </cell>
          <cell r="BT525" t="str">
            <v>Done</v>
          </cell>
          <cell r="BU525">
            <v>176</v>
          </cell>
          <cell r="BV525">
            <v>2025</v>
          </cell>
        </row>
        <row r="526">
          <cell r="A526" t="str">
            <v>Lucknow</v>
          </cell>
          <cell r="B526" t="str">
            <v>Titans</v>
          </cell>
          <cell r="C526" t="str">
            <v>Mid Level</v>
          </cell>
          <cell r="D526" t="str">
            <v>Nitin Saxena</v>
          </cell>
          <cell r="E526" t="str">
            <v>Nitin Saxena</v>
          </cell>
          <cell r="H526" t="str">
            <v>Hamza Ali</v>
          </cell>
          <cell r="J526" t="str">
            <v>ACH</v>
          </cell>
          <cell r="K526">
            <v>0</v>
          </cell>
          <cell r="L526" t="str">
            <v>Old</v>
          </cell>
          <cell r="M526">
            <v>45440</v>
          </cell>
          <cell r="N526">
            <v>2</v>
          </cell>
          <cell r="O526">
            <v>606</v>
          </cell>
          <cell r="P526">
            <v>45712</v>
          </cell>
          <cell r="Q526">
            <v>45805</v>
          </cell>
          <cell r="R526" t="str">
            <v>PLC-3804</v>
          </cell>
          <cell r="S526" t="str">
            <v>Saalih Mohamed Zorqane</v>
          </cell>
          <cell r="T526" t="str">
            <v>Individual</v>
          </cell>
          <cell r="U526">
            <v>1099</v>
          </cell>
          <cell r="V526" t="str">
            <v>Genpact</v>
          </cell>
          <cell r="W526">
            <v>21</v>
          </cell>
          <cell r="X526">
            <v>31.5</v>
          </cell>
          <cell r="Y526" t="str">
            <v>USD</v>
          </cell>
          <cell r="Z526">
            <v>28</v>
          </cell>
          <cell r="AA526">
            <v>42</v>
          </cell>
          <cell r="AB526">
            <v>0</v>
          </cell>
          <cell r="AC526">
            <v>0</v>
          </cell>
          <cell r="AD526">
            <v>45672</v>
          </cell>
          <cell r="AE526">
            <v>22</v>
          </cell>
          <cell r="AF526">
            <v>46022</v>
          </cell>
          <cell r="AG526">
            <v>22.470000000000002</v>
          </cell>
          <cell r="AH526">
            <v>33.705000000000005</v>
          </cell>
          <cell r="AI526">
            <v>22.470000000000002</v>
          </cell>
          <cell r="AJ526">
            <v>28</v>
          </cell>
          <cell r="AK526">
            <v>42</v>
          </cell>
          <cell r="AL526">
            <v>8.2949999999999946</v>
          </cell>
          <cell r="AM526">
            <v>5.5299999999999976</v>
          </cell>
          <cell r="AN526">
            <v>8.2949999999999946</v>
          </cell>
          <cell r="AO526">
            <v>5.5299999999999976</v>
          </cell>
          <cell r="AP526">
            <v>8.2949999999999946</v>
          </cell>
          <cell r="AQ526">
            <v>5.5299999999999976</v>
          </cell>
          <cell r="AR526" t="str">
            <v>US_24236</v>
          </cell>
          <cell r="AS526">
            <v>0</v>
          </cell>
          <cell r="AT526">
            <v>170</v>
          </cell>
          <cell r="AU526">
            <v>170</v>
          </cell>
          <cell r="AV526">
            <v>0</v>
          </cell>
          <cell r="AW526">
            <v>940.09999999999957</v>
          </cell>
          <cell r="AX526">
            <v>930.69899999999961</v>
          </cell>
          <cell r="AY526">
            <v>940.09999999999957</v>
          </cell>
          <cell r="AZ526">
            <v>106.25</v>
          </cell>
          <cell r="BA526">
            <v>18.801999999999992</v>
          </cell>
          <cell r="BB526">
            <v>3196.3399999999988</v>
          </cell>
          <cell r="BC526">
            <v>63</v>
          </cell>
          <cell r="BD526">
            <v>940.09999999999957</v>
          </cell>
          <cell r="BE526">
            <v>1128.1199999999994</v>
          </cell>
          <cell r="BF526">
            <v>930.69899999999961</v>
          </cell>
          <cell r="BG526">
            <v>4760</v>
          </cell>
          <cell r="BH526">
            <v>4760</v>
          </cell>
          <cell r="BI526">
            <v>3570</v>
          </cell>
          <cell r="BJ526">
            <v>1.4700000000000002</v>
          </cell>
          <cell r="BK526">
            <v>0</v>
          </cell>
          <cell r="BL526">
            <v>249.90000000000003</v>
          </cell>
          <cell r="BM526">
            <v>3819.9</v>
          </cell>
          <cell r="BN526">
            <v>1.4700000000000002</v>
          </cell>
          <cell r="BO526">
            <v>940.09999999999991</v>
          </cell>
          <cell r="BP526" t="str">
            <v>Y</v>
          </cell>
          <cell r="BQ526">
            <v>1</v>
          </cell>
          <cell r="BR526" t="str">
            <v>Y</v>
          </cell>
          <cell r="BS526">
            <v>3196.3399999999988</v>
          </cell>
          <cell r="BT526" t="str">
            <v>Done</v>
          </cell>
          <cell r="BU526">
            <v>170</v>
          </cell>
          <cell r="BV526">
            <v>2024</v>
          </cell>
        </row>
        <row r="527">
          <cell r="A527" t="str">
            <v>Lucknow</v>
          </cell>
          <cell r="B527" t="str">
            <v>Titans</v>
          </cell>
          <cell r="C527" t="str">
            <v>Mid Level</v>
          </cell>
          <cell r="D527" t="str">
            <v>Nitin Saxena</v>
          </cell>
          <cell r="E527" t="str">
            <v>Nitin Saxena</v>
          </cell>
          <cell r="H527" t="str">
            <v>Hamza Ali</v>
          </cell>
          <cell r="J527" t="str">
            <v>ACH</v>
          </cell>
          <cell r="K527">
            <v>0</v>
          </cell>
          <cell r="L527" t="str">
            <v>Old</v>
          </cell>
          <cell r="M527">
            <v>45440</v>
          </cell>
          <cell r="N527">
            <v>2</v>
          </cell>
          <cell r="O527">
            <v>606</v>
          </cell>
          <cell r="P527">
            <v>45712</v>
          </cell>
          <cell r="Q527">
            <v>45805</v>
          </cell>
          <cell r="R527" t="str">
            <v>PLC-3804</v>
          </cell>
          <cell r="S527" t="str">
            <v>Saalih Mohamed Zorqane</v>
          </cell>
          <cell r="T527" t="str">
            <v>Individual</v>
          </cell>
          <cell r="U527">
            <v>1099</v>
          </cell>
          <cell r="V527" t="str">
            <v>Genpact</v>
          </cell>
          <cell r="W527">
            <v>21</v>
          </cell>
          <cell r="X527">
            <v>31.5</v>
          </cell>
          <cell r="Y527" t="str">
            <v>USD</v>
          </cell>
          <cell r="Z527">
            <v>28</v>
          </cell>
          <cell r="AA527">
            <v>42</v>
          </cell>
          <cell r="AB527">
            <v>0</v>
          </cell>
          <cell r="AC527">
            <v>0</v>
          </cell>
          <cell r="AD527">
            <v>45703</v>
          </cell>
          <cell r="AE527">
            <v>15</v>
          </cell>
          <cell r="AF527">
            <v>46022</v>
          </cell>
          <cell r="AG527">
            <v>22.470000000000002</v>
          </cell>
          <cell r="AH527">
            <v>33.705000000000005</v>
          </cell>
          <cell r="AI527">
            <v>22.470000000000002</v>
          </cell>
          <cell r="AJ527">
            <v>28</v>
          </cell>
          <cell r="AK527">
            <v>42</v>
          </cell>
          <cell r="AL527">
            <v>8.2949999999999946</v>
          </cell>
          <cell r="AM527">
            <v>5.5299999999999976</v>
          </cell>
          <cell r="AN527">
            <v>8.2949999999999946</v>
          </cell>
          <cell r="AO527">
            <v>5.5299999999999976</v>
          </cell>
          <cell r="AP527">
            <v>8.2949999999999946</v>
          </cell>
          <cell r="AQ527">
            <v>5.5299999999999976</v>
          </cell>
          <cell r="AR527" t="str">
            <v>US_24442</v>
          </cell>
          <cell r="AS527">
            <v>24</v>
          </cell>
          <cell r="AT527">
            <v>140</v>
          </cell>
          <cell r="AU527">
            <v>140</v>
          </cell>
          <cell r="AV527">
            <v>199.07999999999987</v>
          </cell>
          <cell r="AW527">
            <v>774.1999999999997</v>
          </cell>
          <cell r="AX527">
            <v>963.54719999999952</v>
          </cell>
          <cell r="AY527">
            <v>774.1999999999997</v>
          </cell>
          <cell r="AZ527">
            <v>106.25</v>
          </cell>
          <cell r="BA527">
            <v>18.801999999999992</v>
          </cell>
          <cell r="BB527">
            <v>2632.2799999999988</v>
          </cell>
          <cell r="BC527">
            <v>63</v>
          </cell>
          <cell r="BD527">
            <v>774.1999999999997</v>
          </cell>
          <cell r="BE527">
            <v>929.03999999999974</v>
          </cell>
          <cell r="BF527">
            <v>963.54719999999952</v>
          </cell>
          <cell r="BG527">
            <v>3920</v>
          </cell>
          <cell r="BH527">
            <v>3920</v>
          </cell>
          <cell r="BI527">
            <v>2940</v>
          </cell>
          <cell r="BJ527">
            <v>1.4700000000000002</v>
          </cell>
          <cell r="BK527">
            <v>0</v>
          </cell>
          <cell r="BL527">
            <v>205.80000000000004</v>
          </cell>
          <cell r="BM527">
            <v>3145.8</v>
          </cell>
          <cell r="BN527">
            <v>1.4700000000000002</v>
          </cell>
          <cell r="BO527">
            <v>774.19999999999993</v>
          </cell>
          <cell r="BP527" t="str">
            <v>Y</v>
          </cell>
          <cell r="BQ527">
            <v>1</v>
          </cell>
          <cell r="BR527" t="str">
            <v>Y</v>
          </cell>
          <cell r="BS527">
            <v>2632.2799999999988</v>
          </cell>
          <cell r="BT527" t="str">
            <v>Done</v>
          </cell>
          <cell r="BU527">
            <v>140</v>
          </cell>
          <cell r="BV527">
            <v>2024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Harsh Agarwal</v>
          </cell>
          <cell r="E528" t="str">
            <v>-</v>
          </cell>
          <cell r="H528" t="str">
            <v>Sana Zohra</v>
          </cell>
          <cell r="L528" t="str">
            <v>New</v>
          </cell>
          <cell r="M528">
            <v>45678</v>
          </cell>
          <cell r="N528">
            <v>1</v>
          </cell>
          <cell r="O528">
            <v>368</v>
          </cell>
          <cell r="P528">
            <v>45716</v>
          </cell>
          <cell r="Q528">
            <v>46043</v>
          </cell>
          <cell r="R528" t="str">
            <v>PLC-4078</v>
          </cell>
          <cell r="S528" t="str">
            <v>Sagul Hameed Mohamed Haneefa</v>
          </cell>
          <cell r="T528" t="str">
            <v>Individual</v>
          </cell>
          <cell r="U528" t="str">
            <v>W2</v>
          </cell>
          <cell r="V528" t="str">
            <v>Birlasoft</v>
          </cell>
          <cell r="W528">
            <v>80</v>
          </cell>
          <cell r="X528">
            <v>0</v>
          </cell>
          <cell r="Y528" t="str">
            <v>USD</v>
          </cell>
          <cell r="Z528">
            <v>105</v>
          </cell>
          <cell r="AA528">
            <v>0</v>
          </cell>
          <cell r="AB528">
            <v>0</v>
          </cell>
          <cell r="AC528">
            <v>0</v>
          </cell>
          <cell r="AD528">
            <v>45672</v>
          </cell>
          <cell r="AE528">
            <v>10</v>
          </cell>
          <cell r="AF528">
            <v>46022</v>
          </cell>
          <cell r="AG528">
            <v>92</v>
          </cell>
          <cell r="AH528">
            <v>0</v>
          </cell>
          <cell r="AI528">
            <v>92</v>
          </cell>
          <cell r="AJ528">
            <v>105</v>
          </cell>
          <cell r="AK528">
            <v>0</v>
          </cell>
          <cell r="AL528">
            <v>0</v>
          </cell>
          <cell r="AM528">
            <v>13</v>
          </cell>
          <cell r="AN528">
            <v>0</v>
          </cell>
          <cell r="AO528">
            <v>13</v>
          </cell>
          <cell r="AP528">
            <v>0</v>
          </cell>
          <cell r="AQ528">
            <v>13</v>
          </cell>
          <cell r="AR528" t="str">
            <v>US_24325</v>
          </cell>
          <cell r="AS528">
            <v>0</v>
          </cell>
          <cell r="AT528">
            <v>72</v>
          </cell>
          <cell r="AU528">
            <v>72</v>
          </cell>
          <cell r="AV528">
            <v>0</v>
          </cell>
          <cell r="AW528">
            <v>936</v>
          </cell>
          <cell r="AX528">
            <v>936</v>
          </cell>
          <cell r="AY528">
            <v>936</v>
          </cell>
          <cell r="AZ528">
            <v>58.333333333333336</v>
          </cell>
          <cell r="BA528">
            <v>15.6</v>
          </cell>
          <cell r="BB528">
            <v>1123.2</v>
          </cell>
          <cell r="BC528">
            <v>42</v>
          </cell>
          <cell r="BD528">
            <v>936</v>
          </cell>
          <cell r="BE528">
            <v>748.8</v>
          </cell>
          <cell r="BF528">
            <v>936</v>
          </cell>
          <cell r="BG528">
            <v>7560</v>
          </cell>
          <cell r="BH528">
            <v>7560</v>
          </cell>
          <cell r="BI528">
            <v>5760</v>
          </cell>
          <cell r="BJ528">
            <v>12</v>
          </cell>
          <cell r="BK528">
            <v>0</v>
          </cell>
          <cell r="BL528">
            <v>864</v>
          </cell>
          <cell r="BM528">
            <v>6624</v>
          </cell>
          <cell r="BN528">
            <v>12</v>
          </cell>
          <cell r="BO528">
            <v>936</v>
          </cell>
          <cell r="BP528" t="str">
            <v>Y</v>
          </cell>
          <cell r="BQ528">
            <v>1</v>
          </cell>
          <cell r="BR528" t="str">
            <v>Y</v>
          </cell>
          <cell r="BS528">
            <v>1123.2</v>
          </cell>
          <cell r="BT528" t="str">
            <v>Done</v>
          </cell>
          <cell r="BU528">
            <v>72</v>
          </cell>
          <cell r="BV528">
            <v>2025</v>
          </cell>
        </row>
        <row r="529">
          <cell r="A529" t="str">
            <v>Lucknow</v>
          </cell>
          <cell r="B529" t="str">
            <v>Trust</v>
          </cell>
          <cell r="C529" t="str">
            <v>Mid Level</v>
          </cell>
          <cell r="D529" t="str">
            <v>Harsh Agarwal</v>
          </cell>
          <cell r="E529" t="str">
            <v>-</v>
          </cell>
          <cell r="H529" t="str">
            <v>Sana Zohra</v>
          </cell>
          <cell r="L529" t="str">
            <v>New</v>
          </cell>
          <cell r="M529">
            <v>45678</v>
          </cell>
          <cell r="N529">
            <v>1</v>
          </cell>
          <cell r="O529">
            <v>368</v>
          </cell>
          <cell r="P529">
            <v>45716</v>
          </cell>
          <cell r="Q529">
            <v>46043</v>
          </cell>
          <cell r="R529" t="str">
            <v>PLC-4078</v>
          </cell>
          <cell r="S529" t="str">
            <v>Sagul Hameed Mohamed Haneefa</v>
          </cell>
          <cell r="T529" t="str">
            <v>Individual</v>
          </cell>
          <cell r="U529" t="str">
            <v>W2</v>
          </cell>
          <cell r="V529" t="str">
            <v>Birlasoft</v>
          </cell>
          <cell r="W529">
            <v>80</v>
          </cell>
          <cell r="X529">
            <v>0</v>
          </cell>
          <cell r="Y529" t="str">
            <v>USD</v>
          </cell>
          <cell r="Z529">
            <v>105</v>
          </cell>
          <cell r="AA529">
            <v>0</v>
          </cell>
          <cell r="AB529">
            <v>0</v>
          </cell>
          <cell r="AC529">
            <v>0</v>
          </cell>
          <cell r="AD529">
            <v>45703</v>
          </cell>
          <cell r="AE529">
            <v>20</v>
          </cell>
          <cell r="AF529">
            <v>46022</v>
          </cell>
          <cell r="AG529">
            <v>92</v>
          </cell>
          <cell r="AH529">
            <v>0</v>
          </cell>
          <cell r="AI529">
            <v>92</v>
          </cell>
          <cell r="AJ529">
            <v>105</v>
          </cell>
          <cell r="AK529">
            <v>0</v>
          </cell>
          <cell r="AL529">
            <v>0</v>
          </cell>
          <cell r="AM529">
            <v>13</v>
          </cell>
          <cell r="AN529">
            <v>0</v>
          </cell>
          <cell r="AO529">
            <v>13</v>
          </cell>
          <cell r="AP529">
            <v>0</v>
          </cell>
          <cell r="AQ529">
            <v>13</v>
          </cell>
          <cell r="AR529" t="str">
            <v>US_24515</v>
          </cell>
          <cell r="AS529">
            <v>0</v>
          </cell>
          <cell r="AT529">
            <v>152</v>
          </cell>
          <cell r="AU529">
            <v>152</v>
          </cell>
          <cell r="AV529">
            <v>0</v>
          </cell>
          <cell r="AW529">
            <v>1976</v>
          </cell>
          <cell r="AX529">
            <v>1976</v>
          </cell>
          <cell r="AY529">
            <v>1976</v>
          </cell>
          <cell r="AZ529">
            <v>58.333333333333336</v>
          </cell>
          <cell r="BA529">
            <v>15.6</v>
          </cell>
          <cell r="BB529">
            <v>2371.1999999999998</v>
          </cell>
          <cell r="BC529">
            <v>42</v>
          </cell>
          <cell r="BD529">
            <v>1976</v>
          </cell>
          <cell r="BE529">
            <v>1580.8</v>
          </cell>
          <cell r="BF529">
            <v>1976</v>
          </cell>
          <cell r="BG529">
            <v>15960</v>
          </cell>
          <cell r="BH529">
            <v>15960</v>
          </cell>
          <cell r="BI529">
            <v>12160</v>
          </cell>
          <cell r="BJ529">
            <v>12</v>
          </cell>
          <cell r="BK529">
            <v>0</v>
          </cell>
          <cell r="BL529">
            <v>1824</v>
          </cell>
          <cell r="BM529">
            <v>13984</v>
          </cell>
          <cell r="BN529">
            <v>12</v>
          </cell>
          <cell r="BO529">
            <v>1976</v>
          </cell>
          <cell r="BP529" t="str">
            <v>Y</v>
          </cell>
          <cell r="BQ529">
            <v>1</v>
          </cell>
          <cell r="BR529" t="str">
            <v>Y</v>
          </cell>
          <cell r="BS529">
            <v>2371.1999999999998</v>
          </cell>
          <cell r="BT529" t="str">
            <v>Done</v>
          </cell>
          <cell r="BU529">
            <v>152</v>
          </cell>
          <cell r="BV529">
            <v>2025</v>
          </cell>
        </row>
        <row r="530">
          <cell r="A530" t="str">
            <v>Lucknow</v>
          </cell>
          <cell r="B530" t="str">
            <v>Trust</v>
          </cell>
          <cell r="C530" t="str">
            <v>Mid Level</v>
          </cell>
          <cell r="D530" t="str">
            <v>Harsh Agarwal</v>
          </cell>
          <cell r="E530" t="str">
            <v>-</v>
          </cell>
          <cell r="H530" t="str">
            <v>Rishabh Kapoor</v>
          </cell>
          <cell r="K530">
            <v>0</v>
          </cell>
          <cell r="L530" t="str">
            <v>Old</v>
          </cell>
          <cell r="M530">
            <v>45567</v>
          </cell>
          <cell r="N530">
            <v>4</v>
          </cell>
          <cell r="O530">
            <v>479</v>
          </cell>
          <cell r="P530">
            <v>45808</v>
          </cell>
          <cell r="Q530">
            <v>45932</v>
          </cell>
          <cell r="R530" t="str">
            <v>PLC-3979</v>
          </cell>
          <cell r="S530" t="str">
            <v>Sahithi Bommasani</v>
          </cell>
          <cell r="T530" t="str">
            <v>Individual</v>
          </cell>
          <cell r="U530" t="str">
            <v>C2H</v>
          </cell>
          <cell r="V530" t="str">
            <v>Movate</v>
          </cell>
          <cell r="W530">
            <v>70</v>
          </cell>
          <cell r="X530">
            <v>0</v>
          </cell>
          <cell r="Y530" t="str">
            <v>USD</v>
          </cell>
          <cell r="Z530">
            <v>80</v>
          </cell>
          <cell r="AA530">
            <v>0</v>
          </cell>
          <cell r="AB530">
            <v>0</v>
          </cell>
          <cell r="AC530">
            <v>0</v>
          </cell>
          <cell r="AD530">
            <v>45672</v>
          </cell>
          <cell r="AE530">
            <v>22</v>
          </cell>
          <cell r="AF530">
            <v>46022</v>
          </cell>
          <cell r="AG530">
            <v>70</v>
          </cell>
          <cell r="AH530">
            <v>0</v>
          </cell>
          <cell r="AI530">
            <v>70</v>
          </cell>
          <cell r="AJ530">
            <v>80</v>
          </cell>
          <cell r="AK530">
            <v>0</v>
          </cell>
          <cell r="AL530">
            <v>0</v>
          </cell>
          <cell r="AM530">
            <v>10</v>
          </cell>
          <cell r="AN530">
            <v>0</v>
          </cell>
          <cell r="AO530">
            <v>10</v>
          </cell>
          <cell r="AP530">
            <v>0</v>
          </cell>
          <cell r="AQ530">
            <v>10</v>
          </cell>
          <cell r="AR530" t="str">
            <v>US_24278</v>
          </cell>
          <cell r="AS530">
            <v>0</v>
          </cell>
          <cell r="AT530">
            <v>168</v>
          </cell>
          <cell r="AU530">
            <v>168</v>
          </cell>
          <cell r="AV530">
            <v>0</v>
          </cell>
          <cell r="AW530">
            <v>1680</v>
          </cell>
          <cell r="AX530">
            <v>1680</v>
          </cell>
          <cell r="AY530">
            <v>1680</v>
          </cell>
          <cell r="AZ530">
            <v>33.333333333333329</v>
          </cell>
          <cell r="BA530">
            <v>16</v>
          </cell>
          <cell r="BB530">
            <v>2688</v>
          </cell>
          <cell r="BD530">
            <v>1680</v>
          </cell>
          <cell r="BF530">
            <v>1680</v>
          </cell>
          <cell r="BG530">
            <v>13440</v>
          </cell>
          <cell r="BH530">
            <v>13440</v>
          </cell>
          <cell r="BI530">
            <v>11760</v>
          </cell>
          <cell r="BJ530">
            <v>0</v>
          </cell>
          <cell r="BK530">
            <v>0</v>
          </cell>
          <cell r="BL530">
            <v>0</v>
          </cell>
          <cell r="BM530">
            <v>11760</v>
          </cell>
          <cell r="BN530">
            <v>0</v>
          </cell>
          <cell r="BO530">
            <v>1680</v>
          </cell>
          <cell r="BP530" t="str">
            <v>Y</v>
          </cell>
          <cell r="BQ530">
            <v>1</v>
          </cell>
          <cell r="BR530" t="str">
            <v>Y</v>
          </cell>
          <cell r="BS530">
            <v>2688</v>
          </cell>
          <cell r="BT530" t="str">
            <v>Done</v>
          </cell>
          <cell r="BU530">
            <v>168</v>
          </cell>
          <cell r="BV530">
            <v>2024</v>
          </cell>
        </row>
        <row r="531">
          <cell r="A531" t="str">
            <v>Lucknow</v>
          </cell>
          <cell r="B531" t="str">
            <v>Trust</v>
          </cell>
          <cell r="C531" t="str">
            <v>Mid Level</v>
          </cell>
          <cell r="D531" t="str">
            <v>Harsh Agarwal</v>
          </cell>
          <cell r="E531" t="str">
            <v>-</v>
          </cell>
          <cell r="H531" t="str">
            <v>Rishabh Kapoor</v>
          </cell>
          <cell r="K531">
            <v>0</v>
          </cell>
          <cell r="L531" t="str">
            <v>Old</v>
          </cell>
          <cell r="M531">
            <v>45567</v>
          </cell>
          <cell r="N531">
            <v>4</v>
          </cell>
          <cell r="O531">
            <v>479</v>
          </cell>
          <cell r="P531">
            <v>45808</v>
          </cell>
          <cell r="Q531">
            <v>45932</v>
          </cell>
          <cell r="R531" t="str">
            <v>PLC-3979</v>
          </cell>
          <cell r="S531" t="str">
            <v>Sahithi Bommasani</v>
          </cell>
          <cell r="T531" t="str">
            <v>Individual</v>
          </cell>
          <cell r="U531" t="str">
            <v>C2H</v>
          </cell>
          <cell r="V531" t="str">
            <v>Movate</v>
          </cell>
          <cell r="W531">
            <v>70</v>
          </cell>
          <cell r="X531">
            <v>0</v>
          </cell>
          <cell r="Y531" t="str">
            <v>USD</v>
          </cell>
          <cell r="Z531">
            <v>80</v>
          </cell>
          <cell r="AA531">
            <v>0</v>
          </cell>
          <cell r="AB531">
            <v>0</v>
          </cell>
          <cell r="AC531">
            <v>0</v>
          </cell>
          <cell r="AD531">
            <v>45703</v>
          </cell>
          <cell r="AE531">
            <v>20</v>
          </cell>
          <cell r="AF531">
            <v>46022</v>
          </cell>
          <cell r="AG531">
            <v>70</v>
          </cell>
          <cell r="AH531">
            <v>0</v>
          </cell>
          <cell r="AI531">
            <v>70</v>
          </cell>
          <cell r="AJ531">
            <v>80</v>
          </cell>
          <cell r="AK531">
            <v>0</v>
          </cell>
          <cell r="AL531">
            <v>0</v>
          </cell>
          <cell r="AM531">
            <v>10</v>
          </cell>
          <cell r="AN531">
            <v>0</v>
          </cell>
          <cell r="AO531">
            <v>10</v>
          </cell>
          <cell r="AP531">
            <v>0</v>
          </cell>
          <cell r="AQ531">
            <v>10</v>
          </cell>
          <cell r="AR531" t="str">
            <v>US_24478</v>
          </cell>
          <cell r="AS531">
            <v>0</v>
          </cell>
          <cell r="AT531">
            <v>160</v>
          </cell>
          <cell r="AU531">
            <v>160</v>
          </cell>
          <cell r="AV531">
            <v>0</v>
          </cell>
          <cell r="AW531">
            <v>1600</v>
          </cell>
          <cell r="AX531">
            <v>1600</v>
          </cell>
          <cell r="AY531">
            <v>1600</v>
          </cell>
          <cell r="AZ531">
            <v>33.333333333333329</v>
          </cell>
          <cell r="BA531">
            <v>16</v>
          </cell>
          <cell r="BB531">
            <v>2560</v>
          </cell>
          <cell r="BD531">
            <v>1600</v>
          </cell>
          <cell r="BF531">
            <v>1600</v>
          </cell>
          <cell r="BG531">
            <v>12800</v>
          </cell>
          <cell r="BH531">
            <v>12800</v>
          </cell>
          <cell r="BI531">
            <v>11200</v>
          </cell>
          <cell r="BJ531">
            <v>0</v>
          </cell>
          <cell r="BK531">
            <v>0</v>
          </cell>
          <cell r="BL531">
            <v>0</v>
          </cell>
          <cell r="BM531">
            <v>11200</v>
          </cell>
          <cell r="BN531">
            <v>0</v>
          </cell>
          <cell r="BO531">
            <v>1600</v>
          </cell>
          <cell r="BP531" t="str">
            <v>Y</v>
          </cell>
          <cell r="BQ531">
            <v>1</v>
          </cell>
          <cell r="BR531" t="str">
            <v>Y</v>
          </cell>
          <cell r="BS531">
            <v>2560</v>
          </cell>
          <cell r="BT531" t="str">
            <v>Done</v>
          </cell>
          <cell r="BU531">
            <v>160</v>
          </cell>
          <cell r="BV531">
            <v>2024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H532" t="str">
            <v>Rishabh Kapoor</v>
          </cell>
          <cell r="K532">
            <v>0</v>
          </cell>
          <cell r="L532" t="str">
            <v>Old</v>
          </cell>
          <cell r="M532">
            <v>45567</v>
          </cell>
          <cell r="N532">
            <v>4</v>
          </cell>
          <cell r="O532">
            <v>479</v>
          </cell>
          <cell r="P532">
            <v>45808</v>
          </cell>
          <cell r="Q532">
            <v>45932</v>
          </cell>
          <cell r="R532" t="str">
            <v>PLC-3979</v>
          </cell>
          <cell r="S532" t="str">
            <v>Sahithi Bommasani</v>
          </cell>
          <cell r="T532" t="str">
            <v>Individual</v>
          </cell>
          <cell r="U532" t="str">
            <v>C2H</v>
          </cell>
          <cell r="V532" t="str">
            <v>Movate</v>
          </cell>
          <cell r="W532">
            <v>70</v>
          </cell>
          <cell r="X532">
            <v>0</v>
          </cell>
          <cell r="Y532" t="str">
            <v>USD</v>
          </cell>
          <cell r="Z532">
            <v>80</v>
          </cell>
          <cell r="AA532">
            <v>0</v>
          </cell>
          <cell r="AB532">
            <v>0</v>
          </cell>
          <cell r="AC532">
            <v>0</v>
          </cell>
          <cell r="AD532">
            <v>45731</v>
          </cell>
          <cell r="AE532">
            <v>21</v>
          </cell>
          <cell r="AF532">
            <v>46022</v>
          </cell>
          <cell r="AG532">
            <v>70</v>
          </cell>
          <cell r="AH532">
            <v>0</v>
          </cell>
          <cell r="AI532">
            <v>70</v>
          </cell>
          <cell r="AJ532">
            <v>80</v>
          </cell>
          <cell r="AK532">
            <v>0</v>
          </cell>
          <cell r="AL532">
            <v>0</v>
          </cell>
          <cell r="AM532">
            <v>10</v>
          </cell>
          <cell r="AN532">
            <v>0</v>
          </cell>
          <cell r="AO532">
            <v>10</v>
          </cell>
          <cell r="AP532">
            <v>0</v>
          </cell>
          <cell r="AQ532">
            <v>10</v>
          </cell>
          <cell r="AR532" t="str">
            <v>US_24664</v>
          </cell>
          <cell r="AS532">
            <v>0</v>
          </cell>
          <cell r="AT532">
            <v>168</v>
          </cell>
          <cell r="AU532">
            <v>168</v>
          </cell>
          <cell r="AV532">
            <v>0</v>
          </cell>
          <cell r="AW532">
            <v>1680</v>
          </cell>
          <cell r="AX532">
            <v>1680</v>
          </cell>
          <cell r="AY532">
            <v>1680</v>
          </cell>
          <cell r="AZ532">
            <v>33.333333333333329</v>
          </cell>
          <cell r="BA532">
            <v>16</v>
          </cell>
          <cell r="BB532">
            <v>2688</v>
          </cell>
          <cell r="BD532">
            <v>1680</v>
          </cell>
          <cell r="BF532">
            <v>1680</v>
          </cell>
          <cell r="BG532">
            <v>13440</v>
          </cell>
          <cell r="BH532">
            <v>13440</v>
          </cell>
          <cell r="BI532">
            <v>11760</v>
          </cell>
          <cell r="BJ532">
            <v>0</v>
          </cell>
          <cell r="BK532">
            <v>0</v>
          </cell>
          <cell r="BL532">
            <v>0</v>
          </cell>
          <cell r="BM532">
            <v>11760</v>
          </cell>
          <cell r="BN532">
            <v>0</v>
          </cell>
          <cell r="BO532">
            <v>1680</v>
          </cell>
          <cell r="BP532" t="str">
            <v>Y</v>
          </cell>
          <cell r="BQ532">
            <v>1</v>
          </cell>
          <cell r="BR532" t="str">
            <v>Y</v>
          </cell>
          <cell r="BS532">
            <v>2688</v>
          </cell>
          <cell r="BT532" t="str">
            <v>Done</v>
          </cell>
          <cell r="BU532">
            <v>168</v>
          </cell>
          <cell r="BV532">
            <v>2024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Harsh Agarwal</v>
          </cell>
          <cell r="E533" t="str">
            <v>-</v>
          </cell>
          <cell r="H533" t="str">
            <v>Rishabh Kapoor</v>
          </cell>
          <cell r="K533">
            <v>0</v>
          </cell>
          <cell r="L533" t="str">
            <v>Old</v>
          </cell>
          <cell r="M533">
            <v>45567</v>
          </cell>
          <cell r="N533">
            <v>4</v>
          </cell>
          <cell r="O533">
            <v>479</v>
          </cell>
          <cell r="P533">
            <v>45808</v>
          </cell>
          <cell r="Q533">
            <v>45932</v>
          </cell>
          <cell r="R533" t="str">
            <v>PLC-3979</v>
          </cell>
          <cell r="S533" t="str">
            <v>Sahithi Bommasani</v>
          </cell>
          <cell r="T533" t="str">
            <v>Individual</v>
          </cell>
          <cell r="U533" t="str">
            <v>C2H</v>
          </cell>
          <cell r="V533" t="str">
            <v>Movate</v>
          </cell>
          <cell r="W533">
            <v>70</v>
          </cell>
          <cell r="X533">
            <v>0</v>
          </cell>
          <cell r="Y533" t="str">
            <v>USD</v>
          </cell>
          <cell r="Z533">
            <v>80</v>
          </cell>
          <cell r="AA533">
            <v>0</v>
          </cell>
          <cell r="AB533">
            <v>0</v>
          </cell>
          <cell r="AC533">
            <v>0</v>
          </cell>
          <cell r="AD533">
            <v>45762</v>
          </cell>
          <cell r="AE533">
            <v>22</v>
          </cell>
          <cell r="AF533">
            <v>46022</v>
          </cell>
          <cell r="AG533">
            <v>70</v>
          </cell>
          <cell r="AH533">
            <v>0</v>
          </cell>
          <cell r="AI533">
            <v>70</v>
          </cell>
          <cell r="AJ533">
            <v>80</v>
          </cell>
          <cell r="AK533">
            <v>0</v>
          </cell>
          <cell r="AL533">
            <v>0</v>
          </cell>
          <cell r="AM533">
            <v>10</v>
          </cell>
          <cell r="AN533">
            <v>0</v>
          </cell>
          <cell r="AO533">
            <v>10</v>
          </cell>
          <cell r="AP533">
            <v>0</v>
          </cell>
          <cell r="AQ533">
            <v>10</v>
          </cell>
          <cell r="AR533" t="str">
            <v>US_24869</v>
          </cell>
          <cell r="AS533">
            <v>0</v>
          </cell>
          <cell r="AT533">
            <v>176</v>
          </cell>
          <cell r="AU533">
            <v>176</v>
          </cell>
          <cell r="AV533">
            <v>0</v>
          </cell>
          <cell r="AW533">
            <v>1760</v>
          </cell>
          <cell r="AX533">
            <v>1760</v>
          </cell>
          <cell r="AY533">
            <v>1760</v>
          </cell>
          <cell r="AZ533">
            <v>33.333333333333329</v>
          </cell>
          <cell r="BA533">
            <v>16</v>
          </cell>
          <cell r="BB533">
            <v>2816</v>
          </cell>
          <cell r="BD533">
            <v>1760</v>
          </cell>
          <cell r="BF533">
            <v>1760</v>
          </cell>
          <cell r="BG533">
            <v>14080</v>
          </cell>
          <cell r="BH533">
            <v>14080</v>
          </cell>
          <cell r="BI533">
            <v>12320</v>
          </cell>
          <cell r="BJ533">
            <v>0</v>
          </cell>
          <cell r="BK533">
            <v>0</v>
          </cell>
          <cell r="BL533">
            <v>0</v>
          </cell>
          <cell r="BM533">
            <v>12320</v>
          </cell>
          <cell r="BN533">
            <v>0</v>
          </cell>
          <cell r="BO533">
            <v>1760</v>
          </cell>
          <cell r="BP533" t="str">
            <v>Y</v>
          </cell>
          <cell r="BQ533">
            <v>2</v>
          </cell>
          <cell r="BR533" t="str">
            <v>Y</v>
          </cell>
          <cell r="BS533">
            <v>2816</v>
          </cell>
          <cell r="BT533" t="str">
            <v>Done</v>
          </cell>
          <cell r="BU533">
            <v>176</v>
          </cell>
          <cell r="BV533">
            <v>2024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Harsh Agarwal</v>
          </cell>
          <cell r="E534" t="str">
            <v>-</v>
          </cell>
          <cell r="H534" t="str">
            <v>Deep Deo</v>
          </cell>
          <cell r="K534">
            <v>0</v>
          </cell>
          <cell r="L534" t="str">
            <v>Old</v>
          </cell>
          <cell r="M534">
            <v>45621</v>
          </cell>
          <cell r="N534">
            <v>4</v>
          </cell>
          <cell r="O534">
            <v>425</v>
          </cell>
          <cell r="P534" t="str">
            <v>-</v>
          </cell>
          <cell r="Q534">
            <v>45986</v>
          </cell>
          <cell r="R534" t="str">
            <v>PLC-4055</v>
          </cell>
          <cell r="S534" t="str">
            <v>Sai Kishore Kalisetti</v>
          </cell>
          <cell r="T534" t="str">
            <v>Individual</v>
          </cell>
          <cell r="U534" t="str">
            <v>C2C</v>
          </cell>
          <cell r="V534" t="str">
            <v>Movate</v>
          </cell>
          <cell r="W534">
            <v>58</v>
          </cell>
          <cell r="X534">
            <v>0</v>
          </cell>
          <cell r="Y534" t="str">
            <v>USD</v>
          </cell>
          <cell r="Z534">
            <v>60</v>
          </cell>
          <cell r="AA534">
            <v>0</v>
          </cell>
          <cell r="AB534">
            <v>0</v>
          </cell>
          <cell r="AC534">
            <v>0</v>
          </cell>
          <cell r="AD534">
            <v>45672</v>
          </cell>
          <cell r="AE534">
            <v>23</v>
          </cell>
          <cell r="AF534">
            <v>46022</v>
          </cell>
          <cell r="AG534">
            <v>58</v>
          </cell>
          <cell r="AH534">
            <v>0</v>
          </cell>
          <cell r="AI534">
            <v>58</v>
          </cell>
          <cell r="AJ534">
            <v>60</v>
          </cell>
          <cell r="AK534">
            <v>0</v>
          </cell>
          <cell r="AL534">
            <v>0</v>
          </cell>
          <cell r="AM534">
            <v>2</v>
          </cell>
          <cell r="AN534">
            <v>0</v>
          </cell>
          <cell r="AO534">
            <v>2</v>
          </cell>
          <cell r="AP534">
            <v>0</v>
          </cell>
          <cell r="AQ534">
            <v>2</v>
          </cell>
          <cell r="AR534" t="str">
            <v>US_24306</v>
          </cell>
          <cell r="AS534">
            <v>0</v>
          </cell>
          <cell r="AT534">
            <v>168</v>
          </cell>
          <cell r="AU534">
            <v>168</v>
          </cell>
          <cell r="AV534">
            <v>0</v>
          </cell>
          <cell r="AW534">
            <v>336</v>
          </cell>
          <cell r="AX534">
            <v>336</v>
          </cell>
          <cell r="AY534">
            <v>336</v>
          </cell>
          <cell r="AZ534">
            <v>25</v>
          </cell>
          <cell r="BA534">
            <v>3.2</v>
          </cell>
          <cell r="BB534">
            <v>537.6</v>
          </cell>
          <cell r="BD534">
            <v>336</v>
          </cell>
          <cell r="BF534">
            <v>336</v>
          </cell>
          <cell r="BG534">
            <v>10080</v>
          </cell>
          <cell r="BH534">
            <v>10080</v>
          </cell>
          <cell r="BI534">
            <v>9744</v>
          </cell>
          <cell r="BJ534">
            <v>0</v>
          </cell>
          <cell r="BK534">
            <v>0</v>
          </cell>
          <cell r="BL534">
            <v>0</v>
          </cell>
          <cell r="BM534">
            <v>9744</v>
          </cell>
          <cell r="BN534">
            <v>0</v>
          </cell>
          <cell r="BO534">
            <v>336</v>
          </cell>
          <cell r="BP534" t="str">
            <v>Y</v>
          </cell>
          <cell r="BQ534">
            <v>1</v>
          </cell>
          <cell r="BR534" t="str">
            <v>N</v>
          </cell>
          <cell r="BS534">
            <v>537.6</v>
          </cell>
          <cell r="BT534" t="str">
            <v>Done</v>
          </cell>
          <cell r="BU534">
            <v>168</v>
          </cell>
          <cell r="BV534">
            <v>2024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Harsh Agarwal</v>
          </cell>
          <cell r="E535" t="str">
            <v>-</v>
          </cell>
          <cell r="H535" t="str">
            <v>Deep Deo</v>
          </cell>
          <cell r="K535">
            <v>0</v>
          </cell>
          <cell r="L535" t="str">
            <v>Old</v>
          </cell>
          <cell r="M535">
            <v>45621</v>
          </cell>
          <cell r="N535">
            <v>4</v>
          </cell>
          <cell r="O535">
            <v>425</v>
          </cell>
          <cell r="P535" t="str">
            <v>-</v>
          </cell>
          <cell r="Q535">
            <v>45986</v>
          </cell>
          <cell r="R535" t="str">
            <v>PLC-4055</v>
          </cell>
          <cell r="S535" t="str">
            <v>Sai Kishore Kalisetti</v>
          </cell>
          <cell r="T535" t="str">
            <v>Individual</v>
          </cell>
          <cell r="U535" t="str">
            <v>C2C</v>
          </cell>
          <cell r="V535" t="str">
            <v>Movate</v>
          </cell>
          <cell r="W535">
            <v>58</v>
          </cell>
          <cell r="X535">
            <v>0</v>
          </cell>
          <cell r="Y535" t="str">
            <v>USD</v>
          </cell>
          <cell r="Z535">
            <v>60</v>
          </cell>
          <cell r="AA535">
            <v>0</v>
          </cell>
          <cell r="AB535">
            <v>0</v>
          </cell>
          <cell r="AC535">
            <v>0</v>
          </cell>
          <cell r="AD535">
            <v>45703</v>
          </cell>
          <cell r="AE535">
            <v>20</v>
          </cell>
          <cell r="AF535">
            <v>46022</v>
          </cell>
          <cell r="AG535">
            <v>58</v>
          </cell>
          <cell r="AH535">
            <v>0</v>
          </cell>
          <cell r="AI535">
            <v>58</v>
          </cell>
          <cell r="AJ535">
            <v>60</v>
          </cell>
          <cell r="AK535">
            <v>0</v>
          </cell>
          <cell r="AL535">
            <v>0</v>
          </cell>
          <cell r="AM535">
            <v>2</v>
          </cell>
          <cell r="AN535">
            <v>0</v>
          </cell>
          <cell r="AO535">
            <v>2</v>
          </cell>
          <cell r="AP535">
            <v>0</v>
          </cell>
          <cell r="AQ535">
            <v>2</v>
          </cell>
          <cell r="AR535" t="str">
            <v>US_24502</v>
          </cell>
          <cell r="AS535">
            <v>0</v>
          </cell>
          <cell r="AT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320</v>
          </cell>
          <cell r="AY535">
            <v>320</v>
          </cell>
          <cell r="AZ535">
            <v>25</v>
          </cell>
          <cell r="BA535">
            <v>3.2</v>
          </cell>
          <cell r="BB535">
            <v>512</v>
          </cell>
          <cell r="BD535">
            <v>320</v>
          </cell>
          <cell r="BF535">
            <v>320</v>
          </cell>
          <cell r="BG535">
            <v>9600</v>
          </cell>
          <cell r="BH535">
            <v>9600</v>
          </cell>
          <cell r="BI535">
            <v>9280</v>
          </cell>
          <cell r="BJ535">
            <v>0</v>
          </cell>
          <cell r="BK535">
            <v>0</v>
          </cell>
          <cell r="BL535">
            <v>0</v>
          </cell>
          <cell r="BM535">
            <v>9280</v>
          </cell>
          <cell r="BN535">
            <v>0</v>
          </cell>
          <cell r="BO535">
            <v>320</v>
          </cell>
          <cell r="BP535" t="str">
            <v>Y</v>
          </cell>
          <cell r="BQ535">
            <v>1</v>
          </cell>
          <cell r="BR535" t="str">
            <v>N</v>
          </cell>
          <cell r="BS535">
            <v>512</v>
          </cell>
          <cell r="BT535" t="str">
            <v>Done</v>
          </cell>
          <cell r="BU535">
            <v>160</v>
          </cell>
          <cell r="BV535">
            <v>2024</v>
          </cell>
        </row>
        <row r="536">
          <cell r="A536" t="str">
            <v>Lucknow</v>
          </cell>
          <cell r="B536" t="str">
            <v>Trust</v>
          </cell>
          <cell r="C536" t="str">
            <v>Mid Level</v>
          </cell>
          <cell r="D536" t="str">
            <v>Harsh Agarwal</v>
          </cell>
          <cell r="E536" t="str">
            <v>-</v>
          </cell>
          <cell r="H536" t="str">
            <v>Deep Deo</v>
          </cell>
          <cell r="K536">
            <v>0</v>
          </cell>
          <cell r="L536" t="str">
            <v>Old</v>
          </cell>
          <cell r="M536">
            <v>45621</v>
          </cell>
          <cell r="N536">
            <v>4</v>
          </cell>
          <cell r="O536">
            <v>425</v>
          </cell>
          <cell r="P536" t="str">
            <v>-</v>
          </cell>
          <cell r="Q536">
            <v>45986</v>
          </cell>
          <cell r="R536" t="str">
            <v>PLC-4055</v>
          </cell>
          <cell r="S536" t="str">
            <v>Sai Kishore Kalisetti</v>
          </cell>
          <cell r="T536" t="str">
            <v>Individual</v>
          </cell>
          <cell r="U536" t="str">
            <v>C2C</v>
          </cell>
          <cell r="V536" t="str">
            <v>Movate</v>
          </cell>
          <cell r="W536">
            <v>58</v>
          </cell>
          <cell r="X536">
            <v>0</v>
          </cell>
          <cell r="Y536" t="str">
            <v>USD</v>
          </cell>
          <cell r="Z536">
            <v>60</v>
          </cell>
          <cell r="AA536">
            <v>0</v>
          </cell>
          <cell r="AB536">
            <v>0</v>
          </cell>
          <cell r="AC536">
            <v>0</v>
          </cell>
          <cell r="AD536">
            <v>45731</v>
          </cell>
          <cell r="AE536">
            <v>21</v>
          </cell>
          <cell r="AF536">
            <v>46022</v>
          </cell>
          <cell r="AG536">
            <v>58</v>
          </cell>
          <cell r="AH536">
            <v>0</v>
          </cell>
          <cell r="AI536">
            <v>58</v>
          </cell>
          <cell r="AJ536">
            <v>60</v>
          </cell>
          <cell r="AK536">
            <v>0</v>
          </cell>
          <cell r="AL536">
            <v>0</v>
          </cell>
          <cell r="AM536">
            <v>2</v>
          </cell>
          <cell r="AN536">
            <v>0</v>
          </cell>
          <cell r="AO536">
            <v>2</v>
          </cell>
          <cell r="AP536">
            <v>0</v>
          </cell>
          <cell r="AQ536">
            <v>2</v>
          </cell>
          <cell r="AR536" t="str">
            <v>US_24685</v>
          </cell>
          <cell r="AS536">
            <v>0</v>
          </cell>
          <cell r="AT536">
            <v>168</v>
          </cell>
          <cell r="AU536">
            <v>168</v>
          </cell>
          <cell r="AV536">
            <v>0</v>
          </cell>
          <cell r="AW536">
            <v>336</v>
          </cell>
          <cell r="AX536">
            <v>336</v>
          </cell>
          <cell r="AY536">
            <v>336</v>
          </cell>
          <cell r="AZ536">
            <v>25</v>
          </cell>
          <cell r="BA536">
            <v>3.2</v>
          </cell>
          <cell r="BB536">
            <v>537.6</v>
          </cell>
          <cell r="BD536">
            <v>336</v>
          </cell>
          <cell r="BF536">
            <v>336</v>
          </cell>
          <cell r="BG536">
            <v>10080</v>
          </cell>
          <cell r="BH536">
            <v>10080</v>
          </cell>
          <cell r="BI536">
            <v>9744</v>
          </cell>
          <cell r="BJ536">
            <v>0</v>
          </cell>
          <cell r="BK536">
            <v>0</v>
          </cell>
          <cell r="BL536">
            <v>0</v>
          </cell>
          <cell r="BM536">
            <v>9744</v>
          </cell>
          <cell r="BN536">
            <v>0</v>
          </cell>
          <cell r="BO536">
            <v>336</v>
          </cell>
          <cell r="BP536" t="str">
            <v>Y</v>
          </cell>
          <cell r="BQ536">
            <v>1</v>
          </cell>
          <cell r="BR536" t="str">
            <v>N</v>
          </cell>
          <cell r="BS536">
            <v>537.6</v>
          </cell>
          <cell r="BT536" t="str">
            <v>Done</v>
          </cell>
          <cell r="BU536">
            <v>168</v>
          </cell>
          <cell r="BV536">
            <v>2024</v>
          </cell>
        </row>
        <row r="537">
          <cell r="A537" t="str">
            <v>Lucknow</v>
          </cell>
          <cell r="B537" t="str">
            <v>Trust</v>
          </cell>
          <cell r="C537" t="str">
            <v>Mid Level</v>
          </cell>
          <cell r="D537" t="str">
            <v>Harsh Agarwal</v>
          </cell>
          <cell r="E537" t="str">
            <v>-</v>
          </cell>
          <cell r="H537" t="str">
            <v>Deep Deo</v>
          </cell>
          <cell r="K537">
            <v>0</v>
          </cell>
          <cell r="L537" t="str">
            <v>Old</v>
          </cell>
          <cell r="M537">
            <v>45621</v>
          </cell>
          <cell r="N537">
            <v>4</v>
          </cell>
          <cell r="O537">
            <v>425</v>
          </cell>
          <cell r="P537" t="str">
            <v>-</v>
          </cell>
          <cell r="Q537">
            <v>45986</v>
          </cell>
          <cell r="R537" t="str">
            <v>PLC-4055</v>
          </cell>
          <cell r="S537" t="str">
            <v>Sai Kishore Kalisetti</v>
          </cell>
          <cell r="T537" t="str">
            <v>Individual</v>
          </cell>
          <cell r="U537" t="str">
            <v>C2C</v>
          </cell>
          <cell r="V537" t="str">
            <v>Movate</v>
          </cell>
          <cell r="W537">
            <v>58</v>
          </cell>
          <cell r="X537">
            <v>0</v>
          </cell>
          <cell r="Y537" t="str">
            <v>USD</v>
          </cell>
          <cell r="Z537">
            <v>60</v>
          </cell>
          <cell r="AA537">
            <v>0</v>
          </cell>
          <cell r="AB537">
            <v>0</v>
          </cell>
          <cell r="AC537">
            <v>0</v>
          </cell>
          <cell r="AD537">
            <v>45762</v>
          </cell>
          <cell r="AE537">
            <v>22</v>
          </cell>
          <cell r="AF537">
            <v>46022</v>
          </cell>
          <cell r="AG537">
            <v>58</v>
          </cell>
          <cell r="AH537">
            <v>0</v>
          </cell>
          <cell r="AI537">
            <v>58</v>
          </cell>
          <cell r="AJ537">
            <v>60</v>
          </cell>
          <cell r="AK537">
            <v>0</v>
          </cell>
          <cell r="AL537">
            <v>0</v>
          </cell>
          <cell r="AM537">
            <v>2</v>
          </cell>
          <cell r="AN537">
            <v>0</v>
          </cell>
          <cell r="AO537">
            <v>2</v>
          </cell>
          <cell r="AP537">
            <v>0</v>
          </cell>
          <cell r="AQ537">
            <v>2</v>
          </cell>
          <cell r="AR537" t="str">
            <v>US_24888</v>
          </cell>
          <cell r="AS537">
            <v>0</v>
          </cell>
          <cell r="AT537">
            <v>168</v>
          </cell>
          <cell r="AU537">
            <v>168</v>
          </cell>
          <cell r="AV537">
            <v>0</v>
          </cell>
          <cell r="AW537">
            <v>336</v>
          </cell>
          <cell r="AX537">
            <v>336</v>
          </cell>
          <cell r="AY537">
            <v>336</v>
          </cell>
          <cell r="AZ537">
            <v>25</v>
          </cell>
          <cell r="BA537">
            <v>3.2</v>
          </cell>
          <cell r="BB537">
            <v>537.6</v>
          </cell>
          <cell r="BD537">
            <v>336</v>
          </cell>
          <cell r="BF537">
            <v>336</v>
          </cell>
          <cell r="BG537">
            <v>10080</v>
          </cell>
          <cell r="BH537">
            <v>10080</v>
          </cell>
          <cell r="BI537">
            <v>9744</v>
          </cell>
          <cell r="BJ537">
            <v>0</v>
          </cell>
          <cell r="BK537">
            <v>0</v>
          </cell>
          <cell r="BL537">
            <v>0</v>
          </cell>
          <cell r="BM537">
            <v>9744</v>
          </cell>
          <cell r="BN537">
            <v>0</v>
          </cell>
          <cell r="BO537">
            <v>336</v>
          </cell>
          <cell r="BP537" t="str">
            <v>Y</v>
          </cell>
          <cell r="BQ537">
            <v>2</v>
          </cell>
          <cell r="BR537" t="str">
            <v>N</v>
          </cell>
          <cell r="BS537">
            <v>537.6</v>
          </cell>
          <cell r="BT537" t="str">
            <v>Done</v>
          </cell>
          <cell r="BU537">
            <v>168</v>
          </cell>
          <cell r="BV537">
            <v>2024</v>
          </cell>
        </row>
        <row r="538">
          <cell r="A538" t="str">
            <v>Lucknow</v>
          </cell>
          <cell r="B538" t="str">
            <v>RPO</v>
          </cell>
          <cell r="C538" t="str">
            <v>Mid Level</v>
          </cell>
          <cell r="D538" t="str">
            <v>Ankit Pandey</v>
          </cell>
          <cell r="E538" t="str">
            <v>-</v>
          </cell>
          <cell r="H538" t="str">
            <v>Shubham Rastogi</v>
          </cell>
          <cell r="K538" t="str">
            <v>N.A</v>
          </cell>
          <cell r="L538" t="str">
            <v>New</v>
          </cell>
          <cell r="M538">
            <v>45691</v>
          </cell>
          <cell r="N538">
            <v>1</v>
          </cell>
          <cell r="O538">
            <v>355</v>
          </cell>
          <cell r="P538" t="str">
            <v>-</v>
          </cell>
          <cell r="Q538">
            <v>46056</v>
          </cell>
          <cell r="S538" t="str">
            <v>Sai Medha Thummalakunta</v>
          </cell>
          <cell r="T538" t="str">
            <v>Individual</v>
          </cell>
          <cell r="U538" t="str">
            <v>RPO</v>
          </cell>
          <cell r="V538" t="str">
            <v>GPC RPO</v>
          </cell>
          <cell r="W538">
            <v>0</v>
          </cell>
          <cell r="X538">
            <v>0</v>
          </cell>
          <cell r="Y538" t="str">
            <v>USD</v>
          </cell>
          <cell r="Z538">
            <v>300</v>
          </cell>
          <cell r="AA538">
            <v>0</v>
          </cell>
          <cell r="AB538">
            <v>0</v>
          </cell>
          <cell r="AC538">
            <v>0</v>
          </cell>
          <cell r="AD538">
            <v>45703</v>
          </cell>
          <cell r="AE538">
            <v>20</v>
          </cell>
          <cell r="AF538">
            <v>46022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300</v>
          </cell>
          <cell r="AN538">
            <v>0</v>
          </cell>
          <cell r="AO538">
            <v>300</v>
          </cell>
          <cell r="AP538">
            <v>0</v>
          </cell>
          <cell r="AQ538">
            <v>0</v>
          </cell>
          <cell r="AR538" t="str">
            <v>US_24397</v>
          </cell>
          <cell r="AS538">
            <v>0</v>
          </cell>
          <cell r="AT538">
            <v>1</v>
          </cell>
          <cell r="AU538">
            <v>1</v>
          </cell>
          <cell r="AV538">
            <v>0</v>
          </cell>
          <cell r="AW538">
            <v>300</v>
          </cell>
          <cell r="AX538">
            <v>300</v>
          </cell>
          <cell r="AY538">
            <v>300</v>
          </cell>
          <cell r="AZ538">
            <v>103.75000000000001</v>
          </cell>
          <cell r="BA538">
            <v>0</v>
          </cell>
          <cell r="BB538">
            <v>0</v>
          </cell>
          <cell r="BF538">
            <v>300</v>
          </cell>
          <cell r="BG538">
            <v>300</v>
          </cell>
          <cell r="BH538">
            <v>300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300</v>
          </cell>
          <cell r="BP538" t="str">
            <v>Y</v>
          </cell>
          <cell r="BQ538">
            <v>1</v>
          </cell>
          <cell r="BR538" t="str">
            <v>Y</v>
          </cell>
          <cell r="BS538">
            <v>0</v>
          </cell>
          <cell r="BT538" t="str">
            <v>Done</v>
          </cell>
          <cell r="BU538">
            <v>0</v>
          </cell>
          <cell r="BV538">
            <v>2025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Rohit Gupta</v>
          </cell>
          <cell r="E539" t="str">
            <v>Vivek Yadav</v>
          </cell>
          <cell r="H539" t="str">
            <v>Akash Raj Srivastava</v>
          </cell>
          <cell r="K539">
            <v>0</v>
          </cell>
          <cell r="L539" t="str">
            <v>Old</v>
          </cell>
          <cell r="M539">
            <v>45596</v>
          </cell>
          <cell r="N539">
            <v>4</v>
          </cell>
          <cell r="O539">
            <v>450</v>
          </cell>
          <cell r="P539" t="str">
            <v>-</v>
          </cell>
          <cell r="Q539">
            <v>45961</v>
          </cell>
          <cell r="R539" t="str">
            <v>PLC-4018</v>
          </cell>
          <cell r="S539" t="str">
            <v>Saiprasad Telkapally</v>
          </cell>
          <cell r="T539" t="str">
            <v>Individual</v>
          </cell>
          <cell r="U539" t="str">
            <v>C2C</v>
          </cell>
          <cell r="V539" t="str">
            <v>Coforge</v>
          </cell>
          <cell r="W539">
            <v>73</v>
          </cell>
          <cell r="X539">
            <v>0</v>
          </cell>
          <cell r="Y539" t="str">
            <v>USD</v>
          </cell>
          <cell r="Z539">
            <v>80</v>
          </cell>
          <cell r="AA539">
            <v>0</v>
          </cell>
          <cell r="AB539">
            <v>0</v>
          </cell>
          <cell r="AC539">
            <v>0</v>
          </cell>
          <cell r="AD539">
            <v>45672</v>
          </cell>
          <cell r="AE539">
            <v>23</v>
          </cell>
          <cell r="AF539">
            <v>46022</v>
          </cell>
          <cell r="AG539">
            <v>73</v>
          </cell>
          <cell r="AH539">
            <v>0</v>
          </cell>
          <cell r="AI539">
            <v>73</v>
          </cell>
          <cell r="AJ539">
            <v>80</v>
          </cell>
          <cell r="AK539">
            <v>0</v>
          </cell>
          <cell r="AL539">
            <v>0</v>
          </cell>
          <cell r="AM539">
            <v>7</v>
          </cell>
          <cell r="AN539">
            <v>0</v>
          </cell>
          <cell r="AO539">
            <v>7</v>
          </cell>
          <cell r="AP539">
            <v>0</v>
          </cell>
          <cell r="AQ539">
            <v>7</v>
          </cell>
          <cell r="AR539" t="str">
            <v>US_24295</v>
          </cell>
          <cell r="AS539">
            <v>0</v>
          </cell>
          <cell r="AT539">
            <v>168</v>
          </cell>
          <cell r="AU539">
            <v>168</v>
          </cell>
          <cell r="AV539">
            <v>0</v>
          </cell>
          <cell r="AW539">
            <v>1176</v>
          </cell>
          <cell r="AX539">
            <v>1176</v>
          </cell>
          <cell r="AY539">
            <v>1176</v>
          </cell>
          <cell r="AZ539">
            <v>71.428571428571431</v>
          </cell>
          <cell r="BA539">
            <v>19.600000000000001</v>
          </cell>
          <cell r="BB539">
            <v>3292.8</v>
          </cell>
          <cell r="BC539">
            <v>38.28125</v>
          </cell>
          <cell r="BD539">
            <v>1176</v>
          </cell>
          <cell r="BE539">
            <v>940.8</v>
          </cell>
          <cell r="BF539">
            <v>1176</v>
          </cell>
          <cell r="BG539">
            <v>13440</v>
          </cell>
          <cell r="BH539">
            <v>13440</v>
          </cell>
          <cell r="BI539">
            <v>12264</v>
          </cell>
          <cell r="BJ539">
            <v>0</v>
          </cell>
          <cell r="BK539">
            <v>0</v>
          </cell>
          <cell r="BL539">
            <v>0</v>
          </cell>
          <cell r="BM539">
            <v>12264</v>
          </cell>
          <cell r="BN539">
            <v>0</v>
          </cell>
          <cell r="BO539">
            <v>1176</v>
          </cell>
          <cell r="BP539" t="str">
            <v>Y</v>
          </cell>
          <cell r="BQ539">
            <v>1</v>
          </cell>
          <cell r="BR539" t="str">
            <v>N</v>
          </cell>
          <cell r="BS539">
            <v>3292.8</v>
          </cell>
          <cell r="BT539" t="str">
            <v>Done</v>
          </cell>
          <cell r="BU539">
            <v>168</v>
          </cell>
          <cell r="BV539">
            <v>2024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Rohit Gupta</v>
          </cell>
          <cell r="E540" t="str">
            <v>Vivek Yadav</v>
          </cell>
          <cell r="H540" t="str">
            <v>Akash Raj Srivastava</v>
          </cell>
          <cell r="K540">
            <v>0</v>
          </cell>
          <cell r="L540" t="str">
            <v>Old</v>
          </cell>
          <cell r="M540">
            <v>45596</v>
          </cell>
          <cell r="N540">
            <v>4</v>
          </cell>
          <cell r="O540">
            <v>450</v>
          </cell>
          <cell r="P540" t="str">
            <v>-</v>
          </cell>
          <cell r="Q540">
            <v>45961</v>
          </cell>
          <cell r="R540" t="str">
            <v>PLC-4018</v>
          </cell>
          <cell r="S540" t="str">
            <v>Saiprasad Telkapally</v>
          </cell>
          <cell r="T540" t="str">
            <v>Individual</v>
          </cell>
          <cell r="U540" t="str">
            <v>C2C</v>
          </cell>
          <cell r="V540" t="str">
            <v>Coforge</v>
          </cell>
          <cell r="W540">
            <v>73</v>
          </cell>
          <cell r="X540">
            <v>0</v>
          </cell>
          <cell r="Y540" t="str">
            <v>USD</v>
          </cell>
          <cell r="Z540">
            <v>80</v>
          </cell>
          <cell r="AA540">
            <v>0</v>
          </cell>
          <cell r="AB540">
            <v>0</v>
          </cell>
          <cell r="AC540">
            <v>0</v>
          </cell>
          <cell r="AD540">
            <v>45703</v>
          </cell>
          <cell r="AE540">
            <v>20</v>
          </cell>
          <cell r="AF540">
            <v>46022</v>
          </cell>
          <cell r="AG540">
            <v>73</v>
          </cell>
          <cell r="AH540">
            <v>0</v>
          </cell>
          <cell r="AI540">
            <v>73</v>
          </cell>
          <cell r="AJ540">
            <v>80</v>
          </cell>
          <cell r="AK540">
            <v>0</v>
          </cell>
          <cell r="AL540">
            <v>0</v>
          </cell>
          <cell r="AM540">
            <v>7</v>
          </cell>
          <cell r="AN540">
            <v>0</v>
          </cell>
          <cell r="AO540">
            <v>7</v>
          </cell>
          <cell r="AP540">
            <v>0</v>
          </cell>
          <cell r="AQ540">
            <v>7</v>
          </cell>
          <cell r="AR540" t="str">
            <v>US_24494</v>
          </cell>
          <cell r="AS540">
            <v>0</v>
          </cell>
          <cell r="AT540">
            <v>152</v>
          </cell>
          <cell r="AU540">
            <v>152</v>
          </cell>
          <cell r="AV540">
            <v>0</v>
          </cell>
          <cell r="AW540">
            <v>1064</v>
          </cell>
          <cell r="AX540">
            <v>1064</v>
          </cell>
          <cell r="AY540">
            <v>1064</v>
          </cell>
          <cell r="AZ540">
            <v>71.428571428571431</v>
          </cell>
          <cell r="BA540">
            <v>19.600000000000001</v>
          </cell>
          <cell r="BB540">
            <v>2979.2000000000003</v>
          </cell>
          <cell r="BC540">
            <v>38.28125</v>
          </cell>
          <cell r="BD540">
            <v>1064</v>
          </cell>
          <cell r="BE540">
            <v>851.2</v>
          </cell>
          <cell r="BF540">
            <v>1064</v>
          </cell>
          <cell r="BG540">
            <v>12160</v>
          </cell>
          <cell r="BH540">
            <v>12160</v>
          </cell>
          <cell r="BI540">
            <v>11096</v>
          </cell>
          <cell r="BJ540">
            <v>0</v>
          </cell>
          <cell r="BK540">
            <v>0</v>
          </cell>
          <cell r="BL540">
            <v>0</v>
          </cell>
          <cell r="BM540">
            <v>11096</v>
          </cell>
          <cell r="BN540">
            <v>0</v>
          </cell>
          <cell r="BO540">
            <v>1064</v>
          </cell>
          <cell r="BP540" t="str">
            <v>Y</v>
          </cell>
          <cell r="BQ540">
            <v>1</v>
          </cell>
          <cell r="BR540" t="str">
            <v>N</v>
          </cell>
          <cell r="BS540">
            <v>2979.2000000000003</v>
          </cell>
          <cell r="BT540" t="str">
            <v>Done</v>
          </cell>
          <cell r="BU540">
            <v>152</v>
          </cell>
          <cell r="BV540">
            <v>2024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Rohit Gupta</v>
          </cell>
          <cell r="E541" t="str">
            <v>Vivek Yadav</v>
          </cell>
          <cell r="H541" t="str">
            <v>Akash Raj Srivastava</v>
          </cell>
          <cell r="K541">
            <v>0</v>
          </cell>
          <cell r="L541" t="str">
            <v>Old</v>
          </cell>
          <cell r="M541">
            <v>45596</v>
          </cell>
          <cell r="N541">
            <v>4</v>
          </cell>
          <cell r="O541">
            <v>450</v>
          </cell>
          <cell r="P541" t="str">
            <v>-</v>
          </cell>
          <cell r="Q541">
            <v>45961</v>
          </cell>
          <cell r="R541" t="str">
            <v>PLC-4018</v>
          </cell>
          <cell r="S541" t="str">
            <v>Saiprasad Telkapally</v>
          </cell>
          <cell r="T541" t="str">
            <v>Individual</v>
          </cell>
          <cell r="U541" t="str">
            <v>C2C</v>
          </cell>
          <cell r="V541" t="str">
            <v>Coforge</v>
          </cell>
          <cell r="W541">
            <v>73</v>
          </cell>
          <cell r="X541">
            <v>0</v>
          </cell>
          <cell r="Y541" t="str">
            <v>USD</v>
          </cell>
          <cell r="Z541">
            <v>80</v>
          </cell>
          <cell r="AA541">
            <v>0</v>
          </cell>
          <cell r="AB541">
            <v>0</v>
          </cell>
          <cell r="AC541">
            <v>0</v>
          </cell>
          <cell r="AD541">
            <v>45731</v>
          </cell>
          <cell r="AE541">
            <v>21</v>
          </cell>
          <cell r="AF541">
            <v>46022</v>
          </cell>
          <cell r="AG541">
            <v>73</v>
          </cell>
          <cell r="AH541">
            <v>0</v>
          </cell>
          <cell r="AI541">
            <v>73</v>
          </cell>
          <cell r="AJ541">
            <v>80</v>
          </cell>
          <cell r="AK541">
            <v>0</v>
          </cell>
          <cell r="AL541">
            <v>0</v>
          </cell>
          <cell r="AM541">
            <v>7</v>
          </cell>
          <cell r="AN541">
            <v>0</v>
          </cell>
          <cell r="AO541">
            <v>7</v>
          </cell>
          <cell r="AP541">
            <v>0</v>
          </cell>
          <cell r="AQ541">
            <v>7</v>
          </cell>
          <cell r="AR541" t="str">
            <v>US_24679</v>
          </cell>
          <cell r="AS541">
            <v>0</v>
          </cell>
          <cell r="AT541">
            <v>168</v>
          </cell>
          <cell r="AU541">
            <v>168</v>
          </cell>
          <cell r="AV541">
            <v>0</v>
          </cell>
          <cell r="AW541">
            <v>1176</v>
          </cell>
          <cell r="AX541">
            <v>1176</v>
          </cell>
          <cell r="AY541">
            <v>1176</v>
          </cell>
          <cell r="AZ541">
            <v>71.428571428571431</v>
          </cell>
          <cell r="BA541">
            <v>19.600000000000001</v>
          </cell>
          <cell r="BB541">
            <v>3292.8</v>
          </cell>
          <cell r="BC541">
            <v>38.28125</v>
          </cell>
          <cell r="BD541">
            <v>1176</v>
          </cell>
          <cell r="BE541">
            <v>940.8</v>
          </cell>
          <cell r="BF541">
            <v>1176</v>
          </cell>
          <cell r="BG541">
            <v>13440</v>
          </cell>
          <cell r="BH541">
            <v>13440</v>
          </cell>
          <cell r="BI541">
            <v>12264</v>
          </cell>
          <cell r="BJ541">
            <v>0</v>
          </cell>
          <cell r="BK541">
            <v>0</v>
          </cell>
          <cell r="BL541">
            <v>0</v>
          </cell>
          <cell r="BM541">
            <v>12264</v>
          </cell>
          <cell r="BN541">
            <v>0</v>
          </cell>
          <cell r="BO541">
            <v>1176</v>
          </cell>
          <cell r="BP541" t="str">
            <v>Y</v>
          </cell>
          <cell r="BQ541">
            <v>1</v>
          </cell>
          <cell r="BR541" t="str">
            <v>N</v>
          </cell>
          <cell r="BS541">
            <v>3292.8</v>
          </cell>
          <cell r="BT541" t="str">
            <v>Done</v>
          </cell>
          <cell r="BU541">
            <v>168</v>
          </cell>
          <cell r="BV541">
            <v>2024</v>
          </cell>
        </row>
        <row r="542">
          <cell r="A542" t="str">
            <v>Lucknow</v>
          </cell>
          <cell r="B542" t="str">
            <v>Mavericks</v>
          </cell>
          <cell r="C542" t="str">
            <v>Mid Level</v>
          </cell>
          <cell r="D542" t="str">
            <v>Rohit Gupta</v>
          </cell>
          <cell r="E542" t="str">
            <v>Vivek Yadav</v>
          </cell>
          <cell r="H542" t="str">
            <v>Akash Raj Srivastava</v>
          </cell>
          <cell r="K542">
            <v>0</v>
          </cell>
          <cell r="L542" t="str">
            <v>Old</v>
          </cell>
          <cell r="M542">
            <v>45596</v>
          </cell>
          <cell r="N542">
            <v>4</v>
          </cell>
          <cell r="O542">
            <v>450</v>
          </cell>
          <cell r="P542" t="str">
            <v>-</v>
          </cell>
          <cell r="Q542">
            <v>45961</v>
          </cell>
          <cell r="R542" t="str">
            <v>PLC-4018</v>
          </cell>
          <cell r="S542" t="str">
            <v>Saiprasad Telkapally</v>
          </cell>
          <cell r="T542" t="str">
            <v>Individual</v>
          </cell>
          <cell r="U542" t="str">
            <v>C2C</v>
          </cell>
          <cell r="V542" t="str">
            <v>Coforge</v>
          </cell>
          <cell r="W542">
            <v>73</v>
          </cell>
          <cell r="X542">
            <v>0</v>
          </cell>
          <cell r="Y542" t="str">
            <v>USD</v>
          </cell>
          <cell r="Z542">
            <v>80</v>
          </cell>
          <cell r="AA542">
            <v>0</v>
          </cell>
          <cell r="AB542">
            <v>0</v>
          </cell>
          <cell r="AC542">
            <v>0</v>
          </cell>
          <cell r="AD542">
            <v>45762</v>
          </cell>
          <cell r="AE542">
            <v>22</v>
          </cell>
          <cell r="AF542">
            <v>46022</v>
          </cell>
          <cell r="AG542">
            <v>73</v>
          </cell>
          <cell r="AH542">
            <v>0</v>
          </cell>
          <cell r="AI542">
            <v>73</v>
          </cell>
          <cell r="AJ542">
            <v>80</v>
          </cell>
          <cell r="AK542">
            <v>0</v>
          </cell>
          <cell r="AL542">
            <v>0</v>
          </cell>
          <cell r="AM542">
            <v>7</v>
          </cell>
          <cell r="AN542">
            <v>0</v>
          </cell>
          <cell r="AO542">
            <v>7</v>
          </cell>
          <cell r="AP542">
            <v>0</v>
          </cell>
          <cell r="AQ542">
            <v>7</v>
          </cell>
          <cell r="AR542" t="str">
            <v>US_24883</v>
          </cell>
          <cell r="AS542">
            <v>0</v>
          </cell>
          <cell r="AT542">
            <v>176</v>
          </cell>
          <cell r="AU542">
            <v>176</v>
          </cell>
          <cell r="AV542">
            <v>0</v>
          </cell>
          <cell r="AW542">
            <v>1232</v>
          </cell>
          <cell r="AX542">
            <v>1232</v>
          </cell>
          <cell r="AY542">
            <v>1232</v>
          </cell>
          <cell r="AZ542">
            <v>71.428571428571431</v>
          </cell>
          <cell r="BA542">
            <v>19.600000000000001</v>
          </cell>
          <cell r="BB542">
            <v>3449.6000000000004</v>
          </cell>
          <cell r="BC542">
            <v>38.28125</v>
          </cell>
          <cell r="BD542">
            <v>1232</v>
          </cell>
          <cell r="BE542">
            <v>985.6</v>
          </cell>
          <cell r="BF542">
            <v>1232</v>
          </cell>
          <cell r="BG542">
            <v>14080</v>
          </cell>
          <cell r="BH542">
            <v>14080</v>
          </cell>
          <cell r="BI542">
            <v>12848</v>
          </cell>
          <cell r="BJ542">
            <v>0</v>
          </cell>
          <cell r="BK542">
            <v>0</v>
          </cell>
          <cell r="BL542">
            <v>0</v>
          </cell>
          <cell r="BM542">
            <v>12848</v>
          </cell>
          <cell r="BN542">
            <v>0</v>
          </cell>
          <cell r="BO542">
            <v>1232</v>
          </cell>
          <cell r="BP542" t="str">
            <v>Y</v>
          </cell>
          <cell r="BQ542">
            <v>2</v>
          </cell>
          <cell r="BR542" t="str">
            <v>N</v>
          </cell>
          <cell r="BS542">
            <v>3449.6000000000004</v>
          </cell>
          <cell r="BT542" t="str">
            <v>Done</v>
          </cell>
          <cell r="BU542">
            <v>176</v>
          </cell>
          <cell r="BV542">
            <v>2024</v>
          </cell>
        </row>
        <row r="543">
          <cell r="A543" t="str">
            <v>Noida</v>
          </cell>
          <cell r="B543" t="str">
            <v>Healthcare</v>
          </cell>
          <cell r="C543" t="str">
            <v>Mid Level</v>
          </cell>
          <cell r="D543" t="str">
            <v>Shailesh Sharma</v>
          </cell>
          <cell r="E543" t="str">
            <v>-</v>
          </cell>
          <cell r="H543" t="str">
            <v>Shivam Chaurasia</v>
          </cell>
          <cell r="J543" t="str">
            <v>ACH</v>
          </cell>
          <cell r="L543" t="str">
            <v>New</v>
          </cell>
          <cell r="M543">
            <v>45691</v>
          </cell>
          <cell r="N543">
            <v>1</v>
          </cell>
          <cell r="O543">
            <v>355</v>
          </cell>
          <cell r="P543">
            <v>45778</v>
          </cell>
          <cell r="Q543">
            <v>46056</v>
          </cell>
          <cell r="S543" t="str">
            <v>Samuel L Manuel</v>
          </cell>
          <cell r="T543" t="str">
            <v>Individual</v>
          </cell>
          <cell r="U543" t="str">
            <v>W2</v>
          </cell>
          <cell r="V543" t="str">
            <v>CSU</v>
          </cell>
          <cell r="W543">
            <v>50</v>
          </cell>
          <cell r="X543">
            <v>0</v>
          </cell>
          <cell r="Y543" t="str">
            <v>USD</v>
          </cell>
          <cell r="Z543">
            <v>74</v>
          </cell>
          <cell r="AA543">
            <v>0</v>
          </cell>
          <cell r="AB543">
            <v>0</v>
          </cell>
          <cell r="AC543">
            <v>0</v>
          </cell>
          <cell r="AD543">
            <v>45703</v>
          </cell>
          <cell r="AE543">
            <v>20</v>
          </cell>
          <cell r="AF543">
            <v>46022</v>
          </cell>
          <cell r="AG543">
            <v>57.499999999999993</v>
          </cell>
          <cell r="AH543">
            <v>0</v>
          </cell>
          <cell r="AI543">
            <v>57.499999999999993</v>
          </cell>
          <cell r="AJ543">
            <v>69.56</v>
          </cell>
          <cell r="AK543">
            <v>0</v>
          </cell>
          <cell r="AL543">
            <v>0</v>
          </cell>
          <cell r="AM543">
            <v>12.060000000000009</v>
          </cell>
          <cell r="AN543">
            <v>0</v>
          </cell>
          <cell r="AO543">
            <v>12.060000000000009</v>
          </cell>
          <cell r="AP543">
            <v>0</v>
          </cell>
          <cell r="AQ543">
            <v>12.060000000000009</v>
          </cell>
          <cell r="AU543">
            <v>160</v>
          </cell>
          <cell r="AY543">
            <v>1929.6000000000015</v>
          </cell>
          <cell r="AZ543">
            <v>0</v>
          </cell>
          <cell r="BA543">
            <v>0</v>
          </cell>
          <cell r="BH543">
            <v>11129.6</v>
          </cell>
          <cell r="BI543">
            <v>8000</v>
          </cell>
          <cell r="BJ543">
            <v>7.5</v>
          </cell>
          <cell r="BK543">
            <v>0</v>
          </cell>
          <cell r="BL543">
            <v>1200</v>
          </cell>
          <cell r="BM543">
            <v>9200</v>
          </cell>
          <cell r="BN543">
            <v>7.5</v>
          </cell>
          <cell r="BO543">
            <v>1929.6000000000004</v>
          </cell>
          <cell r="BQ543">
            <v>1</v>
          </cell>
          <cell r="BR543" t="str">
            <v>Y</v>
          </cell>
          <cell r="BS543">
            <v>0</v>
          </cell>
          <cell r="BT543" t="str">
            <v>Pending</v>
          </cell>
          <cell r="BU543">
            <v>0</v>
          </cell>
          <cell r="BV543">
            <v>2025</v>
          </cell>
        </row>
        <row r="544">
          <cell r="A544" t="str">
            <v>Noida</v>
          </cell>
          <cell r="B544" t="str">
            <v>Healthcare</v>
          </cell>
          <cell r="C544" t="str">
            <v>Mid Level</v>
          </cell>
          <cell r="D544" t="str">
            <v>Shailesh Sharma</v>
          </cell>
          <cell r="E544" t="str">
            <v>-</v>
          </cell>
          <cell r="H544" t="str">
            <v>Shivam Chaurasia</v>
          </cell>
          <cell r="J544" t="str">
            <v>ACH</v>
          </cell>
          <cell r="L544" t="str">
            <v>New</v>
          </cell>
          <cell r="M544">
            <v>45691</v>
          </cell>
          <cell r="N544">
            <v>1</v>
          </cell>
          <cell r="O544">
            <v>355</v>
          </cell>
          <cell r="P544">
            <v>45778</v>
          </cell>
          <cell r="Q544">
            <v>46056</v>
          </cell>
          <cell r="S544" t="str">
            <v>Samuel L Manuel</v>
          </cell>
          <cell r="T544" t="str">
            <v>Individual</v>
          </cell>
          <cell r="U544" t="str">
            <v>W2</v>
          </cell>
          <cell r="V544" t="str">
            <v>CSU</v>
          </cell>
          <cell r="W544">
            <v>50</v>
          </cell>
          <cell r="X544">
            <v>0</v>
          </cell>
          <cell r="Y544" t="str">
            <v>USD</v>
          </cell>
          <cell r="Z544">
            <v>74</v>
          </cell>
          <cell r="AA544">
            <v>0</v>
          </cell>
          <cell r="AB544">
            <v>0</v>
          </cell>
          <cell r="AC544">
            <v>0</v>
          </cell>
          <cell r="AD544">
            <v>45731</v>
          </cell>
          <cell r="AE544">
            <v>21</v>
          </cell>
          <cell r="AF544">
            <v>46022</v>
          </cell>
          <cell r="AG544">
            <v>57.499999999999993</v>
          </cell>
          <cell r="AH544">
            <v>0</v>
          </cell>
          <cell r="AI544">
            <v>57.499999999999993</v>
          </cell>
          <cell r="AJ544">
            <v>69.56</v>
          </cell>
          <cell r="AK544">
            <v>0</v>
          </cell>
          <cell r="AL544">
            <v>0</v>
          </cell>
          <cell r="AM544">
            <v>12.060000000000009</v>
          </cell>
          <cell r="AN544">
            <v>0</v>
          </cell>
          <cell r="AO544">
            <v>12.060000000000009</v>
          </cell>
          <cell r="AP544">
            <v>0</v>
          </cell>
          <cell r="AQ544">
            <v>12.060000000000009</v>
          </cell>
          <cell r="AU544">
            <v>168</v>
          </cell>
          <cell r="AY544">
            <v>2026.0800000000015</v>
          </cell>
          <cell r="AZ544">
            <v>0</v>
          </cell>
          <cell r="BA544">
            <v>0</v>
          </cell>
          <cell r="BH544">
            <v>11686.08</v>
          </cell>
          <cell r="BI544">
            <v>8400</v>
          </cell>
          <cell r="BJ544">
            <v>7.5</v>
          </cell>
          <cell r="BK544">
            <v>0</v>
          </cell>
          <cell r="BL544">
            <v>1260</v>
          </cell>
          <cell r="BM544">
            <v>9660</v>
          </cell>
          <cell r="BN544">
            <v>7.5</v>
          </cell>
          <cell r="BO544">
            <v>2026.08</v>
          </cell>
          <cell r="BQ544">
            <v>1</v>
          </cell>
          <cell r="BR544" t="str">
            <v>Y</v>
          </cell>
          <cell r="BS544">
            <v>0</v>
          </cell>
          <cell r="BT544" t="str">
            <v>Pending</v>
          </cell>
          <cell r="BU544">
            <v>0</v>
          </cell>
          <cell r="BV544">
            <v>2025</v>
          </cell>
        </row>
        <row r="545">
          <cell r="A545" t="str">
            <v>Noida</v>
          </cell>
          <cell r="B545" t="str">
            <v>Healthcare</v>
          </cell>
          <cell r="C545" t="str">
            <v>Mid Level</v>
          </cell>
          <cell r="D545" t="str">
            <v>Shailesh Sharma</v>
          </cell>
          <cell r="E545" t="str">
            <v>-</v>
          </cell>
          <cell r="H545" t="str">
            <v>Shivam Chaurasia</v>
          </cell>
          <cell r="J545" t="str">
            <v>ACH</v>
          </cell>
          <cell r="L545" t="str">
            <v>New</v>
          </cell>
          <cell r="M545">
            <v>45691</v>
          </cell>
          <cell r="N545">
            <v>1</v>
          </cell>
          <cell r="O545">
            <v>355</v>
          </cell>
          <cell r="P545">
            <v>45778</v>
          </cell>
          <cell r="Q545">
            <v>46056</v>
          </cell>
          <cell r="S545" t="str">
            <v>Samuel L Manuel</v>
          </cell>
          <cell r="T545" t="str">
            <v>Individual</v>
          </cell>
          <cell r="U545" t="str">
            <v>W2</v>
          </cell>
          <cell r="V545" t="str">
            <v>CSU</v>
          </cell>
          <cell r="W545">
            <v>50</v>
          </cell>
          <cell r="X545">
            <v>0</v>
          </cell>
          <cell r="Y545" t="str">
            <v>USD</v>
          </cell>
          <cell r="Z545">
            <v>74</v>
          </cell>
          <cell r="AA545">
            <v>0</v>
          </cell>
          <cell r="AB545">
            <v>0</v>
          </cell>
          <cell r="AC545">
            <v>0</v>
          </cell>
          <cell r="AD545">
            <v>45762</v>
          </cell>
          <cell r="AE545">
            <v>22</v>
          </cell>
          <cell r="AF545">
            <v>46022</v>
          </cell>
          <cell r="AG545">
            <v>57.499999999999993</v>
          </cell>
          <cell r="AH545">
            <v>0</v>
          </cell>
          <cell r="AI545">
            <v>57.499999999999993</v>
          </cell>
          <cell r="AJ545">
            <v>69.56</v>
          </cell>
          <cell r="AK545">
            <v>0</v>
          </cell>
          <cell r="AL545">
            <v>0</v>
          </cell>
          <cell r="AM545">
            <v>12.060000000000009</v>
          </cell>
          <cell r="AN545">
            <v>0</v>
          </cell>
          <cell r="AO545">
            <v>12.060000000000009</v>
          </cell>
          <cell r="AP545">
            <v>0</v>
          </cell>
          <cell r="AQ545">
            <v>12.060000000000009</v>
          </cell>
          <cell r="AU545">
            <v>176</v>
          </cell>
          <cell r="AY545">
            <v>2122.5600000000018</v>
          </cell>
          <cell r="AZ545">
            <v>0</v>
          </cell>
          <cell r="BA545">
            <v>0</v>
          </cell>
          <cell r="BH545">
            <v>12242.560000000001</v>
          </cell>
          <cell r="BI545">
            <v>8800</v>
          </cell>
          <cell r="BJ545">
            <v>7.5</v>
          </cell>
          <cell r="BK545">
            <v>0</v>
          </cell>
          <cell r="BL545">
            <v>1320</v>
          </cell>
          <cell r="BM545">
            <v>10120</v>
          </cell>
          <cell r="BN545">
            <v>7.5</v>
          </cell>
          <cell r="BO545">
            <v>2122.5600000000013</v>
          </cell>
          <cell r="BQ545">
            <v>2</v>
          </cell>
          <cell r="BR545" t="str">
            <v>Y</v>
          </cell>
          <cell r="BS545">
            <v>0</v>
          </cell>
          <cell r="BT545" t="str">
            <v>Pending</v>
          </cell>
          <cell r="BU545">
            <v>0</v>
          </cell>
          <cell r="BV545">
            <v>2025</v>
          </cell>
        </row>
        <row r="546">
          <cell r="A546" t="str">
            <v>Lucknow</v>
          </cell>
          <cell r="B546" t="str">
            <v>Titans</v>
          </cell>
          <cell r="C546" t="str">
            <v>Mid Level</v>
          </cell>
          <cell r="D546" t="str">
            <v>Nitin Saxena</v>
          </cell>
          <cell r="E546" t="str">
            <v>-</v>
          </cell>
          <cell r="H546" t="str">
            <v>Aman Bajpai</v>
          </cell>
          <cell r="L546" t="str">
            <v>Old</v>
          </cell>
          <cell r="M546">
            <v>45572</v>
          </cell>
          <cell r="N546">
            <v>4</v>
          </cell>
          <cell r="O546">
            <v>474</v>
          </cell>
          <cell r="P546" t="str">
            <v>-</v>
          </cell>
          <cell r="Q546">
            <v>45937</v>
          </cell>
          <cell r="R546" t="str">
            <v>PLC-4007</v>
          </cell>
          <cell r="S546" t="str">
            <v>Sarah Mcallistar</v>
          </cell>
          <cell r="T546" t="str">
            <v>Individual</v>
          </cell>
          <cell r="U546" t="str">
            <v>FTE</v>
          </cell>
          <cell r="V546" t="str">
            <v>WNS</v>
          </cell>
          <cell r="W546">
            <v>0</v>
          </cell>
          <cell r="X546">
            <v>0</v>
          </cell>
          <cell r="Y546" t="str">
            <v>USD</v>
          </cell>
          <cell r="Z546">
            <v>4160</v>
          </cell>
          <cell r="AA546">
            <v>0</v>
          </cell>
          <cell r="AB546">
            <v>0</v>
          </cell>
          <cell r="AC546">
            <v>0</v>
          </cell>
          <cell r="AD546">
            <v>45731</v>
          </cell>
          <cell r="AE546">
            <v>1</v>
          </cell>
          <cell r="AF546">
            <v>46022</v>
          </cell>
          <cell r="AG546">
            <v>0</v>
          </cell>
          <cell r="AH546">
            <v>0</v>
          </cell>
          <cell r="AI546">
            <v>0</v>
          </cell>
          <cell r="AJ546">
            <v>4160</v>
          </cell>
          <cell r="AK546">
            <v>0</v>
          </cell>
          <cell r="AL546">
            <v>0</v>
          </cell>
          <cell r="AM546">
            <v>4160</v>
          </cell>
          <cell r="AN546">
            <v>0</v>
          </cell>
          <cell r="AO546">
            <v>4160</v>
          </cell>
          <cell r="AP546">
            <v>0</v>
          </cell>
          <cell r="AQ546">
            <v>4160</v>
          </cell>
          <cell r="AR546" t="str">
            <v>US_24534</v>
          </cell>
          <cell r="AS546">
            <v>0</v>
          </cell>
          <cell r="AT546">
            <v>1</v>
          </cell>
          <cell r="AU546">
            <v>1</v>
          </cell>
          <cell r="AV546">
            <v>0</v>
          </cell>
          <cell r="AW546">
            <v>4160</v>
          </cell>
          <cell r="AX546">
            <v>4160</v>
          </cell>
          <cell r="AY546">
            <v>4160</v>
          </cell>
          <cell r="AZ546">
            <v>32.142857142857146</v>
          </cell>
          <cell r="BA546">
            <v>6656</v>
          </cell>
          <cell r="BB546">
            <v>6656</v>
          </cell>
          <cell r="BC546">
            <v>63</v>
          </cell>
          <cell r="BD546">
            <v>4160</v>
          </cell>
          <cell r="BE546">
            <v>4992</v>
          </cell>
          <cell r="BF546">
            <v>4160</v>
          </cell>
          <cell r="BG546">
            <v>4160</v>
          </cell>
          <cell r="BH546">
            <v>4160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4160</v>
          </cell>
          <cell r="BP546" t="str">
            <v>Y</v>
          </cell>
          <cell r="BQ546">
            <v>1</v>
          </cell>
          <cell r="BR546" t="str">
            <v>N</v>
          </cell>
          <cell r="BS546">
            <v>6656</v>
          </cell>
          <cell r="BT546" t="str">
            <v>Done</v>
          </cell>
          <cell r="BU546">
            <v>0</v>
          </cell>
          <cell r="BV546">
            <v>2024</v>
          </cell>
        </row>
        <row r="547">
          <cell r="A547" t="str">
            <v>Chennai</v>
          </cell>
          <cell r="B547" t="str">
            <v>Chennai</v>
          </cell>
          <cell r="C547" t="str">
            <v>Mid Level</v>
          </cell>
          <cell r="D547" t="str">
            <v>Vinoth L</v>
          </cell>
          <cell r="E547" t="str">
            <v>-</v>
          </cell>
          <cell r="H547" t="str">
            <v>R Richardson</v>
          </cell>
          <cell r="L547" t="str">
            <v>Old</v>
          </cell>
          <cell r="M547">
            <v>45504</v>
          </cell>
          <cell r="N547">
            <v>3</v>
          </cell>
          <cell r="O547">
            <v>542</v>
          </cell>
          <cell r="P547">
            <v>45807</v>
          </cell>
          <cell r="Q547">
            <v>45869</v>
          </cell>
          <cell r="R547" t="str">
            <v>PLC-3897</v>
          </cell>
          <cell r="S547" t="str">
            <v>Saranya Thoppe Neelakantan</v>
          </cell>
          <cell r="T547" t="str">
            <v>Individual</v>
          </cell>
          <cell r="U547" t="str">
            <v>C2C</v>
          </cell>
          <cell r="V547" t="str">
            <v>Citius Tech</v>
          </cell>
          <cell r="W547">
            <v>60</v>
          </cell>
          <cell r="X547">
            <v>0</v>
          </cell>
          <cell r="Y547" t="str">
            <v>USD</v>
          </cell>
          <cell r="Z547">
            <v>70</v>
          </cell>
          <cell r="AA547">
            <v>0</v>
          </cell>
          <cell r="AB547">
            <v>0</v>
          </cell>
          <cell r="AC547">
            <v>0</v>
          </cell>
          <cell r="AD547">
            <v>45672</v>
          </cell>
          <cell r="AE547">
            <v>22</v>
          </cell>
          <cell r="AF547">
            <v>46022</v>
          </cell>
          <cell r="AG547">
            <v>60</v>
          </cell>
          <cell r="AH547">
            <v>0</v>
          </cell>
          <cell r="AI547">
            <v>60</v>
          </cell>
          <cell r="AJ547">
            <v>70</v>
          </cell>
          <cell r="AK547">
            <v>0</v>
          </cell>
          <cell r="AL547">
            <v>0</v>
          </cell>
          <cell r="AM547">
            <v>10</v>
          </cell>
          <cell r="AN547">
            <v>0</v>
          </cell>
          <cell r="AO547">
            <v>10</v>
          </cell>
          <cell r="AP547">
            <v>0</v>
          </cell>
          <cell r="AQ547">
            <v>10</v>
          </cell>
          <cell r="AR547" t="str">
            <v>US_24253</v>
          </cell>
          <cell r="AS547">
            <v>0</v>
          </cell>
          <cell r="AT547">
            <v>176</v>
          </cell>
          <cell r="AU547">
            <v>176</v>
          </cell>
          <cell r="AV547">
            <v>0</v>
          </cell>
          <cell r="AW547">
            <v>1760</v>
          </cell>
          <cell r="AX547">
            <v>1760</v>
          </cell>
          <cell r="AY547">
            <v>1760</v>
          </cell>
          <cell r="AZ547">
            <v>75</v>
          </cell>
          <cell r="BA547">
            <v>28</v>
          </cell>
          <cell r="BB547">
            <v>4928</v>
          </cell>
          <cell r="BC547">
            <v>53.225806451612897</v>
          </cell>
          <cell r="BD547">
            <v>1760</v>
          </cell>
          <cell r="BE547">
            <v>1408</v>
          </cell>
          <cell r="BF547">
            <v>1760</v>
          </cell>
          <cell r="BG547">
            <v>12320</v>
          </cell>
          <cell r="BH547">
            <v>12320</v>
          </cell>
          <cell r="BI547">
            <v>10560</v>
          </cell>
          <cell r="BJ547">
            <v>0</v>
          </cell>
          <cell r="BK547">
            <v>0</v>
          </cell>
          <cell r="BL547">
            <v>0</v>
          </cell>
          <cell r="BM547">
            <v>10560</v>
          </cell>
          <cell r="BN547">
            <v>0</v>
          </cell>
          <cell r="BO547">
            <v>1760</v>
          </cell>
          <cell r="BP547" t="str">
            <v>Y</v>
          </cell>
          <cell r="BQ547">
            <v>1</v>
          </cell>
          <cell r="BR547" t="str">
            <v>Y</v>
          </cell>
          <cell r="BS547">
            <v>4928</v>
          </cell>
          <cell r="BT547" t="str">
            <v>Done</v>
          </cell>
          <cell r="BU547">
            <v>176</v>
          </cell>
          <cell r="BV547">
            <v>2024</v>
          </cell>
        </row>
        <row r="548">
          <cell r="A548" t="str">
            <v>Chennai</v>
          </cell>
          <cell r="B548" t="str">
            <v>Chennai</v>
          </cell>
          <cell r="C548" t="str">
            <v>Mid Level</v>
          </cell>
          <cell r="D548" t="str">
            <v>Vinoth L</v>
          </cell>
          <cell r="E548" t="str">
            <v>-</v>
          </cell>
          <cell r="H548" t="str">
            <v>R Richardson</v>
          </cell>
          <cell r="L548" t="str">
            <v>Old</v>
          </cell>
          <cell r="M548">
            <v>45504</v>
          </cell>
          <cell r="N548">
            <v>3</v>
          </cell>
          <cell r="O548">
            <v>542</v>
          </cell>
          <cell r="P548">
            <v>45807</v>
          </cell>
          <cell r="Q548">
            <v>45869</v>
          </cell>
          <cell r="R548" t="str">
            <v>PLC-3897</v>
          </cell>
          <cell r="S548" t="str">
            <v>Saranya Thoppe Neelakantan</v>
          </cell>
          <cell r="T548" t="str">
            <v>Individual</v>
          </cell>
          <cell r="U548" t="str">
            <v>C2C</v>
          </cell>
          <cell r="V548" t="str">
            <v>Citius Tech</v>
          </cell>
          <cell r="W548">
            <v>60</v>
          </cell>
          <cell r="X548">
            <v>0</v>
          </cell>
          <cell r="Y548" t="str">
            <v>USD</v>
          </cell>
          <cell r="Z548">
            <v>70</v>
          </cell>
          <cell r="AA548">
            <v>0</v>
          </cell>
          <cell r="AB548">
            <v>0</v>
          </cell>
          <cell r="AC548">
            <v>0</v>
          </cell>
          <cell r="AD548">
            <v>45703</v>
          </cell>
          <cell r="AE548">
            <v>20</v>
          </cell>
          <cell r="AF548">
            <v>46022</v>
          </cell>
          <cell r="AG548">
            <v>60</v>
          </cell>
          <cell r="AH548">
            <v>0</v>
          </cell>
          <cell r="AI548">
            <v>60</v>
          </cell>
          <cell r="AJ548">
            <v>70</v>
          </cell>
          <cell r="AK548">
            <v>0</v>
          </cell>
          <cell r="AL548">
            <v>0</v>
          </cell>
          <cell r="AM548">
            <v>10</v>
          </cell>
          <cell r="AN548">
            <v>0</v>
          </cell>
          <cell r="AO548">
            <v>10</v>
          </cell>
          <cell r="AP548">
            <v>0</v>
          </cell>
          <cell r="AQ548">
            <v>10</v>
          </cell>
          <cell r="AR548" t="str">
            <v>US_24458</v>
          </cell>
          <cell r="AS548">
            <v>0</v>
          </cell>
          <cell r="AT548">
            <v>160</v>
          </cell>
          <cell r="AU548">
            <v>160</v>
          </cell>
          <cell r="AV548">
            <v>0</v>
          </cell>
          <cell r="AW548">
            <v>1600</v>
          </cell>
          <cell r="AX548">
            <v>1600</v>
          </cell>
          <cell r="AY548">
            <v>1600</v>
          </cell>
          <cell r="AZ548">
            <v>75</v>
          </cell>
          <cell r="BA548">
            <v>28</v>
          </cell>
          <cell r="BB548">
            <v>4480</v>
          </cell>
          <cell r="BC548">
            <v>53.225806451612897</v>
          </cell>
          <cell r="BD548">
            <v>1600</v>
          </cell>
          <cell r="BE548">
            <v>1280</v>
          </cell>
          <cell r="BF548">
            <v>1600</v>
          </cell>
          <cell r="BG548">
            <v>11200</v>
          </cell>
          <cell r="BH548">
            <v>11200</v>
          </cell>
          <cell r="BI548">
            <v>9600</v>
          </cell>
          <cell r="BJ548">
            <v>0</v>
          </cell>
          <cell r="BK548">
            <v>0</v>
          </cell>
          <cell r="BL548">
            <v>0</v>
          </cell>
          <cell r="BM548">
            <v>9600</v>
          </cell>
          <cell r="BN548">
            <v>0</v>
          </cell>
          <cell r="BO548">
            <v>1600</v>
          </cell>
          <cell r="BP548" t="str">
            <v>Y</v>
          </cell>
          <cell r="BQ548">
            <v>1</v>
          </cell>
          <cell r="BR548" t="str">
            <v>Y</v>
          </cell>
          <cell r="BS548">
            <v>4480</v>
          </cell>
          <cell r="BT548" t="str">
            <v>Done</v>
          </cell>
          <cell r="BU548">
            <v>160</v>
          </cell>
          <cell r="BV548">
            <v>2024</v>
          </cell>
        </row>
        <row r="549">
          <cell r="A549" t="str">
            <v>Chennai</v>
          </cell>
          <cell r="B549" t="str">
            <v>Chennai</v>
          </cell>
          <cell r="C549" t="str">
            <v>Mid Level</v>
          </cell>
          <cell r="D549" t="str">
            <v>Vinoth L</v>
          </cell>
          <cell r="E549" t="str">
            <v>-</v>
          </cell>
          <cell r="H549" t="str">
            <v>R Richardson</v>
          </cell>
          <cell r="L549" t="str">
            <v>Old</v>
          </cell>
          <cell r="M549">
            <v>45504</v>
          </cell>
          <cell r="N549">
            <v>3</v>
          </cell>
          <cell r="O549">
            <v>542</v>
          </cell>
          <cell r="P549">
            <v>45807</v>
          </cell>
          <cell r="Q549">
            <v>45869</v>
          </cell>
          <cell r="R549" t="str">
            <v>PLC-3897</v>
          </cell>
          <cell r="S549" t="str">
            <v>Saranya Thoppe Neelakantan</v>
          </cell>
          <cell r="T549" t="str">
            <v>Individual</v>
          </cell>
          <cell r="U549" t="str">
            <v>C2C</v>
          </cell>
          <cell r="V549" t="str">
            <v>Citius Tech</v>
          </cell>
          <cell r="W549">
            <v>60</v>
          </cell>
          <cell r="X549">
            <v>0</v>
          </cell>
          <cell r="Y549" t="str">
            <v>USD</v>
          </cell>
          <cell r="Z549">
            <v>70</v>
          </cell>
          <cell r="AA549">
            <v>0</v>
          </cell>
          <cell r="AB549">
            <v>0</v>
          </cell>
          <cell r="AC549">
            <v>0</v>
          </cell>
          <cell r="AD549">
            <v>45731</v>
          </cell>
          <cell r="AE549">
            <v>21</v>
          </cell>
          <cell r="AF549">
            <v>46022</v>
          </cell>
          <cell r="AG549">
            <v>60</v>
          </cell>
          <cell r="AH549">
            <v>0</v>
          </cell>
          <cell r="AI549">
            <v>60</v>
          </cell>
          <cell r="AJ549">
            <v>70</v>
          </cell>
          <cell r="AK549">
            <v>0</v>
          </cell>
          <cell r="AL549">
            <v>0</v>
          </cell>
          <cell r="AM549">
            <v>10</v>
          </cell>
          <cell r="AN549">
            <v>0</v>
          </cell>
          <cell r="AO549">
            <v>10</v>
          </cell>
          <cell r="AP549">
            <v>0</v>
          </cell>
          <cell r="AQ549">
            <v>10</v>
          </cell>
          <cell r="AR549" t="str">
            <v>US_24646</v>
          </cell>
          <cell r="AS549">
            <v>0</v>
          </cell>
          <cell r="AT549">
            <v>168</v>
          </cell>
          <cell r="AU549">
            <v>168</v>
          </cell>
          <cell r="AV549">
            <v>0</v>
          </cell>
          <cell r="AW549">
            <v>1680</v>
          </cell>
          <cell r="AX549">
            <v>1680</v>
          </cell>
          <cell r="AY549">
            <v>1680</v>
          </cell>
          <cell r="AZ549">
            <v>75</v>
          </cell>
          <cell r="BA549">
            <v>28</v>
          </cell>
          <cell r="BB549">
            <v>4704</v>
          </cell>
          <cell r="BC549">
            <v>53.225806451612897</v>
          </cell>
          <cell r="BD549">
            <v>1680</v>
          </cell>
          <cell r="BE549">
            <v>1344</v>
          </cell>
          <cell r="BF549">
            <v>1680</v>
          </cell>
          <cell r="BG549">
            <v>11760</v>
          </cell>
          <cell r="BH549">
            <v>11760</v>
          </cell>
          <cell r="BI549">
            <v>10080</v>
          </cell>
          <cell r="BJ549">
            <v>0</v>
          </cell>
          <cell r="BK549">
            <v>0</v>
          </cell>
          <cell r="BL549">
            <v>0</v>
          </cell>
          <cell r="BM549">
            <v>10080</v>
          </cell>
          <cell r="BN549">
            <v>0</v>
          </cell>
          <cell r="BO549">
            <v>1680</v>
          </cell>
          <cell r="BP549" t="str">
            <v>Y</v>
          </cell>
          <cell r="BQ549">
            <v>1</v>
          </cell>
          <cell r="BR549" t="str">
            <v>Y</v>
          </cell>
          <cell r="BS549">
            <v>4704</v>
          </cell>
          <cell r="BT549" t="str">
            <v>Done</v>
          </cell>
          <cell r="BU549">
            <v>168</v>
          </cell>
          <cell r="BV549">
            <v>2024</v>
          </cell>
        </row>
        <row r="550">
          <cell r="A550" t="str">
            <v>Chennai</v>
          </cell>
          <cell r="B550" t="str">
            <v>Chennai</v>
          </cell>
          <cell r="C550" t="str">
            <v>Mid Level</v>
          </cell>
          <cell r="D550" t="str">
            <v>Vinoth L</v>
          </cell>
          <cell r="E550" t="str">
            <v>-</v>
          </cell>
          <cell r="H550" t="str">
            <v>R Richardson</v>
          </cell>
          <cell r="L550" t="str">
            <v>Old</v>
          </cell>
          <cell r="M550">
            <v>45504</v>
          </cell>
          <cell r="N550">
            <v>3</v>
          </cell>
          <cell r="O550">
            <v>542</v>
          </cell>
          <cell r="P550">
            <v>45807</v>
          </cell>
          <cell r="Q550">
            <v>45869</v>
          </cell>
          <cell r="R550" t="str">
            <v>PLC-3897</v>
          </cell>
          <cell r="S550" t="str">
            <v>Saranya Thoppe Neelakantan</v>
          </cell>
          <cell r="T550" t="str">
            <v>Individual</v>
          </cell>
          <cell r="U550" t="str">
            <v>C2C</v>
          </cell>
          <cell r="V550" t="str">
            <v>Citius Tech</v>
          </cell>
          <cell r="W550">
            <v>60</v>
          </cell>
          <cell r="X550">
            <v>0</v>
          </cell>
          <cell r="Y550" t="str">
            <v>USD</v>
          </cell>
          <cell r="Z550">
            <v>70</v>
          </cell>
          <cell r="AA550">
            <v>0</v>
          </cell>
          <cell r="AB550">
            <v>0</v>
          </cell>
          <cell r="AC550">
            <v>0</v>
          </cell>
          <cell r="AD550">
            <v>45762</v>
          </cell>
          <cell r="AE550">
            <v>22</v>
          </cell>
          <cell r="AF550">
            <v>46022</v>
          </cell>
          <cell r="AG550">
            <v>60</v>
          </cell>
          <cell r="AH550">
            <v>0</v>
          </cell>
          <cell r="AI550">
            <v>60</v>
          </cell>
          <cell r="AJ550">
            <v>70</v>
          </cell>
          <cell r="AK550">
            <v>0</v>
          </cell>
          <cell r="AL550">
            <v>0</v>
          </cell>
          <cell r="AM550">
            <v>10</v>
          </cell>
          <cell r="AN550">
            <v>0</v>
          </cell>
          <cell r="AO550">
            <v>10</v>
          </cell>
          <cell r="AP550">
            <v>0</v>
          </cell>
          <cell r="AQ550">
            <v>10</v>
          </cell>
          <cell r="AR550" t="str">
            <v>US_24853</v>
          </cell>
          <cell r="AS550">
            <v>0</v>
          </cell>
          <cell r="AT550">
            <v>176</v>
          </cell>
          <cell r="AU550">
            <v>176</v>
          </cell>
          <cell r="AV550">
            <v>0</v>
          </cell>
          <cell r="AW550">
            <v>1760</v>
          </cell>
          <cell r="AX550">
            <v>1760</v>
          </cell>
          <cell r="AY550">
            <v>1760</v>
          </cell>
          <cell r="AZ550">
            <v>75</v>
          </cell>
          <cell r="BA550">
            <v>28</v>
          </cell>
          <cell r="BB550">
            <v>4928</v>
          </cell>
          <cell r="BC550">
            <v>53.225806451612897</v>
          </cell>
          <cell r="BD550">
            <v>1760</v>
          </cell>
          <cell r="BE550">
            <v>1408</v>
          </cell>
          <cell r="BF550">
            <v>1760</v>
          </cell>
          <cell r="BG550">
            <v>12320</v>
          </cell>
          <cell r="BH550">
            <v>12320</v>
          </cell>
          <cell r="BI550">
            <v>10560</v>
          </cell>
          <cell r="BJ550">
            <v>0</v>
          </cell>
          <cell r="BK550">
            <v>0</v>
          </cell>
          <cell r="BL550">
            <v>0</v>
          </cell>
          <cell r="BM550">
            <v>10560</v>
          </cell>
          <cell r="BN550">
            <v>0</v>
          </cell>
          <cell r="BO550">
            <v>1760</v>
          </cell>
          <cell r="BP550" t="str">
            <v>Y</v>
          </cell>
          <cell r="BQ550">
            <v>2</v>
          </cell>
          <cell r="BR550" t="str">
            <v>Y</v>
          </cell>
          <cell r="BS550">
            <v>4928</v>
          </cell>
          <cell r="BT550" t="str">
            <v>Done</v>
          </cell>
          <cell r="BU550">
            <v>176</v>
          </cell>
          <cell r="BV550">
            <v>2024</v>
          </cell>
        </row>
        <row r="551">
          <cell r="A551" t="str">
            <v>Lucknow</v>
          </cell>
          <cell r="B551" t="str">
            <v>Vantedge</v>
          </cell>
          <cell r="C551" t="str">
            <v>Senior</v>
          </cell>
          <cell r="D551" t="str">
            <v>Mayank Saxena</v>
          </cell>
          <cell r="E551" t="str">
            <v>-</v>
          </cell>
          <cell r="H551" t="str">
            <v>Govind Srivastava</v>
          </cell>
          <cell r="K551" t="str">
            <v> Tanya Mishra</v>
          </cell>
          <cell r="L551" t="str">
            <v>New</v>
          </cell>
          <cell r="M551">
            <v>45740</v>
          </cell>
          <cell r="N551">
            <v>1</v>
          </cell>
          <cell r="O551">
            <v>306</v>
          </cell>
          <cell r="P551" t="str">
            <v>-</v>
          </cell>
          <cell r="Q551">
            <v>46105</v>
          </cell>
          <cell r="R551" t="str">
            <v>PLC-4196</v>
          </cell>
          <cell r="S551" t="str">
            <v>Satish Manam</v>
          </cell>
          <cell r="T551" t="str">
            <v>Individual</v>
          </cell>
          <cell r="U551" t="str">
            <v>FTE</v>
          </cell>
          <cell r="V551" t="str">
            <v>Quess GTS</v>
          </cell>
          <cell r="W551">
            <v>0</v>
          </cell>
          <cell r="X551">
            <v>0</v>
          </cell>
          <cell r="Y551" t="str">
            <v>USD</v>
          </cell>
          <cell r="Z551">
            <v>29900</v>
          </cell>
          <cell r="AA551">
            <v>0</v>
          </cell>
          <cell r="AB551">
            <v>0</v>
          </cell>
          <cell r="AC551">
            <v>0</v>
          </cell>
          <cell r="AD551">
            <v>45731</v>
          </cell>
          <cell r="AE551">
            <v>1</v>
          </cell>
          <cell r="AF551">
            <v>46022</v>
          </cell>
          <cell r="AG551">
            <v>0</v>
          </cell>
          <cell r="AH551">
            <v>0</v>
          </cell>
          <cell r="AI551">
            <v>0</v>
          </cell>
          <cell r="AJ551">
            <v>29900</v>
          </cell>
          <cell r="AK551">
            <v>0</v>
          </cell>
          <cell r="AL551">
            <v>0</v>
          </cell>
          <cell r="AM551">
            <v>29900</v>
          </cell>
          <cell r="AN551">
            <v>0</v>
          </cell>
          <cell r="AO551">
            <v>29900</v>
          </cell>
          <cell r="AP551">
            <v>0</v>
          </cell>
          <cell r="AQ551">
            <v>29900</v>
          </cell>
          <cell r="AR551" t="str">
            <v>US_24718</v>
          </cell>
          <cell r="AS551">
            <v>0</v>
          </cell>
          <cell r="AT551">
            <v>1</v>
          </cell>
          <cell r="AU551">
            <v>1</v>
          </cell>
          <cell r="AV551">
            <v>0</v>
          </cell>
          <cell r="AW551">
            <v>29900</v>
          </cell>
          <cell r="AX551">
            <v>29900</v>
          </cell>
          <cell r="AY551">
            <v>29900</v>
          </cell>
          <cell r="AZ551">
            <v>127</v>
          </cell>
          <cell r="BA551">
            <v>47840</v>
          </cell>
          <cell r="BB551">
            <v>47840</v>
          </cell>
          <cell r="BC551">
            <v>82</v>
          </cell>
          <cell r="BD551">
            <v>29900</v>
          </cell>
          <cell r="BE551">
            <v>35880</v>
          </cell>
          <cell r="BF551">
            <v>29900</v>
          </cell>
          <cell r="BG551">
            <v>29900</v>
          </cell>
          <cell r="BH551">
            <v>29900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29900</v>
          </cell>
          <cell r="BP551" t="str">
            <v>Y</v>
          </cell>
          <cell r="BQ551">
            <v>1</v>
          </cell>
          <cell r="BR551" t="str">
            <v>Y</v>
          </cell>
          <cell r="BS551">
            <v>47840</v>
          </cell>
          <cell r="BT551" t="str">
            <v>Done</v>
          </cell>
          <cell r="BU551">
            <v>0</v>
          </cell>
          <cell r="BV551">
            <v>2025</v>
          </cell>
        </row>
        <row r="552">
          <cell r="A552" t="str">
            <v>Lucknow</v>
          </cell>
          <cell r="B552" t="str">
            <v>Trust</v>
          </cell>
          <cell r="C552" t="str">
            <v>Mid Level</v>
          </cell>
          <cell r="D552" t="str">
            <v>Bhanu Pratap Singh</v>
          </cell>
          <cell r="E552" t="str">
            <v>-</v>
          </cell>
          <cell r="H552" t="str">
            <v>Pass Through</v>
          </cell>
          <cell r="K552">
            <v>0</v>
          </cell>
          <cell r="L552" t="str">
            <v>Old</v>
          </cell>
          <cell r="M552">
            <v>45496</v>
          </cell>
          <cell r="N552">
            <v>3</v>
          </cell>
          <cell r="O552">
            <v>550</v>
          </cell>
          <cell r="P552" t="str">
            <v>-</v>
          </cell>
          <cell r="Q552">
            <v>45861</v>
          </cell>
          <cell r="R552" t="str">
            <v>PLC-3882</v>
          </cell>
          <cell r="S552" t="str">
            <v>Saubhik Ray Chaudhuri</v>
          </cell>
          <cell r="T552" t="str">
            <v>Individual</v>
          </cell>
          <cell r="U552" t="str">
            <v>C2C</v>
          </cell>
          <cell r="V552" t="str">
            <v>Birlasoft</v>
          </cell>
          <cell r="W552">
            <v>235</v>
          </cell>
          <cell r="X552">
            <v>0</v>
          </cell>
          <cell r="Y552" t="str">
            <v>USD</v>
          </cell>
          <cell r="Z552">
            <v>237</v>
          </cell>
          <cell r="AA552">
            <v>0</v>
          </cell>
          <cell r="AB552">
            <v>0</v>
          </cell>
          <cell r="AC552">
            <v>0</v>
          </cell>
          <cell r="AD552">
            <v>45672</v>
          </cell>
          <cell r="AE552">
            <v>23</v>
          </cell>
          <cell r="AF552">
            <v>46022</v>
          </cell>
          <cell r="AG552">
            <v>235</v>
          </cell>
          <cell r="AH552">
            <v>0</v>
          </cell>
          <cell r="AI552">
            <v>235</v>
          </cell>
          <cell r="AJ552">
            <v>237</v>
          </cell>
          <cell r="AK552">
            <v>0</v>
          </cell>
          <cell r="AL552">
            <v>0</v>
          </cell>
          <cell r="AM552">
            <v>2</v>
          </cell>
          <cell r="AN552">
            <v>0</v>
          </cell>
          <cell r="AO552">
            <v>2</v>
          </cell>
          <cell r="AP552">
            <v>0</v>
          </cell>
          <cell r="AQ552">
            <v>2</v>
          </cell>
          <cell r="AR552" t="str">
            <v>US_24250</v>
          </cell>
          <cell r="AS552">
            <v>0</v>
          </cell>
          <cell r="AT552">
            <v>152</v>
          </cell>
          <cell r="AU552">
            <v>152</v>
          </cell>
          <cell r="AV552">
            <v>0</v>
          </cell>
          <cell r="AW552">
            <v>304</v>
          </cell>
          <cell r="AX552">
            <v>304</v>
          </cell>
          <cell r="AY552">
            <v>304</v>
          </cell>
          <cell r="AZ552">
            <v>0</v>
          </cell>
          <cell r="BA552">
            <v>0</v>
          </cell>
          <cell r="BB552">
            <v>0</v>
          </cell>
          <cell r="BD552">
            <v>304</v>
          </cell>
          <cell r="BF552">
            <v>304</v>
          </cell>
          <cell r="BG552">
            <v>36024</v>
          </cell>
          <cell r="BH552">
            <v>36024</v>
          </cell>
          <cell r="BI552">
            <v>35720</v>
          </cell>
          <cell r="BJ552">
            <v>0</v>
          </cell>
          <cell r="BK552">
            <v>0</v>
          </cell>
          <cell r="BL552">
            <v>0</v>
          </cell>
          <cell r="BM552">
            <v>35720</v>
          </cell>
          <cell r="BN552">
            <v>0</v>
          </cell>
          <cell r="BO552">
            <v>304</v>
          </cell>
          <cell r="BP552" t="str">
            <v>Y</v>
          </cell>
          <cell r="BQ552">
            <v>1</v>
          </cell>
          <cell r="BR552" t="str">
            <v>Y</v>
          </cell>
          <cell r="BS552">
            <v>0</v>
          </cell>
          <cell r="BT552" t="str">
            <v>Done</v>
          </cell>
          <cell r="BU552">
            <v>152</v>
          </cell>
          <cell r="BV552">
            <v>2024</v>
          </cell>
        </row>
        <row r="553">
          <cell r="A553" t="str">
            <v>Lucknow</v>
          </cell>
          <cell r="B553" t="str">
            <v>Trust</v>
          </cell>
          <cell r="C553" t="str">
            <v>Mid Level</v>
          </cell>
          <cell r="D553" t="str">
            <v>Bhanu Pratap Singh</v>
          </cell>
          <cell r="E553" t="str">
            <v>-</v>
          </cell>
          <cell r="H553" t="str">
            <v>Pass Through</v>
          </cell>
          <cell r="K553">
            <v>0</v>
          </cell>
          <cell r="L553" t="str">
            <v>Old</v>
          </cell>
          <cell r="M553">
            <v>45496</v>
          </cell>
          <cell r="N553">
            <v>3</v>
          </cell>
          <cell r="O553">
            <v>550</v>
          </cell>
          <cell r="P553" t="str">
            <v>-</v>
          </cell>
          <cell r="Q553">
            <v>45861</v>
          </cell>
          <cell r="R553" t="str">
            <v>PLC-3882</v>
          </cell>
          <cell r="S553" t="str">
            <v>Saubhik Ray Chaudhuri</v>
          </cell>
          <cell r="T553" t="str">
            <v>Individual</v>
          </cell>
          <cell r="U553" t="str">
            <v>C2C</v>
          </cell>
          <cell r="V553" t="str">
            <v>Birlasoft</v>
          </cell>
          <cell r="W553">
            <v>235</v>
          </cell>
          <cell r="X553">
            <v>0</v>
          </cell>
          <cell r="Y553" t="str">
            <v>USD</v>
          </cell>
          <cell r="Z553">
            <v>237</v>
          </cell>
          <cell r="AA553">
            <v>0</v>
          </cell>
          <cell r="AB553">
            <v>0</v>
          </cell>
          <cell r="AC553">
            <v>0</v>
          </cell>
          <cell r="AD553">
            <v>45703</v>
          </cell>
          <cell r="AE553">
            <v>20</v>
          </cell>
          <cell r="AF553">
            <v>46022</v>
          </cell>
          <cell r="AG553">
            <v>235</v>
          </cell>
          <cell r="AH553">
            <v>0</v>
          </cell>
          <cell r="AI553">
            <v>235</v>
          </cell>
          <cell r="AJ553">
            <v>237</v>
          </cell>
          <cell r="AK553">
            <v>0</v>
          </cell>
          <cell r="AL553">
            <v>0</v>
          </cell>
          <cell r="AM553">
            <v>2</v>
          </cell>
          <cell r="AN553">
            <v>0</v>
          </cell>
          <cell r="AO553">
            <v>2</v>
          </cell>
          <cell r="AP553">
            <v>0</v>
          </cell>
          <cell r="AQ553">
            <v>2</v>
          </cell>
          <cell r="AR553" t="str">
            <v>US_24455</v>
          </cell>
          <cell r="AS553">
            <v>0</v>
          </cell>
          <cell r="AT553">
            <v>160</v>
          </cell>
          <cell r="AU553">
            <v>160</v>
          </cell>
          <cell r="AV553">
            <v>0</v>
          </cell>
          <cell r="AW553">
            <v>320</v>
          </cell>
          <cell r="AX553">
            <v>320</v>
          </cell>
          <cell r="AY553">
            <v>320</v>
          </cell>
          <cell r="AZ553">
            <v>0</v>
          </cell>
          <cell r="BA553">
            <v>0</v>
          </cell>
          <cell r="BB553">
            <v>0</v>
          </cell>
          <cell r="BD553">
            <v>320</v>
          </cell>
          <cell r="BF553">
            <v>320</v>
          </cell>
          <cell r="BG553">
            <v>37920</v>
          </cell>
          <cell r="BH553">
            <v>37920</v>
          </cell>
          <cell r="BI553">
            <v>37600</v>
          </cell>
          <cell r="BJ553">
            <v>0</v>
          </cell>
          <cell r="BK553">
            <v>0</v>
          </cell>
          <cell r="BL553">
            <v>0</v>
          </cell>
          <cell r="BM553">
            <v>37600</v>
          </cell>
          <cell r="BN553">
            <v>0</v>
          </cell>
          <cell r="BO553">
            <v>320</v>
          </cell>
          <cell r="BP553" t="str">
            <v>Y</v>
          </cell>
          <cell r="BQ553">
            <v>1</v>
          </cell>
          <cell r="BR553" t="str">
            <v>Y</v>
          </cell>
          <cell r="BS553">
            <v>0</v>
          </cell>
          <cell r="BT553" t="str">
            <v>Done</v>
          </cell>
          <cell r="BU553">
            <v>160</v>
          </cell>
          <cell r="BV553">
            <v>2024</v>
          </cell>
        </row>
        <row r="554">
          <cell r="A554" t="str">
            <v>Lucknow</v>
          </cell>
          <cell r="B554" t="str">
            <v>Trust</v>
          </cell>
          <cell r="C554" t="str">
            <v>Mid Level</v>
          </cell>
          <cell r="D554" t="str">
            <v>Bhanu Pratap Singh</v>
          </cell>
          <cell r="E554" t="str">
            <v>-</v>
          </cell>
          <cell r="H554" t="str">
            <v>Pass Through</v>
          </cell>
          <cell r="K554">
            <v>0</v>
          </cell>
          <cell r="L554" t="str">
            <v>Old</v>
          </cell>
          <cell r="M554">
            <v>45496</v>
          </cell>
          <cell r="N554">
            <v>3</v>
          </cell>
          <cell r="O554">
            <v>550</v>
          </cell>
          <cell r="P554" t="str">
            <v>-</v>
          </cell>
          <cell r="Q554">
            <v>45861</v>
          </cell>
          <cell r="R554" t="str">
            <v>PLC-3882</v>
          </cell>
          <cell r="S554" t="str">
            <v>Saubhik Ray Chaudhuri</v>
          </cell>
          <cell r="T554" t="str">
            <v>Individual</v>
          </cell>
          <cell r="U554" t="str">
            <v>C2C</v>
          </cell>
          <cell r="V554" t="str">
            <v>Birlasoft</v>
          </cell>
          <cell r="W554">
            <v>235</v>
          </cell>
          <cell r="X554">
            <v>0</v>
          </cell>
          <cell r="Y554" t="str">
            <v>USD</v>
          </cell>
          <cell r="Z554">
            <v>237</v>
          </cell>
          <cell r="AA554">
            <v>0</v>
          </cell>
          <cell r="AB554">
            <v>0</v>
          </cell>
          <cell r="AC554">
            <v>0</v>
          </cell>
          <cell r="AD554">
            <v>45731</v>
          </cell>
          <cell r="AE554">
            <v>21</v>
          </cell>
          <cell r="AF554">
            <v>46022</v>
          </cell>
          <cell r="AG554">
            <v>235</v>
          </cell>
          <cell r="AH554">
            <v>0</v>
          </cell>
          <cell r="AI554">
            <v>235</v>
          </cell>
          <cell r="AJ554">
            <v>237</v>
          </cell>
          <cell r="AK554">
            <v>0</v>
          </cell>
          <cell r="AL554">
            <v>0</v>
          </cell>
          <cell r="AM554">
            <v>2</v>
          </cell>
          <cell r="AN554">
            <v>0</v>
          </cell>
          <cell r="AO554">
            <v>2</v>
          </cell>
          <cell r="AP554">
            <v>0</v>
          </cell>
          <cell r="AQ554">
            <v>2</v>
          </cell>
          <cell r="AR554" t="str">
            <v>US_24643</v>
          </cell>
          <cell r="AS554">
            <v>0</v>
          </cell>
          <cell r="AT554">
            <v>168</v>
          </cell>
          <cell r="AU554">
            <v>168</v>
          </cell>
          <cell r="AV554">
            <v>0</v>
          </cell>
          <cell r="AW554">
            <v>336</v>
          </cell>
          <cell r="AX554">
            <v>336</v>
          </cell>
          <cell r="AY554">
            <v>336</v>
          </cell>
          <cell r="AZ554">
            <v>0</v>
          </cell>
          <cell r="BA554">
            <v>0</v>
          </cell>
          <cell r="BB554">
            <v>0</v>
          </cell>
          <cell r="BD554">
            <v>336</v>
          </cell>
          <cell r="BF554">
            <v>336</v>
          </cell>
          <cell r="BG554">
            <v>39816</v>
          </cell>
          <cell r="BH554">
            <v>39816</v>
          </cell>
          <cell r="BI554">
            <v>39480</v>
          </cell>
          <cell r="BJ554">
            <v>0</v>
          </cell>
          <cell r="BK554">
            <v>0</v>
          </cell>
          <cell r="BL554">
            <v>0</v>
          </cell>
          <cell r="BM554">
            <v>39480</v>
          </cell>
          <cell r="BN554">
            <v>0</v>
          </cell>
          <cell r="BO554">
            <v>336</v>
          </cell>
          <cell r="BP554" t="str">
            <v>Y</v>
          </cell>
          <cell r="BQ554">
            <v>1</v>
          </cell>
          <cell r="BR554" t="str">
            <v>Y</v>
          </cell>
          <cell r="BS554">
            <v>0</v>
          </cell>
          <cell r="BT554" t="str">
            <v>Done</v>
          </cell>
          <cell r="BU554">
            <v>168</v>
          </cell>
          <cell r="BV554">
            <v>2024</v>
          </cell>
        </row>
        <row r="555">
          <cell r="A555" t="str">
            <v>Lucknow</v>
          </cell>
          <cell r="B555" t="str">
            <v>Trust</v>
          </cell>
          <cell r="C555" t="str">
            <v>Mid Level</v>
          </cell>
          <cell r="D555" t="str">
            <v>Bhanu Pratap Singh</v>
          </cell>
          <cell r="E555" t="str">
            <v>-</v>
          </cell>
          <cell r="H555" t="str">
            <v>Pass Through</v>
          </cell>
          <cell r="K555">
            <v>0</v>
          </cell>
          <cell r="L555" t="str">
            <v>Old</v>
          </cell>
          <cell r="M555">
            <v>45496</v>
          </cell>
          <cell r="N555">
            <v>3</v>
          </cell>
          <cell r="O555">
            <v>550</v>
          </cell>
          <cell r="P555" t="str">
            <v>-</v>
          </cell>
          <cell r="Q555">
            <v>45861</v>
          </cell>
          <cell r="R555" t="str">
            <v>PLC-3882</v>
          </cell>
          <cell r="S555" t="str">
            <v>Saubhik Ray Chaudhuri</v>
          </cell>
          <cell r="T555" t="str">
            <v>Individual</v>
          </cell>
          <cell r="U555" t="str">
            <v>C2C</v>
          </cell>
          <cell r="V555" t="str">
            <v>Birlasoft</v>
          </cell>
          <cell r="W555">
            <v>235</v>
          </cell>
          <cell r="X555">
            <v>0</v>
          </cell>
          <cell r="Y555" t="str">
            <v>USD</v>
          </cell>
          <cell r="Z555">
            <v>237</v>
          </cell>
          <cell r="AA555">
            <v>0</v>
          </cell>
          <cell r="AB555">
            <v>0</v>
          </cell>
          <cell r="AC555">
            <v>0</v>
          </cell>
          <cell r="AD555">
            <v>45762</v>
          </cell>
          <cell r="AE555">
            <v>22</v>
          </cell>
          <cell r="AF555">
            <v>46022</v>
          </cell>
          <cell r="AG555">
            <v>235</v>
          </cell>
          <cell r="AH555">
            <v>0</v>
          </cell>
          <cell r="AI555">
            <v>235</v>
          </cell>
          <cell r="AJ555">
            <v>237</v>
          </cell>
          <cell r="AK555">
            <v>0</v>
          </cell>
          <cell r="AL555">
            <v>0</v>
          </cell>
          <cell r="AM555">
            <v>2</v>
          </cell>
          <cell r="AN555">
            <v>0</v>
          </cell>
          <cell r="AO555">
            <v>2</v>
          </cell>
          <cell r="AP555">
            <v>0</v>
          </cell>
          <cell r="AQ555">
            <v>2</v>
          </cell>
          <cell r="AR555" t="str">
            <v>US_24850</v>
          </cell>
          <cell r="AS555">
            <v>0</v>
          </cell>
          <cell r="AT555">
            <v>152</v>
          </cell>
          <cell r="AU555">
            <v>152</v>
          </cell>
          <cell r="AV555">
            <v>0</v>
          </cell>
          <cell r="AW555">
            <v>304</v>
          </cell>
          <cell r="AX555">
            <v>304</v>
          </cell>
          <cell r="AY555">
            <v>304</v>
          </cell>
          <cell r="AZ555">
            <v>0</v>
          </cell>
          <cell r="BA555">
            <v>0</v>
          </cell>
          <cell r="BB555">
            <v>0</v>
          </cell>
          <cell r="BD555">
            <v>304</v>
          </cell>
          <cell r="BF555">
            <v>304</v>
          </cell>
          <cell r="BG555">
            <v>36024</v>
          </cell>
          <cell r="BH555">
            <v>36024</v>
          </cell>
          <cell r="BI555">
            <v>35720</v>
          </cell>
          <cell r="BJ555">
            <v>0</v>
          </cell>
          <cell r="BK555">
            <v>0</v>
          </cell>
          <cell r="BL555">
            <v>0</v>
          </cell>
          <cell r="BM555">
            <v>35720</v>
          </cell>
          <cell r="BN555">
            <v>0</v>
          </cell>
          <cell r="BO555">
            <v>304</v>
          </cell>
          <cell r="BP555" t="str">
            <v>Y</v>
          </cell>
          <cell r="BQ555">
            <v>2</v>
          </cell>
          <cell r="BR555" t="str">
            <v>Y</v>
          </cell>
          <cell r="BS555">
            <v>0</v>
          </cell>
          <cell r="BT555" t="str">
            <v>Done</v>
          </cell>
          <cell r="BU555">
            <v>152</v>
          </cell>
          <cell r="BV555">
            <v>2024</v>
          </cell>
        </row>
        <row r="556">
          <cell r="A556" t="str">
            <v>Lucknow</v>
          </cell>
          <cell r="B556" t="str">
            <v>Mavericks</v>
          </cell>
          <cell r="C556" t="str">
            <v>Mid Level</v>
          </cell>
          <cell r="D556" t="str">
            <v>Mohammad Fakhrul</v>
          </cell>
          <cell r="E556" t="str">
            <v>-</v>
          </cell>
          <cell r="H556" t="str">
            <v>Pass Through</v>
          </cell>
          <cell r="J556" t="str">
            <v>ACH</v>
          </cell>
          <cell r="K556">
            <v>0</v>
          </cell>
          <cell r="L556" t="str">
            <v>Old</v>
          </cell>
          <cell r="M556">
            <v>45509</v>
          </cell>
          <cell r="N556">
            <v>3</v>
          </cell>
          <cell r="O556">
            <v>537</v>
          </cell>
          <cell r="P556" t="str">
            <v>-</v>
          </cell>
          <cell r="Q556">
            <v>45874</v>
          </cell>
          <cell r="R556" t="str">
            <v>PLC-Passthrough</v>
          </cell>
          <cell r="S556" t="str">
            <v>Saurabh Deshpande</v>
          </cell>
          <cell r="T556" t="str">
            <v>Individual</v>
          </cell>
          <cell r="U556" t="str">
            <v>C2C</v>
          </cell>
          <cell r="V556" t="str">
            <v>Coforge</v>
          </cell>
          <cell r="W556">
            <v>79</v>
          </cell>
          <cell r="X556">
            <v>0</v>
          </cell>
          <cell r="Y556" t="str">
            <v>USD</v>
          </cell>
          <cell r="Z556">
            <v>80</v>
          </cell>
          <cell r="AA556">
            <v>0</v>
          </cell>
          <cell r="AB556">
            <v>0</v>
          </cell>
          <cell r="AC556">
            <v>0</v>
          </cell>
          <cell r="AD556">
            <v>45672</v>
          </cell>
          <cell r="AE556">
            <v>23</v>
          </cell>
          <cell r="AF556">
            <v>46022</v>
          </cell>
          <cell r="AG556">
            <v>79</v>
          </cell>
          <cell r="AH556">
            <v>0</v>
          </cell>
          <cell r="AI556">
            <v>79</v>
          </cell>
          <cell r="AJ556">
            <v>80</v>
          </cell>
          <cell r="AK556">
            <v>0</v>
          </cell>
          <cell r="AL556">
            <v>0</v>
          </cell>
          <cell r="AM556">
            <v>1</v>
          </cell>
          <cell r="AN556">
            <v>0</v>
          </cell>
          <cell r="AO556">
            <v>1</v>
          </cell>
          <cell r="AP556">
            <v>0</v>
          </cell>
          <cell r="AQ556">
            <v>1</v>
          </cell>
          <cell r="AR556" t="str">
            <v>US_24260</v>
          </cell>
          <cell r="AS556">
            <v>0</v>
          </cell>
          <cell r="AT556">
            <v>168</v>
          </cell>
          <cell r="AU556">
            <v>168</v>
          </cell>
          <cell r="AV556">
            <v>0</v>
          </cell>
          <cell r="AW556">
            <v>168</v>
          </cell>
          <cell r="AX556">
            <v>166.32</v>
          </cell>
          <cell r="AY556">
            <v>168</v>
          </cell>
          <cell r="AZ556">
            <v>0</v>
          </cell>
          <cell r="BA556">
            <v>0</v>
          </cell>
          <cell r="BB556">
            <v>0</v>
          </cell>
          <cell r="BD556">
            <v>168</v>
          </cell>
          <cell r="BF556">
            <v>166.32</v>
          </cell>
          <cell r="BG556">
            <v>13440</v>
          </cell>
          <cell r="BH556">
            <v>13440</v>
          </cell>
          <cell r="BI556">
            <v>13272</v>
          </cell>
          <cell r="BJ556">
            <v>0</v>
          </cell>
          <cell r="BK556">
            <v>0</v>
          </cell>
          <cell r="BL556">
            <v>0</v>
          </cell>
          <cell r="BM556">
            <v>13272</v>
          </cell>
          <cell r="BN556">
            <v>0</v>
          </cell>
          <cell r="BO556">
            <v>168</v>
          </cell>
          <cell r="BP556" t="str">
            <v>Y</v>
          </cell>
          <cell r="BQ556">
            <v>1</v>
          </cell>
          <cell r="BR556" t="str">
            <v>Y</v>
          </cell>
          <cell r="BS556">
            <v>0</v>
          </cell>
          <cell r="BT556" t="str">
            <v>Done</v>
          </cell>
          <cell r="BU556">
            <v>168</v>
          </cell>
          <cell r="BV556">
            <v>2024</v>
          </cell>
        </row>
        <row r="557">
          <cell r="A557" t="str">
            <v>Lucknow</v>
          </cell>
          <cell r="B557" t="str">
            <v>Mavericks</v>
          </cell>
          <cell r="C557" t="str">
            <v>Mid Level</v>
          </cell>
          <cell r="D557" t="str">
            <v>Mohammad Fakhrul</v>
          </cell>
          <cell r="E557" t="str">
            <v>-</v>
          </cell>
          <cell r="H557" t="str">
            <v>Pass Through</v>
          </cell>
          <cell r="J557" t="str">
            <v>ACH</v>
          </cell>
          <cell r="K557">
            <v>0</v>
          </cell>
          <cell r="L557" t="str">
            <v>Old</v>
          </cell>
          <cell r="M557">
            <v>45509</v>
          </cell>
          <cell r="N557">
            <v>3</v>
          </cell>
          <cell r="O557">
            <v>537</v>
          </cell>
          <cell r="P557" t="str">
            <v>-</v>
          </cell>
          <cell r="Q557">
            <v>45874</v>
          </cell>
          <cell r="R557" t="str">
            <v>PLC-Passthrough</v>
          </cell>
          <cell r="S557" t="str">
            <v>Saurabh Deshpande</v>
          </cell>
          <cell r="T557" t="str">
            <v>Individual</v>
          </cell>
          <cell r="U557" t="str">
            <v>C2C</v>
          </cell>
          <cell r="V557" t="str">
            <v>Coforge</v>
          </cell>
          <cell r="W557">
            <v>79</v>
          </cell>
          <cell r="X557">
            <v>0</v>
          </cell>
          <cell r="Y557" t="str">
            <v>USD</v>
          </cell>
          <cell r="Z557">
            <v>80</v>
          </cell>
          <cell r="AA557">
            <v>0</v>
          </cell>
          <cell r="AB557">
            <v>0</v>
          </cell>
          <cell r="AC557">
            <v>0</v>
          </cell>
          <cell r="AD557">
            <v>45703</v>
          </cell>
          <cell r="AE557">
            <v>20</v>
          </cell>
          <cell r="AF557">
            <v>46022</v>
          </cell>
          <cell r="AG557">
            <v>79</v>
          </cell>
          <cell r="AH557">
            <v>0</v>
          </cell>
          <cell r="AI557">
            <v>79</v>
          </cell>
          <cell r="AJ557">
            <v>80</v>
          </cell>
          <cell r="AK557">
            <v>0</v>
          </cell>
          <cell r="AL557">
            <v>0</v>
          </cell>
          <cell r="AM557">
            <v>1</v>
          </cell>
          <cell r="AN557">
            <v>0</v>
          </cell>
          <cell r="AO557">
            <v>1</v>
          </cell>
          <cell r="AP557">
            <v>0</v>
          </cell>
          <cell r="AQ557">
            <v>1</v>
          </cell>
          <cell r="AR557" t="str">
            <v>US_24462</v>
          </cell>
          <cell r="AS557">
            <v>0</v>
          </cell>
          <cell r="AT557">
            <v>152</v>
          </cell>
          <cell r="AU557">
            <v>152</v>
          </cell>
          <cell r="AV557">
            <v>0</v>
          </cell>
          <cell r="AW557">
            <v>152</v>
          </cell>
          <cell r="AX557">
            <v>150.47999999999999</v>
          </cell>
          <cell r="AY557">
            <v>152</v>
          </cell>
          <cell r="AZ557">
            <v>0</v>
          </cell>
          <cell r="BA557">
            <v>0</v>
          </cell>
          <cell r="BB557">
            <v>0</v>
          </cell>
          <cell r="BD557">
            <v>152</v>
          </cell>
          <cell r="BF557">
            <v>150.47999999999999</v>
          </cell>
          <cell r="BG557">
            <v>12160</v>
          </cell>
          <cell r="BH557">
            <v>12160</v>
          </cell>
          <cell r="BI557">
            <v>12008</v>
          </cell>
          <cell r="BJ557">
            <v>0</v>
          </cell>
          <cell r="BK557">
            <v>0</v>
          </cell>
          <cell r="BL557">
            <v>0</v>
          </cell>
          <cell r="BM557">
            <v>12008</v>
          </cell>
          <cell r="BN557">
            <v>0</v>
          </cell>
          <cell r="BO557">
            <v>152</v>
          </cell>
          <cell r="BP557" t="str">
            <v>Y</v>
          </cell>
          <cell r="BQ557">
            <v>1</v>
          </cell>
          <cell r="BR557" t="str">
            <v>Y</v>
          </cell>
          <cell r="BS557">
            <v>0</v>
          </cell>
          <cell r="BT557" t="str">
            <v>Done</v>
          </cell>
          <cell r="BU557">
            <v>152</v>
          </cell>
          <cell r="BV557">
            <v>2024</v>
          </cell>
        </row>
        <row r="558">
          <cell r="A558" t="str">
            <v>Lucknow</v>
          </cell>
          <cell r="B558" t="str">
            <v>Mavericks</v>
          </cell>
          <cell r="C558" t="str">
            <v>Mid Level</v>
          </cell>
          <cell r="D558" t="str">
            <v>Mohammad Fakhrul</v>
          </cell>
          <cell r="E558" t="str">
            <v>-</v>
          </cell>
          <cell r="H558" t="str">
            <v>Pass Through</v>
          </cell>
          <cell r="J558" t="str">
            <v>ACH</v>
          </cell>
          <cell r="K558">
            <v>0</v>
          </cell>
          <cell r="L558" t="str">
            <v>Old</v>
          </cell>
          <cell r="M558">
            <v>45509</v>
          </cell>
          <cell r="N558">
            <v>3</v>
          </cell>
          <cell r="O558">
            <v>537</v>
          </cell>
          <cell r="P558" t="str">
            <v>-</v>
          </cell>
          <cell r="Q558">
            <v>45874</v>
          </cell>
          <cell r="R558" t="str">
            <v>PLC-Passthrough</v>
          </cell>
          <cell r="S558" t="str">
            <v>Saurabh Deshpande</v>
          </cell>
          <cell r="T558" t="str">
            <v>Individual</v>
          </cell>
          <cell r="U558" t="str">
            <v>C2C</v>
          </cell>
          <cell r="V558" t="str">
            <v>Coforge</v>
          </cell>
          <cell r="W558">
            <v>79</v>
          </cell>
          <cell r="X558">
            <v>0</v>
          </cell>
          <cell r="Y558" t="str">
            <v>USD</v>
          </cell>
          <cell r="Z558">
            <v>80</v>
          </cell>
          <cell r="AA558">
            <v>0</v>
          </cell>
          <cell r="AB558">
            <v>0</v>
          </cell>
          <cell r="AC558">
            <v>0</v>
          </cell>
          <cell r="AD558">
            <v>45731</v>
          </cell>
          <cell r="AE558">
            <v>21</v>
          </cell>
          <cell r="AF558">
            <v>46022</v>
          </cell>
          <cell r="AG558">
            <v>79</v>
          </cell>
          <cell r="AH558">
            <v>0</v>
          </cell>
          <cell r="AI558">
            <v>79</v>
          </cell>
          <cell r="AJ558">
            <v>80</v>
          </cell>
          <cell r="AK558">
            <v>0</v>
          </cell>
          <cell r="AL558">
            <v>0</v>
          </cell>
          <cell r="AM558">
            <v>1</v>
          </cell>
          <cell r="AN558">
            <v>0</v>
          </cell>
          <cell r="AO558">
            <v>1</v>
          </cell>
          <cell r="AP558">
            <v>0</v>
          </cell>
          <cell r="AQ558">
            <v>1</v>
          </cell>
          <cell r="AR558" t="str">
            <v>US_24650</v>
          </cell>
          <cell r="AS558">
            <v>0</v>
          </cell>
          <cell r="AT558">
            <v>168</v>
          </cell>
          <cell r="AU558">
            <v>168</v>
          </cell>
          <cell r="AV558">
            <v>0</v>
          </cell>
          <cell r="AW558">
            <v>168</v>
          </cell>
          <cell r="AX558">
            <v>166.32</v>
          </cell>
          <cell r="AY558">
            <v>168</v>
          </cell>
          <cell r="AZ558">
            <v>0</v>
          </cell>
          <cell r="BA558">
            <v>0</v>
          </cell>
          <cell r="BB558">
            <v>0</v>
          </cell>
          <cell r="BD558">
            <v>168</v>
          </cell>
          <cell r="BF558">
            <v>166.32</v>
          </cell>
          <cell r="BG558">
            <v>13440</v>
          </cell>
          <cell r="BH558">
            <v>13440</v>
          </cell>
          <cell r="BI558">
            <v>13272</v>
          </cell>
          <cell r="BJ558">
            <v>0</v>
          </cell>
          <cell r="BK558">
            <v>0</v>
          </cell>
          <cell r="BL558">
            <v>0</v>
          </cell>
          <cell r="BM558">
            <v>13272</v>
          </cell>
          <cell r="BN558">
            <v>0</v>
          </cell>
          <cell r="BO558">
            <v>168</v>
          </cell>
          <cell r="BP558" t="str">
            <v>Y</v>
          </cell>
          <cell r="BQ558">
            <v>1</v>
          </cell>
          <cell r="BR558" t="str">
            <v>Y</v>
          </cell>
          <cell r="BS558">
            <v>0</v>
          </cell>
          <cell r="BT558" t="str">
            <v>Done</v>
          </cell>
          <cell r="BU558">
            <v>168</v>
          </cell>
          <cell r="BV558">
            <v>2024</v>
          </cell>
        </row>
        <row r="559">
          <cell r="A559" t="str">
            <v>Lucknow</v>
          </cell>
          <cell r="B559" t="str">
            <v>Mavericks</v>
          </cell>
          <cell r="C559" t="str">
            <v>Mid Level</v>
          </cell>
          <cell r="D559" t="str">
            <v>Mohammad Fakhrul</v>
          </cell>
          <cell r="E559" t="str">
            <v>-</v>
          </cell>
          <cell r="H559" t="str">
            <v>Pass Through</v>
          </cell>
          <cell r="J559" t="str">
            <v>ACH</v>
          </cell>
          <cell r="K559">
            <v>0</v>
          </cell>
          <cell r="L559" t="str">
            <v>Old</v>
          </cell>
          <cell r="M559">
            <v>45509</v>
          </cell>
          <cell r="N559">
            <v>3</v>
          </cell>
          <cell r="O559">
            <v>537</v>
          </cell>
          <cell r="P559" t="str">
            <v>-</v>
          </cell>
          <cell r="Q559">
            <v>45874</v>
          </cell>
          <cell r="R559" t="str">
            <v>PLC-Passthrough</v>
          </cell>
          <cell r="S559" t="str">
            <v>Saurabh Deshpande</v>
          </cell>
          <cell r="T559" t="str">
            <v>Individual</v>
          </cell>
          <cell r="U559" t="str">
            <v>C2C</v>
          </cell>
          <cell r="V559" t="str">
            <v>Coforge</v>
          </cell>
          <cell r="W559">
            <v>79</v>
          </cell>
          <cell r="X559">
            <v>0</v>
          </cell>
          <cell r="Y559" t="str">
            <v>USD</v>
          </cell>
          <cell r="Z559">
            <v>80</v>
          </cell>
          <cell r="AA559">
            <v>0</v>
          </cell>
          <cell r="AB559">
            <v>0</v>
          </cell>
          <cell r="AC559">
            <v>0</v>
          </cell>
          <cell r="AD559">
            <v>45762</v>
          </cell>
          <cell r="AE559">
            <v>22</v>
          </cell>
          <cell r="AF559">
            <v>46022</v>
          </cell>
          <cell r="AG559">
            <v>79</v>
          </cell>
          <cell r="AH559">
            <v>0</v>
          </cell>
          <cell r="AI559">
            <v>79</v>
          </cell>
          <cell r="AJ559">
            <v>80</v>
          </cell>
          <cell r="AK559">
            <v>0</v>
          </cell>
          <cell r="AL559">
            <v>0</v>
          </cell>
          <cell r="AM559">
            <v>1</v>
          </cell>
          <cell r="AN559">
            <v>0</v>
          </cell>
          <cell r="AO559">
            <v>1</v>
          </cell>
          <cell r="AP559">
            <v>0</v>
          </cell>
          <cell r="AQ559">
            <v>1</v>
          </cell>
          <cell r="AR559" t="str">
            <v>US_24857</v>
          </cell>
          <cell r="AS559">
            <v>0</v>
          </cell>
          <cell r="AT559">
            <v>176</v>
          </cell>
          <cell r="AU559">
            <v>176</v>
          </cell>
          <cell r="AV559">
            <v>0</v>
          </cell>
          <cell r="AW559">
            <v>176</v>
          </cell>
          <cell r="AX559">
            <v>174.24</v>
          </cell>
          <cell r="AY559">
            <v>176</v>
          </cell>
          <cell r="AZ559">
            <v>0</v>
          </cell>
          <cell r="BA559">
            <v>0</v>
          </cell>
          <cell r="BB559">
            <v>0</v>
          </cell>
          <cell r="BD559">
            <v>176</v>
          </cell>
          <cell r="BF559">
            <v>174.24</v>
          </cell>
          <cell r="BG559">
            <v>14080</v>
          </cell>
          <cell r="BH559">
            <v>14080</v>
          </cell>
          <cell r="BI559">
            <v>13904</v>
          </cell>
          <cell r="BJ559">
            <v>0</v>
          </cell>
          <cell r="BK559">
            <v>0</v>
          </cell>
          <cell r="BL559">
            <v>0</v>
          </cell>
          <cell r="BM559">
            <v>13904</v>
          </cell>
          <cell r="BN559">
            <v>0</v>
          </cell>
          <cell r="BO559">
            <v>176</v>
          </cell>
          <cell r="BP559" t="str">
            <v>Y</v>
          </cell>
          <cell r="BQ559">
            <v>2</v>
          </cell>
          <cell r="BR559" t="str">
            <v>Y</v>
          </cell>
          <cell r="BS559">
            <v>0</v>
          </cell>
          <cell r="BT559" t="str">
            <v>Done</v>
          </cell>
          <cell r="BU559">
            <v>176</v>
          </cell>
          <cell r="BV559">
            <v>2024</v>
          </cell>
        </row>
        <row r="560">
          <cell r="A560" t="str">
            <v>Lucknow</v>
          </cell>
          <cell r="B560" t="str">
            <v>Mavericks</v>
          </cell>
          <cell r="C560" t="str">
            <v>Mid Level</v>
          </cell>
          <cell r="D560" t="str">
            <v>Kashif Nabi</v>
          </cell>
          <cell r="E560" t="str">
            <v>-</v>
          </cell>
          <cell r="F560">
            <v>0</v>
          </cell>
          <cell r="H560" t="str">
            <v>Kashif Nabi</v>
          </cell>
          <cell r="K560">
            <v>0</v>
          </cell>
          <cell r="L560" t="str">
            <v>Old</v>
          </cell>
          <cell r="M560">
            <v>45320</v>
          </cell>
          <cell r="N560">
            <v>1</v>
          </cell>
          <cell r="O560">
            <v>726</v>
          </cell>
          <cell r="P560">
            <v>45838</v>
          </cell>
          <cell r="Q560">
            <v>45685</v>
          </cell>
          <cell r="R560" t="str">
            <v>PLC-3609</v>
          </cell>
          <cell r="S560" t="str">
            <v>Saurav Barot</v>
          </cell>
          <cell r="T560" t="str">
            <v>Individual</v>
          </cell>
          <cell r="U560" t="str">
            <v>W2</v>
          </cell>
          <cell r="V560" t="str">
            <v>GRI</v>
          </cell>
          <cell r="W560">
            <v>20</v>
          </cell>
          <cell r="X560">
            <v>0</v>
          </cell>
          <cell r="Y560" t="str">
            <v>USD</v>
          </cell>
          <cell r="Z560">
            <v>27</v>
          </cell>
          <cell r="AA560">
            <v>0</v>
          </cell>
          <cell r="AB560">
            <v>0</v>
          </cell>
          <cell r="AC560">
            <v>0</v>
          </cell>
          <cell r="AD560">
            <v>45672</v>
          </cell>
          <cell r="AE560">
            <v>22</v>
          </cell>
          <cell r="AF560">
            <v>46022</v>
          </cell>
          <cell r="AG560">
            <v>23</v>
          </cell>
          <cell r="AH560">
            <v>0</v>
          </cell>
          <cell r="AI560">
            <v>23</v>
          </cell>
          <cell r="AJ560">
            <v>26.357399999999998</v>
          </cell>
          <cell r="AK560">
            <v>0</v>
          </cell>
          <cell r="AL560">
            <v>0</v>
          </cell>
          <cell r="AM560">
            <v>3.3573999999999984</v>
          </cell>
          <cell r="AN560">
            <v>0</v>
          </cell>
          <cell r="AO560">
            <v>3.3573999999999984</v>
          </cell>
          <cell r="AP560">
            <v>0</v>
          </cell>
          <cell r="AQ560">
            <v>3.3573999999999984</v>
          </cell>
          <cell r="AR560" t="str">
            <v>GRI159</v>
          </cell>
          <cell r="AS560">
            <v>0</v>
          </cell>
          <cell r="AT560">
            <v>128</v>
          </cell>
          <cell r="AU560">
            <v>128</v>
          </cell>
          <cell r="AV560">
            <v>0</v>
          </cell>
          <cell r="AW560">
            <v>429.74719999999979</v>
          </cell>
          <cell r="AX560">
            <v>429.74719999999979</v>
          </cell>
          <cell r="AY560">
            <v>429.74719999999979</v>
          </cell>
          <cell r="AZ560">
            <v>0</v>
          </cell>
          <cell r="BA560">
            <v>0</v>
          </cell>
          <cell r="BB560">
            <v>0</v>
          </cell>
          <cell r="BD560">
            <v>429.74719999999979</v>
          </cell>
          <cell r="BF560">
            <v>429.74719999999979</v>
          </cell>
          <cell r="BG560">
            <v>3456</v>
          </cell>
          <cell r="BH560">
            <v>3373.7471999999998</v>
          </cell>
          <cell r="BI560">
            <v>2560</v>
          </cell>
          <cell r="BJ560">
            <v>3</v>
          </cell>
          <cell r="BK560">
            <v>0</v>
          </cell>
          <cell r="BL560">
            <v>384</v>
          </cell>
          <cell r="BM560">
            <v>2944</v>
          </cell>
          <cell r="BN560">
            <v>3</v>
          </cell>
          <cell r="BO560">
            <v>429.74719999999979</v>
          </cell>
          <cell r="BP560" t="str">
            <v>Y</v>
          </cell>
          <cell r="BQ560">
            <v>1</v>
          </cell>
          <cell r="BR560" t="str">
            <v>N</v>
          </cell>
          <cell r="BS560">
            <v>0</v>
          </cell>
          <cell r="BT560" t="str">
            <v>Done</v>
          </cell>
          <cell r="BU560">
            <v>128</v>
          </cell>
          <cell r="BV560">
            <v>2024</v>
          </cell>
        </row>
        <row r="561">
          <cell r="A561" t="str">
            <v>Lucknow</v>
          </cell>
          <cell r="B561" t="str">
            <v>Mavericks</v>
          </cell>
          <cell r="C561" t="str">
            <v>Mid Level</v>
          </cell>
          <cell r="D561" t="str">
            <v>Kashif Nabi</v>
          </cell>
          <cell r="E561" t="str">
            <v>-</v>
          </cell>
          <cell r="F561">
            <v>0</v>
          </cell>
          <cell r="H561" t="str">
            <v>Kashif Nabi</v>
          </cell>
          <cell r="K561">
            <v>0</v>
          </cell>
          <cell r="L561" t="str">
            <v>Old</v>
          </cell>
          <cell r="M561">
            <v>45320</v>
          </cell>
          <cell r="N561">
            <v>1</v>
          </cell>
          <cell r="O561">
            <v>726</v>
          </cell>
          <cell r="P561">
            <v>45838</v>
          </cell>
          <cell r="Q561">
            <v>45685</v>
          </cell>
          <cell r="R561" t="str">
            <v>PLC-3609</v>
          </cell>
          <cell r="S561" t="str">
            <v>Saurav Barot</v>
          </cell>
          <cell r="T561" t="str">
            <v>Individual</v>
          </cell>
          <cell r="U561" t="str">
            <v>W2</v>
          </cell>
          <cell r="V561" t="str">
            <v>GRI</v>
          </cell>
          <cell r="W561">
            <v>20</v>
          </cell>
          <cell r="X561">
            <v>0</v>
          </cell>
          <cell r="Y561" t="str">
            <v>USD</v>
          </cell>
          <cell r="Z561">
            <v>27</v>
          </cell>
          <cell r="AA561">
            <v>0</v>
          </cell>
          <cell r="AB561">
            <v>0</v>
          </cell>
          <cell r="AC561">
            <v>0</v>
          </cell>
          <cell r="AD561">
            <v>45731</v>
          </cell>
          <cell r="AE561">
            <v>21</v>
          </cell>
          <cell r="AF561">
            <v>46022</v>
          </cell>
          <cell r="AG561">
            <v>23</v>
          </cell>
          <cell r="AH561">
            <v>0</v>
          </cell>
          <cell r="AI561">
            <v>23</v>
          </cell>
          <cell r="AJ561">
            <v>26.357399999999998</v>
          </cell>
          <cell r="AK561">
            <v>0</v>
          </cell>
          <cell r="AL561">
            <v>0</v>
          </cell>
          <cell r="AM561">
            <v>3.3573999999999984</v>
          </cell>
          <cell r="AN561">
            <v>0</v>
          </cell>
          <cell r="AO561">
            <v>3.3573999999999984</v>
          </cell>
          <cell r="AP561">
            <v>0</v>
          </cell>
          <cell r="AQ561">
            <v>3.3573999999999984</v>
          </cell>
          <cell r="AR561" t="str">
            <v>GRI160</v>
          </cell>
          <cell r="AS561">
            <v>0</v>
          </cell>
          <cell r="AT561">
            <v>96</v>
          </cell>
          <cell r="AU561">
            <v>96</v>
          </cell>
          <cell r="AV561">
            <v>0</v>
          </cell>
          <cell r="AW561">
            <v>322.31039999999985</v>
          </cell>
          <cell r="AX561">
            <v>322.31039999999985</v>
          </cell>
          <cell r="AY561">
            <v>322.31039999999985</v>
          </cell>
          <cell r="AZ561">
            <v>0</v>
          </cell>
          <cell r="BA561">
            <v>0</v>
          </cell>
          <cell r="BB561">
            <v>0</v>
          </cell>
          <cell r="BD561">
            <v>0</v>
          </cell>
          <cell r="BF561">
            <v>0</v>
          </cell>
          <cell r="BG561">
            <v>2592</v>
          </cell>
          <cell r="BH561">
            <v>2530.3103999999998</v>
          </cell>
          <cell r="BI561">
            <v>1920</v>
          </cell>
          <cell r="BJ561">
            <v>3</v>
          </cell>
          <cell r="BK561">
            <v>0</v>
          </cell>
          <cell r="BL561">
            <v>288</v>
          </cell>
          <cell r="BM561">
            <v>2208</v>
          </cell>
          <cell r="BN561">
            <v>3</v>
          </cell>
          <cell r="BO561">
            <v>322.31039999999985</v>
          </cell>
          <cell r="BP561" t="str">
            <v>Y</v>
          </cell>
          <cell r="BQ561">
            <v>1</v>
          </cell>
          <cell r="BR561" t="str">
            <v>N</v>
          </cell>
          <cell r="BS561">
            <v>0</v>
          </cell>
          <cell r="BT561" t="str">
            <v>Done</v>
          </cell>
          <cell r="BU561">
            <v>96</v>
          </cell>
          <cell r="BV561">
            <v>2024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Kashif Nabi</v>
          </cell>
          <cell r="E562" t="str">
            <v>-</v>
          </cell>
          <cell r="F562">
            <v>0</v>
          </cell>
          <cell r="H562" t="str">
            <v>Kashif Nabi</v>
          </cell>
          <cell r="K562">
            <v>0</v>
          </cell>
          <cell r="L562" t="str">
            <v>Old</v>
          </cell>
          <cell r="M562">
            <v>45320</v>
          </cell>
          <cell r="N562">
            <v>1</v>
          </cell>
          <cell r="O562">
            <v>726</v>
          </cell>
          <cell r="P562">
            <v>45838</v>
          </cell>
          <cell r="Q562">
            <v>45685</v>
          </cell>
          <cell r="R562" t="str">
            <v>PLC-3609</v>
          </cell>
          <cell r="S562" t="str">
            <v>Saurav Barot</v>
          </cell>
          <cell r="T562" t="str">
            <v>Individual</v>
          </cell>
          <cell r="U562" t="str">
            <v>W2</v>
          </cell>
          <cell r="V562" t="str">
            <v>GRI</v>
          </cell>
          <cell r="W562">
            <v>20</v>
          </cell>
          <cell r="X562">
            <v>0</v>
          </cell>
          <cell r="Y562" t="str">
            <v>USD</v>
          </cell>
          <cell r="Z562">
            <v>27</v>
          </cell>
          <cell r="AA562">
            <v>0</v>
          </cell>
          <cell r="AB562">
            <v>0</v>
          </cell>
          <cell r="AC562">
            <v>0</v>
          </cell>
          <cell r="AD562">
            <v>45762</v>
          </cell>
          <cell r="AE562">
            <v>22</v>
          </cell>
          <cell r="AF562">
            <v>46022</v>
          </cell>
          <cell r="AG562">
            <v>23</v>
          </cell>
          <cell r="AH562">
            <v>0</v>
          </cell>
          <cell r="AI562">
            <v>23</v>
          </cell>
          <cell r="AJ562">
            <v>26.357399999999998</v>
          </cell>
          <cell r="AK562">
            <v>0</v>
          </cell>
          <cell r="AL562">
            <v>0</v>
          </cell>
          <cell r="AM562">
            <v>3.3573999999999984</v>
          </cell>
          <cell r="AN562">
            <v>0</v>
          </cell>
          <cell r="AO562">
            <v>3.3573999999999984</v>
          </cell>
          <cell r="AP562">
            <v>0</v>
          </cell>
          <cell r="AQ562">
            <v>3.3573999999999984</v>
          </cell>
          <cell r="AR562" t="str">
            <v>GRI161</v>
          </cell>
          <cell r="AS562">
            <v>0</v>
          </cell>
          <cell r="AT562">
            <v>176</v>
          </cell>
          <cell r="AU562">
            <v>176</v>
          </cell>
          <cell r="AV562">
            <v>0</v>
          </cell>
          <cell r="AW562">
            <v>590.90239999999972</v>
          </cell>
          <cell r="AX562">
            <v>590.90239999999972</v>
          </cell>
          <cell r="AY562">
            <v>590.90239999999972</v>
          </cell>
          <cell r="AZ562">
            <v>0</v>
          </cell>
          <cell r="BA562">
            <v>0</v>
          </cell>
          <cell r="BB562">
            <v>0</v>
          </cell>
          <cell r="BD562">
            <v>0</v>
          </cell>
          <cell r="BF562">
            <v>0</v>
          </cell>
          <cell r="BG562">
            <v>4752</v>
          </cell>
          <cell r="BH562">
            <v>4638.9023999999999</v>
          </cell>
          <cell r="BI562">
            <v>3520</v>
          </cell>
          <cell r="BJ562">
            <v>3</v>
          </cell>
          <cell r="BK562">
            <v>0</v>
          </cell>
          <cell r="BL562">
            <v>528</v>
          </cell>
          <cell r="BM562">
            <v>4048</v>
          </cell>
          <cell r="BN562">
            <v>3</v>
          </cell>
          <cell r="BO562">
            <v>590.90239999999994</v>
          </cell>
          <cell r="BP562" t="str">
            <v>Y</v>
          </cell>
          <cell r="BQ562">
            <v>2</v>
          </cell>
          <cell r="BR562" t="str">
            <v>N</v>
          </cell>
          <cell r="BS562">
            <v>0</v>
          </cell>
          <cell r="BT562" t="str">
            <v>Done</v>
          </cell>
          <cell r="BU562">
            <v>176</v>
          </cell>
          <cell r="BV562">
            <v>2024</v>
          </cell>
        </row>
        <row r="563">
          <cell r="A563" t="str">
            <v>Lucknow</v>
          </cell>
          <cell r="B563" t="str">
            <v>Titans</v>
          </cell>
          <cell r="C563" t="str">
            <v>Mid Level</v>
          </cell>
          <cell r="D563" t="str">
            <v>Nitin Saxena</v>
          </cell>
          <cell r="E563" t="str">
            <v>Nitin Saxena</v>
          </cell>
          <cell r="H563" t="str">
            <v>Hamza Ali</v>
          </cell>
          <cell r="J563" t="str">
            <v>ACH</v>
          </cell>
          <cell r="L563" t="str">
            <v>New</v>
          </cell>
          <cell r="M563">
            <v>45747</v>
          </cell>
          <cell r="N563">
            <v>1</v>
          </cell>
          <cell r="O563">
            <v>299</v>
          </cell>
          <cell r="P563">
            <v>45789</v>
          </cell>
          <cell r="Q563">
            <v>46112</v>
          </cell>
          <cell r="R563" t="str">
            <v>PLC-4201</v>
          </cell>
          <cell r="S563" t="str">
            <v>Saye Matthew Williams</v>
          </cell>
          <cell r="T563" t="str">
            <v>Individual</v>
          </cell>
          <cell r="U563">
            <v>1099</v>
          </cell>
          <cell r="V563" t="str">
            <v>Genpact</v>
          </cell>
          <cell r="W563">
            <v>21</v>
          </cell>
          <cell r="X563">
            <v>0</v>
          </cell>
          <cell r="Y563" t="str">
            <v>USD</v>
          </cell>
          <cell r="Z563">
            <v>28</v>
          </cell>
          <cell r="AA563">
            <v>0</v>
          </cell>
          <cell r="AB563">
            <v>0</v>
          </cell>
          <cell r="AC563">
            <v>0</v>
          </cell>
          <cell r="AD563">
            <v>45731</v>
          </cell>
          <cell r="AE563">
            <v>1</v>
          </cell>
          <cell r="AF563">
            <v>46022</v>
          </cell>
          <cell r="AG563">
            <v>22.470000000000002</v>
          </cell>
          <cell r="AH563">
            <v>0</v>
          </cell>
          <cell r="AI563">
            <v>22.470000000000002</v>
          </cell>
          <cell r="AJ563">
            <v>28</v>
          </cell>
          <cell r="AK563">
            <v>0</v>
          </cell>
          <cell r="AL563">
            <v>0</v>
          </cell>
          <cell r="AM563">
            <v>5.5299999999999976</v>
          </cell>
          <cell r="AN563">
            <v>0</v>
          </cell>
          <cell r="AO563">
            <v>5.5299999999999976</v>
          </cell>
          <cell r="AP563">
            <v>0</v>
          </cell>
          <cell r="AQ563">
            <v>5.5299999999999976</v>
          </cell>
          <cell r="AR563" t="str">
            <v>US_24745</v>
          </cell>
          <cell r="AS563">
            <v>0</v>
          </cell>
          <cell r="AT563">
            <v>8</v>
          </cell>
          <cell r="AU563">
            <v>8</v>
          </cell>
          <cell r="AV563">
            <v>0</v>
          </cell>
          <cell r="AW563">
            <v>44.239999999999981</v>
          </cell>
          <cell r="AX563">
            <v>43.797599999999981</v>
          </cell>
          <cell r="AY563">
            <v>44.239999999999981</v>
          </cell>
          <cell r="AZ563">
            <v>250</v>
          </cell>
          <cell r="BA563">
            <v>8.8479999999999954</v>
          </cell>
          <cell r="BB563">
            <v>70.783999999999963</v>
          </cell>
          <cell r="BC563">
            <v>46</v>
          </cell>
          <cell r="BD563">
            <v>44.239999999999981</v>
          </cell>
          <cell r="BE563">
            <v>35.391999999999982</v>
          </cell>
          <cell r="BF563">
            <v>43.797599999999981</v>
          </cell>
          <cell r="BG563">
            <v>224</v>
          </cell>
          <cell r="BH563">
            <v>224</v>
          </cell>
          <cell r="BI563">
            <v>168</v>
          </cell>
          <cell r="BJ563">
            <v>1.4700000000000002</v>
          </cell>
          <cell r="BK563">
            <v>0</v>
          </cell>
          <cell r="BL563">
            <v>11.760000000000002</v>
          </cell>
          <cell r="BM563">
            <v>179.76</v>
          </cell>
          <cell r="BN563">
            <v>1.4700000000000002</v>
          </cell>
          <cell r="BO563">
            <v>44.239999999999995</v>
          </cell>
          <cell r="BP563" t="str">
            <v>Y</v>
          </cell>
          <cell r="BQ563">
            <v>1</v>
          </cell>
          <cell r="BR563" t="str">
            <v>Y</v>
          </cell>
          <cell r="BS563">
            <v>70.783999999999963</v>
          </cell>
          <cell r="BT563" t="str">
            <v>Done</v>
          </cell>
          <cell r="BU563">
            <v>8</v>
          </cell>
          <cell r="BV563">
            <v>2025</v>
          </cell>
        </row>
        <row r="564">
          <cell r="A564" t="str">
            <v>Lucknow</v>
          </cell>
          <cell r="B564" t="str">
            <v>Titans</v>
          </cell>
          <cell r="C564" t="str">
            <v>Mid Level</v>
          </cell>
          <cell r="D564" t="str">
            <v>Nitin Saxena</v>
          </cell>
          <cell r="E564" t="str">
            <v>Nitin Saxena</v>
          </cell>
          <cell r="H564" t="str">
            <v>Hamza Ali</v>
          </cell>
          <cell r="J564" t="str">
            <v>ACH</v>
          </cell>
          <cell r="L564" t="str">
            <v>New</v>
          </cell>
          <cell r="M564">
            <v>45747</v>
          </cell>
          <cell r="N564">
            <v>1</v>
          </cell>
          <cell r="O564">
            <v>299</v>
          </cell>
          <cell r="P564">
            <v>45789</v>
          </cell>
          <cell r="Q564">
            <v>46112</v>
          </cell>
          <cell r="R564" t="str">
            <v>PLC-4201</v>
          </cell>
          <cell r="S564" t="str">
            <v>Saye Matthew Williams</v>
          </cell>
          <cell r="T564" t="str">
            <v>Individual</v>
          </cell>
          <cell r="U564">
            <v>1099</v>
          </cell>
          <cell r="V564" t="str">
            <v>Genpact</v>
          </cell>
          <cell r="W564">
            <v>21</v>
          </cell>
          <cell r="X564">
            <v>0</v>
          </cell>
          <cell r="Y564" t="str">
            <v>USD</v>
          </cell>
          <cell r="Z564">
            <v>28</v>
          </cell>
          <cell r="AA564">
            <v>0</v>
          </cell>
          <cell r="AB564">
            <v>0</v>
          </cell>
          <cell r="AC564">
            <v>0</v>
          </cell>
          <cell r="AD564">
            <v>45762</v>
          </cell>
          <cell r="AE564">
            <v>22</v>
          </cell>
          <cell r="AF564">
            <v>46022</v>
          </cell>
          <cell r="AG564">
            <v>22.470000000000002</v>
          </cell>
          <cell r="AH564">
            <v>0</v>
          </cell>
          <cell r="AI564">
            <v>22.470000000000002</v>
          </cell>
          <cell r="AJ564">
            <v>28</v>
          </cell>
          <cell r="AK564">
            <v>0</v>
          </cell>
          <cell r="AL564">
            <v>0</v>
          </cell>
          <cell r="AM564">
            <v>5.5299999999999976</v>
          </cell>
          <cell r="AN564">
            <v>0</v>
          </cell>
          <cell r="AO564">
            <v>5.5299999999999976</v>
          </cell>
          <cell r="AP564">
            <v>0</v>
          </cell>
          <cell r="AQ564">
            <v>5.5299999999999976</v>
          </cell>
          <cell r="AR564" t="str">
            <v>US_24922</v>
          </cell>
          <cell r="AS564">
            <v>0</v>
          </cell>
          <cell r="AT564">
            <v>176</v>
          </cell>
          <cell r="AU564">
            <v>176</v>
          </cell>
          <cell r="AV564">
            <v>0</v>
          </cell>
          <cell r="AW564">
            <v>973.27999999999952</v>
          </cell>
          <cell r="AX564">
            <v>963.54719999999952</v>
          </cell>
          <cell r="AY564">
            <v>973.27999999999952</v>
          </cell>
          <cell r="AZ564">
            <v>250</v>
          </cell>
          <cell r="BA564">
            <v>8.8479999999999954</v>
          </cell>
          <cell r="BB564">
            <v>1557.2479999999991</v>
          </cell>
          <cell r="BC564">
            <v>46</v>
          </cell>
          <cell r="BD564">
            <v>973.27999999999952</v>
          </cell>
          <cell r="BE564">
            <v>778.62399999999968</v>
          </cell>
          <cell r="BF564">
            <v>963.54719999999952</v>
          </cell>
          <cell r="BG564">
            <v>4928</v>
          </cell>
          <cell r="BH564">
            <v>4928</v>
          </cell>
          <cell r="BI564">
            <v>3696</v>
          </cell>
          <cell r="BJ564">
            <v>1.4700000000000002</v>
          </cell>
          <cell r="BK564">
            <v>0</v>
          </cell>
          <cell r="BL564">
            <v>258.72000000000003</v>
          </cell>
          <cell r="BM564">
            <v>3954.7200000000003</v>
          </cell>
          <cell r="BN564">
            <v>1.4700000000000002</v>
          </cell>
          <cell r="BO564">
            <v>973.28</v>
          </cell>
          <cell r="BP564" t="str">
            <v>Y</v>
          </cell>
          <cell r="BQ564">
            <v>2</v>
          </cell>
          <cell r="BR564" t="str">
            <v>Y</v>
          </cell>
          <cell r="BS564">
            <v>1557.2479999999991</v>
          </cell>
          <cell r="BT564" t="str">
            <v>Done</v>
          </cell>
          <cell r="BU564">
            <v>176</v>
          </cell>
          <cell r="BV564">
            <v>2025</v>
          </cell>
        </row>
        <row r="565">
          <cell r="A565" t="str">
            <v>Chennai</v>
          </cell>
          <cell r="B565" t="str">
            <v>Chennai</v>
          </cell>
          <cell r="C565" t="str">
            <v>Mid Level</v>
          </cell>
          <cell r="D565" t="str">
            <v>Vinoth L</v>
          </cell>
          <cell r="E565" t="str">
            <v>-</v>
          </cell>
          <cell r="H565" t="str">
            <v>R Richardson</v>
          </cell>
          <cell r="L565" t="str">
            <v>New</v>
          </cell>
          <cell r="M565">
            <v>45729</v>
          </cell>
          <cell r="N565">
            <v>1</v>
          </cell>
          <cell r="O565">
            <v>317</v>
          </cell>
          <cell r="P565">
            <v>45940</v>
          </cell>
          <cell r="Q565">
            <v>46094</v>
          </cell>
          <cell r="R565" t="str">
            <v>PLC-4176</v>
          </cell>
          <cell r="S565" t="str">
            <v>Sekhar Pogula</v>
          </cell>
          <cell r="T565" t="str">
            <v>Individual</v>
          </cell>
          <cell r="U565" t="str">
            <v>C2C</v>
          </cell>
          <cell r="V565" t="str">
            <v>Apexon</v>
          </cell>
          <cell r="W565">
            <v>110</v>
          </cell>
          <cell r="X565">
            <v>0</v>
          </cell>
          <cell r="Y565" t="str">
            <v>USD</v>
          </cell>
          <cell r="Z565">
            <v>115</v>
          </cell>
          <cell r="AA565">
            <v>0</v>
          </cell>
          <cell r="AB565">
            <v>0</v>
          </cell>
          <cell r="AC565">
            <v>0</v>
          </cell>
          <cell r="AD565">
            <v>45731</v>
          </cell>
          <cell r="AE565">
            <v>13</v>
          </cell>
          <cell r="AF565">
            <v>46022</v>
          </cell>
          <cell r="AG565">
            <v>110</v>
          </cell>
          <cell r="AH565">
            <v>0</v>
          </cell>
          <cell r="AI565">
            <v>110</v>
          </cell>
          <cell r="AJ565">
            <v>115</v>
          </cell>
          <cell r="AK565">
            <v>0</v>
          </cell>
          <cell r="AL565">
            <v>0</v>
          </cell>
          <cell r="AM565">
            <v>5</v>
          </cell>
          <cell r="AN565">
            <v>0</v>
          </cell>
          <cell r="AO565">
            <v>5</v>
          </cell>
          <cell r="AP565">
            <v>0</v>
          </cell>
          <cell r="AQ565">
            <v>5</v>
          </cell>
          <cell r="AR565" t="str">
            <v>US_24731</v>
          </cell>
          <cell r="AS565">
            <v>0</v>
          </cell>
          <cell r="AT565">
            <v>104</v>
          </cell>
          <cell r="AU565">
            <v>104</v>
          </cell>
          <cell r="AV565">
            <v>0</v>
          </cell>
          <cell r="AW565">
            <v>520</v>
          </cell>
          <cell r="AX565">
            <v>520</v>
          </cell>
          <cell r="AY565">
            <v>520</v>
          </cell>
          <cell r="AZ565">
            <v>50</v>
          </cell>
          <cell r="BA565">
            <v>6</v>
          </cell>
          <cell r="BB565">
            <v>624</v>
          </cell>
          <cell r="BC565">
            <v>67</v>
          </cell>
          <cell r="BD565">
            <v>520</v>
          </cell>
          <cell r="BE565">
            <v>624</v>
          </cell>
          <cell r="BF565">
            <v>520</v>
          </cell>
          <cell r="BG565">
            <v>11960</v>
          </cell>
          <cell r="BH565">
            <v>11960</v>
          </cell>
          <cell r="BI565">
            <v>11440</v>
          </cell>
          <cell r="BJ565">
            <v>0</v>
          </cell>
          <cell r="BK565">
            <v>0</v>
          </cell>
          <cell r="BL565">
            <v>0</v>
          </cell>
          <cell r="BM565">
            <v>11440</v>
          </cell>
          <cell r="BN565">
            <v>0</v>
          </cell>
          <cell r="BO565">
            <v>520</v>
          </cell>
          <cell r="BP565" t="str">
            <v>Y</v>
          </cell>
          <cell r="BQ565">
            <v>1</v>
          </cell>
          <cell r="BR565" t="str">
            <v>Y</v>
          </cell>
          <cell r="BS565">
            <v>624</v>
          </cell>
          <cell r="BT565" t="str">
            <v>Done</v>
          </cell>
          <cell r="BU565">
            <v>104</v>
          </cell>
          <cell r="BV565">
            <v>2025</v>
          </cell>
        </row>
        <row r="566">
          <cell r="A566" t="str">
            <v>Chennai</v>
          </cell>
          <cell r="B566" t="str">
            <v>Chennai</v>
          </cell>
          <cell r="C566" t="str">
            <v>Mid Level</v>
          </cell>
          <cell r="D566" t="str">
            <v>Vinoth L</v>
          </cell>
          <cell r="E566" t="str">
            <v>-</v>
          </cell>
          <cell r="H566" t="str">
            <v>R Richardson</v>
          </cell>
          <cell r="L566" t="str">
            <v>New</v>
          </cell>
          <cell r="M566">
            <v>45729</v>
          </cell>
          <cell r="N566">
            <v>1</v>
          </cell>
          <cell r="O566">
            <v>317</v>
          </cell>
          <cell r="P566">
            <v>45940</v>
          </cell>
          <cell r="Q566">
            <v>46094</v>
          </cell>
          <cell r="R566" t="str">
            <v>PLC-4176</v>
          </cell>
          <cell r="S566" t="str">
            <v>Sekhar Pogula</v>
          </cell>
          <cell r="T566" t="str">
            <v>Individual</v>
          </cell>
          <cell r="U566" t="str">
            <v>C2C</v>
          </cell>
          <cell r="V566" t="str">
            <v>Apexon</v>
          </cell>
          <cell r="W566">
            <v>110</v>
          </cell>
          <cell r="X566">
            <v>0</v>
          </cell>
          <cell r="Y566" t="str">
            <v>USD</v>
          </cell>
          <cell r="Z566">
            <v>115</v>
          </cell>
          <cell r="AA566">
            <v>0</v>
          </cell>
          <cell r="AB566">
            <v>0</v>
          </cell>
          <cell r="AC566">
            <v>0</v>
          </cell>
          <cell r="AD566">
            <v>45762</v>
          </cell>
          <cell r="AE566">
            <v>22</v>
          </cell>
          <cell r="AF566">
            <v>46022</v>
          </cell>
          <cell r="AG566">
            <v>110</v>
          </cell>
          <cell r="AH566">
            <v>0</v>
          </cell>
          <cell r="AI566">
            <v>110</v>
          </cell>
          <cell r="AJ566">
            <v>115</v>
          </cell>
          <cell r="AK566">
            <v>0</v>
          </cell>
          <cell r="AL566">
            <v>0</v>
          </cell>
          <cell r="AM566">
            <v>5</v>
          </cell>
          <cell r="AN566">
            <v>0</v>
          </cell>
          <cell r="AO566">
            <v>5</v>
          </cell>
          <cell r="AP566">
            <v>0</v>
          </cell>
          <cell r="AQ566">
            <v>5</v>
          </cell>
          <cell r="AR566" t="str">
            <v>US_24910</v>
          </cell>
          <cell r="AS566">
            <v>0</v>
          </cell>
          <cell r="AT566">
            <v>176</v>
          </cell>
          <cell r="AU566">
            <v>176</v>
          </cell>
          <cell r="AV566">
            <v>0</v>
          </cell>
          <cell r="AW566">
            <v>880</v>
          </cell>
          <cell r="AX566">
            <v>880</v>
          </cell>
          <cell r="AY566">
            <v>880</v>
          </cell>
          <cell r="AZ566">
            <v>50</v>
          </cell>
          <cell r="BA566">
            <v>6</v>
          </cell>
          <cell r="BB566">
            <v>1056</v>
          </cell>
          <cell r="BC566">
            <v>67</v>
          </cell>
          <cell r="BD566">
            <v>880</v>
          </cell>
          <cell r="BE566">
            <v>1056</v>
          </cell>
          <cell r="BF566">
            <v>880</v>
          </cell>
          <cell r="BG566">
            <v>20240</v>
          </cell>
          <cell r="BH566">
            <v>20240</v>
          </cell>
          <cell r="BI566">
            <v>19360</v>
          </cell>
          <cell r="BJ566">
            <v>0</v>
          </cell>
          <cell r="BK566">
            <v>0</v>
          </cell>
          <cell r="BL566">
            <v>0</v>
          </cell>
          <cell r="BM566">
            <v>19360</v>
          </cell>
          <cell r="BN566">
            <v>0</v>
          </cell>
          <cell r="BO566">
            <v>880</v>
          </cell>
          <cell r="BP566" t="str">
            <v>Y</v>
          </cell>
          <cell r="BQ566">
            <v>2</v>
          </cell>
          <cell r="BR566" t="str">
            <v>Y</v>
          </cell>
          <cell r="BS566">
            <v>1056</v>
          </cell>
          <cell r="BT566" t="str">
            <v>Done</v>
          </cell>
          <cell r="BU566">
            <v>176</v>
          </cell>
          <cell r="BV566">
            <v>2025</v>
          </cell>
        </row>
        <row r="567">
          <cell r="A567" t="str">
            <v>Lucknow</v>
          </cell>
          <cell r="B567" t="str">
            <v>Trust</v>
          </cell>
          <cell r="C567" t="str">
            <v>Mid Level</v>
          </cell>
          <cell r="D567" t="str">
            <v>Harsh Agarwal</v>
          </cell>
          <cell r="E567" t="str">
            <v>-</v>
          </cell>
          <cell r="F567" t="str">
            <v>-</v>
          </cell>
          <cell r="G567" t="str">
            <v>-</v>
          </cell>
          <cell r="H567" t="str">
            <v>Pushpendra Kumar</v>
          </cell>
          <cell r="L567" t="str">
            <v>New</v>
          </cell>
          <cell r="M567">
            <v>45768</v>
          </cell>
          <cell r="N567">
            <v>2</v>
          </cell>
          <cell r="O567">
            <v>278</v>
          </cell>
          <cell r="P567" t="str">
            <v>-</v>
          </cell>
          <cell r="Q567">
            <v>46133</v>
          </cell>
          <cell r="R567" t="str">
            <v>PLC-4193</v>
          </cell>
          <cell r="S567" t="str">
            <v>Senthil Kumar Kathirvel</v>
          </cell>
          <cell r="T567" t="str">
            <v>Individual</v>
          </cell>
          <cell r="U567" t="str">
            <v>FTE</v>
          </cell>
          <cell r="V567" t="str">
            <v>Infosys</v>
          </cell>
          <cell r="W567">
            <v>0</v>
          </cell>
          <cell r="X567">
            <v>0</v>
          </cell>
          <cell r="Y567" t="str">
            <v>USD</v>
          </cell>
          <cell r="Z567">
            <v>3500</v>
          </cell>
          <cell r="AA567">
            <v>0</v>
          </cell>
          <cell r="AB567">
            <v>0</v>
          </cell>
          <cell r="AC567">
            <v>0</v>
          </cell>
          <cell r="AD567">
            <v>45762</v>
          </cell>
          <cell r="AE567">
            <v>1</v>
          </cell>
          <cell r="AF567">
            <v>46022</v>
          </cell>
          <cell r="AG567">
            <v>0</v>
          </cell>
          <cell r="AH567">
            <v>0</v>
          </cell>
          <cell r="AI567">
            <v>0</v>
          </cell>
          <cell r="AJ567">
            <v>3500</v>
          </cell>
          <cell r="AK567">
            <v>0</v>
          </cell>
          <cell r="AL567">
            <v>0</v>
          </cell>
          <cell r="AM567">
            <v>3500</v>
          </cell>
          <cell r="AN567">
            <v>0</v>
          </cell>
          <cell r="AO567">
            <v>3500</v>
          </cell>
          <cell r="AP567">
            <v>0</v>
          </cell>
          <cell r="AQ567">
            <v>3500</v>
          </cell>
          <cell r="AR567" t="str">
            <v>US_24928</v>
          </cell>
          <cell r="AS567">
            <v>0</v>
          </cell>
          <cell r="AT567">
            <v>1</v>
          </cell>
          <cell r="AU567">
            <v>1</v>
          </cell>
          <cell r="AV567">
            <v>0</v>
          </cell>
          <cell r="AW567">
            <v>3500</v>
          </cell>
          <cell r="AX567">
            <v>3500</v>
          </cell>
          <cell r="AY567">
            <v>3500</v>
          </cell>
          <cell r="AZ567">
            <v>66.666666666666657</v>
          </cell>
          <cell r="BA567">
            <v>4200</v>
          </cell>
          <cell r="BB567">
            <v>4200</v>
          </cell>
          <cell r="BC567">
            <v>42</v>
          </cell>
          <cell r="BD567">
            <v>3500</v>
          </cell>
          <cell r="BE567">
            <v>2800</v>
          </cell>
          <cell r="BF567">
            <v>3500</v>
          </cell>
          <cell r="BG567">
            <v>3500</v>
          </cell>
          <cell r="BH567">
            <v>3500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3500</v>
          </cell>
          <cell r="BP567" t="str">
            <v>Y</v>
          </cell>
          <cell r="BQ567">
            <v>2</v>
          </cell>
          <cell r="BR567" t="str">
            <v>Y</v>
          </cell>
          <cell r="BS567">
            <v>4200</v>
          </cell>
          <cell r="BT567" t="str">
            <v>Done</v>
          </cell>
          <cell r="BU567">
            <v>0</v>
          </cell>
          <cell r="BV567">
            <v>2025</v>
          </cell>
        </row>
        <row r="568">
          <cell r="A568" t="str">
            <v>Lucknow</v>
          </cell>
          <cell r="B568" t="str">
            <v>TRUST</v>
          </cell>
          <cell r="C568" t="str">
            <v>Mid Level</v>
          </cell>
          <cell r="D568" t="str">
            <v>Harsh Agarwal</v>
          </cell>
          <cell r="E568" t="str">
            <v>-</v>
          </cell>
          <cell r="H568" t="str">
            <v>Rajat Arora</v>
          </cell>
          <cell r="L568" t="str">
            <v>New</v>
          </cell>
          <cell r="M568">
            <v>45733</v>
          </cell>
          <cell r="N568">
            <v>1</v>
          </cell>
          <cell r="O568">
            <v>313</v>
          </cell>
          <cell r="P568" t="str">
            <v>-</v>
          </cell>
          <cell r="Q568">
            <v>46098</v>
          </cell>
          <cell r="R568" t="str">
            <v>PLC-4147</v>
          </cell>
          <cell r="S568" t="str">
            <v>Seshagiri Kalluru</v>
          </cell>
          <cell r="T568" t="str">
            <v>Individual</v>
          </cell>
          <cell r="U568" t="str">
            <v>FTE</v>
          </cell>
          <cell r="V568" t="str">
            <v>Infosys</v>
          </cell>
          <cell r="W568">
            <v>0</v>
          </cell>
          <cell r="X568">
            <v>0</v>
          </cell>
          <cell r="Y568" t="str">
            <v>USD</v>
          </cell>
          <cell r="Z568">
            <v>3500</v>
          </cell>
          <cell r="AA568">
            <v>0</v>
          </cell>
          <cell r="AB568">
            <v>0</v>
          </cell>
          <cell r="AC568">
            <v>0</v>
          </cell>
          <cell r="AD568">
            <v>45731</v>
          </cell>
          <cell r="AE568">
            <v>1</v>
          </cell>
          <cell r="AF568">
            <v>46022</v>
          </cell>
          <cell r="AG568">
            <v>0</v>
          </cell>
          <cell r="AH568">
            <v>0</v>
          </cell>
          <cell r="AI568">
            <v>0</v>
          </cell>
          <cell r="AJ568">
            <v>3500</v>
          </cell>
          <cell r="AK568">
            <v>0</v>
          </cell>
          <cell r="AL568">
            <v>0</v>
          </cell>
          <cell r="AM568">
            <v>3500</v>
          </cell>
          <cell r="AN568">
            <v>0</v>
          </cell>
          <cell r="AO568">
            <v>3500</v>
          </cell>
          <cell r="AP568">
            <v>0</v>
          </cell>
          <cell r="AQ568">
            <v>3500</v>
          </cell>
          <cell r="AR568" t="str">
            <v>US_24715</v>
          </cell>
          <cell r="AS568">
            <v>0</v>
          </cell>
          <cell r="AT568">
            <v>1</v>
          </cell>
          <cell r="AU568">
            <v>1</v>
          </cell>
          <cell r="AV568">
            <v>0</v>
          </cell>
          <cell r="AW568">
            <v>3500</v>
          </cell>
          <cell r="AX568">
            <v>3500</v>
          </cell>
          <cell r="AY568">
            <v>3500</v>
          </cell>
          <cell r="AZ568">
            <v>0</v>
          </cell>
          <cell r="BA568">
            <v>0</v>
          </cell>
          <cell r="BB568">
            <v>0</v>
          </cell>
          <cell r="BC568">
            <v>42</v>
          </cell>
          <cell r="BD568">
            <v>3500</v>
          </cell>
          <cell r="BE568">
            <v>2800</v>
          </cell>
          <cell r="BF568">
            <v>3500</v>
          </cell>
          <cell r="BG568">
            <v>3500</v>
          </cell>
          <cell r="BH568">
            <v>3500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3500</v>
          </cell>
          <cell r="BP568" t="str">
            <v>Y</v>
          </cell>
          <cell r="BQ568">
            <v>1</v>
          </cell>
          <cell r="BR568" t="str">
            <v>Y</v>
          </cell>
          <cell r="BS568">
            <v>0</v>
          </cell>
          <cell r="BT568" t="str">
            <v>Done</v>
          </cell>
          <cell r="BU568">
            <v>0</v>
          </cell>
          <cell r="BV568">
            <v>2025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Rohit Gupta</v>
          </cell>
          <cell r="E569" t="str">
            <v>Vivek Yadav</v>
          </cell>
          <cell r="F569">
            <v>0</v>
          </cell>
          <cell r="H569" t="str">
            <v>Vivek Yadav</v>
          </cell>
          <cell r="K569">
            <v>0</v>
          </cell>
          <cell r="L569" t="str">
            <v>Old</v>
          </cell>
          <cell r="M569">
            <v>45341</v>
          </cell>
          <cell r="N569">
            <v>1</v>
          </cell>
          <cell r="O569">
            <v>705</v>
          </cell>
          <cell r="P569">
            <v>45671</v>
          </cell>
          <cell r="Q569">
            <v>45706</v>
          </cell>
          <cell r="R569" t="str">
            <v>PLC-3625</v>
          </cell>
          <cell r="S569" t="str">
            <v>Shailendra Singh Lodhi</v>
          </cell>
          <cell r="T569" t="str">
            <v>Individual</v>
          </cell>
          <cell r="U569" t="str">
            <v>C2C</v>
          </cell>
          <cell r="V569" t="str">
            <v>Coforge</v>
          </cell>
          <cell r="W569">
            <v>66</v>
          </cell>
          <cell r="X569">
            <v>0</v>
          </cell>
          <cell r="Y569" t="str">
            <v>USD</v>
          </cell>
          <cell r="Z569">
            <v>74</v>
          </cell>
          <cell r="AA569">
            <v>111</v>
          </cell>
          <cell r="AB569">
            <v>0</v>
          </cell>
          <cell r="AC569">
            <v>0</v>
          </cell>
          <cell r="AD569">
            <v>45672</v>
          </cell>
          <cell r="AE569">
            <v>10</v>
          </cell>
          <cell r="AF569">
            <v>46022</v>
          </cell>
          <cell r="AG569">
            <v>66</v>
          </cell>
          <cell r="AH569">
            <v>0</v>
          </cell>
          <cell r="AI569">
            <v>66</v>
          </cell>
          <cell r="AJ569">
            <v>74</v>
          </cell>
          <cell r="AK569">
            <v>111</v>
          </cell>
          <cell r="AL569">
            <v>111</v>
          </cell>
          <cell r="AM569">
            <v>8</v>
          </cell>
          <cell r="AN569">
            <v>111</v>
          </cell>
          <cell r="AO569">
            <v>8</v>
          </cell>
          <cell r="AP569">
            <v>20</v>
          </cell>
          <cell r="AQ569">
            <v>8</v>
          </cell>
          <cell r="AR569" t="str">
            <v>US_24257</v>
          </cell>
          <cell r="AS569">
            <v>0</v>
          </cell>
          <cell r="AT569">
            <v>56</v>
          </cell>
          <cell r="AU569">
            <v>56</v>
          </cell>
          <cell r="AV569">
            <v>0</v>
          </cell>
          <cell r="AW569">
            <v>448</v>
          </cell>
          <cell r="AX569">
            <v>448</v>
          </cell>
          <cell r="AY569">
            <v>448</v>
          </cell>
          <cell r="AZ569">
            <v>75</v>
          </cell>
          <cell r="BA569">
            <v>22.4</v>
          </cell>
          <cell r="BB569">
            <v>1254.3999999999999</v>
          </cell>
          <cell r="BC569">
            <v>38.28125</v>
          </cell>
          <cell r="BD569">
            <v>448</v>
          </cell>
          <cell r="BE569">
            <v>358.4</v>
          </cell>
          <cell r="BF569">
            <v>448</v>
          </cell>
          <cell r="BG569">
            <v>4144</v>
          </cell>
          <cell r="BH569">
            <v>4144</v>
          </cell>
          <cell r="BI569">
            <v>3696</v>
          </cell>
          <cell r="BJ569">
            <v>0</v>
          </cell>
          <cell r="BK569">
            <v>0</v>
          </cell>
          <cell r="BL569">
            <v>0</v>
          </cell>
          <cell r="BM569">
            <v>3696</v>
          </cell>
          <cell r="BN569">
            <v>0</v>
          </cell>
          <cell r="BO569">
            <v>448</v>
          </cell>
          <cell r="BP569" t="str">
            <v>Y</v>
          </cell>
          <cell r="BQ569">
            <v>1</v>
          </cell>
          <cell r="BR569" t="str">
            <v>Y</v>
          </cell>
          <cell r="BS569">
            <v>1254.3999999999999</v>
          </cell>
          <cell r="BT569" t="str">
            <v>Done</v>
          </cell>
          <cell r="BU569">
            <v>56</v>
          </cell>
          <cell r="BV569">
            <v>2024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Rohit Gupta</v>
          </cell>
          <cell r="E570" t="str">
            <v>Vaibhav Kumar</v>
          </cell>
          <cell r="H570" t="str">
            <v>Anjali Bose</v>
          </cell>
          <cell r="J570" t="str">
            <v>ACH</v>
          </cell>
          <cell r="K570">
            <v>0</v>
          </cell>
          <cell r="L570" t="str">
            <v>Old</v>
          </cell>
          <cell r="M570">
            <v>45509</v>
          </cell>
          <cell r="N570">
            <v>3</v>
          </cell>
          <cell r="O570">
            <v>537</v>
          </cell>
          <cell r="P570">
            <v>45777</v>
          </cell>
          <cell r="Q570">
            <v>45874</v>
          </cell>
          <cell r="R570" t="str">
            <v>PLC-3902</v>
          </cell>
          <cell r="S570" t="str">
            <v>Shailesh Bharambe</v>
          </cell>
          <cell r="T570" t="str">
            <v>Individual</v>
          </cell>
          <cell r="U570" t="str">
            <v>C2C</v>
          </cell>
          <cell r="V570" t="str">
            <v>ReWorld /Covanta</v>
          </cell>
          <cell r="W570">
            <v>75</v>
          </cell>
          <cell r="X570">
            <v>0</v>
          </cell>
          <cell r="Y570" t="str">
            <v>USD</v>
          </cell>
          <cell r="Z570">
            <v>105</v>
          </cell>
          <cell r="AA570">
            <v>0</v>
          </cell>
          <cell r="AB570">
            <v>0</v>
          </cell>
          <cell r="AC570">
            <v>15</v>
          </cell>
          <cell r="AD570">
            <v>45672</v>
          </cell>
          <cell r="AE570">
            <v>22</v>
          </cell>
          <cell r="AF570">
            <v>46022</v>
          </cell>
          <cell r="AG570">
            <v>75</v>
          </cell>
          <cell r="AH570">
            <v>0</v>
          </cell>
          <cell r="AI570">
            <v>90</v>
          </cell>
          <cell r="AJ570">
            <v>105</v>
          </cell>
          <cell r="AK570">
            <v>0</v>
          </cell>
          <cell r="AL570">
            <v>0</v>
          </cell>
          <cell r="AM570">
            <v>15</v>
          </cell>
          <cell r="AN570">
            <v>0</v>
          </cell>
          <cell r="AO570">
            <v>15</v>
          </cell>
          <cell r="AP570">
            <v>0</v>
          </cell>
          <cell r="AQ570">
            <v>15</v>
          </cell>
          <cell r="AR570" t="str">
            <v>US_24147</v>
          </cell>
          <cell r="AS570">
            <v>0</v>
          </cell>
          <cell r="AT570">
            <v>168</v>
          </cell>
          <cell r="AU570">
            <v>168</v>
          </cell>
          <cell r="AV570">
            <v>0</v>
          </cell>
          <cell r="AW570">
            <v>2520</v>
          </cell>
          <cell r="AX570">
            <v>2494.8000000000002</v>
          </cell>
          <cell r="AY570">
            <v>2520</v>
          </cell>
          <cell r="AZ570">
            <v>25</v>
          </cell>
          <cell r="BA570">
            <v>24</v>
          </cell>
          <cell r="BB570">
            <v>4032</v>
          </cell>
          <cell r="BC570">
            <v>38.28125</v>
          </cell>
          <cell r="BD570">
            <v>2520</v>
          </cell>
          <cell r="BE570">
            <v>2016</v>
          </cell>
          <cell r="BF570">
            <v>2494.8000000000002</v>
          </cell>
          <cell r="BG570">
            <v>17640</v>
          </cell>
          <cell r="BH570">
            <v>17640</v>
          </cell>
          <cell r="BI570">
            <v>12600</v>
          </cell>
          <cell r="BJ570">
            <v>0</v>
          </cell>
          <cell r="BK570">
            <v>2520</v>
          </cell>
          <cell r="BL570">
            <v>0</v>
          </cell>
          <cell r="BM570">
            <v>15120</v>
          </cell>
          <cell r="BN570">
            <v>15</v>
          </cell>
          <cell r="BO570">
            <v>2520</v>
          </cell>
          <cell r="BP570" t="str">
            <v>Y</v>
          </cell>
          <cell r="BQ570">
            <v>1</v>
          </cell>
          <cell r="BR570" t="str">
            <v>N</v>
          </cell>
          <cell r="BS570">
            <v>4032</v>
          </cell>
          <cell r="BT570" t="str">
            <v>Done</v>
          </cell>
          <cell r="BU570">
            <v>168</v>
          </cell>
          <cell r="BV570">
            <v>2024</v>
          </cell>
        </row>
        <row r="571">
          <cell r="A571" t="str">
            <v>Lucknow</v>
          </cell>
          <cell r="B571" t="str">
            <v>Mavericks</v>
          </cell>
          <cell r="C571" t="str">
            <v>Mid Level</v>
          </cell>
          <cell r="D571" t="str">
            <v>Rohit Gupta</v>
          </cell>
          <cell r="E571" t="str">
            <v>Vaibhav Kumar</v>
          </cell>
          <cell r="H571" t="str">
            <v>Anjali Bose</v>
          </cell>
          <cell r="J571" t="str">
            <v>ACH</v>
          </cell>
          <cell r="K571">
            <v>0</v>
          </cell>
          <cell r="L571" t="str">
            <v>Old</v>
          </cell>
          <cell r="M571">
            <v>45509</v>
          </cell>
          <cell r="N571">
            <v>3</v>
          </cell>
          <cell r="O571">
            <v>537</v>
          </cell>
          <cell r="P571">
            <v>45777</v>
          </cell>
          <cell r="Q571">
            <v>45874</v>
          </cell>
          <cell r="R571" t="str">
            <v>PLC-3902</v>
          </cell>
          <cell r="S571" t="str">
            <v>Shailesh Bharambe</v>
          </cell>
          <cell r="T571" t="str">
            <v>Individual</v>
          </cell>
          <cell r="U571" t="str">
            <v>C2C</v>
          </cell>
          <cell r="V571" t="str">
            <v>ReWorld /Covanta</v>
          </cell>
          <cell r="W571">
            <v>75</v>
          </cell>
          <cell r="X571">
            <v>0</v>
          </cell>
          <cell r="Y571" t="str">
            <v>USD</v>
          </cell>
          <cell r="Z571">
            <v>105</v>
          </cell>
          <cell r="AA571">
            <v>0</v>
          </cell>
          <cell r="AB571">
            <v>0</v>
          </cell>
          <cell r="AC571">
            <v>15</v>
          </cell>
          <cell r="AD571">
            <v>45703</v>
          </cell>
          <cell r="AE571">
            <v>20</v>
          </cell>
          <cell r="AF571">
            <v>46022</v>
          </cell>
          <cell r="AG571">
            <v>75</v>
          </cell>
          <cell r="AH571">
            <v>0</v>
          </cell>
          <cell r="AI571">
            <v>90</v>
          </cell>
          <cell r="AJ571">
            <v>105</v>
          </cell>
          <cell r="AK571">
            <v>0</v>
          </cell>
          <cell r="AL571">
            <v>0</v>
          </cell>
          <cell r="AM571">
            <v>15</v>
          </cell>
          <cell r="AN571">
            <v>0</v>
          </cell>
          <cell r="AO571">
            <v>15</v>
          </cell>
          <cell r="AP571">
            <v>0</v>
          </cell>
          <cell r="AQ571">
            <v>15</v>
          </cell>
          <cell r="AR571" t="str">
            <v>US_24356</v>
          </cell>
          <cell r="AS571">
            <v>0</v>
          </cell>
          <cell r="AT571">
            <v>152</v>
          </cell>
          <cell r="AU571">
            <v>152</v>
          </cell>
          <cell r="AV571">
            <v>0</v>
          </cell>
          <cell r="AW571">
            <v>2280</v>
          </cell>
          <cell r="AX571">
            <v>2257.1999999999998</v>
          </cell>
          <cell r="AY571">
            <v>2280</v>
          </cell>
          <cell r="AZ571">
            <v>25</v>
          </cell>
          <cell r="BA571">
            <v>24</v>
          </cell>
          <cell r="BB571">
            <v>3648</v>
          </cell>
          <cell r="BC571">
            <v>38.28125</v>
          </cell>
          <cell r="BD571">
            <v>2280</v>
          </cell>
          <cell r="BE571">
            <v>1824</v>
          </cell>
          <cell r="BF571">
            <v>2257.1999999999998</v>
          </cell>
          <cell r="BG571">
            <v>15960</v>
          </cell>
          <cell r="BH571">
            <v>15960</v>
          </cell>
          <cell r="BI571">
            <v>11400</v>
          </cell>
          <cell r="BJ571">
            <v>0</v>
          </cell>
          <cell r="BK571">
            <v>2280</v>
          </cell>
          <cell r="BL571">
            <v>0</v>
          </cell>
          <cell r="BM571">
            <v>13680</v>
          </cell>
          <cell r="BN571">
            <v>15</v>
          </cell>
          <cell r="BO571">
            <v>2280</v>
          </cell>
          <cell r="BP571" t="str">
            <v>Y</v>
          </cell>
          <cell r="BQ571">
            <v>1</v>
          </cell>
          <cell r="BR571" t="str">
            <v>N</v>
          </cell>
          <cell r="BS571">
            <v>3648</v>
          </cell>
          <cell r="BT571" t="str">
            <v>Done</v>
          </cell>
          <cell r="BU571">
            <v>152</v>
          </cell>
          <cell r="BV571">
            <v>2024</v>
          </cell>
        </row>
        <row r="572">
          <cell r="A572" t="str">
            <v>Lucknow</v>
          </cell>
          <cell r="B572" t="str">
            <v>Mavericks</v>
          </cell>
          <cell r="C572" t="str">
            <v>Mid Level</v>
          </cell>
          <cell r="D572" t="str">
            <v>Rohit Gupta</v>
          </cell>
          <cell r="E572" t="str">
            <v>Vaibhav Kumar</v>
          </cell>
          <cell r="H572" t="str">
            <v>Anjali Bose</v>
          </cell>
          <cell r="J572" t="str">
            <v>ACH</v>
          </cell>
          <cell r="K572">
            <v>0</v>
          </cell>
          <cell r="L572" t="str">
            <v>Old</v>
          </cell>
          <cell r="M572">
            <v>45509</v>
          </cell>
          <cell r="N572">
            <v>3</v>
          </cell>
          <cell r="O572">
            <v>537</v>
          </cell>
          <cell r="P572">
            <v>45777</v>
          </cell>
          <cell r="Q572">
            <v>45874</v>
          </cell>
          <cell r="R572" t="str">
            <v>PLC-3902</v>
          </cell>
          <cell r="S572" t="str">
            <v>Shailesh Bharambe</v>
          </cell>
          <cell r="T572" t="str">
            <v>Individual</v>
          </cell>
          <cell r="U572" t="str">
            <v>C2C</v>
          </cell>
          <cell r="V572" t="str">
            <v>ReWorld /Covanta</v>
          </cell>
          <cell r="W572">
            <v>75</v>
          </cell>
          <cell r="X572">
            <v>0</v>
          </cell>
          <cell r="Y572" t="str">
            <v>USD</v>
          </cell>
          <cell r="Z572">
            <v>105</v>
          </cell>
          <cell r="AA572">
            <v>0</v>
          </cell>
          <cell r="AB572">
            <v>0</v>
          </cell>
          <cell r="AC572">
            <v>15</v>
          </cell>
          <cell r="AD572">
            <v>45731</v>
          </cell>
          <cell r="AE572">
            <v>21</v>
          </cell>
          <cell r="AF572">
            <v>46022</v>
          </cell>
          <cell r="AG572">
            <v>75</v>
          </cell>
          <cell r="AH572">
            <v>0</v>
          </cell>
          <cell r="AI572">
            <v>90</v>
          </cell>
          <cell r="AJ572">
            <v>105</v>
          </cell>
          <cell r="AK572">
            <v>0</v>
          </cell>
          <cell r="AL572">
            <v>0</v>
          </cell>
          <cell r="AM572">
            <v>15</v>
          </cell>
          <cell r="AN572">
            <v>0</v>
          </cell>
          <cell r="AO572">
            <v>15</v>
          </cell>
          <cell r="AP572">
            <v>0</v>
          </cell>
          <cell r="AQ572">
            <v>15</v>
          </cell>
          <cell r="AR572" t="str">
            <v>US_24552</v>
          </cell>
          <cell r="AS572">
            <v>0</v>
          </cell>
          <cell r="AT572">
            <v>168</v>
          </cell>
          <cell r="AU572">
            <v>168</v>
          </cell>
          <cell r="AV572">
            <v>0</v>
          </cell>
          <cell r="AW572">
            <v>2520</v>
          </cell>
          <cell r="AX572">
            <v>2494.8000000000002</v>
          </cell>
          <cell r="AY572">
            <v>2520</v>
          </cell>
          <cell r="AZ572">
            <v>25</v>
          </cell>
          <cell r="BA572">
            <v>24</v>
          </cell>
          <cell r="BB572">
            <v>4032</v>
          </cell>
          <cell r="BC572">
            <v>38.28125</v>
          </cell>
          <cell r="BD572">
            <v>2520</v>
          </cell>
          <cell r="BE572">
            <v>2016</v>
          </cell>
          <cell r="BF572">
            <v>2494.8000000000002</v>
          </cell>
          <cell r="BG572">
            <v>17640</v>
          </cell>
          <cell r="BH572">
            <v>17640</v>
          </cell>
          <cell r="BI572">
            <v>12600</v>
          </cell>
          <cell r="BJ572">
            <v>0</v>
          </cell>
          <cell r="BK572">
            <v>2520</v>
          </cell>
          <cell r="BL572">
            <v>0</v>
          </cell>
          <cell r="BM572">
            <v>15120</v>
          </cell>
          <cell r="BN572">
            <v>15</v>
          </cell>
          <cell r="BO572">
            <v>2520</v>
          </cell>
          <cell r="BP572" t="str">
            <v>Y</v>
          </cell>
          <cell r="BQ572">
            <v>1</v>
          </cell>
          <cell r="BR572" t="str">
            <v>N</v>
          </cell>
          <cell r="BS572">
            <v>4032</v>
          </cell>
          <cell r="BT572" t="str">
            <v>Done</v>
          </cell>
          <cell r="BU572">
            <v>168</v>
          </cell>
          <cell r="BV572">
            <v>2024</v>
          </cell>
        </row>
        <row r="573">
          <cell r="A573" t="str">
            <v>Lucknow</v>
          </cell>
          <cell r="B573" t="str">
            <v>Mavericks</v>
          </cell>
          <cell r="C573" t="str">
            <v>Mid Level</v>
          </cell>
          <cell r="D573" t="str">
            <v>Rohit Gupta</v>
          </cell>
          <cell r="E573" t="str">
            <v>Vaibhav Kumar</v>
          </cell>
          <cell r="H573" t="str">
            <v>Anjali Bose</v>
          </cell>
          <cell r="J573" t="str">
            <v>ACH</v>
          </cell>
          <cell r="K573">
            <v>0</v>
          </cell>
          <cell r="L573" t="str">
            <v>Old</v>
          </cell>
          <cell r="M573">
            <v>45509</v>
          </cell>
          <cell r="N573">
            <v>3</v>
          </cell>
          <cell r="O573">
            <v>537</v>
          </cell>
          <cell r="P573">
            <v>45777</v>
          </cell>
          <cell r="Q573">
            <v>45874</v>
          </cell>
          <cell r="R573" t="str">
            <v>PLC-3902</v>
          </cell>
          <cell r="S573" t="str">
            <v>Shailesh Bharambe</v>
          </cell>
          <cell r="T573" t="str">
            <v>Individual</v>
          </cell>
          <cell r="U573" t="str">
            <v>C2C</v>
          </cell>
          <cell r="V573" t="str">
            <v>ReWorld /Covanta</v>
          </cell>
          <cell r="W573">
            <v>75</v>
          </cell>
          <cell r="X573">
            <v>0</v>
          </cell>
          <cell r="Y573" t="str">
            <v>USD</v>
          </cell>
          <cell r="Z573">
            <v>105</v>
          </cell>
          <cell r="AA573">
            <v>0</v>
          </cell>
          <cell r="AB573">
            <v>0</v>
          </cell>
          <cell r="AC573">
            <v>15</v>
          </cell>
          <cell r="AD573">
            <v>45762</v>
          </cell>
          <cell r="AE573">
            <v>22</v>
          </cell>
          <cell r="AF573">
            <v>46022</v>
          </cell>
          <cell r="AG573">
            <v>75</v>
          </cell>
          <cell r="AH573">
            <v>0</v>
          </cell>
          <cell r="AI573">
            <v>90</v>
          </cell>
          <cell r="AJ573">
            <v>105</v>
          </cell>
          <cell r="AK573">
            <v>0</v>
          </cell>
          <cell r="AL573">
            <v>0</v>
          </cell>
          <cell r="AM573">
            <v>15</v>
          </cell>
          <cell r="AN573">
            <v>0</v>
          </cell>
          <cell r="AO573">
            <v>15</v>
          </cell>
          <cell r="AP573">
            <v>0</v>
          </cell>
          <cell r="AQ573">
            <v>15</v>
          </cell>
          <cell r="AR573" t="str">
            <v>US_24769</v>
          </cell>
          <cell r="AS573">
            <v>0</v>
          </cell>
          <cell r="AT573">
            <v>176</v>
          </cell>
          <cell r="AU573">
            <v>176</v>
          </cell>
          <cell r="AV573">
            <v>0</v>
          </cell>
          <cell r="AW573">
            <v>2640</v>
          </cell>
          <cell r="AX573">
            <v>2613.6</v>
          </cell>
          <cell r="AY573">
            <v>2640</v>
          </cell>
          <cell r="AZ573">
            <v>25</v>
          </cell>
          <cell r="BA573">
            <v>24</v>
          </cell>
          <cell r="BB573">
            <v>4224</v>
          </cell>
          <cell r="BC573">
            <v>38.28125</v>
          </cell>
          <cell r="BD573">
            <v>2640</v>
          </cell>
          <cell r="BE573">
            <v>2112</v>
          </cell>
          <cell r="BF573">
            <v>2613.6</v>
          </cell>
          <cell r="BG573">
            <v>18480</v>
          </cell>
          <cell r="BH573">
            <v>18480</v>
          </cell>
          <cell r="BI573">
            <v>13200</v>
          </cell>
          <cell r="BJ573">
            <v>0</v>
          </cell>
          <cell r="BK573">
            <v>2640</v>
          </cell>
          <cell r="BL573">
            <v>0</v>
          </cell>
          <cell r="BM573">
            <v>15840</v>
          </cell>
          <cell r="BN573">
            <v>15</v>
          </cell>
          <cell r="BO573">
            <v>2640</v>
          </cell>
          <cell r="BP573" t="str">
            <v>Y</v>
          </cell>
          <cell r="BQ573">
            <v>2</v>
          </cell>
          <cell r="BR573" t="str">
            <v>N</v>
          </cell>
          <cell r="BS573">
            <v>4224</v>
          </cell>
          <cell r="BT573" t="str">
            <v>Done</v>
          </cell>
          <cell r="BU573">
            <v>176</v>
          </cell>
          <cell r="BV573">
            <v>2024</v>
          </cell>
        </row>
        <row r="574">
          <cell r="A574" t="str">
            <v>Lucknow</v>
          </cell>
          <cell r="B574" t="str">
            <v>TRUST</v>
          </cell>
          <cell r="C574" t="str">
            <v>Mid Level</v>
          </cell>
          <cell r="D574" t="str">
            <v>Bhanu Pratap Singh</v>
          </cell>
          <cell r="E574" t="str">
            <v>-</v>
          </cell>
          <cell r="H574" t="str">
            <v>Shivanshu Rastogi</v>
          </cell>
          <cell r="K574" t="str">
            <v>Shivanshu Rastogi</v>
          </cell>
          <cell r="L574" t="str">
            <v>New</v>
          </cell>
          <cell r="M574">
            <v>45715</v>
          </cell>
          <cell r="N574">
            <v>1</v>
          </cell>
          <cell r="O574">
            <v>331</v>
          </cell>
          <cell r="P574" t="str">
            <v>-</v>
          </cell>
          <cell r="Q574">
            <v>46080</v>
          </cell>
          <cell r="R574" t="str">
            <v>PLC-4100</v>
          </cell>
          <cell r="S574" t="str">
            <v>Shane Fraley</v>
          </cell>
          <cell r="T574" t="str">
            <v>Individual</v>
          </cell>
          <cell r="U574" t="str">
            <v>FTE</v>
          </cell>
          <cell r="V574" t="str">
            <v>Reflik</v>
          </cell>
          <cell r="W574">
            <v>0</v>
          </cell>
          <cell r="X574">
            <v>0</v>
          </cell>
          <cell r="Y574" t="str">
            <v>USD</v>
          </cell>
          <cell r="Z574">
            <v>7500</v>
          </cell>
          <cell r="AA574">
            <v>0</v>
          </cell>
          <cell r="AB574">
            <v>0</v>
          </cell>
          <cell r="AC574">
            <v>0</v>
          </cell>
          <cell r="AD574">
            <v>45703</v>
          </cell>
          <cell r="AE574">
            <v>1</v>
          </cell>
          <cell r="AF574">
            <v>46022</v>
          </cell>
          <cell r="AG574">
            <v>0</v>
          </cell>
          <cell r="AH574">
            <v>0</v>
          </cell>
          <cell r="AI574">
            <v>0</v>
          </cell>
          <cell r="AJ574">
            <v>7500</v>
          </cell>
          <cell r="AK574">
            <v>0</v>
          </cell>
          <cell r="AL574">
            <v>0</v>
          </cell>
          <cell r="AM574">
            <v>7500</v>
          </cell>
          <cell r="AN574">
            <v>0</v>
          </cell>
          <cell r="AO574">
            <v>7500</v>
          </cell>
          <cell r="AP574">
            <v>0</v>
          </cell>
          <cell r="AQ574">
            <v>7500</v>
          </cell>
          <cell r="AR574" t="str">
            <v>US_24725</v>
          </cell>
          <cell r="AS574">
            <v>0</v>
          </cell>
          <cell r="AT574">
            <v>1</v>
          </cell>
          <cell r="AU574">
            <v>1</v>
          </cell>
          <cell r="AV574">
            <v>0</v>
          </cell>
          <cell r="AW574">
            <v>7500</v>
          </cell>
          <cell r="AX574">
            <v>7500</v>
          </cell>
          <cell r="AY574">
            <v>7500</v>
          </cell>
          <cell r="AZ574">
            <v>50</v>
          </cell>
          <cell r="BA574">
            <v>9000</v>
          </cell>
          <cell r="BB574">
            <v>9000</v>
          </cell>
          <cell r="BF574">
            <v>7500</v>
          </cell>
          <cell r="BG574">
            <v>7500</v>
          </cell>
          <cell r="BH574">
            <v>7500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7500</v>
          </cell>
          <cell r="BP574" t="str">
            <v>Y</v>
          </cell>
          <cell r="BQ574">
            <v>1</v>
          </cell>
          <cell r="BR574" t="str">
            <v>Y</v>
          </cell>
          <cell r="BS574">
            <v>9000</v>
          </cell>
          <cell r="BT574" t="str">
            <v>Done</v>
          </cell>
          <cell r="BU574">
            <v>0</v>
          </cell>
          <cell r="BV574">
            <v>2025</v>
          </cell>
        </row>
        <row r="575">
          <cell r="A575" t="str">
            <v>Chennai</v>
          </cell>
          <cell r="B575" t="str">
            <v>Chennai</v>
          </cell>
          <cell r="C575" t="str">
            <v>Mid Level</v>
          </cell>
          <cell r="D575" t="str">
            <v>Vinoth L</v>
          </cell>
          <cell r="E575" t="str">
            <v>-</v>
          </cell>
          <cell r="H575" t="str">
            <v>Dinesh Kumar Veluchamy</v>
          </cell>
          <cell r="L575" t="str">
            <v>New</v>
          </cell>
          <cell r="M575">
            <v>45719</v>
          </cell>
          <cell r="N575">
            <v>1</v>
          </cell>
          <cell r="O575">
            <v>327</v>
          </cell>
          <cell r="P575">
            <v>45775</v>
          </cell>
          <cell r="Q575">
            <v>46084</v>
          </cell>
          <cell r="R575" t="str">
            <v>PLC-4121</v>
          </cell>
          <cell r="S575" t="str">
            <v>Shanmukhananda Reddy Mutyala</v>
          </cell>
          <cell r="T575" t="str">
            <v>Individual</v>
          </cell>
          <cell r="U575" t="str">
            <v>C2C</v>
          </cell>
          <cell r="V575" t="str">
            <v>Citius Tech</v>
          </cell>
          <cell r="W575">
            <v>64</v>
          </cell>
          <cell r="X575">
            <v>0</v>
          </cell>
          <cell r="Y575" t="str">
            <v>USD</v>
          </cell>
          <cell r="Z575">
            <v>68</v>
          </cell>
          <cell r="AA575">
            <v>0</v>
          </cell>
          <cell r="AB575">
            <v>0</v>
          </cell>
          <cell r="AC575">
            <v>0</v>
          </cell>
          <cell r="AD575">
            <v>45731</v>
          </cell>
          <cell r="AE575">
            <v>21</v>
          </cell>
          <cell r="AF575">
            <v>46022</v>
          </cell>
          <cell r="AG575">
            <v>64</v>
          </cell>
          <cell r="AH575">
            <v>0</v>
          </cell>
          <cell r="AI575">
            <v>64</v>
          </cell>
          <cell r="AJ575">
            <v>68</v>
          </cell>
          <cell r="AK575">
            <v>0</v>
          </cell>
          <cell r="AL575">
            <v>0</v>
          </cell>
          <cell r="AM575">
            <v>4</v>
          </cell>
          <cell r="AN575">
            <v>0</v>
          </cell>
          <cell r="AO575">
            <v>4</v>
          </cell>
          <cell r="AP575">
            <v>0</v>
          </cell>
          <cell r="AQ575">
            <v>4</v>
          </cell>
          <cell r="AR575" t="str">
            <v>US_24734</v>
          </cell>
          <cell r="AS575">
            <v>0</v>
          </cell>
          <cell r="AT575">
            <v>168</v>
          </cell>
          <cell r="AU575">
            <v>168</v>
          </cell>
          <cell r="AV575">
            <v>0</v>
          </cell>
          <cell r="AW575">
            <v>672</v>
          </cell>
          <cell r="AX575">
            <v>672</v>
          </cell>
          <cell r="AY575">
            <v>672</v>
          </cell>
          <cell r="AZ575">
            <v>120</v>
          </cell>
          <cell r="BA575">
            <v>6.4</v>
          </cell>
          <cell r="BB575">
            <v>1075.2</v>
          </cell>
          <cell r="BC575">
            <v>67</v>
          </cell>
          <cell r="BD575">
            <v>672</v>
          </cell>
          <cell r="BE575">
            <v>806.4</v>
          </cell>
          <cell r="BF575">
            <v>672</v>
          </cell>
          <cell r="BG575">
            <v>11424</v>
          </cell>
          <cell r="BH575">
            <v>11424</v>
          </cell>
          <cell r="BI575">
            <v>10752</v>
          </cell>
          <cell r="BJ575">
            <v>0</v>
          </cell>
          <cell r="BK575">
            <v>0</v>
          </cell>
          <cell r="BL575">
            <v>0</v>
          </cell>
          <cell r="BM575">
            <v>10752</v>
          </cell>
          <cell r="BN575">
            <v>0</v>
          </cell>
          <cell r="BO575">
            <v>672</v>
          </cell>
          <cell r="BP575" t="str">
            <v>Y</v>
          </cell>
          <cell r="BQ575">
            <v>1</v>
          </cell>
          <cell r="BR575" t="str">
            <v>Y</v>
          </cell>
          <cell r="BS575">
            <v>1075.2</v>
          </cell>
          <cell r="BT575" t="str">
            <v>Done</v>
          </cell>
          <cell r="BU575">
            <v>168</v>
          </cell>
          <cell r="BV575">
            <v>2025</v>
          </cell>
        </row>
        <row r="576">
          <cell r="A576" t="str">
            <v>Chennai</v>
          </cell>
          <cell r="B576" t="str">
            <v>Chennai</v>
          </cell>
          <cell r="C576" t="str">
            <v>Mid Level</v>
          </cell>
          <cell r="D576" t="str">
            <v>Vinoth L</v>
          </cell>
          <cell r="E576" t="str">
            <v>-</v>
          </cell>
          <cell r="H576" t="str">
            <v>Dinesh Kumar Veluchamy</v>
          </cell>
          <cell r="L576" t="str">
            <v>New</v>
          </cell>
          <cell r="M576">
            <v>45719</v>
          </cell>
          <cell r="N576">
            <v>1</v>
          </cell>
          <cell r="O576">
            <v>327</v>
          </cell>
          <cell r="P576">
            <v>45775</v>
          </cell>
          <cell r="Q576">
            <v>46084</v>
          </cell>
          <cell r="R576" t="str">
            <v>PLC-4121</v>
          </cell>
          <cell r="S576" t="str">
            <v>Shanmukhananda Reddy Mutyala</v>
          </cell>
          <cell r="T576" t="str">
            <v>Individual</v>
          </cell>
          <cell r="U576" t="str">
            <v>C2C</v>
          </cell>
          <cell r="V576" t="str">
            <v>Citius Tech</v>
          </cell>
          <cell r="W576">
            <v>64</v>
          </cell>
          <cell r="X576">
            <v>0</v>
          </cell>
          <cell r="Y576" t="str">
            <v>USD</v>
          </cell>
          <cell r="Z576">
            <v>68</v>
          </cell>
          <cell r="AA576">
            <v>0</v>
          </cell>
          <cell r="AB576">
            <v>0</v>
          </cell>
          <cell r="AC576">
            <v>0</v>
          </cell>
          <cell r="AD576">
            <v>45762</v>
          </cell>
          <cell r="AE576">
            <v>20</v>
          </cell>
          <cell r="AF576">
            <v>46022</v>
          </cell>
          <cell r="AG576">
            <v>64</v>
          </cell>
          <cell r="AH576">
            <v>0</v>
          </cell>
          <cell r="AI576">
            <v>64</v>
          </cell>
          <cell r="AJ576">
            <v>68</v>
          </cell>
          <cell r="AK576">
            <v>0</v>
          </cell>
          <cell r="AL576">
            <v>0</v>
          </cell>
          <cell r="AM576">
            <v>4</v>
          </cell>
          <cell r="AN576">
            <v>0</v>
          </cell>
          <cell r="AO576">
            <v>4</v>
          </cell>
          <cell r="AP576">
            <v>0</v>
          </cell>
          <cell r="AQ576">
            <v>4</v>
          </cell>
          <cell r="AR576" t="str">
            <v>US_24913</v>
          </cell>
          <cell r="AS576">
            <v>0</v>
          </cell>
          <cell r="AT576">
            <v>152</v>
          </cell>
          <cell r="AU576">
            <v>152</v>
          </cell>
          <cell r="AV576">
            <v>0</v>
          </cell>
          <cell r="AW576">
            <v>608</v>
          </cell>
          <cell r="AX576">
            <v>608</v>
          </cell>
          <cell r="AY576">
            <v>608</v>
          </cell>
          <cell r="AZ576">
            <v>120</v>
          </cell>
          <cell r="BA576">
            <v>6.4</v>
          </cell>
          <cell r="BB576">
            <v>972.80000000000007</v>
          </cell>
          <cell r="BC576">
            <v>67</v>
          </cell>
          <cell r="BD576">
            <v>608</v>
          </cell>
          <cell r="BE576">
            <v>729.6</v>
          </cell>
          <cell r="BF576">
            <v>608</v>
          </cell>
          <cell r="BG576">
            <v>10336</v>
          </cell>
          <cell r="BH576">
            <v>10336</v>
          </cell>
          <cell r="BI576">
            <v>9728</v>
          </cell>
          <cell r="BJ576">
            <v>0</v>
          </cell>
          <cell r="BK576">
            <v>0</v>
          </cell>
          <cell r="BL576">
            <v>0</v>
          </cell>
          <cell r="BM576">
            <v>9728</v>
          </cell>
          <cell r="BN576">
            <v>0</v>
          </cell>
          <cell r="BO576">
            <v>608</v>
          </cell>
          <cell r="BP576" t="str">
            <v>Y</v>
          </cell>
          <cell r="BQ576">
            <v>2</v>
          </cell>
          <cell r="BR576" t="str">
            <v>Y</v>
          </cell>
          <cell r="BS576">
            <v>972.80000000000007</v>
          </cell>
          <cell r="BT576" t="str">
            <v>Done</v>
          </cell>
          <cell r="BU576">
            <v>152</v>
          </cell>
          <cell r="BV576">
            <v>2025</v>
          </cell>
        </row>
        <row r="577">
          <cell r="A577" t="str">
            <v>Noida</v>
          </cell>
          <cell r="B577" t="str">
            <v>Noida IT</v>
          </cell>
          <cell r="C577" t="str">
            <v>Mid Level</v>
          </cell>
          <cell r="D577" t="str">
            <v>Akash Saxena</v>
          </cell>
          <cell r="E577" t="str">
            <v>-</v>
          </cell>
          <cell r="H577" t="str">
            <v>Ravi Yadav</v>
          </cell>
          <cell r="L577" t="str">
            <v>New</v>
          </cell>
          <cell r="M577">
            <v>45677</v>
          </cell>
          <cell r="N577">
            <v>1</v>
          </cell>
          <cell r="O577">
            <v>369</v>
          </cell>
          <cell r="P577">
            <v>45688</v>
          </cell>
          <cell r="Q577">
            <v>46042</v>
          </cell>
          <cell r="R577" t="str">
            <v>PLC-4105</v>
          </cell>
          <cell r="S577" t="str">
            <v>Shawna Diane Calhoun</v>
          </cell>
          <cell r="T577" t="str">
            <v>Individual</v>
          </cell>
          <cell r="U577" t="str">
            <v>C2C</v>
          </cell>
          <cell r="V577" t="str">
            <v>Citius Tech</v>
          </cell>
          <cell r="W577">
            <v>115</v>
          </cell>
          <cell r="X577">
            <v>0</v>
          </cell>
          <cell r="Y577" t="str">
            <v>USD</v>
          </cell>
          <cell r="Z577">
            <v>118</v>
          </cell>
          <cell r="AA577">
            <v>0</v>
          </cell>
          <cell r="AB577">
            <v>0</v>
          </cell>
          <cell r="AC577">
            <v>0</v>
          </cell>
          <cell r="AD577">
            <v>45672</v>
          </cell>
          <cell r="AE577">
            <v>10</v>
          </cell>
          <cell r="AF577">
            <v>46022</v>
          </cell>
          <cell r="AG577">
            <v>115</v>
          </cell>
          <cell r="AH577">
            <v>0</v>
          </cell>
          <cell r="AI577">
            <v>115</v>
          </cell>
          <cell r="AJ577">
            <v>118</v>
          </cell>
          <cell r="AK577">
            <v>0</v>
          </cell>
          <cell r="AL577">
            <v>0</v>
          </cell>
          <cell r="AM577">
            <v>3</v>
          </cell>
          <cell r="AN577">
            <v>0</v>
          </cell>
          <cell r="AO577">
            <v>3</v>
          </cell>
          <cell r="AP577">
            <v>0</v>
          </cell>
          <cell r="AQ577">
            <v>3</v>
          </cell>
          <cell r="AR577" t="str">
            <v>US_24330</v>
          </cell>
          <cell r="AS577">
            <v>0</v>
          </cell>
          <cell r="AT577">
            <v>80</v>
          </cell>
          <cell r="AU577">
            <v>80</v>
          </cell>
          <cell r="AV577">
            <v>0</v>
          </cell>
          <cell r="AW577">
            <v>240</v>
          </cell>
          <cell r="AX577">
            <v>240</v>
          </cell>
          <cell r="AY577">
            <v>240</v>
          </cell>
          <cell r="AZ577">
            <v>0</v>
          </cell>
          <cell r="BA577">
            <v>0</v>
          </cell>
          <cell r="BB577">
            <v>0</v>
          </cell>
          <cell r="BC577">
            <v>49</v>
          </cell>
          <cell r="BD577">
            <v>240</v>
          </cell>
          <cell r="BE577">
            <v>192</v>
          </cell>
          <cell r="BF577">
            <v>240</v>
          </cell>
          <cell r="BG577">
            <v>9440</v>
          </cell>
          <cell r="BH577">
            <v>9440</v>
          </cell>
          <cell r="BI577">
            <v>9200</v>
          </cell>
          <cell r="BJ577">
            <v>0</v>
          </cell>
          <cell r="BK577">
            <v>0</v>
          </cell>
          <cell r="BL577">
            <v>0</v>
          </cell>
          <cell r="BM577">
            <v>9200</v>
          </cell>
          <cell r="BN577">
            <v>0</v>
          </cell>
          <cell r="BO577">
            <v>240</v>
          </cell>
          <cell r="BP577" t="str">
            <v>Y</v>
          </cell>
          <cell r="BQ577">
            <v>1</v>
          </cell>
          <cell r="BR577" t="str">
            <v>Y</v>
          </cell>
          <cell r="BS577">
            <v>0</v>
          </cell>
          <cell r="BT577" t="str">
            <v>Done</v>
          </cell>
          <cell r="BU577">
            <v>80</v>
          </cell>
          <cell r="BV577">
            <v>2025</v>
          </cell>
        </row>
        <row r="578">
          <cell r="A578" t="str">
            <v>Lucknow</v>
          </cell>
          <cell r="B578" t="str">
            <v>Titans</v>
          </cell>
          <cell r="C578" t="str">
            <v>Mid Level</v>
          </cell>
          <cell r="D578" t="str">
            <v>Nitin Saxena</v>
          </cell>
          <cell r="E578" t="str">
            <v>-</v>
          </cell>
          <cell r="H578" t="str">
            <v>Aviral Shukla</v>
          </cell>
          <cell r="L578" t="str">
            <v>Old</v>
          </cell>
          <cell r="M578">
            <v>45572</v>
          </cell>
          <cell r="N578">
            <v>4</v>
          </cell>
          <cell r="O578">
            <v>474</v>
          </cell>
          <cell r="P578" t="str">
            <v>-</v>
          </cell>
          <cell r="Q578">
            <v>45937</v>
          </cell>
          <cell r="R578" t="str">
            <v>PLC-4006</v>
          </cell>
          <cell r="S578" t="str">
            <v>Sheba Bishop</v>
          </cell>
          <cell r="T578" t="str">
            <v>Individual</v>
          </cell>
          <cell r="U578" t="str">
            <v>FTE</v>
          </cell>
          <cell r="V578" t="str">
            <v>WNS</v>
          </cell>
          <cell r="W578">
            <v>0</v>
          </cell>
          <cell r="X578">
            <v>0</v>
          </cell>
          <cell r="Y578" t="str">
            <v>USD</v>
          </cell>
          <cell r="Z578">
            <v>4160</v>
          </cell>
          <cell r="AA578">
            <v>0</v>
          </cell>
          <cell r="AB578">
            <v>0</v>
          </cell>
          <cell r="AC578">
            <v>0</v>
          </cell>
          <cell r="AD578">
            <v>45731</v>
          </cell>
          <cell r="AE578">
            <v>1</v>
          </cell>
          <cell r="AF578">
            <v>46022</v>
          </cell>
          <cell r="AG578">
            <v>0</v>
          </cell>
          <cell r="AH578">
            <v>0</v>
          </cell>
          <cell r="AI578">
            <v>0</v>
          </cell>
          <cell r="AJ578">
            <v>4160</v>
          </cell>
          <cell r="AK578">
            <v>0</v>
          </cell>
          <cell r="AL578">
            <v>0</v>
          </cell>
          <cell r="AM578">
            <v>4160</v>
          </cell>
          <cell r="AN578">
            <v>0</v>
          </cell>
          <cell r="AO578">
            <v>4160</v>
          </cell>
          <cell r="AP578">
            <v>0</v>
          </cell>
          <cell r="AQ578">
            <v>4160</v>
          </cell>
          <cell r="AR578" t="str">
            <v>US_24534</v>
          </cell>
          <cell r="AS578">
            <v>0</v>
          </cell>
          <cell r="AT578">
            <v>1</v>
          </cell>
          <cell r="AU578">
            <v>1</v>
          </cell>
          <cell r="AV578">
            <v>0</v>
          </cell>
          <cell r="AW578">
            <v>4160</v>
          </cell>
          <cell r="AX578">
            <v>4160</v>
          </cell>
          <cell r="AY578">
            <v>4160</v>
          </cell>
          <cell r="AZ578">
            <v>28.571428571428569</v>
          </cell>
          <cell r="BA578">
            <v>6656</v>
          </cell>
          <cell r="BB578">
            <v>6656</v>
          </cell>
          <cell r="BC578">
            <v>63</v>
          </cell>
          <cell r="BD578">
            <v>4160</v>
          </cell>
          <cell r="BE578">
            <v>4992</v>
          </cell>
          <cell r="BF578">
            <v>4160</v>
          </cell>
          <cell r="BG578">
            <v>4160</v>
          </cell>
          <cell r="BH578">
            <v>4160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4160</v>
          </cell>
          <cell r="BP578" t="str">
            <v>Y</v>
          </cell>
          <cell r="BQ578">
            <v>1</v>
          </cell>
          <cell r="BR578" t="str">
            <v>N</v>
          </cell>
          <cell r="BS578">
            <v>6656</v>
          </cell>
          <cell r="BT578" t="str">
            <v>Done</v>
          </cell>
          <cell r="BU578">
            <v>0</v>
          </cell>
          <cell r="BV578">
            <v>2024</v>
          </cell>
        </row>
        <row r="579">
          <cell r="A579" t="str">
            <v>Lucknow</v>
          </cell>
          <cell r="B579" t="str">
            <v>Mavericks</v>
          </cell>
          <cell r="C579" t="str">
            <v>Mid Level</v>
          </cell>
          <cell r="D579" t="str">
            <v>Mohammad Fakhrul</v>
          </cell>
          <cell r="E579" t="str">
            <v>-</v>
          </cell>
          <cell r="H579" t="str">
            <v>Pass Through</v>
          </cell>
          <cell r="J579" t="str">
            <v>ACH</v>
          </cell>
          <cell r="K579">
            <v>0</v>
          </cell>
          <cell r="L579" t="str">
            <v>Old</v>
          </cell>
          <cell r="M579">
            <v>45519</v>
          </cell>
          <cell r="N579">
            <v>3</v>
          </cell>
          <cell r="O579">
            <v>527</v>
          </cell>
          <cell r="P579">
            <v>45807</v>
          </cell>
          <cell r="Q579">
            <v>45884</v>
          </cell>
          <cell r="R579" t="str">
            <v>PLC-Passthrough</v>
          </cell>
          <cell r="S579" t="str">
            <v>Shiva Damera</v>
          </cell>
          <cell r="T579" t="str">
            <v>Individual</v>
          </cell>
          <cell r="U579" t="str">
            <v>C2C</v>
          </cell>
          <cell r="V579" t="str">
            <v>Coforge</v>
          </cell>
          <cell r="W579">
            <v>70</v>
          </cell>
          <cell r="X579">
            <v>0</v>
          </cell>
          <cell r="Y579" t="str">
            <v>USD</v>
          </cell>
          <cell r="Z579">
            <v>72</v>
          </cell>
          <cell r="AA579">
            <v>0</v>
          </cell>
          <cell r="AB579">
            <v>0</v>
          </cell>
          <cell r="AC579">
            <v>0</v>
          </cell>
          <cell r="AD579">
            <v>45672</v>
          </cell>
          <cell r="AE579">
            <v>22</v>
          </cell>
          <cell r="AF579">
            <v>46022</v>
          </cell>
          <cell r="AG579">
            <v>70</v>
          </cell>
          <cell r="AH579">
            <v>0</v>
          </cell>
          <cell r="AI579">
            <v>70</v>
          </cell>
          <cell r="AJ579">
            <v>72</v>
          </cell>
          <cell r="AK579">
            <v>0</v>
          </cell>
          <cell r="AL579">
            <v>0</v>
          </cell>
          <cell r="AM579">
            <v>2</v>
          </cell>
          <cell r="AN579">
            <v>0</v>
          </cell>
          <cell r="AO579">
            <v>2</v>
          </cell>
          <cell r="AP579">
            <v>0</v>
          </cell>
          <cell r="AQ579">
            <v>2</v>
          </cell>
          <cell r="AR579" t="str">
            <v>US_24268</v>
          </cell>
          <cell r="AS579">
            <v>0</v>
          </cell>
          <cell r="AT579">
            <v>202</v>
          </cell>
          <cell r="AU579">
            <v>202</v>
          </cell>
          <cell r="AV579">
            <v>0</v>
          </cell>
          <cell r="AW579">
            <v>404</v>
          </cell>
          <cell r="AX579">
            <v>399.96</v>
          </cell>
          <cell r="AY579">
            <v>404</v>
          </cell>
          <cell r="AZ579">
            <v>0</v>
          </cell>
          <cell r="BA579">
            <v>0</v>
          </cell>
          <cell r="BB579">
            <v>0</v>
          </cell>
          <cell r="BD579">
            <v>404</v>
          </cell>
          <cell r="BF579">
            <v>399.96</v>
          </cell>
          <cell r="BG579">
            <v>14544</v>
          </cell>
          <cell r="BH579">
            <v>14544</v>
          </cell>
          <cell r="BI579">
            <v>14140</v>
          </cell>
          <cell r="BJ579">
            <v>0</v>
          </cell>
          <cell r="BK579">
            <v>0</v>
          </cell>
          <cell r="BL579">
            <v>0</v>
          </cell>
          <cell r="BM579">
            <v>14140</v>
          </cell>
          <cell r="BN579">
            <v>0</v>
          </cell>
          <cell r="BO579">
            <v>404</v>
          </cell>
          <cell r="BP579" t="str">
            <v>Y</v>
          </cell>
          <cell r="BQ579">
            <v>1</v>
          </cell>
          <cell r="BR579" t="str">
            <v>Y</v>
          </cell>
          <cell r="BS579">
            <v>0</v>
          </cell>
          <cell r="BT579" t="str">
            <v>Done</v>
          </cell>
          <cell r="BU579">
            <v>202</v>
          </cell>
          <cell r="BV579">
            <v>2024</v>
          </cell>
        </row>
        <row r="580">
          <cell r="A580" t="str">
            <v>Lucknow</v>
          </cell>
          <cell r="B580" t="str">
            <v>Mavericks</v>
          </cell>
          <cell r="C580" t="str">
            <v>Mid Level</v>
          </cell>
          <cell r="D580" t="str">
            <v>Mohammad Fakhrul</v>
          </cell>
          <cell r="E580" t="str">
            <v>-</v>
          </cell>
          <cell r="H580" t="str">
            <v>Pass Through</v>
          </cell>
          <cell r="J580" t="str">
            <v>ACH</v>
          </cell>
          <cell r="K580">
            <v>0</v>
          </cell>
          <cell r="L580" t="str">
            <v>Old</v>
          </cell>
          <cell r="M580">
            <v>45519</v>
          </cell>
          <cell r="N580">
            <v>3</v>
          </cell>
          <cell r="O580">
            <v>527</v>
          </cell>
          <cell r="P580">
            <v>45807</v>
          </cell>
          <cell r="Q580">
            <v>45884</v>
          </cell>
          <cell r="R580" t="str">
            <v>PLC-Passthrough</v>
          </cell>
          <cell r="S580" t="str">
            <v>Shiva Damera</v>
          </cell>
          <cell r="T580" t="str">
            <v>Individual</v>
          </cell>
          <cell r="U580" t="str">
            <v>C2C</v>
          </cell>
          <cell r="V580" t="str">
            <v>Coforge</v>
          </cell>
          <cell r="W580">
            <v>70</v>
          </cell>
          <cell r="X580">
            <v>0</v>
          </cell>
          <cell r="Y580" t="str">
            <v>USD</v>
          </cell>
          <cell r="Z580">
            <v>72</v>
          </cell>
          <cell r="AA580">
            <v>0</v>
          </cell>
          <cell r="AB580">
            <v>0</v>
          </cell>
          <cell r="AC580">
            <v>0</v>
          </cell>
          <cell r="AD580">
            <v>45703</v>
          </cell>
          <cell r="AE580">
            <v>20</v>
          </cell>
          <cell r="AF580">
            <v>46022</v>
          </cell>
          <cell r="AG580">
            <v>70</v>
          </cell>
          <cell r="AH580">
            <v>0</v>
          </cell>
          <cell r="AI580">
            <v>70</v>
          </cell>
          <cell r="AJ580">
            <v>72</v>
          </cell>
          <cell r="AK580">
            <v>0</v>
          </cell>
          <cell r="AL580">
            <v>0</v>
          </cell>
          <cell r="AM580">
            <v>2</v>
          </cell>
          <cell r="AN580">
            <v>0</v>
          </cell>
          <cell r="AO580">
            <v>2</v>
          </cell>
          <cell r="AP580">
            <v>0</v>
          </cell>
          <cell r="AQ580">
            <v>2</v>
          </cell>
          <cell r="AR580" t="str">
            <v>US_24469</v>
          </cell>
          <cell r="AS580">
            <v>0</v>
          </cell>
          <cell r="AT580">
            <v>160</v>
          </cell>
          <cell r="AU580">
            <v>160</v>
          </cell>
          <cell r="AV580">
            <v>0</v>
          </cell>
          <cell r="AW580">
            <v>320</v>
          </cell>
          <cell r="AX580">
            <v>316.8</v>
          </cell>
          <cell r="AY580">
            <v>320</v>
          </cell>
          <cell r="AZ580">
            <v>0</v>
          </cell>
          <cell r="BA580">
            <v>0</v>
          </cell>
          <cell r="BB580">
            <v>0</v>
          </cell>
          <cell r="BD580">
            <v>320</v>
          </cell>
          <cell r="BF580">
            <v>316.8</v>
          </cell>
          <cell r="BG580">
            <v>11520</v>
          </cell>
          <cell r="BH580">
            <v>11520</v>
          </cell>
          <cell r="BI580">
            <v>11200</v>
          </cell>
          <cell r="BJ580">
            <v>0</v>
          </cell>
          <cell r="BK580">
            <v>0</v>
          </cell>
          <cell r="BL580">
            <v>0</v>
          </cell>
          <cell r="BM580">
            <v>11200</v>
          </cell>
          <cell r="BN580">
            <v>0</v>
          </cell>
          <cell r="BO580">
            <v>320</v>
          </cell>
          <cell r="BP580" t="str">
            <v>Y</v>
          </cell>
          <cell r="BQ580">
            <v>1</v>
          </cell>
          <cell r="BR580" t="str">
            <v>Y</v>
          </cell>
          <cell r="BS580">
            <v>0</v>
          </cell>
          <cell r="BT580" t="str">
            <v>Done</v>
          </cell>
          <cell r="BU580">
            <v>160</v>
          </cell>
          <cell r="BV580">
            <v>2024</v>
          </cell>
        </row>
        <row r="581">
          <cell r="A581" t="str">
            <v>Lucknow</v>
          </cell>
          <cell r="B581" t="str">
            <v>Mavericks</v>
          </cell>
          <cell r="C581" t="str">
            <v>Mid Level</v>
          </cell>
          <cell r="D581" t="str">
            <v>Mohammad Fakhrul</v>
          </cell>
          <cell r="E581" t="str">
            <v>-</v>
          </cell>
          <cell r="H581" t="str">
            <v>Pass Through</v>
          </cell>
          <cell r="J581" t="str">
            <v>ACH</v>
          </cell>
          <cell r="K581">
            <v>0</v>
          </cell>
          <cell r="L581" t="str">
            <v>Old</v>
          </cell>
          <cell r="M581">
            <v>45519</v>
          </cell>
          <cell r="N581">
            <v>3</v>
          </cell>
          <cell r="O581">
            <v>527</v>
          </cell>
          <cell r="P581">
            <v>45807</v>
          </cell>
          <cell r="Q581">
            <v>45884</v>
          </cell>
          <cell r="R581" t="str">
            <v>PLC-Passthrough</v>
          </cell>
          <cell r="S581" t="str">
            <v>Shiva Damera</v>
          </cell>
          <cell r="T581" t="str">
            <v>Individual</v>
          </cell>
          <cell r="U581" t="str">
            <v>C2C</v>
          </cell>
          <cell r="V581" t="str">
            <v>Coforge</v>
          </cell>
          <cell r="W581">
            <v>70</v>
          </cell>
          <cell r="X581">
            <v>0</v>
          </cell>
          <cell r="Y581" t="str">
            <v>USD</v>
          </cell>
          <cell r="Z581">
            <v>72</v>
          </cell>
          <cell r="AA581">
            <v>0</v>
          </cell>
          <cell r="AB581">
            <v>0</v>
          </cell>
          <cell r="AC581">
            <v>0</v>
          </cell>
          <cell r="AD581">
            <v>45731</v>
          </cell>
          <cell r="AE581">
            <v>21</v>
          </cell>
          <cell r="AF581">
            <v>46022</v>
          </cell>
          <cell r="AG581">
            <v>70</v>
          </cell>
          <cell r="AH581">
            <v>0</v>
          </cell>
          <cell r="AI581">
            <v>70</v>
          </cell>
          <cell r="AJ581">
            <v>72</v>
          </cell>
          <cell r="AK581">
            <v>0</v>
          </cell>
          <cell r="AL581">
            <v>0</v>
          </cell>
          <cell r="AM581">
            <v>2</v>
          </cell>
          <cell r="AN581">
            <v>0</v>
          </cell>
          <cell r="AO581">
            <v>2</v>
          </cell>
          <cell r="AP581">
            <v>0</v>
          </cell>
          <cell r="AQ581">
            <v>2</v>
          </cell>
          <cell r="AR581" t="str">
            <v>US_24656</v>
          </cell>
          <cell r="AS581">
            <v>0</v>
          </cell>
          <cell r="AT581">
            <v>168</v>
          </cell>
          <cell r="AU581">
            <v>168</v>
          </cell>
          <cell r="AV581">
            <v>0</v>
          </cell>
          <cell r="AW581">
            <v>336</v>
          </cell>
          <cell r="AX581">
            <v>332.64</v>
          </cell>
          <cell r="AY581">
            <v>336</v>
          </cell>
          <cell r="AZ581">
            <v>0</v>
          </cell>
          <cell r="BA581">
            <v>0</v>
          </cell>
          <cell r="BB581">
            <v>0</v>
          </cell>
          <cell r="BD581">
            <v>336</v>
          </cell>
          <cell r="BF581">
            <v>332.64</v>
          </cell>
          <cell r="BG581">
            <v>12096</v>
          </cell>
          <cell r="BH581">
            <v>12096</v>
          </cell>
          <cell r="BI581">
            <v>11760</v>
          </cell>
          <cell r="BJ581">
            <v>0</v>
          </cell>
          <cell r="BK581">
            <v>0</v>
          </cell>
          <cell r="BL581">
            <v>0</v>
          </cell>
          <cell r="BM581">
            <v>11760</v>
          </cell>
          <cell r="BN581">
            <v>0</v>
          </cell>
          <cell r="BO581">
            <v>336</v>
          </cell>
          <cell r="BP581" t="str">
            <v>Y</v>
          </cell>
          <cell r="BQ581">
            <v>1</v>
          </cell>
          <cell r="BR581" t="str">
            <v>Y</v>
          </cell>
          <cell r="BS581">
            <v>0</v>
          </cell>
          <cell r="BT581" t="str">
            <v>Done</v>
          </cell>
          <cell r="BU581">
            <v>168</v>
          </cell>
          <cell r="BV581">
            <v>2024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Mohammad Fakhrul</v>
          </cell>
          <cell r="E582" t="str">
            <v>-</v>
          </cell>
          <cell r="H582" t="str">
            <v>Pass Through</v>
          </cell>
          <cell r="J582" t="str">
            <v>ACH</v>
          </cell>
          <cell r="K582">
            <v>0</v>
          </cell>
          <cell r="L582" t="str">
            <v>Old</v>
          </cell>
          <cell r="M582">
            <v>45519</v>
          </cell>
          <cell r="N582">
            <v>3</v>
          </cell>
          <cell r="O582">
            <v>527</v>
          </cell>
          <cell r="P582">
            <v>45807</v>
          </cell>
          <cell r="Q582">
            <v>45884</v>
          </cell>
          <cell r="R582" t="str">
            <v>PLC-Passthrough</v>
          </cell>
          <cell r="S582" t="str">
            <v>Shiva Damera</v>
          </cell>
          <cell r="T582" t="str">
            <v>Individual</v>
          </cell>
          <cell r="U582" t="str">
            <v>C2C</v>
          </cell>
          <cell r="V582" t="str">
            <v>Coforge</v>
          </cell>
          <cell r="W582">
            <v>70</v>
          </cell>
          <cell r="X582">
            <v>0</v>
          </cell>
          <cell r="Y582" t="str">
            <v>USD</v>
          </cell>
          <cell r="Z582">
            <v>72</v>
          </cell>
          <cell r="AA582">
            <v>0</v>
          </cell>
          <cell r="AB582">
            <v>0</v>
          </cell>
          <cell r="AC582">
            <v>0</v>
          </cell>
          <cell r="AD582">
            <v>45762</v>
          </cell>
          <cell r="AE582">
            <v>22</v>
          </cell>
          <cell r="AF582">
            <v>46022</v>
          </cell>
          <cell r="AG582">
            <v>70</v>
          </cell>
          <cell r="AH582">
            <v>0</v>
          </cell>
          <cell r="AI582">
            <v>70</v>
          </cell>
          <cell r="AJ582">
            <v>72</v>
          </cell>
          <cell r="AK582">
            <v>0</v>
          </cell>
          <cell r="AL582">
            <v>0</v>
          </cell>
          <cell r="AM582">
            <v>2</v>
          </cell>
          <cell r="AN582">
            <v>0</v>
          </cell>
          <cell r="AO582">
            <v>2</v>
          </cell>
          <cell r="AP582">
            <v>0</v>
          </cell>
          <cell r="AQ582">
            <v>2</v>
          </cell>
          <cell r="AR582" t="str">
            <v>US_24861</v>
          </cell>
          <cell r="AS582">
            <v>0</v>
          </cell>
          <cell r="AT582">
            <v>176</v>
          </cell>
          <cell r="AU582">
            <v>176</v>
          </cell>
          <cell r="AV582">
            <v>0</v>
          </cell>
          <cell r="AW582">
            <v>352</v>
          </cell>
          <cell r="AX582">
            <v>348.48</v>
          </cell>
          <cell r="AY582">
            <v>352</v>
          </cell>
          <cell r="AZ582">
            <v>0</v>
          </cell>
          <cell r="BA582">
            <v>0</v>
          </cell>
          <cell r="BB582">
            <v>0</v>
          </cell>
          <cell r="BD582">
            <v>352</v>
          </cell>
          <cell r="BF582">
            <v>348.48</v>
          </cell>
          <cell r="BG582">
            <v>12672</v>
          </cell>
          <cell r="BH582">
            <v>12672</v>
          </cell>
          <cell r="BI582">
            <v>12320</v>
          </cell>
          <cell r="BJ582">
            <v>0</v>
          </cell>
          <cell r="BK582">
            <v>0</v>
          </cell>
          <cell r="BL582">
            <v>0</v>
          </cell>
          <cell r="BM582">
            <v>12320</v>
          </cell>
          <cell r="BN582">
            <v>0</v>
          </cell>
          <cell r="BO582">
            <v>352</v>
          </cell>
          <cell r="BP582" t="str">
            <v>Y</v>
          </cell>
          <cell r="BQ582">
            <v>2</v>
          </cell>
          <cell r="BR582" t="str">
            <v>Y</v>
          </cell>
          <cell r="BS582">
            <v>0</v>
          </cell>
          <cell r="BT582" t="str">
            <v>Done</v>
          </cell>
          <cell r="BU582">
            <v>176</v>
          </cell>
          <cell r="BV582">
            <v>2024</v>
          </cell>
        </row>
        <row r="583">
          <cell r="A583" t="str">
            <v>Lucknow</v>
          </cell>
          <cell r="B583" t="str">
            <v>Americas</v>
          </cell>
          <cell r="C583" t="str">
            <v>Mid Level</v>
          </cell>
          <cell r="D583" t="str">
            <v>Rajesh Khanna</v>
          </cell>
          <cell r="E583" t="str">
            <v>-</v>
          </cell>
          <cell r="H583" t="str">
            <v>Aditya Pandey</v>
          </cell>
          <cell r="K583">
            <v>0</v>
          </cell>
          <cell r="L583" t="str">
            <v>Old</v>
          </cell>
          <cell r="M583">
            <v>45544</v>
          </cell>
          <cell r="N583">
            <v>3</v>
          </cell>
          <cell r="O583">
            <v>502</v>
          </cell>
          <cell r="P583" t="str">
            <v>-</v>
          </cell>
          <cell r="Q583">
            <v>45909</v>
          </cell>
          <cell r="S583" t="str">
            <v>Shivam Gangwar</v>
          </cell>
          <cell r="T583" t="str">
            <v>Individual</v>
          </cell>
          <cell r="U583" t="str">
            <v>C2C</v>
          </cell>
          <cell r="V583" t="str">
            <v>Samacare</v>
          </cell>
          <cell r="W583">
            <v>10.095939312806783</v>
          </cell>
          <cell r="X583">
            <v>0</v>
          </cell>
          <cell r="Y583" t="str">
            <v>USD</v>
          </cell>
          <cell r="Z583">
            <v>17.708312499999998</v>
          </cell>
          <cell r="AA583">
            <v>0</v>
          </cell>
          <cell r="AB583">
            <v>0</v>
          </cell>
          <cell r="AC583">
            <v>0</v>
          </cell>
          <cell r="AD583">
            <v>45672</v>
          </cell>
          <cell r="AE583">
            <v>23</v>
          </cell>
          <cell r="AF583">
            <v>46022</v>
          </cell>
          <cell r="AG583">
            <v>10.095939312806783</v>
          </cell>
          <cell r="AH583">
            <v>0</v>
          </cell>
          <cell r="AI583">
            <v>10.095939312806783</v>
          </cell>
          <cell r="AJ583">
            <v>17.708312499999998</v>
          </cell>
          <cell r="AK583">
            <v>0</v>
          </cell>
          <cell r="AL583">
            <v>0</v>
          </cell>
          <cell r="AM583">
            <v>7.6123731871932154</v>
          </cell>
          <cell r="AN583">
            <v>0</v>
          </cell>
          <cell r="AO583">
            <v>7.6123731871932154</v>
          </cell>
          <cell r="AP583">
            <v>0</v>
          </cell>
          <cell r="AQ583">
            <v>7.6123731871932154</v>
          </cell>
          <cell r="AR583" t="str">
            <v>US_24151</v>
          </cell>
          <cell r="AS583">
            <v>0</v>
          </cell>
          <cell r="AT583">
            <v>1</v>
          </cell>
          <cell r="AU583">
            <v>1</v>
          </cell>
          <cell r="AV583">
            <v>0</v>
          </cell>
          <cell r="AW583">
            <v>7.6123731871932154</v>
          </cell>
          <cell r="AX583">
            <v>7.6123731871932154</v>
          </cell>
          <cell r="AY583">
            <v>7.6123731871932154</v>
          </cell>
          <cell r="AZ583">
            <v>0</v>
          </cell>
          <cell r="BA583">
            <v>0</v>
          </cell>
          <cell r="BB583">
            <v>0</v>
          </cell>
          <cell r="BD583">
            <v>7.6123731871932154</v>
          </cell>
          <cell r="BF583">
            <v>7.6123731871932154</v>
          </cell>
          <cell r="BG583">
            <v>17.708312499999998</v>
          </cell>
          <cell r="BH583">
            <v>17.708312499999998</v>
          </cell>
          <cell r="BI583">
            <v>10.095939312806783</v>
          </cell>
          <cell r="BJ583">
            <v>0</v>
          </cell>
          <cell r="BK583">
            <v>0</v>
          </cell>
          <cell r="BL583">
            <v>0</v>
          </cell>
          <cell r="BM583">
            <v>10.095939312806783</v>
          </cell>
          <cell r="BN583">
            <v>0</v>
          </cell>
          <cell r="BO583">
            <v>7.6123731871932154</v>
          </cell>
          <cell r="BP583" t="str">
            <v>Y</v>
          </cell>
          <cell r="BQ583">
            <v>1</v>
          </cell>
          <cell r="BR583" t="str">
            <v>N</v>
          </cell>
          <cell r="BS583">
            <v>0</v>
          </cell>
          <cell r="BT583" t="str">
            <v>Done</v>
          </cell>
          <cell r="BU583">
            <v>0</v>
          </cell>
          <cell r="BV583">
            <v>2024</v>
          </cell>
        </row>
        <row r="584">
          <cell r="A584" t="str">
            <v>Lucknow</v>
          </cell>
          <cell r="B584" t="str">
            <v>Americas</v>
          </cell>
          <cell r="C584" t="str">
            <v>Mid Level</v>
          </cell>
          <cell r="D584" t="str">
            <v>Rajesh Khanna</v>
          </cell>
          <cell r="E584" t="str">
            <v>-</v>
          </cell>
          <cell r="H584" t="str">
            <v>Aditya Pandey</v>
          </cell>
          <cell r="K584">
            <v>0</v>
          </cell>
          <cell r="L584" t="str">
            <v>Old</v>
          </cell>
          <cell r="M584">
            <v>45544</v>
          </cell>
          <cell r="N584">
            <v>3</v>
          </cell>
          <cell r="O584">
            <v>502</v>
          </cell>
          <cell r="P584" t="str">
            <v>-</v>
          </cell>
          <cell r="Q584">
            <v>45909</v>
          </cell>
          <cell r="S584" t="str">
            <v>Shivam Gangwar</v>
          </cell>
          <cell r="T584" t="str">
            <v>Individual</v>
          </cell>
          <cell r="U584" t="str">
            <v>C2C</v>
          </cell>
          <cell r="V584" t="str">
            <v>Samacare</v>
          </cell>
          <cell r="W584">
            <v>10.095939312806783</v>
          </cell>
          <cell r="X584">
            <v>0</v>
          </cell>
          <cell r="Y584" t="str">
            <v>USD</v>
          </cell>
          <cell r="Z584">
            <v>17.708312499999998</v>
          </cell>
          <cell r="AA584">
            <v>0</v>
          </cell>
          <cell r="AB584">
            <v>0</v>
          </cell>
          <cell r="AC584">
            <v>0</v>
          </cell>
          <cell r="AD584">
            <v>45703</v>
          </cell>
          <cell r="AE584">
            <v>20</v>
          </cell>
          <cell r="AF584">
            <v>46022</v>
          </cell>
          <cell r="AG584">
            <v>10.095939312806783</v>
          </cell>
          <cell r="AH584">
            <v>0</v>
          </cell>
          <cell r="AI584">
            <v>10.095939312806783</v>
          </cell>
          <cell r="AJ584">
            <v>17.708312499999998</v>
          </cell>
          <cell r="AK584">
            <v>0</v>
          </cell>
          <cell r="AL584">
            <v>0</v>
          </cell>
          <cell r="AM584">
            <v>7.6123731871932154</v>
          </cell>
          <cell r="AN584">
            <v>0</v>
          </cell>
          <cell r="AO584">
            <v>7.6123731871932154</v>
          </cell>
          <cell r="AP584">
            <v>0</v>
          </cell>
          <cell r="AQ584">
            <v>7.6123731871932154</v>
          </cell>
          <cell r="AR584" t="str">
            <v>US_24360</v>
          </cell>
          <cell r="AS584">
            <v>0</v>
          </cell>
          <cell r="AT584">
            <v>1</v>
          </cell>
          <cell r="AU584">
            <v>1</v>
          </cell>
          <cell r="AV584">
            <v>0</v>
          </cell>
          <cell r="AW584">
            <v>7.6123731871932154</v>
          </cell>
          <cell r="AX584">
            <v>7.6123731871932154</v>
          </cell>
          <cell r="AY584">
            <v>7.6123731871932154</v>
          </cell>
          <cell r="AZ584">
            <v>0</v>
          </cell>
          <cell r="BA584">
            <v>0</v>
          </cell>
          <cell r="BB584">
            <v>0</v>
          </cell>
          <cell r="BD584">
            <v>7.6123731871932154</v>
          </cell>
          <cell r="BF584">
            <v>7.6123731871932154</v>
          </cell>
          <cell r="BG584">
            <v>17.708312499999998</v>
          </cell>
          <cell r="BH584">
            <v>17.708312499999998</v>
          </cell>
          <cell r="BI584">
            <v>10.095939312806783</v>
          </cell>
          <cell r="BJ584">
            <v>0</v>
          </cell>
          <cell r="BK584">
            <v>0</v>
          </cell>
          <cell r="BL584">
            <v>0</v>
          </cell>
          <cell r="BM584">
            <v>10.095939312806783</v>
          </cell>
          <cell r="BN584">
            <v>0</v>
          </cell>
          <cell r="BO584">
            <v>7.6123731871932154</v>
          </cell>
          <cell r="BP584" t="str">
            <v>Y</v>
          </cell>
          <cell r="BQ584">
            <v>1</v>
          </cell>
          <cell r="BR584" t="str">
            <v>N</v>
          </cell>
          <cell r="BS584">
            <v>0</v>
          </cell>
          <cell r="BT584" t="str">
            <v>Done</v>
          </cell>
          <cell r="BU584">
            <v>0</v>
          </cell>
          <cell r="BV584">
            <v>2024</v>
          </cell>
        </row>
        <row r="585">
          <cell r="A585" t="str">
            <v>Lucknow</v>
          </cell>
          <cell r="B585" t="str">
            <v>Americas</v>
          </cell>
          <cell r="C585" t="str">
            <v>Mid Level</v>
          </cell>
          <cell r="D585" t="str">
            <v>Rajesh Khanna</v>
          </cell>
          <cell r="E585" t="str">
            <v>-</v>
          </cell>
          <cell r="H585" t="str">
            <v>Aditya Pandey</v>
          </cell>
          <cell r="K585">
            <v>0</v>
          </cell>
          <cell r="L585" t="str">
            <v>Old</v>
          </cell>
          <cell r="M585">
            <v>45544</v>
          </cell>
          <cell r="N585">
            <v>3</v>
          </cell>
          <cell r="O585">
            <v>502</v>
          </cell>
          <cell r="P585" t="str">
            <v>-</v>
          </cell>
          <cell r="Q585">
            <v>45909</v>
          </cell>
          <cell r="S585" t="str">
            <v>Shivam Gangwar</v>
          </cell>
          <cell r="T585" t="str">
            <v>Individual</v>
          </cell>
          <cell r="U585" t="str">
            <v>C2C</v>
          </cell>
          <cell r="V585" t="str">
            <v>Samacare</v>
          </cell>
          <cell r="W585">
            <v>10.095939312806783</v>
          </cell>
          <cell r="X585">
            <v>0</v>
          </cell>
          <cell r="Y585" t="str">
            <v>USD</v>
          </cell>
          <cell r="Z585">
            <v>17.708312499999998</v>
          </cell>
          <cell r="AA585">
            <v>0</v>
          </cell>
          <cell r="AB585">
            <v>0</v>
          </cell>
          <cell r="AC585">
            <v>0</v>
          </cell>
          <cell r="AD585">
            <v>45731</v>
          </cell>
          <cell r="AE585">
            <v>21</v>
          </cell>
          <cell r="AF585">
            <v>46022</v>
          </cell>
          <cell r="AG585">
            <v>10.095939312806783</v>
          </cell>
          <cell r="AH585">
            <v>0</v>
          </cell>
          <cell r="AI585">
            <v>10.095939312806783</v>
          </cell>
          <cell r="AJ585">
            <v>17.708312499999998</v>
          </cell>
          <cell r="AK585">
            <v>0</v>
          </cell>
          <cell r="AL585">
            <v>0</v>
          </cell>
          <cell r="AM585">
            <v>7.6123731871932154</v>
          </cell>
          <cell r="AN585">
            <v>0</v>
          </cell>
          <cell r="AO585">
            <v>7.6123731871932154</v>
          </cell>
          <cell r="AP585">
            <v>0</v>
          </cell>
          <cell r="AQ585">
            <v>7.6123731871932154</v>
          </cell>
          <cell r="AR585" t="str">
            <v>US_24556</v>
          </cell>
          <cell r="AS585">
            <v>0</v>
          </cell>
          <cell r="AT585">
            <v>1</v>
          </cell>
          <cell r="AU585">
            <v>1</v>
          </cell>
          <cell r="AV585">
            <v>0</v>
          </cell>
          <cell r="AW585">
            <v>7.6123731871932154</v>
          </cell>
          <cell r="AX585">
            <v>7.6123731871932154</v>
          </cell>
          <cell r="AY585">
            <v>7.6123731871932154</v>
          </cell>
          <cell r="AZ585">
            <v>0</v>
          </cell>
          <cell r="BA585">
            <v>0</v>
          </cell>
          <cell r="BB585">
            <v>0</v>
          </cell>
          <cell r="BD585">
            <v>7.6123731871932154</v>
          </cell>
          <cell r="BF585">
            <v>7.6123731871932154</v>
          </cell>
          <cell r="BG585">
            <v>17.708312499999998</v>
          </cell>
          <cell r="BH585">
            <v>17.708312499999998</v>
          </cell>
          <cell r="BI585">
            <v>10.095939312806783</v>
          </cell>
          <cell r="BJ585">
            <v>0</v>
          </cell>
          <cell r="BK585">
            <v>0</v>
          </cell>
          <cell r="BL585">
            <v>0</v>
          </cell>
          <cell r="BM585">
            <v>10.095939312806783</v>
          </cell>
          <cell r="BN585">
            <v>0</v>
          </cell>
          <cell r="BO585">
            <v>7.6123731871932154</v>
          </cell>
          <cell r="BP585" t="str">
            <v>Y</v>
          </cell>
          <cell r="BQ585">
            <v>1</v>
          </cell>
          <cell r="BR585" t="str">
            <v>N</v>
          </cell>
          <cell r="BS585">
            <v>0</v>
          </cell>
          <cell r="BT585" t="str">
            <v>Done</v>
          </cell>
          <cell r="BU585">
            <v>0</v>
          </cell>
          <cell r="BV585">
            <v>2024</v>
          </cell>
        </row>
        <row r="586">
          <cell r="A586" t="str">
            <v>Lucknow</v>
          </cell>
          <cell r="B586" t="str">
            <v>Americas</v>
          </cell>
          <cell r="C586" t="str">
            <v>Mid Level</v>
          </cell>
          <cell r="D586" t="str">
            <v>Rajesh Khanna</v>
          </cell>
          <cell r="E586" t="str">
            <v>-</v>
          </cell>
          <cell r="H586" t="str">
            <v>Aditya Pandey</v>
          </cell>
          <cell r="K586">
            <v>0</v>
          </cell>
          <cell r="L586" t="str">
            <v>Old</v>
          </cell>
          <cell r="M586">
            <v>45544</v>
          </cell>
          <cell r="N586">
            <v>3</v>
          </cell>
          <cell r="O586">
            <v>502</v>
          </cell>
          <cell r="P586" t="str">
            <v>-</v>
          </cell>
          <cell r="Q586">
            <v>45909</v>
          </cell>
          <cell r="S586" t="str">
            <v>Shivam Gangwar</v>
          </cell>
          <cell r="T586" t="str">
            <v>Individual</v>
          </cell>
          <cell r="U586" t="str">
            <v>C2C</v>
          </cell>
          <cell r="V586" t="str">
            <v>Samacare</v>
          </cell>
          <cell r="W586">
            <v>10.095939312806783</v>
          </cell>
          <cell r="X586">
            <v>0</v>
          </cell>
          <cell r="Y586" t="str">
            <v>USD</v>
          </cell>
          <cell r="Z586">
            <v>17.708312499999998</v>
          </cell>
          <cell r="AA586">
            <v>0</v>
          </cell>
          <cell r="AB586">
            <v>0</v>
          </cell>
          <cell r="AC586">
            <v>0</v>
          </cell>
          <cell r="AD586">
            <v>45762</v>
          </cell>
          <cell r="AE586">
            <v>22</v>
          </cell>
          <cell r="AF586">
            <v>46022</v>
          </cell>
          <cell r="AG586">
            <v>10.095939312806783</v>
          </cell>
          <cell r="AH586">
            <v>0</v>
          </cell>
          <cell r="AI586">
            <v>10.095939312806783</v>
          </cell>
          <cell r="AJ586">
            <v>17.708312499999998</v>
          </cell>
          <cell r="AK586">
            <v>0</v>
          </cell>
          <cell r="AL586">
            <v>0</v>
          </cell>
          <cell r="AM586">
            <v>7.6123731871932154</v>
          </cell>
          <cell r="AN586">
            <v>0</v>
          </cell>
          <cell r="AO586">
            <v>7.6123731871932154</v>
          </cell>
          <cell r="AP586">
            <v>0</v>
          </cell>
          <cell r="AQ586">
            <v>7.6123731871932154</v>
          </cell>
          <cell r="AR586" t="str">
            <v>US_24773</v>
          </cell>
          <cell r="AS586">
            <v>0</v>
          </cell>
          <cell r="AT586">
            <v>1</v>
          </cell>
          <cell r="AU586">
            <v>1</v>
          </cell>
          <cell r="AV586">
            <v>0</v>
          </cell>
          <cell r="AW586">
            <v>7.6123731871932154</v>
          </cell>
          <cell r="AX586">
            <v>7.6123731871932154</v>
          </cell>
          <cell r="AY586">
            <v>7.6123731871932154</v>
          </cell>
          <cell r="AZ586">
            <v>0</v>
          </cell>
          <cell r="BA586">
            <v>0</v>
          </cell>
          <cell r="BB586">
            <v>0</v>
          </cell>
          <cell r="BD586">
            <v>7.6123731871932154</v>
          </cell>
          <cell r="BF586">
            <v>7.6123731871932154</v>
          </cell>
          <cell r="BG586">
            <v>17.708312499999998</v>
          </cell>
          <cell r="BH586">
            <v>17.708312499999998</v>
          </cell>
          <cell r="BI586">
            <v>10.095939312806783</v>
          </cell>
          <cell r="BJ586">
            <v>0</v>
          </cell>
          <cell r="BK586">
            <v>0</v>
          </cell>
          <cell r="BL586">
            <v>0</v>
          </cell>
          <cell r="BM586">
            <v>10.095939312806783</v>
          </cell>
          <cell r="BN586">
            <v>0</v>
          </cell>
          <cell r="BO586">
            <v>7.6123731871932154</v>
          </cell>
          <cell r="BP586" t="str">
            <v>Y</v>
          </cell>
          <cell r="BQ586">
            <v>2</v>
          </cell>
          <cell r="BR586" t="str">
            <v>N</v>
          </cell>
          <cell r="BS586">
            <v>0</v>
          </cell>
          <cell r="BT586" t="str">
            <v>Done</v>
          </cell>
          <cell r="BU586">
            <v>0</v>
          </cell>
          <cell r="BV586">
            <v>2024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Rohit Gupta</v>
          </cell>
          <cell r="E587" t="str">
            <v>-</v>
          </cell>
          <cell r="H587" t="str">
            <v>Himanshu Gupta</v>
          </cell>
          <cell r="J587" t="str">
            <v>ACH</v>
          </cell>
          <cell r="L587" t="str">
            <v>New</v>
          </cell>
          <cell r="M587">
            <v>45691</v>
          </cell>
          <cell r="N587">
            <v>1</v>
          </cell>
          <cell r="O587">
            <v>355</v>
          </cell>
          <cell r="P587">
            <v>45838</v>
          </cell>
          <cell r="Q587">
            <v>46056</v>
          </cell>
          <cell r="R587" t="str">
            <v>PLC-4103</v>
          </cell>
          <cell r="S587" t="str">
            <v>Shourya Ravula</v>
          </cell>
          <cell r="T587" t="str">
            <v>Individual</v>
          </cell>
          <cell r="U587" t="str">
            <v>C2C</v>
          </cell>
          <cell r="V587" t="str">
            <v>Coforge</v>
          </cell>
          <cell r="W587">
            <v>65</v>
          </cell>
          <cell r="X587">
            <v>0</v>
          </cell>
          <cell r="Y587" t="str">
            <v>USD</v>
          </cell>
          <cell r="Z587">
            <v>73</v>
          </cell>
          <cell r="AA587">
            <v>0</v>
          </cell>
          <cell r="AB587">
            <v>0</v>
          </cell>
          <cell r="AC587">
            <v>0</v>
          </cell>
          <cell r="AD587">
            <v>45703</v>
          </cell>
          <cell r="AE587">
            <v>20</v>
          </cell>
          <cell r="AF587">
            <v>46022</v>
          </cell>
          <cell r="AG587">
            <v>65</v>
          </cell>
          <cell r="AH587">
            <v>0</v>
          </cell>
          <cell r="AI587">
            <v>65</v>
          </cell>
          <cell r="AJ587">
            <v>73</v>
          </cell>
          <cell r="AK587">
            <v>0</v>
          </cell>
          <cell r="AL587">
            <v>0</v>
          </cell>
          <cell r="AM587">
            <v>8</v>
          </cell>
          <cell r="AN587">
            <v>0</v>
          </cell>
          <cell r="AO587">
            <v>8</v>
          </cell>
          <cell r="AP587">
            <v>0</v>
          </cell>
          <cell r="AQ587">
            <v>8</v>
          </cell>
          <cell r="AR587" t="str">
            <v>US_24348</v>
          </cell>
          <cell r="AS587">
            <v>0</v>
          </cell>
          <cell r="AT587">
            <v>152</v>
          </cell>
          <cell r="AU587">
            <v>152</v>
          </cell>
          <cell r="AV587">
            <v>0</v>
          </cell>
          <cell r="AW587">
            <v>1216</v>
          </cell>
          <cell r="AX587">
            <v>1203.8399999999999</v>
          </cell>
          <cell r="AY587">
            <v>1216</v>
          </cell>
          <cell r="AZ587">
            <v>0</v>
          </cell>
          <cell r="BA587">
            <v>0</v>
          </cell>
          <cell r="BB587">
            <v>0</v>
          </cell>
          <cell r="BF587">
            <v>1203.8399999999999</v>
          </cell>
          <cell r="BG587">
            <v>11096</v>
          </cell>
          <cell r="BH587">
            <v>11096</v>
          </cell>
          <cell r="BI587">
            <v>9880</v>
          </cell>
          <cell r="BJ587">
            <v>0</v>
          </cell>
          <cell r="BK587">
            <v>0</v>
          </cell>
          <cell r="BL587">
            <v>0</v>
          </cell>
          <cell r="BM587">
            <v>9880</v>
          </cell>
          <cell r="BN587">
            <v>0</v>
          </cell>
          <cell r="BO587">
            <v>1216</v>
          </cell>
          <cell r="BP587" t="str">
            <v>Y</v>
          </cell>
          <cell r="BQ587">
            <v>1</v>
          </cell>
          <cell r="BR587" t="str">
            <v>Y</v>
          </cell>
          <cell r="BS587">
            <v>0</v>
          </cell>
          <cell r="BT587" t="str">
            <v>Done</v>
          </cell>
          <cell r="BU587">
            <v>152</v>
          </cell>
          <cell r="BV587">
            <v>2025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Rohit Gupta</v>
          </cell>
          <cell r="E588" t="str">
            <v>-</v>
          </cell>
          <cell r="H588" t="str">
            <v>Himanshu Gupta</v>
          </cell>
          <cell r="J588" t="str">
            <v>ACH</v>
          </cell>
          <cell r="L588" t="str">
            <v>New</v>
          </cell>
          <cell r="M588">
            <v>45691</v>
          </cell>
          <cell r="N588">
            <v>1</v>
          </cell>
          <cell r="O588">
            <v>355</v>
          </cell>
          <cell r="P588">
            <v>45838</v>
          </cell>
          <cell r="Q588">
            <v>46056</v>
          </cell>
          <cell r="R588" t="str">
            <v>PLC-4103</v>
          </cell>
          <cell r="S588" t="str">
            <v>Shourya Ravula</v>
          </cell>
          <cell r="T588" t="str">
            <v>Individual</v>
          </cell>
          <cell r="U588" t="str">
            <v>C2C</v>
          </cell>
          <cell r="V588" t="str">
            <v>Coforge</v>
          </cell>
          <cell r="W588">
            <v>65</v>
          </cell>
          <cell r="X588">
            <v>0</v>
          </cell>
          <cell r="Y588" t="str">
            <v>USD</v>
          </cell>
          <cell r="Z588">
            <v>73</v>
          </cell>
          <cell r="AA588">
            <v>0</v>
          </cell>
          <cell r="AB588">
            <v>0</v>
          </cell>
          <cell r="AC588">
            <v>0</v>
          </cell>
          <cell r="AD588">
            <v>45731</v>
          </cell>
          <cell r="AE588">
            <v>21</v>
          </cell>
          <cell r="AF588">
            <v>46022</v>
          </cell>
          <cell r="AG588">
            <v>65</v>
          </cell>
          <cell r="AH588">
            <v>0</v>
          </cell>
          <cell r="AI588">
            <v>65</v>
          </cell>
          <cell r="AJ588">
            <v>73</v>
          </cell>
          <cell r="AK588">
            <v>0</v>
          </cell>
          <cell r="AL588">
            <v>0</v>
          </cell>
          <cell r="AM588">
            <v>8</v>
          </cell>
          <cell r="AN588">
            <v>0</v>
          </cell>
          <cell r="AO588">
            <v>8</v>
          </cell>
          <cell r="AP588">
            <v>0</v>
          </cell>
          <cell r="AQ588">
            <v>8</v>
          </cell>
          <cell r="AR588" t="str">
            <v>US_24545</v>
          </cell>
          <cell r="AS588">
            <v>0</v>
          </cell>
          <cell r="AT588">
            <v>168</v>
          </cell>
          <cell r="AU588">
            <v>168</v>
          </cell>
          <cell r="AV588">
            <v>0</v>
          </cell>
          <cell r="AW588">
            <v>1344</v>
          </cell>
          <cell r="AX588">
            <v>1330.56</v>
          </cell>
          <cell r="AY588">
            <v>1344</v>
          </cell>
          <cell r="AZ588">
            <v>0</v>
          </cell>
          <cell r="BA588">
            <v>0</v>
          </cell>
          <cell r="BB588">
            <v>0</v>
          </cell>
          <cell r="BF588">
            <v>1330.56</v>
          </cell>
          <cell r="BG588">
            <v>12264</v>
          </cell>
          <cell r="BH588">
            <v>12264</v>
          </cell>
          <cell r="BI588">
            <v>10920</v>
          </cell>
          <cell r="BJ588">
            <v>0</v>
          </cell>
          <cell r="BK588">
            <v>0</v>
          </cell>
          <cell r="BL588">
            <v>0</v>
          </cell>
          <cell r="BM588">
            <v>10920</v>
          </cell>
          <cell r="BN588">
            <v>0</v>
          </cell>
          <cell r="BO588">
            <v>1344</v>
          </cell>
          <cell r="BP588" t="str">
            <v>Y</v>
          </cell>
          <cell r="BQ588">
            <v>1</v>
          </cell>
          <cell r="BR588" t="str">
            <v>Y</v>
          </cell>
          <cell r="BS588">
            <v>0</v>
          </cell>
          <cell r="BT588" t="str">
            <v>Done</v>
          </cell>
          <cell r="BU588">
            <v>168</v>
          </cell>
          <cell r="BV588">
            <v>2025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Rohit Gupta</v>
          </cell>
          <cell r="E589" t="str">
            <v>-</v>
          </cell>
          <cell r="H589" t="str">
            <v>Himanshu Gupta</v>
          </cell>
          <cell r="J589" t="str">
            <v>ACH</v>
          </cell>
          <cell r="L589" t="str">
            <v>New</v>
          </cell>
          <cell r="M589">
            <v>45691</v>
          </cell>
          <cell r="N589">
            <v>1</v>
          </cell>
          <cell r="O589">
            <v>355</v>
          </cell>
          <cell r="P589">
            <v>45838</v>
          </cell>
          <cell r="Q589">
            <v>46056</v>
          </cell>
          <cell r="R589" t="str">
            <v>PLC-4103</v>
          </cell>
          <cell r="S589" t="str">
            <v>Shourya Ravula</v>
          </cell>
          <cell r="T589" t="str">
            <v>Individual</v>
          </cell>
          <cell r="U589" t="str">
            <v>C2C</v>
          </cell>
          <cell r="V589" t="str">
            <v>Coforge</v>
          </cell>
          <cell r="W589">
            <v>65</v>
          </cell>
          <cell r="X589">
            <v>0</v>
          </cell>
          <cell r="Y589" t="str">
            <v>USD</v>
          </cell>
          <cell r="Z589">
            <v>73</v>
          </cell>
          <cell r="AA589">
            <v>0</v>
          </cell>
          <cell r="AB589">
            <v>0</v>
          </cell>
          <cell r="AC589">
            <v>0</v>
          </cell>
          <cell r="AD589">
            <v>45762</v>
          </cell>
          <cell r="AE589">
            <v>22</v>
          </cell>
          <cell r="AF589">
            <v>46022</v>
          </cell>
          <cell r="AG589">
            <v>65</v>
          </cell>
          <cell r="AH589">
            <v>0</v>
          </cell>
          <cell r="AI589">
            <v>65</v>
          </cell>
          <cell r="AJ589">
            <v>73</v>
          </cell>
          <cell r="AK589">
            <v>0</v>
          </cell>
          <cell r="AL589">
            <v>0</v>
          </cell>
          <cell r="AM589">
            <v>8</v>
          </cell>
          <cell r="AN589">
            <v>0</v>
          </cell>
          <cell r="AO589">
            <v>8</v>
          </cell>
          <cell r="AP589">
            <v>0</v>
          </cell>
          <cell r="AQ589">
            <v>8</v>
          </cell>
          <cell r="AR589" t="str">
            <v>US_24763</v>
          </cell>
          <cell r="AS589">
            <v>0</v>
          </cell>
          <cell r="AT589">
            <v>168</v>
          </cell>
          <cell r="AU589">
            <v>168</v>
          </cell>
          <cell r="AV589">
            <v>0</v>
          </cell>
          <cell r="AW589">
            <v>1344</v>
          </cell>
          <cell r="AX589">
            <v>1330.56</v>
          </cell>
          <cell r="AY589">
            <v>1344</v>
          </cell>
          <cell r="AZ589">
            <v>0</v>
          </cell>
          <cell r="BA589">
            <v>0</v>
          </cell>
          <cell r="BB589">
            <v>0</v>
          </cell>
          <cell r="BF589">
            <v>1330.56</v>
          </cell>
          <cell r="BG589">
            <v>12264</v>
          </cell>
          <cell r="BH589">
            <v>12264</v>
          </cell>
          <cell r="BI589">
            <v>10920</v>
          </cell>
          <cell r="BJ589">
            <v>0</v>
          </cell>
          <cell r="BK589">
            <v>0</v>
          </cell>
          <cell r="BL589">
            <v>0</v>
          </cell>
          <cell r="BM589">
            <v>10920</v>
          </cell>
          <cell r="BN589">
            <v>0</v>
          </cell>
          <cell r="BO589">
            <v>1344</v>
          </cell>
          <cell r="BP589" t="str">
            <v>Y</v>
          </cell>
          <cell r="BQ589">
            <v>2</v>
          </cell>
          <cell r="BR589" t="str">
            <v>N</v>
          </cell>
          <cell r="BS589">
            <v>0</v>
          </cell>
          <cell r="BT589" t="str">
            <v>Done</v>
          </cell>
          <cell r="BU589">
            <v>168</v>
          </cell>
          <cell r="BV589">
            <v>2025</v>
          </cell>
        </row>
        <row r="590">
          <cell r="A590" t="str">
            <v>Lucknow</v>
          </cell>
          <cell r="B590" t="str">
            <v>Americas</v>
          </cell>
          <cell r="C590" t="str">
            <v>Mid Level</v>
          </cell>
          <cell r="D590" t="str">
            <v>Rajesh Khanna</v>
          </cell>
          <cell r="E590" t="str">
            <v>-</v>
          </cell>
          <cell r="H590" t="str">
            <v>Rajesh Khanna</v>
          </cell>
          <cell r="K590">
            <v>0</v>
          </cell>
          <cell r="L590" t="str">
            <v>Old</v>
          </cell>
          <cell r="M590">
            <v>45579</v>
          </cell>
          <cell r="N590">
            <v>4</v>
          </cell>
          <cell r="O590">
            <v>467</v>
          </cell>
          <cell r="P590" t="str">
            <v>-</v>
          </cell>
          <cell r="Q590">
            <v>45944</v>
          </cell>
          <cell r="R590" t="str">
            <v>PLC Fanatics</v>
          </cell>
          <cell r="S590" t="str">
            <v>Shriyanshu Morchele</v>
          </cell>
          <cell r="T590" t="str">
            <v>Individual</v>
          </cell>
          <cell r="U590" t="str">
            <v>C2C</v>
          </cell>
          <cell r="V590" t="str">
            <v>Fanatics</v>
          </cell>
          <cell r="W590">
            <v>32.5</v>
          </cell>
          <cell r="X590">
            <v>0</v>
          </cell>
          <cell r="Y590" t="str">
            <v>USD</v>
          </cell>
          <cell r="Z590">
            <v>35</v>
          </cell>
          <cell r="AA590">
            <v>0</v>
          </cell>
          <cell r="AB590">
            <v>0</v>
          </cell>
          <cell r="AC590">
            <v>0</v>
          </cell>
          <cell r="AD590">
            <v>45672</v>
          </cell>
          <cell r="AE590">
            <v>23</v>
          </cell>
          <cell r="AF590">
            <v>46022</v>
          </cell>
          <cell r="AG590">
            <v>32.5</v>
          </cell>
          <cell r="AH590">
            <v>0</v>
          </cell>
          <cell r="AI590">
            <v>32.5</v>
          </cell>
          <cell r="AJ590">
            <v>35</v>
          </cell>
          <cell r="AK590">
            <v>0</v>
          </cell>
          <cell r="AL590">
            <v>0</v>
          </cell>
          <cell r="AM590">
            <v>2.5</v>
          </cell>
          <cell r="AN590">
            <v>0</v>
          </cell>
          <cell r="AO590">
            <v>2.5</v>
          </cell>
          <cell r="AP590">
            <v>0</v>
          </cell>
          <cell r="AQ590">
            <v>2.5</v>
          </cell>
          <cell r="AR590" t="str">
            <v>US_24276</v>
          </cell>
          <cell r="AS590">
            <v>0</v>
          </cell>
          <cell r="AT590">
            <v>176</v>
          </cell>
          <cell r="AU590">
            <v>176</v>
          </cell>
          <cell r="AV590">
            <v>0</v>
          </cell>
          <cell r="AW590">
            <v>440</v>
          </cell>
          <cell r="AX590">
            <v>440</v>
          </cell>
          <cell r="AY590">
            <v>440</v>
          </cell>
          <cell r="AZ590">
            <v>0</v>
          </cell>
          <cell r="BA590">
            <v>0</v>
          </cell>
          <cell r="BB590">
            <v>0</v>
          </cell>
          <cell r="BD590">
            <v>440</v>
          </cell>
          <cell r="BF590">
            <v>440</v>
          </cell>
          <cell r="BG590">
            <v>6160</v>
          </cell>
          <cell r="BH590">
            <v>6160</v>
          </cell>
          <cell r="BI590">
            <v>5720</v>
          </cell>
          <cell r="BJ590">
            <v>0</v>
          </cell>
          <cell r="BK590">
            <v>0</v>
          </cell>
          <cell r="BL590">
            <v>0</v>
          </cell>
          <cell r="BM590">
            <v>5720</v>
          </cell>
          <cell r="BN590">
            <v>0</v>
          </cell>
          <cell r="BO590">
            <v>440</v>
          </cell>
          <cell r="BP590" t="str">
            <v>Y</v>
          </cell>
          <cell r="BQ590">
            <v>1</v>
          </cell>
          <cell r="BR590" t="str">
            <v>Y</v>
          </cell>
          <cell r="BS590">
            <v>0</v>
          </cell>
          <cell r="BT590" t="str">
            <v>Done</v>
          </cell>
          <cell r="BU590">
            <v>176</v>
          </cell>
          <cell r="BV590">
            <v>2024</v>
          </cell>
        </row>
        <row r="591">
          <cell r="A591" t="str">
            <v>Lucknow</v>
          </cell>
          <cell r="B591" t="str">
            <v>Americas</v>
          </cell>
          <cell r="C591" t="str">
            <v>Mid Level</v>
          </cell>
          <cell r="D591" t="str">
            <v>Rajesh Khanna</v>
          </cell>
          <cell r="E591" t="str">
            <v>-</v>
          </cell>
          <cell r="H591" t="str">
            <v>Rajesh Khanna</v>
          </cell>
          <cell r="K591">
            <v>0</v>
          </cell>
          <cell r="L591" t="str">
            <v>Old</v>
          </cell>
          <cell r="M591">
            <v>45579</v>
          </cell>
          <cell r="N591">
            <v>4</v>
          </cell>
          <cell r="O591">
            <v>467</v>
          </cell>
          <cell r="P591" t="str">
            <v>-</v>
          </cell>
          <cell r="Q591">
            <v>45944</v>
          </cell>
          <cell r="R591" t="str">
            <v>PLC Fanatics</v>
          </cell>
          <cell r="S591" t="str">
            <v>Shriyanshu Morchele</v>
          </cell>
          <cell r="T591" t="str">
            <v>Individual</v>
          </cell>
          <cell r="U591" t="str">
            <v>C2C</v>
          </cell>
          <cell r="V591" t="str">
            <v>Fanatics</v>
          </cell>
          <cell r="W591">
            <v>32.5</v>
          </cell>
          <cell r="X591">
            <v>0</v>
          </cell>
          <cell r="Y591" t="str">
            <v>USD</v>
          </cell>
          <cell r="Z591">
            <v>35</v>
          </cell>
          <cell r="AA591">
            <v>0</v>
          </cell>
          <cell r="AB591">
            <v>0</v>
          </cell>
          <cell r="AC591">
            <v>0</v>
          </cell>
          <cell r="AD591">
            <v>45703</v>
          </cell>
          <cell r="AE591">
            <v>20</v>
          </cell>
          <cell r="AF591">
            <v>46022</v>
          </cell>
          <cell r="AG591">
            <v>32.5</v>
          </cell>
          <cell r="AH591">
            <v>0</v>
          </cell>
          <cell r="AI591">
            <v>32.5</v>
          </cell>
          <cell r="AJ591">
            <v>35</v>
          </cell>
          <cell r="AK591">
            <v>0</v>
          </cell>
          <cell r="AL591">
            <v>0</v>
          </cell>
          <cell r="AM591">
            <v>2.5</v>
          </cell>
          <cell r="AN591">
            <v>0</v>
          </cell>
          <cell r="AO591">
            <v>2.5</v>
          </cell>
          <cell r="AP591">
            <v>0</v>
          </cell>
          <cell r="AQ591">
            <v>2.5</v>
          </cell>
          <cell r="AR591" t="str">
            <v>US_24476</v>
          </cell>
          <cell r="AS591">
            <v>0</v>
          </cell>
          <cell r="AT591">
            <v>160</v>
          </cell>
          <cell r="AU591">
            <v>160</v>
          </cell>
          <cell r="AV591">
            <v>0</v>
          </cell>
          <cell r="AW591">
            <v>400</v>
          </cell>
          <cell r="AX591">
            <v>400</v>
          </cell>
          <cell r="AY591">
            <v>400</v>
          </cell>
          <cell r="AZ591">
            <v>0</v>
          </cell>
          <cell r="BA591">
            <v>0</v>
          </cell>
          <cell r="BB591">
            <v>0</v>
          </cell>
          <cell r="BD591">
            <v>400</v>
          </cell>
          <cell r="BF591">
            <v>400</v>
          </cell>
          <cell r="BG591">
            <v>5600</v>
          </cell>
          <cell r="BH591">
            <v>5600</v>
          </cell>
          <cell r="BI591">
            <v>5200</v>
          </cell>
          <cell r="BJ591">
            <v>0</v>
          </cell>
          <cell r="BK591">
            <v>0</v>
          </cell>
          <cell r="BL591">
            <v>0</v>
          </cell>
          <cell r="BM591">
            <v>5200</v>
          </cell>
          <cell r="BN591">
            <v>0</v>
          </cell>
          <cell r="BO591">
            <v>400</v>
          </cell>
          <cell r="BP591" t="str">
            <v>Y</v>
          </cell>
          <cell r="BQ591">
            <v>1</v>
          </cell>
          <cell r="BR591" t="str">
            <v>Y</v>
          </cell>
          <cell r="BS591">
            <v>0</v>
          </cell>
          <cell r="BT591" t="str">
            <v>Done</v>
          </cell>
          <cell r="BU591">
            <v>160</v>
          </cell>
          <cell r="BV591">
            <v>2024</v>
          </cell>
        </row>
        <row r="592">
          <cell r="A592" t="str">
            <v>Lucknow</v>
          </cell>
          <cell r="B592" t="str">
            <v>Americas</v>
          </cell>
          <cell r="C592" t="str">
            <v>Mid Level</v>
          </cell>
          <cell r="D592" t="str">
            <v>Rajesh Khanna</v>
          </cell>
          <cell r="E592" t="str">
            <v>-</v>
          </cell>
          <cell r="H592" t="str">
            <v>Rajesh Khanna</v>
          </cell>
          <cell r="K592">
            <v>0</v>
          </cell>
          <cell r="L592" t="str">
            <v>Old</v>
          </cell>
          <cell r="M592">
            <v>45579</v>
          </cell>
          <cell r="N592">
            <v>4</v>
          </cell>
          <cell r="O592">
            <v>467</v>
          </cell>
          <cell r="P592">
            <v>45725</v>
          </cell>
          <cell r="Q592">
            <v>45944</v>
          </cell>
          <cell r="R592" t="str">
            <v>PLC Fanatics</v>
          </cell>
          <cell r="S592" t="str">
            <v>Shriyanshu Morchele</v>
          </cell>
          <cell r="T592" t="str">
            <v>Individual</v>
          </cell>
          <cell r="U592" t="str">
            <v>C2C</v>
          </cell>
          <cell r="V592" t="str">
            <v>Fanatics</v>
          </cell>
          <cell r="W592">
            <v>32.5</v>
          </cell>
          <cell r="X592">
            <v>0</v>
          </cell>
          <cell r="Y592" t="str">
            <v>USD</v>
          </cell>
          <cell r="Z592">
            <v>35</v>
          </cell>
          <cell r="AA592">
            <v>0</v>
          </cell>
          <cell r="AB592">
            <v>0</v>
          </cell>
          <cell r="AC592">
            <v>0</v>
          </cell>
          <cell r="AD592">
            <v>45731</v>
          </cell>
          <cell r="AE592">
            <v>5</v>
          </cell>
          <cell r="AF592">
            <v>46022</v>
          </cell>
          <cell r="AG592">
            <v>32.5</v>
          </cell>
          <cell r="AH592">
            <v>0</v>
          </cell>
          <cell r="AI592">
            <v>32.5</v>
          </cell>
          <cell r="AJ592">
            <v>35</v>
          </cell>
          <cell r="AK592">
            <v>0</v>
          </cell>
          <cell r="AL592">
            <v>0</v>
          </cell>
          <cell r="AM592">
            <v>2.5</v>
          </cell>
          <cell r="AN592">
            <v>0</v>
          </cell>
          <cell r="AO592">
            <v>2.5</v>
          </cell>
          <cell r="AP592">
            <v>0</v>
          </cell>
          <cell r="AQ592">
            <v>2.5</v>
          </cell>
          <cell r="AR592" t="str">
            <v>US_24662</v>
          </cell>
          <cell r="AS592">
            <v>0</v>
          </cell>
          <cell r="AT592">
            <v>40</v>
          </cell>
          <cell r="AU592">
            <v>40</v>
          </cell>
          <cell r="AV592">
            <v>0</v>
          </cell>
          <cell r="AW592">
            <v>100</v>
          </cell>
          <cell r="AX592">
            <v>100</v>
          </cell>
          <cell r="AY592">
            <v>100</v>
          </cell>
          <cell r="AZ592">
            <v>0</v>
          </cell>
          <cell r="BA592">
            <v>0</v>
          </cell>
          <cell r="BB592">
            <v>0</v>
          </cell>
          <cell r="BD592">
            <v>100</v>
          </cell>
          <cell r="BF592">
            <v>100</v>
          </cell>
          <cell r="BG592">
            <v>1400</v>
          </cell>
          <cell r="BH592">
            <v>1400</v>
          </cell>
          <cell r="BI592">
            <v>1300</v>
          </cell>
          <cell r="BJ592">
            <v>0</v>
          </cell>
          <cell r="BK592">
            <v>0</v>
          </cell>
          <cell r="BL592">
            <v>0</v>
          </cell>
          <cell r="BM592">
            <v>1300</v>
          </cell>
          <cell r="BN592">
            <v>0</v>
          </cell>
          <cell r="BO592">
            <v>100</v>
          </cell>
          <cell r="BP592" t="str">
            <v>Y</v>
          </cell>
          <cell r="BQ592">
            <v>1</v>
          </cell>
          <cell r="BR592" t="str">
            <v>Y</v>
          </cell>
          <cell r="BS592">
            <v>0</v>
          </cell>
          <cell r="BT592" t="str">
            <v>Done</v>
          </cell>
          <cell r="BU592">
            <v>40</v>
          </cell>
          <cell r="BV592">
            <v>2024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Kashif Nabi</v>
          </cell>
          <cell r="E593" t="str">
            <v>-</v>
          </cell>
          <cell r="H593" t="str">
            <v>Purnima Mishra</v>
          </cell>
          <cell r="J593" t="str">
            <v>ACH</v>
          </cell>
          <cell r="L593" t="str">
            <v>New</v>
          </cell>
          <cell r="M593">
            <v>45712</v>
          </cell>
          <cell r="N593">
            <v>1</v>
          </cell>
          <cell r="O593">
            <v>334</v>
          </cell>
          <cell r="P593">
            <v>46022</v>
          </cell>
          <cell r="Q593">
            <v>46077</v>
          </cell>
          <cell r="R593" t="str">
            <v>PLC-4119</v>
          </cell>
          <cell r="S593" t="str">
            <v>Shruti Maini</v>
          </cell>
          <cell r="T593" t="str">
            <v>Individual</v>
          </cell>
          <cell r="U593" t="str">
            <v>C2C</v>
          </cell>
          <cell r="V593" t="str">
            <v>Nous Infosystems</v>
          </cell>
          <cell r="W593">
            <v>85</v>
          </cell>
          <cell r="X593">
            <v>0</v>
          </cell>
          <cell r="Y593" t="str">
            <v>USD</v>
          </cell>
          <cell r="Z593">
            <v>90</v>
          </cell>
          <cell r="AA593">
            <v>0</v>
          </cell>
          <cell r="AB593">
            <v>0</v>
          </cell>
          <cell r="AC593">
            <v>0</v>
          </cell>
          <cell r="AD593">
            <v>45703</v>
          </cell>
          <cell r="AE593">
            <v>5</v>
          </cell>
          <cell r="AF593">
            <v>46022</v>
          </cell>
          <cell r="AG593">
            <v>85</v>
          </cell>
          <cell r="AH593">
            <v>0</v>
          </cell>
          <cell r="AI593">
            <v>85</v>
          </cell>
          <cell r="AJ593">
            <v>90</v>
          </cell>
          <cell r="AK593">
            <v>0</v>
          </cell>
          <cell r="AL593">
            <v>0</v>
          </cell>
          <cell r="AM593">
            <v>5</v>
          </cell>
          <cell r="AN593">
            <v>0</v>
          </cell>
          <cell r="AO593">
            <v>5</v>
          </cell>
          <cell r="AP593">
            <v>0</v>
          </cell>
          <cell r="AQ593">
            <v>5</v>
          </cell>
          <cell r="AR593" t="str">
            <v>US_24538</v>
          </cell>
          <cell r="AS593">
            <v>0</v>
          </cell>
          <cell r="AT593">
            <v>40</v>
          </cell>
          <cell r="AU593">
            <v>40</v>
          </cell>
          <cell r="AV593">
            <v>0</v>
          </cell>
          <cell r="AW593">
            <v>200</v>
          </cell>
          <cell r="AX593">
            <v>198</v>
          </cell>
          <cell r="AY593">
            <v>200</v>
          </cell>
          <cell r="AZ593">
            <v>0</v>
          </cell>
          <cell r="BA593">
            <v>0</v>
          </cell>
          <cell r="BB593">
            <v>0</v>
          </cell>
          <cell r="BF593">
            <v>198</v>
          </cell>
          <cell r="BG593">
            <v>3600</v>
          </cell>
          <cell r="BH593">
            <v>3600</v>
          </cell>
          <cell r="BI593">
            <v>3400</v>
          </cell>
          <cell r="BJ593">
            <v>0</v>
          </cell>
          <cell r="BK593">
            <v>0</v>
          </cell>
          <cell r="BL593">
            <v>0</v>
          </cell>
          <cell r="BM593">
            <v>3400</v>
          </cell>
          <cell r="BN593">
            <v>0</v>
          </cell>
          <cell r="BO593">
            <v>200</v>
          </cell>
          <cell r="BP593" t="str">
            <v>Y</v>
          </cell>
          <cell r="BQ593">
            <v>1</v>
          </cell>
          <cell r="BR593" t="str">
            <v>Y</v>
          </cell>
          <cell r="BS593">
            <v>0</v>
          </cell>
          <cell r="BT593" t="str">
            <v>Done</v>
          </cell>
          <cell r="BU593">
            <v>40</v>
          </cell>
          <cell r="BV593">
            <v>2025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Kashif Nabi</v>
          </cell>
          <cell r="E594" t="str">
            <v>-</v>
          </cell>
          <cell r="H594" t="str">
            <v>Purnima Mishra</v>
          </cell>
          <cell r="J594" t="str">
            <v>ACH</v>
          </cell>
          <cell r="L594" t="str">
            <v>New</v>
          </cell>
          <cell r="M594">
            <v>45712</v>
          </cell>
          <cell r="N594">
            <v>1</v>
          </cell>
          <cell r="O594">
            <v>334</v>
          </cell>
          <cell r="P594">
            <v>46022</v>
          </cell>
          <cell r="Q594">
            <v>46077</v>
          </cell>
          <cell r="R594" t="str">
            <v>PLC-4119</v>
          </cell>
          <cell r="S594" t="str">
            <v>Shruti Maini</v>
          </cell>
          <cell r="T594" t="str">
            <v>Individual</v>
          </cell>
          <cell r="U594" t="str">
            <v>C2C</v>
          </cell>
          <cell r="V594" t="str">
            <v>Nous Infosystems</v>
          </cell>
          <cell r="W594">
            <v>85</v>
          </cell>
          <cell r="X594">
            <v>0</v>
          </cell>
          <cell r="Y594" t="str">
            <v>USD</v>
          </cell>
          <cell r="Z594">
            <v>90</v>
          </cell>
          <cell r="AA594">
            <v>0</v>
          </cell>
          <cell r="AB594">
            <v>0</v>
          </cell>
          <cell r="AC594">
            <v>0</v>
          </cell>
          <cell r="AD594">
            <v>45731</v>
          </cell>
          <cell r="AE594">
            <v>21</v>
          </cell>
          <cell r="AF594">
            <v>46022</v>
          </cell>
          <cell r="AG594">
            <v>85</v>
          </cell>
          <cell r="AH594">
            <v>0</v>
          </cell>
          <cell r="AI594">
            <v>85</v>
          </cell>
          <cell r="AJ594">
            <v>90</v>
          </cell>
          <cell r="AK594">
            <v>0</v>
          </cell>
          <cell r="AL594">
            <v>0</v>
          </cell>
          <cell r="AM594">
            <v>5</v>
          </cell>
          <cell r="AN594">
            <v>0</v>
          </cell>
          <cell r="AO594">
            <v>5</v>
          </cell>
          <cell r="AP594">
            <v>0</v>
          </cell>
          <cell r="AQ594">
            <v>5</v>
          </cell>
          <cell r="AR594" t="str">
            <v>US_24705</v>
          </cell>
          <cell r="AS594">
            <v>0</v>
          </cell>
          <cell r="AT594">
            <v>168</v>
          </cell>
          <cell r="AU594">
            <v>168</v>
          </cell>
          <cell r="AV594">
            <v>0</v>
          </cell>
          <cell r="AW594">
            <v>840</v>
          </cell>
          <cell r="AX594">
            <v>831.6</v>
          </cell>
          <cell r="AY594">
            <v>840</v>
          </cell>
          <cell r="AZ594">
            <v>0</v>
          </cell>
          <cell r="BA594">
            <v>0</v>
          </cell>
          <cell r="BB594">
            <v>0</v>
          </cell>
          <cell r="BF594">
            <v>831.6</v>
          </cell>
          <cell r="BG594">
            <v>15120</v>
          </cell>
          <cell r="BH594">
            <v>15120</v>
          </cell>
          <cell r="BI594">
            <v>14280</v>
          </cell>
          <cell r="BJ594">
            <v>0</v>
          </cell>
          <cell r="BK594">
            <v>0</v>
          </cell>
          <cell r="BL594">
            <v>0</v>
          </cell>
          <cell r="BM594">
            <v>14280</v>
          </cell>
          <cell r="BN594">
            <v>0</v>
          </cell>
          <cell r="BO594">
            <v>840</v>
          </cell>
          <cell r="BP594" t="str">
            <v>Y</v>
          </cell>
          <cell r="BQ594">
            <v>1</v>
          </cell>
          <cell r="BR594" t="str">
            <v>Y</v>
          </cell>
          <cell r="BS594">
            <v>0</v>
          </cell>
          <cell r="BT594" t="str">
            <v>Done</v>
          </cell>
          <cell r="BU594">
            <v>168</v>
          </cell>
          <cell r="BV594">
            <v>2025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Kashif Nabi</v>
          </cell>
          <cell r="E595" t="str">
            <v>-</v>
          </cell>
          <cell r="H595" t="str">
            <v>Purnima Mishra</v>
          </cell>
          <cell r="J595" t="str">
            <v>ACH</v>
          </cell>
          <cell r="L595" t="str">
            <v>New</v>
          </cell>
          <cell r="M595">
            <v>45712</v>
          </cell>
          <cell r="N595">
            <v>1</v>
          </cell>
          <cell r="O595">
            <v>334</v>
          </cell>
          <cell r="P595">
            <v>46022</v>
          </cell>
          <cell r="Q595">
            <v>46077</v>
          </cell>
          <cell r="R595" t="str">
            <v>PLC-4119</v>
          </cell>
          <cell r="S595" t="str">
            <v>Shruti Maini</v>
          </cell>
          <cell r="T595" t="str">
            <v>Individual</v>
          </cell>
          <cell r="U595" t="str">
            <v>C2C</v>
          </cell>
          <cell r="V595" t="str">
            <v>Nous Infosystems</v>
          </cell>
          <cell r="W595">
            <v>85</v>
          </cell>
          <cell r="X595">
            <v>0</v>
          </cell>
          <cell r="Y595" t="str">
            <v>USD</v>
          </cell>
          <cell r="Z595">
            <v>90</v>
          </cell>
          <cell r="AA595">
            <v>0</v>
          </cell>
          <cell r="AB595">
            <v>0</v>
          </cell>
          <cell r="AC595">
            <v>0</v>
          </cell>
          <cell r="AD595">
            <v>45762</v>
          </cell>
          <cell r="AE595">
            <v>22</v>
          </cell>
          <cell r="AF595">
            <v>46022</v>
          </cell>
          <cell r="AG595">
            <v>85</v>
          </cell>
          <cell r="AH595">
            <v>0</v>
          </cell>
          <cell r="AI595">
            <v>85</v>
          </cell>
          <cell r="AJ595">
            <v>90</v>
          </cell>
          <cell r="AK595">
            <v>0</v>
          </cell>
          <cell r="AL595">
            <v>0</v>
          </cell>
          <cell r="AM595">
            <v>5</v>
          </cell>
          <cell r="AN595">
            <v>0</v>
          </cell>
          <cell r="AO595">
            <v>5</v>
          </cell>
          <cell r="AP595">
            <v>0</v>
          </cell>
          <cell r="AQ595">
            <v>5</v>
          </cell>
          <cell r="AR595" t="str">
            <v>US_24905</v>
          </cell>
          <cell r="AS595">
            <v>0</v>
          </cell>
          <cell r="AT595">
            <v>176</v>
          </cell>
          <cell r="AU595">
            <v>176</v>
          </cell>
          <cell r="AV595">
            <v>0</v>
          </cell>
          <cell r="AW595">
            <v>880</v>
          </cell>
          <cell r="AX595">
            <v>871.2</v>
          </cell>
          <cell r="AY595">
            <v>880</v>
          </cell>
          <cell r="AZ595">
            <v>0</v>
          </cell>
          <cell r="BA595">
            <v>0</v>
          </cell>
          <cell r="BB595">
            <v>0</v>
          </cell>
          <cell r="BF595">
            <v>871.2</v>
          </cell>
          <cell r="BG595">
            <v>15840</v>
          </cell>
          <cell r="BH595">
            <v>15840</v>
          </cell>
          <cell r="BI595">
            <v>14960</v>
          </cell>
          <cell r="BJ595">
            <v>0</v>
          </cell>
          <cell r="BK595">
            <v>0</v>
          </cell>
          <cell r="BL595">
            <v>0</v>
          </cell>
          <cell r="BM595">
            <v>14960</v>
          </cell>
          <cell r="BN595">
            <v>0</v>
          </cell>
          <cell r="BO595">
            <v>880</v>
          </cell>
          <cell r="BP595" t="str">
            <v>Y</v>
          </cell>
          <cell r="BQ595">
            <v>2</v>
          </cell>
          <cell r="BR595" t="str">
            <v>Y</v>
          </cell>
          <cell r="BS595">
            <v>0</v>
          </cell>
          <cell r="BT595" t="str">
            <v>Done</v>
          </cell>
          <cell r="BU595">
            <v>176</v>
          </cell>
          <cell r="BV595">
            <v>2025</v>
          </cell>
        </row>
        <row r="596">
          <cell r="A596" t="str">
            <v>Lucknow</v>
          </cell>
          <cell r="B596" t="str">
            <v>Americas</v>
          </cell>
          <cell r="C596" t="str">
            <v>Mid Level</v>
          </cell>
          <cell r="D596" t="str">
            <v>Rajesh Khanna</v>
          </cell>
          <cell r="E596" t="str">
            <v>-</v>
          </cell>
          <cell r="H596" t="str">
            <v>Rajesh Khanna</v>
          </cell>
          <cell r="K596">
            <v>0</v>
          </cell>
          <cell r="L596" t="str">
            <v>Old</v>
          </cell>
          <cell r="M596">
            <v>45579</v>
          </cell>
          <cell r="N596">
            <v>4</v>
          </cell>
          <cell r="O596">
            <v>467</v>
          </cell>
          <cell r="P596">
            <v>45838</v>
          </cell>
          <cell r="Q596">
            <v>45944</v>
          </cell>
          <cell r="R596" t="str">
            <v>PLC Fanatics</v>
          </cell>
          <cell r="S596" t="str">
            <v>Shubham Burgate</v>
          </cell>
          <cell r="T596" t="str">
            <v>Individual</v>
          </cell>
          <cell r="U596" t="str">
            <v>FTE</v>
          </cell>
          <cell r="V596" t="str">
            <v>Fanatics</v>
          </cell>
          <cell r="W596">
            <v>0</v>
          </cell>
          <cell r="X596">
            <v>0</v>
          </cell>
          <cell r="Y596" t="str">
            <v>USD</v>
          </cell>
          <cell r="Z596">
            <v>7400</v>
          </cell>
          <cell r="AA596">
            <v>0</v>
          </cell>
          <cell r="AB596">
            <v>0</v>
          </cell>
          <cell r="AC596">
            <v>0</v>
          </cell>
          <cell r="AD596">
            <v>45672</v>
          </cell>
          <cell r="AE596">
            <v>1</v>
          </cell>
          <cell r="AF596">
            <v>46022</v>
          </cell>
          <cell r="AG596">
            <v>0</v>
          </cell>
          <cell r="AH596">
            <v>0</v>
          </cell>
          <cell r="AI596">
            <v>0</v>
          </cell>
          <cell r="AJ596">
            <v>7400</v>
          </cell>
          <cell r="AK596">
            <v>0</v>
          </cell>
          <cell r="AL596">
            <v>0</v>
          </cell>
          <cell r="AM596">
            <v>7400</v>
          </cell>
          <cell r="AN596">
            <v>0</v>
          </cell>
          <cell r="AO596">
            <v>7400</v>
          </cell>
          <cell r="AP596">
            <v>0</v>
          </cell>
          <cell r="AQ596">
            <v>7400</v>
          </cell>
          <cell r="AR596" t="str">
            <v>US_24297</v>
          </cell>
          <cell r="AS596">
            <v>0</v>
          </cell>
          <cell r="AT596">
            <v>1</v>
          </cell>
          <cell r="AU596">
            <v>1</v>
          </cell>
          <cell r="AV596">
            <v>0</v>
          </cell>
          <cell r="AW596">
            <v>7400</v>
          </cell>
          <cell r="AX596">
            <v>7400</v>
          </cell>
          <cell r="AY596">
            <v>7400</v>
          </cell>
          <cell r="AZ596">
            <v>0</v>
          </cell>
          <cell r="BA596">
            <v>0</v>
          </cell>
          <cell r="BB596">
            <v>0</v>
          </cell>
          <cell r="BD596">
            <v>7400</v>
          </cell>
          <cell r="BF596">
            <v>7400</v>
          </cell>
          <cell r="BG596">
            <v>7400</v>
          </cell>
          <cell r="BH596">
            <v>7400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7400</v>
          </cell>
          <cell r="BP596" t="str">
            <v>Y</v>
          </cell>
          <cell r="BQ596">
            <v>1</v>
          </cell>
          <cell r="BR596" t="str">
            <v>Y</v>
          </cell>
          <cell r="BS596">
            <v>0</v>
          </cell>
          <cell r="BT596" t="str">
            <v>Done</v>
          </cell>
          <cell r="BU596">
            <v>0</v>
          </cell>
          <cell r="BV596">
            <v>2024</v>
          </cell>
        </row>
        <row r="597">
          <cell r="A597" t="str">
            <v>Lucknow</v>
          </cell>
          <cell r="B597" t="str">
            <v>Americas</v>
          </cell>
          <cell r="C597" t="str">
            <v>Mid Level</v>
          </cell>
          <cell r="D597" t="str">
            <v>Rajesh Khanna</v>
          </cell>
          <cell r="E597" t="str">
            <v>-</v>
          </cell>
          <cell r="H597" t="str">
            <v>Rajesh Khanna</v>
          </cell>
          <cell r="K597">
            <v>0</v>
          </cell>
          <cell r="L597" t="str">
            <v>Old</v>
          </cell>
          <cell r="M597">
            <v>45579</v>
          </cell>
          <cell r="N597">
            <v>4</v>
          </cell>
          <cell r="O597">
            <v>467</v>
          </cell>
          <cell r="P597">
            <v>45838</v>
          </cell>
          <cell r="Q597">
            <v>45944</v>
          </cell>
          <cell r="R597" t="str">
            <v>PLC Fanatics</v>
          </cell>
          <cell r="S597" t="str">
            <v>Shubham Burgate</v>
          </cell>
          <cell r="T597" t="str">
            <v>Individual</v>
          </cell>
          <cell r="U597" t="str">
            <v>FTE</v>
          </cell>
          <cell r="V597" t="str">
            <v>Fanatics</v>
          </cell>
          <cell r="W597">
            <v>0</v>
          </cell>
          <cell r="X597">
            <v>0</v>
          </cell>
          <cell r="Y597" t="str">
            <v>USD</v>
          </cell>
          <cell r="Z597">
            <v>7400</v>
          </cell>
          <cell r="AA597">
            <v>0</v>
          </cell>
          <cell r="AB597">
            <v>0</v>
          </cell>
          <cell r="AC597">
            <v>0</v>
          </cell>
          <cell r="AD597">
            <v>45703</v>
          </cell>
          <cell r="AE597">
            <v>1</v>
          </cell>
          <cell r="AF597">
            <v>46022</v>
          </cell>
          <cell r="AG597">
            <v>0</v>
          </cell>
          <cell r="AH597">
            <v>0</v>
          </cell>
          <cell r="AI597">
            <v>0</v>
          </cell>
          <cell r="AJ597">
            <v>7400</v>
          </cell>
          <cell r="AK597">
            <v>0</v>
          </cell>
          <cell r="AL597">
            <v>0</v>
          </cell>
          <cell r="AM597">
            <v>7400</v>
          </cell>
          <cell r="AN597">
            <v>0</v>
          </cell>
          <cell r="AO597">
            <v>7400</v>
          </cell>
          <cell r="AP597">
            <v>0</v>
          </cell>
          <cell r="AQ597">
            <v>7400</v>
          </cell>
          <cell r="AR597" t="str">
            <v>US_24496</v>
          </cell>
          <cell r="AS597">
            <v>0</v>
          </cell>
          <cell r="AT597">
            <v>1</v>
          </cell>
          <cell r="AU597">
            <v>1</v>
          </cell>
          <cell r="AV597">
            <v>0</v>
          </cell>
          <cell r="AW597">
            <v>7400</v>
          </cell>
          <cell r="AX597">
            <v>7400</v>
          </cell>
          <cell r="AY597">
            <v>7400</v>
          </cell>
          <cell r="AZ597">
            <v>0</v>
          </cell>
          <cell r="BA597">
            <v>0</v>
          </cell>
          <cell r="BB597">
            <v>0</v>
          </cell>
          <cell r="BD597">
            <v>7400</v>
          </cell>
          <cell r="BF597">
            <v>7400</v>
          </cell>
          <cell r="BG597">
            <v>7400</v>
          </cell>
          <cell r="BH597">
            <v>7400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7400</v>
          </cell>
          <cell r="BP597" t="str">
            <v>Y</v>
          </cell>
          <cell r="BQ597">
            <v>1</v>
          </cell>
          <cell r="BR597" t="str">
            <v>Y</v>
          </cell>
          <cell r="BS597">
            <v>0</v>
          </cell>
          <cell r="BT597" t="str">
            <v>Done</v>
          </cell>
          <cell r="BU597">
            <v>0</v>
          </cell>
          <cell r="BV597">
            <v>2024</v>
          </cell>
        </row>
        <row r="598">
          <cell r="A598" t="str">
            <v>Lucknow</v>
          </cell>
          <cell r="B598" t="str">
            <v>Americas</v>
          </cell>
          <cell r="C598" t="str">
            <v>Mid Level</v>
          </cell>
          <cell r="D598" t="str">
            <v>Rajesh Khanna</v>
          </cell>
          <cell r="E598" t="str">
            <v>-</v>
          </cell>
          <cell r="H598" t="str">
            <v>Rajesh Khanna</v>
          </cell>
          <cell r="K598">
            <v>0</v>
          </cell>
          <cell r="L598" t="str">
            <v>Old</v>
          </cell>
          <cell r="M598">
            <v>45579</v>
          </cell>
          <cell r="N598">
            <v>4</v>
          </cell>
          <cell r="O598">
            <v>467</v>
          </cell>
          <cell r="P598">
            <v>45838</v>
          </cell>
          <cell r="Q598">
            <v>45944</v>
          </cell>
          <cell r="R598" t="str">
            <v>PLC Fanatics</v>
          </cell>
          <cell r="S598" t="str">
            <v>Shubham Burgate</v>
          </cell>
          <cell r="T598" t="str">
            <v>Individual</v>
          </cell>
          <cell r="U598" t="str">
            <v>FTE</v>
          </cell>
          <cell r="V598" t="str">
            <v>Fanatics</v>
          </cell>
          <cell r="W598">
            <v>0</v>
          </cell>
          <cell r="X598">
            <v>0</v>
          </cell>
          <cell r="Y598" t="str">
            <v>USD</v>
          </cell>
          <cell r="Z598">
            <v>7400</v>
          </cell>
          <cell r="AA598">
            <v>0</v>
          </cell>
          <cell r="AB598">
            <v>0</v>
          </cell>
          <cell r="AC598">
            <v>0</v>
          </cell>
          <cell r="AD598">
            <v>45731</v>
          </cell>
          <cell r="AE598">
            <v>1</v>
          </cell>
          <cell r="AF598">
            <v>46022</v>
          </cell>
          <cell r="AG598">
            <v>0</v>
          </cell>
          <cell r="AH598">
            <v>0</v>
          </cell>
          <cell r="AI598">
            <v>0</v>
          </cell>
          <cell r="AJ598">
            <v>7400</v>
          </cell>
          <cell r="AK598">
            <v>0</v>
          </cell>
          <cell r="AL598">
            <v>0</v>
          </cell>
          <cell r="AM598">
            <v>7400</v>
          </cell>
          <cell r="AN598">
            <v>0</v>
          </cell>
          <cell r="AO598">
            <v>7400</v>
          </cell>
          <cell r="AP598">
            <v>0</v>
          </cell>
          <cell r="AQ598">
            <v>7400</v>
          </cell>
          <cell r="AR598" t="str">
            <v>US_24681</v>
          </cell>
          <cell r="AS598">
            <v>0</v>
          </cell>
          <cell r="AT598">
            <v>1</v>
          </cell>
          <cell r="AU598">
            <v>1</v>
          </cell>
          <cell r="AV598">
            <v>0</v>
          </cell>
          <cell r="AW598">
            <v>7400</v>
          </cell>
          <cell r="AX598">
            <v>7400</v>
          </cell>
          <cell r="AY598">
            <v>7400</v>
          </cell>
          <cell r="AZ598">
            <v>0</v>
          </cell>
          <cell r="BA598">
            <v>0</v>
          </cell>
          <cell r="BB598">
            <v>0</v>
          </cell>
          <cell r="BD598">
            <v>7400</v>
          </cell>
          <cell r="BF598">
            <v>7400</v>
          </cell>
          <cell r="BG598">
            <v>7400</v>
          </cell>
          <cell r="BH598">
            <v>7400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7400</v>
          </cell>
          <cell r="BP598" t="str">
            <v>Y</v>
          </cell>
          <cell r="BQ598">
            <v>1</v>
          </cell>
          <cell r="BR598" t="str">
            <v>Y</v>
          </cell>
          <cell r="BS598">
            <v>0</v>
          </cell>
          <cell r="BT598" t="str">
            <v>Done</v>
          </cell>
          <cell r="BU598">
            <v>0</v>
          </cell>
          <cell r="BV598">
            <v>2024</v>
          </cell>
        </row>
        <row r="599">
          <cell r="A599" t="str">
            <v>Lucknow</v>
          </cell>
          <cell r="B599" t="str">
            <v>Americas</v>
          </cell>
          <cell r="C599" t="str">
            <v>Mid Level</v>
          </cell>
          <cell r="D599" t="str">
            <v>Rajesh Khanna</v>
          </cell>
          <cell r="E599" t="str">
            <v>-</v>
          </cell>
          <cell r="H599" t="str">
            <v>Rajesh Khanna</v>
          </cell>
          <cell r="K599">
            <v>0</v>
          </cell>
          <cell r="L599" t="str">
            <v>Old</v>
          </cell>
          <cell r="M599">
            <v>45579</v>
          </cell>
          <cell r="N599">
            <v>4</v>
          </cell>
          <cell r="O599">
            <v>467</v>
          </cell>
          <cell r="P599">
            <v>45838</v>
          </cell>
          <cell r="Q599">
            <v>45944</v>
          </cell>
          <cell r="R599" t="str">
            <v>PLC Fanatics</v>
          </cell>
          <cell r="S599" t="str">
            <v>Shubham Burgate</v>
          </cell>
          <cell r="T599" t="str">
            <v>Individual</v>
          </cell>
          <cell r="U599" t="str">
            <v>FTE</v>
          </cell>
          <cell r="V599" t="str">
            <v>Fanatics</v>
          </cell>
          <cell r="W599">
            <v>0</v>
          </cell>
          <cell r="X599">
            <v>0</v>
          </cell>
          <cell r="Y599" t="str">
            <v>USD</v>
          </cell>
          <cell r="Z599">
            <v>7400</v>
          </cell>
          <cell r="AA599">
            <v>0</v>
          </cell>
          <cell r="AB599">
            <v>0</v>
          </cell>
          <cell r="AC599">
            <v>0</v>
          </cell>
          <cell r="AD599">
            <v>45762</v>
          </cell>
          <cell r="AE599">
            <v>1</v>
          </cell>
          <cell r="AF599">
            <v>46022</v>
          </cell>
          <cell r="AG599">
            <v>0</v>
          </cell>
          <cell r="AH599">
            <v>0</v>
          </cell>
          <cell r="AI599">
            <v>0</v>
          </cell>
          <cell r="AJ599">
            <v>7400</v>
          </cell>
          <cell r="AK599">
            <v>0</v>
          </cell>
          <cell r="AL599">
            <v>0</v>
          </cell>
          <cell r="AM599">
            <v>7400</v>
          </cell>
          <cell r="AN599">
            <v>0</v>
          </cell>
          <cell r="AO599">
            <v>7400</v>
          </cell>
          <cell r="AP599">
            <v>0</v>
          </cell>
          <cell r="AQ599">
            <v>7400</v>
          </cell>
          <cell r="AR599" t="str">
            <v>US_24885</v>
          </cell>
          <cell r="AS599">
            <v>0</v>
          </cell>
          <cell r="AT599">
            <v>1</v>
          </cell>
          <cell r="AU599">
            <v>1</v>
          </cell>
          <cell r="AV599">
            <v>0</v>
          </cell>
          <cell r="AW599">
            <v>7400</v>
          </cell>
          <cell r="AX599">
            <v>7400</v>
          </cell>
          <cell r="AY599">
            <v>7400</v>
          </cell>
          <cell r="AZ599">
            <v>0</v>
          </cell>
          <cell r="BA599">
            <v>0</v>
          </cell>
          <cell r="BB599">
            <v>0</v>
          </cell>
          <cell r="BD599">
            <v>7400</v>
          </cell>
          <cell r="BF599">
            <v>7400</v>
          </cell>
          <cell r="BG599">
            <v>7400</v>
          </cell>
          <cell r="BH599">
            <v>7400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7400</v>
          </cell>
          <cell r="BP599" t="str">
            <v>Y</v>
          </cell>
          <cell r="BQ599">
            <v>2</v>
          </cell>
          <cell r="BR599" t="str">
            <v>Y</v>
          </cell>
          <cell r="BS599">
            <v>0</v>
          </cell>
          <cell r="BT599" t="str">
            <v>Done</v>
          </cell>
          <cell r="BU599">
            <v>0</v>
          </cell>
          <cell r="BV599">
            <v>2024</v>
          </cell>
        </row>
        <row r="600">
          <cell r="A600" t="str">
            <v>Lucknow</v>
          </cell>
          <cell r="B600" t="str">
            <v>Titans</v>
          </cell>
          <cell r="C600" t="str">
            <v>Mid Level</v>
          </cell>
          <cell r="D600" t="str">
            <v>Abhishek Yadav</v>
          </cell>
          <cell r="E600" t="str">
            <v>Abhishek Yadav</v>
          </cell>
          <cell r="H600" t="str">
            <v>Manish Kumar Dhiman</v>
          </cell>
          <cell r="K600">
            <v>0</v>
          </cell>
          <cell r="L600" t="str">
            <v>Old</v>
          </cell>
          <cell r="M600">
            <v>45574</v>
          </cell>
          <cell r="N600">
            <v>4</v>
          </cell>
          <cell r="O600">
            <v>472</v>
          </cell>
          <cell r="P600" t="str">
            <v>-</v>
          </cell>
          <cell r="Q600">
            <v>45939</v>
          </cell>
          <cell r="R600" t="str">
            <v>PLC-3981</v>
          </cell>
          <cell r="S600" t="str">
            <v>Shweta Sharma</v>
          </cell>
          <cell r="T600" t="str">
            <v>Individual</v>
          </cell>
          <cell r="U600" t="str">
            <v>W2</v>
          </cell>
          <cell r="V600" t="str">
            <v>Genpact</v>
          </cell>
          <cell r="W600">
            <v>45</v>
          </cell>
          <cell r="X600">
            <v>0</v>
          </cell>
          <cell r="Y600" t="str">
            <v>USD</v>
          </cell>
          <cell r="Z600">
            <v>70</v>
          </cell>
          <cell r="AA600">
            <v>0</v>
          </cell>
          <cell r="AB600">
            <v>0</v>
          </cell>
          <cell r="AC600">
            <v>0</v>
          </cell>
          <cell r="AD600">
            <v>45672</v>
          </cell>
          <cell r="AE600">
            <v>23</v>
          </cell>
          <cell r="AF600">
            <v>46022</v>
          </cell>
          <cell r="AG600">
            <v>51.749999999999993</v>
          </cell>
          <cell r="AH600">
            <v>0</v>
          </cell>
          <cell r="AI600">
            <v>51.749999999999993</v>
          </cell>
          <cell r="AJ600">
            <v>70</v>
          </cell>
          <cell r="AK600">
            <v>0</v>
          </cell>
          <cell r="AL600">
            <v>0</v>
          </cell>
          <cell r="AM600">
            <v>18.250000000000007</v>
          </cell>
          <cell r="AN600">
            <v>0</v>
          </cell>
          <cell r="AO600">
            <v>18.250000000000007</v>
          </cell>
          <cell r="AP600">
            <v>0</v>
          </cell>
          <cell r="AQ600">
            <v>18.250000000000007</v>
          </cell>
          <cell r="AR600" t="str">
            <v>US_24282</v>
          </cell>
          <cell r="AS600">
            <v>0</v>
          </cell>
          <cell r="AT600">
            <v>152</v>
          </cell>
          <cell r="AU600">
            <v>152</v>
          </cell>
          <cell r="AV600">
            <v>0</v>
          </cell>
          <cell r="AW600">
            <v>2774.0000000000009</v>
          </cell>
          <cell r="AX600">
            <v>2774.0000000000009</v>
          </cell>
          <cell r="AY600">
            <v>2774.0000000000009</v>
          </cell>
          <cell r="AZ600">
            <v>62.5</v>
          </cell>
          <cell r="BA600">
            <v>40.150000000000013</v>
          </cell>
          <cell r="BB600">
            <v>6102.800000000002</v>
          </cell>
          <cell r="BD600">
            <v>2774.0000000000009</v>
          </cell>
          <cell r="BF600">
            <v>2774.0000000000009</v>
          </cell>
          <cell r="BG600">
            <v>10640</v>
          </cell>
          <cell r="BH600">
            <v>10640</v>
          </cell>
          <cell r="BI600">
            <v>6840</v>
          </cell>
          <cell r="BJ600">
            <v>6.75</v>
          </cell>
          <cell r="BK600">
            <v>0</v>
          </cell>
          <cell r="BL600">
            <v>1026</v>
          </cell>
          <cell r="BM600">
            <v>7866</v>
          </cell>
          <cell r="BN600">
            <v>6.75</v>
          </cell>
          <cell r="BO600">
            <v>2774</v>
          </cell>
          <cell r="BP600" t="str">
            <v>Y</v>
          </cell>
          <cell r="BQ600">
            <v>1</v>
          </cell>
          <cell r="BR600" t="str">
            <v>Y</v>
          </cell>
          <cell r="BS600">
            <v>6102.800000000002</v>
          </cell>
          <cell r="BT600" t="str">
            <v>Done</v>
          </cell>
          <cell r="BU600">
            <v>152</v>
          </cell>
          <cell r="BV600">
            <v>2024</v>
          </cell>
        </row>
        <row r="601">
          <cell r="A601" t="str">
            <v>Lucknow</v>
          </cell>
          <cell r="B601" t="str">
            <v>Titans</v>
          </cell>
          <cell r="C601" t="str">
            <v>Mid Level</v>
          </cell>
          <cell r="D601" t="str">
            <v>Abhishek Yadav</v>
          </cell>
          <cell r="E601" t="str">
            <v>Abhishek Yadav</v>
          </cell>
          <cell r="H601" t="str">
            <v>Manish Kumar Dhiman</v>
          </cell>
          <cell r="K601">
            <v>0</v>
          </cell>
          <cell r="L601" t="str">
            <v>Old</v>
          </cell>
          <cell r="M601">
            <v>45574</v>
          </cell>
          <cell r="N601">
            <v>4</v>
          </cell>
          <cell r="O601">
            <v>472</v>
          </cell>
          <cell r="P601" t="str">
            <v>-</v>
          </cell>
          <cell r="Q601">
            <v>45939</v>
          </cell>
          <cell r="R601" t="str">
            <v>PLC-3981</v>
          </cell>
          <cell r="S601" t="str">
            <v>Shweta Sharma</v>
          </cell>
          <cell r="T601" t="str">
            <v>Individual</v>
          </cell>
          <cell r="U601" t="str">
            <v>W2</v>
          </cell>
          <cell r="V601" t="str">
            <v>Genpact</v>
          </cell>
          <cell r="W601">
            <v>45</v>
          </cell>
          <cell r="X601">
            <v>0</v>
          </cell>
          <cell r="Y601" t="str">
            <v>USD</v>
          </cell>
          <cell r="Z601">
            <v>70</v>
          </cell>
          <cell r="AA601">
            <v>0</v>
          </cell>
          <cell r="AB601">
            <v>0</v>
          </cell>
          <cell r="AC601">
            <v>0</v>
          </cell>
          <cell r="AD601">
            <v>45703</v>
          </cell>
          <cell r="AE601">
            <v>20</v>
          </cell>
          <cell r="AF601">
            <v>46022</v>
          </cell>
          <cell r="AG601">
            <v>51.749999999999993</v>
          </cell>
          <cell r="AH601">
            <v>0</v>
          </cell>
          <cell r="AI601">
            <v>51.749999999999993</v>
          </cell>
          <cell r="AJ601">
            <v>70</v>
          </cell>
          <cell r="AK601">
            <v>0</v>
          </cell>
          <cell r="AL601">
            <v>0</v>
          </cell>
          <cell r="AM601">
            <v>18.250000000000007</v>
          </cell>
          <cell r="AN601">
            <v>0</v>
          </cell>
          <cell r="AO601">
            <v>18.250000000000007</v>
          </cell>
          <cell r="AP601">
            <v>0</v>
          </cell>
          <cell r="AQ601">
            <v>18.250000000000007</v>
          </cell>
          <cell r="AR601" t="str">
            <v>US_24482</v>
          </cell>
          <cell r="AS601">
            <v>0</v>
          </cell>
          <cell r="AT601">
            <v>142</v>
          </cell>
          <cell r="AU601">
            <v>142</v>
          </cell>
          <cell r="AV601">
            <v>0</v>
          </cell>
          <cell r="AW601">
            <v>2591.5000000000009</v>
          </cell>
          <cell r="AX601">
            <v>2591.5000000000009</v>
          </cell>
          <cell r="AY601">
            <v>2591.5000000000009</v>
          </cell>
          <cell r="AZ601">
            <v>62.5</v>
          </cell>
          <cell r="BA601">
            <v>40.150000000000013</v>
          </cell>
          <cell r="BB601">
            <v>5701.300000000002</v>
          </cell>
          <cell r="BD601">
            <v>2591.5000000000009</v>
          </cell>
          <cell r="BF601">
            <v>2591.5000000000009</v>
          </cell>
          <cell r="BG601">
            <v>9940</v>
          </cell>
          <cell r="BH601">
            <v>9940</v>
          </cell>
          <cell r="BI601">
            <v>6390</v>
          </cell>
          <cell r="BJ601">
            <v>6.75</v>
          </cell>
          <cell r="BK601">
            <v>0</v>
          </cell>
          <cell r="BL601">
            <v>958.5</v>
          </cell>
          <cell r="BM601">
            <v>7348.5</v>
          </cell>
          <cell r="BN601">
            <v>6.75</v>
          </cell>
          <cell r="BO601">
            <v>2591.5</v>
          </cell>
          <cell r="BP601" t="str">
            <v>Y</v>
          </cell>
          <cell r="BQ601">
            <v>1</v>
          </cell>
          <cell r="BR601" t="str">
            <v>Y</v>
          </cell>
          <cell r="BS601">
            <v>5701.300000000002</v>
          </cell>
          <cell r="BT601" t="str">
            <v>Done</v>
          </cell>
          <cell r="BU601">
            <v>142</v>
          </cell>
          <cell r="BV601">
            <v>2024</v>
          </cell>
        </row>
        <row r="602">
          <cell r="A602" t="str">
            <v>Lucknow</v>
          </cell>
          <cell r="B602" t="str">
            <v>Titans</v>
          </cell>
          <cell r="C602" t="str">
            <v>Mid Level</v>
          </cell>
          <cell r="D602" t="str">
            <v>Abhishek Yadav</v>
          </cell>
          <cell r="E602" t="str">
            <v>Abhishek Yadav</v>
          </cell>
          <cell r="H602" t="str">
            <v>Manish Kumar Dhiman</v>
          </cell>
          <cell r="K602">
            <v>0</v>
          </cell>
          <cell r="L602" t="str">
            <v>Old</v>
          </cell>
          <cell r="M602">
            <v>45574</v>
          </cell>
          <cell r="N602">
            <v>4</v>
          </cell>
          <cell r="O602">
            <v>472</v>
          </cell>
          <cell r="P602" t="str">
            <v>-</v>
          </cell>
          <cell r="Q602">
            <v>45939</v>
          </cell>
          <cell r="R602" t="str">
            <v>PLC-3981</v>
          </cell>
          <cell r="S602" t="str">
            <v>Shweta Sharma</v>
          </cell>
          <cell r="T602" t="str">
            <v>Individual</v>
          </cell>
          <cell r="U602" t="str">
            <v>W2</v>
          </cell>
          <cell r="V602" t="str">
            <v>Genpact</v>
          </cell>
          <cell r="W602">
            <v>45</v>
          </cell>
          <cell r="X602">
            <v>0</v>
          </cell>
          <cell r="Y602" t="str">
            <v>USD</v>
          </cell>
          <cell r="Z602">
            <v>70</v>
          </cell>
          <cell r="AA602">
            <v>0</v>
          </cell>
          <cell r="AB602">
            <v>0</v>
          </cell>
          <cell r="AC602">
            <v>0</v>
          </cell>
          <cell r="AD602">
            <v>45731</v>
          </cell>
          <cell r="AE602">
            <v>21</v>
          </cell>
          <cell r="AF602">
            <v>46022</v>
          </cell>
          <cell r="AG602">
            <v>51.749999999999993</v>
          </cell>
          <cell r="AH602">
            <v>0</v>
          </cell>
          <cell r="AI602">
            <v>51.749999999999993</v>
          </cell>
          <cell r="AJ602">
            <v>70</v>
          </cell>
          <cell r="AK602">
            <v>0</v>
          </cell>
          <cell r="AL602">
            <v>0</v>
          </cell>
          <cell r="AM602">
            <v>18.250000000000007</v>
          </cell>
          <cell r="AN602">
            <v>0</v>
          </cell>
          <cell r="AO602">
            <v>18.250000000000007</v>
          </cell>
          <cell r="AP602">
            <v>0</v>
          </cell>
          <cell r="AQ602">
            <v>18.250000000000007</v>
          </cell>
          <cell r="AR602" t="str">
            <v>US_24668</v>
          </cell>
          <cell r="AS602">
            <v>0</v>
          </cell>
          <cell r="AT602">
            <v>145</v>
          </cell>
          <cell r="AU602">
            <v>145</v>
          </cell>
          <cell r="AV602">
            <v>0</v>
          </cell>
          <cell r="AW602">
            <v>2646.2500000000009</v>
          </cell>
          <cell r="AX602">
            <v>2646.2500000000009</v>
          </cell>
          <cell r="AY602">
            <v>2646.2500000000009</v>
          </cell>
          <cell r="AZ602">
            <v>62.5</v>
          </cell>
          <cell r="BA602">
            <v>40.150000000000013</v>
          </cell>
          <cell r="BB602">
            <v>5821.7500000000018</v>
          </cell>
          <cell r="BD602">
            <v>2646.2500000000009</v>
          </cell>
          <cell r="BF602">
            <v>2646.2500000000009</v>
          </cell>
          <cell r="BG602">
            <v>10150</v>
          </cell>
          <cell r="BH602">
            <v>10150</v>
          </cell>
          <cell r="BI602">
            <v>6525</v>
          </cell>
          <cell r="BJ602">
            <v>6.75</v>
          </cell>
          <cell r="BK602">
            <v>0</v>
          </cell>
          <cell r="BL602">
            <v>978.75</v>
          </cell>
          <cell r="BM602">
            <v>7503.75</v>
          </cell>
          <cell r="BN602">
            <v>6.75</v>
          </cell>
          <cell r="BO602">
            <v>2646.25</v>
          </cell>
          <cell r="BP602" t="str">
            <v>Y</v>
          </cell>
          <cell r="BQ602">
            <v>1</v>
          </cell>
          <cell r="BR602" t="str">
            <v>Y</v>
          </cell>
          <cell r="BS602">
            <v>5821.7500000000018</v>
          </cell>
          <cell r="BT602" t="str">
            <v>Done</v>
          </cell>
          <cell r="BU602">
            <v>145</v>
          </cell>
          <cell r="BV602">
            <v>2024</v>
          </cell>
        </row>
        <row r="603">
          <cell r="A603" t="str">
            <v>Lucknow</v>
          </cell>
          <cell r="B603" t="str">
            <v>Titans</v>
          </cell>
          <cell r="C603" t="str">
            <v>Mid Level</v>
          </cell>
          <cell r="D603" t="str">
            <v>Abhishek Yadav</v>
          </cell>
          <cell r="E603" t="str">
            <v>Abhishek Yadav</v>
          </cell>
          <cell r="H603" t="str">
            <v>Manish Kumar Dhiman</v>
          </cell>
          <cell r="K603">
            <v>0</v>
          </cell>
          <cell r="L603" t="str">
            <v>Old</v>
          </cell>
          <cell r="M603">
            <v>45574</v>
          </cell>
          <cell r="N603">
            <v>4</v>
          </cell>
          <cell r="O603">
            <v>472</v>
          </cell>
          <cell r="P603" t="str">
            <v>-</v>
          </cell>
          <cell r="Q603">
            <v>45939</v>
          </cell>
          <cell r="R603" t="str">
            <v>PLC-3981</v>
          </cell>
          <cell r="S603" t="str">
            <v>Shweta Sharma</v>
          </cell>
          <cell r="T603" t="str">
            <v>Individual</v>
          </cell>
          <cell r="U603" t="str">
            <v>W2</v>
          </cell>
          <cell r="V603" t="str">
            <v>Genpact</v>
          </cell>
          <cell r="W603">
            <v>45</v>
          </cell>
          <cell r="X603">
            <v>0</v>
          </cell>
          <cell r="Y603" t="str">
            <v>USD</v>
          </cell>
          <cell r="Z603">
            <v>70</v>
          </cell>
          <cell r="AA603">
            <v>0</v>
          </cell>
          <cell r="AB603">
            <v>0</v>
          </cell>
          <cell r="AC603">
            <v>0</v>
          </cell>
          <cell r="AD603">
            <v>45762</v>
          </cell>
          <cell r="AE603">
            <v>22</v>
          </cell>
          <cell r="AF603">
            <v>46022</v>
          </cell>
          <cell r="AG603">
            <v>51.749999999999993</v>
          </cell>
          <cell r="AH603">
            <v>0</v>
          </cell>
          <cell r="AI603">
            <v>51.749999999999993</v>
          </cell>
          <cell r="AJ603">
            <v>70</v>
          </cell>
          <cell r="AK603">
            <v>0</v>
          </cell>
          <cell r="AL603">
            <v>0</v>
          </cell>
          <cell r="AM603">
            <v>18.250000000000007</v>
          </cell>
          <cell r="AN603">
            <v>0</v>
          </cell>
          <cell r="AO603">
            <v>18.250000000000007</v>
          </cell>
          <cell r="AP603">
            <v>0</v>
          </cell>
          <cell r="AQ603">
            <v>18.250000000000007</v>
          </cell>
          <cell r="AR603" t="str">
            <v>US_24873</v>
          </cell>
          <cell r="AS603">
            <v>0</v>
          </cell>
          <cell r="AT603">
            <v>168</v>
          </cell>
          <cell r="AU603">
            <v>168</v>
          </cell>
          <cell r="AV603">
            <v>0</v>
          </cell>
          <cell r="AW603">
            <v>3066.0000000000014</v>
          </cell>
          <cell r="AX603">
            <v>3066.0000000000014</v>
          </cell>
          <cell r="AY603">
            <v>3066.0000000000014</v>
          </cell>
          <cell r="AZ603">
            <v>62.5</v>
          </cell>
          <cell r="BA603">
            <v>40.150000000000013</v>
          </cell>
          <cell r="BB603">
            <v>6745.2000000000025</v>
          </cell>
          <cell r="BD603">
            <v>3066.0000000000014</v>
          </cell>
          <cell r="BF603">
            <v>3066.0000000000014</v>
          </cell>
          <cell r="BG603">
            <v>11760</v>
          </cell>
          <cell r="BH603">
            <v>11760</v>
          </cell>
          <cell r="BI603">
            <v>7560</v>
          </cell>
          <cell r="BJ603">
            <v>6.75</v>
          </cell>
          <cell r="BK603">
            <v>0</v>
          </cell>
          <cell r="BL603">
            <v>1134</v>
          </cell>
          <cell r="BM603">
            <v>8694</v>
          </cell>
          <cell r="BN603">
            <v>6.75</v>
          </cell>
          <cell r="BO603">
            <v>3066</v>
          </cell>
          <cell r="BP603" t="str">
            <v>Y</v>
          </cell>
          <cell r="BQ603">
            <v>2</v>
          </cell>
          <cell r="BR603" t="str">
            <v>Y</v>
          </cell>
          <cell r="BS603">
            <v>6745.2000000000025</v>
          </cell>
          <cell r="BT603" t="str">
            <v>Done</v>
          </cell>
          <cell r="BU603">
            <v>168</v>
          </cell>
          <cell r="BV603">
            <v>2024</v>
          </cell>
        </row>
        <row r="604">
          <cell r="A604" t="str">
            <v>Lucknow</v>
          </cell>
          <cell r="B604" t="str">
            <v>Titans</v>
          </cell>
          <cell r="C604" t="str">
            <v>Mid Level</v>
          </cell>
          <cell r="D604" t="str">
            <v>Nitin Saxena</v>
          </cell>
          <cell r="E604" t="str">
            <v>-</v>
          </cell>
          <cell r="H604" t="str">
            <v>Hamza Ali</v>
          </cell>
          <cell r="L604" t="str">
            <v>New</v>
          </cell>
          <cell r="M604">
            <v>45726</v>
          </cell>
          <cell r="N604">
            <v>1</v>
          </cell>
          <cell r="O604">
            <v>320</v>
          </cell>
          <cell r="P604" t="str">
            <v>-</v>
          </cell>
          <cell r="Q604">
            <v>46091</v>
          </cell>
          <cell r="R604" t="str">
            <v>PLC-4166</v>
          </cell>
          <cell r="S604" t="str">
            <v>Siara Barrera</v>
          </cell>
          <cell r="T604" t="str">
            <v>Individual</v>
          </cell>
          <cell r="U604" t="str">
            <v>FTE</v>
          </cell>
          <cell r="V604" t="str">
            <v>WNS</v>
          </cell>
          <cell r="W604">
            <v>0</v>
          </cell>
          <cell r="X604">
            <v>0</v>
          </cell>
          <cell r="Y604" t="str">
            <v>USD</v>
          </cell>
          <cell r="Z604">
            <v>4576</v>
          </cell>
          <cell r="AA604">
            <v>0</v>
          </cell>
          <cell r="AB604">
            <v>0</v>
          </cell>
          <cell r="AC604">
            <v>0</v>
          </cell>
          <cell r="AD604">
            <v>45731</v>
          </cell>
          <cell r="AE604">
            <v>1</v>
          </cell>
          <cell r="AF604">
            <v>46022</v>
          </cell>
          <cell r="AG604">
            <v>0</v>
          </cell>
          <cell r="AH604">
            <v>0</v>
          </cell>
          <cell r="AI604">
            <v>0</v>
          </cell>
          <cell r="AJ604">
            <v>4576</v>
          </cell>
          <cell r="AK604">
            <v>0</v>
          </cell>
          <cell r="AL604">
            <v>0</v>
          </cell>
          <cell r="AM604">
            <v>4576</v>
          </cell>
          <cell r="AN604">
            <v>0</v>
          </cell>
          <cell r="AO604">
            <v>4576</v>
          </cell>
          <cell r="AP604">
            <v>0</v>
          </cell>
          <cell r="AQ604">
            <v>4576</v>
          </cell>
          <cell r="AR604" t="str">
            <v>US_24721</v>
          </cell>
          <cell r="AS604">
            <v>0</v>
          </cell>
          <cell r="AT604">
            <v>1</v>
          </cell>
          <cell r="AU604">
            <v>1</v>
          </cell>
          <cell r="AV604">
            <v>0</v>
          </cell>
          <cell r="AW604">
            <v>4576</v>
          </cell>
          <cell r="AX604">
            <v>4576</v>
          </cell>
          <cell r="AY604">
            <v>4576</v>
          </cell>
          <cell r="AZ604">
            <v>250</v>
          </cell>
          <cell r="BA604">
            <v>7321.6</v>
          </cell>
          <cell r="BB604">
            <v>7321.6</v>
          </cell>
          <cell r="BC604">
            <v>46</v>
          </cell>
          <cell r="BD604">
            <v>4576</v>
          </cell>
          <cell r="BE604">
            <v>3660.8</v>
          </cell>
          <cell r="BF604">
            <v>4576</v>
          </cell>
          <cell r="BG604">
            <v>4576</v>
          </cell>
          <cell r="BH604">
            <v>4576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4576</v>
          </cell>
          <cell r="BP604" t="str">
            <v>Y</v>
          </cell>
          <cell r="BQ604">
            <v>1</v>
          </cell>
          <cell r="BR604" t="str">
            <v>Y</v>
          </cell>
          <cell r="BS604">
            <v>7321.6</v>
          </cell>
          <cell r="BT604" t="str">
            <v>Done</v>
          </cell>
          <cell r="BU604">
            <v>0</v>
          </cell>
          <cell r="BV604">
            <v>2025</v>
          </cell>
        </row>
        <row r="605">
          <cell r="A605" t="str">
            <v>Lucknow</v>
          </cell>
          <cell r="B605" t="str">
            <v>Americas</v>
          </cell>
          <cell r="C605" t="str">
            <v>Mid Level</v>
          </cell>
          <cell r="D605" t="str">
            <v>Rajesh Khanna</v>
          </cell>
          <cell r="E605" t="str">
            <v>-</v>
          </cell>
          <cell r="H605" t="str">
            <v>Rajesh Khanna</v>
          </cell>
          <cell r="L605" t="str">
            <v>New</v>
          </cell>
          <cell r="M605">
            <v>45663</v>
          </cell>
          <cell r="N605">
            <v>1</v>
          </cell>
          <cell r="O605">
            <v>383</v>
          </cell>
          <cell r="P605" t="str">
            <v>-</v>
          </cell>
          <cell r="Q605">
            <v>46028</v>
          </cell>
          <cell r="R605" t="str">
            <v>PLC Fanatics</v>
          </cell>
          <cell r="S605" t="str">
            <v>Siddheshwar Mhetre</v>
          </cell>
          <cell r="T605" t="str">
            <v>Individual</v>
          </cell>
          <cell r="U605" t="str">
            <v>FTE</v>
          </cell>
          <cell r="V605" t="str">
            <v>Fanatics - Offshore</v>
          </cell>
          <cell r="W605">
            <v>0</v>
          </cell>
          <cell r="X605">
            <v>0</v>
          </cell>
          <cell r="Y605" t="str">
            <v>USD</v>
          </cell>
          <cell r="Z605">
            <v>7400</v>
          </cell>
          <cell r="AA605">
            <v>0</v>
          </cell>
          <cell r="AB605">
            <v>0</v>
          </cell>
          <cell r="AC605">
            <v>0</v>
          </cell>
          <cell r="AD605">
            <v>45672</v>
          </cell>
          <cell r="AE605">
            <v>1</v>
          </cell>
          <cell r="AF605">
            <v>46022</v>
          </cell>
          <cell r="AG605">
            <v>0</v>
          </cell>
          <cell r="AH605">
            <v>0</v>
          </cell>
          <cell r="AI605">
            <v>0</v>
          </cell>
          <cell r="AJ605">
            <v>7400</v>
          </cell>
          <cell r="AK605">
            <v>0</v>
          </cell>
          <cell r="AL605">
            <v>0</v>
          </cell>
          <cell r="AM605">
            <v>7400</v>
          </cell>
          <cell r="AN605">
            <v>0</v>
          </cell>
          <cell r="AO605">
            <v>7400</v>
          </cell>
          <cell r="AP605">
            <v>0</v>
          </cell>
          <cell r="AQ605">
            <v>7400</v>
          </cell>
          <cell r="AR605" t="str">
            <v>US_24335</v>
          </cell>
          <cell r="AS605">
            <v>0</v>
          </cell>
          <cell r="AT605">
            <v>1</v>
          </cell>
          <cell r="AU605">
            <v>1</v>
          </cell>
          <cell r="AV605">
            <v>0</v>
          </cell>
          <cell r="AW605">
            <v>7400</v>
          </cell>
          <cell r="AX605">
            <v>7400</v>
          </cell>
          <cell r="AY605">
            <v>7400</v>
          </cell>
          <cell r="AZ605">
            <v>0</v>
          </cell>
          <cell r="BA605">
            <v>0</v>
          </cell>
          <cell r="BB605">
            <v>0</v>
          </cell>
          <cell r="BF605">
            <v>7400</v>
          </cell>
          <cell r="BG605">
            <v>7400</v>
          </cell>
          <cell r="BH605">
            <v>7400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7400</v>
          </cell>
          <cell r="BP605" t="str">
            <v>Y</v>
          </cell>
          <cell r="BQ605">
            <v>1</v>
          </cell>
          <cell r="BR605" t="str">
            <v>Y</v>
          </cell>
          <cell r="BS605">
            <v>0</v>
          </cell>
          <cell r="BT605" t="str">
            <v>Done</v>
          </cell>
          <cell r="BU605">
            <v>0</v>
          </cell>
          <cell r="BV605">
            <v>2025</v>
          </cell>
        </row>
        <row r="606">
          <cell r="A606" t="str">
            <v>Lucknow</v>
          </cell>
          <cell r="B606" t="str">
            <v>Americas</v>
          </cell>
          <cell r="C606" t="str">
            <v>Mid Level</v>
          </cell>
          <cell r="D606" t="str">
            <v>Rajesh Khanna</v>
          </cell>
          <cell r="E606" t="str">
            <v>-</v>
          </cell>
          <cell r="H606" t="str">
            <v>Rajesh Khanna</v>
          </cell>
          <cell r="L606" t="str">
            <v>New</v>
          </cell>
          <cell r="M606">
            <v>45663</v>
          </cell>
          <cell r="N606">
            <v>1</v>
          </cell>
          <cell r="O606">
            <v>383</v>
          </cell>
          <cell r="P606" t="str">
            <v>-</v>
          </cell>
          <cell r="Q606">
            <v>46028</v>
          </cell>
          <cell r="R606" t="str">
            <v>PLC Fanatics</v>
          </cell>
          <cell r="S606" t="str">
            <v>Siddheshwar Mhetre</v>
          </cell>
          <cell r="T606" t="str">
            <v>Individual</v>
          </cell>
          <cell r="U606" t="str">
            <v>FTE</v>
          </cell>
          <cell r="V606" t="str">
            <v>Fanatics - Offshore</v>
          </cell>
          <cell r="W606">
            <v>0</v>
          </cell>
          <cell r="X606">
            <v>0</v>
          </cell>
          <cell r="Y606" t="str">
            <v>USD</v>
          </cell>
          <cell r="Z606">
            <v>7400</v>
          </cell>
          <cell r="AA606">
            <v>0</v>
          </cell>
          <cell r="AB606">
            <v>0</v>
          </cell>
          <cell r="AC606">
            <v>0</v>
          </cell>
          <cell r="AD606">
            <v>45703</v>
          </cell>
          <cell r="AE606">
            <v>1</v>
          </cell>
          <cell r="AF606">
            <v>46022</v>
          </cell>
          <cell r="AG606">
            <v>0</v>
          </cell>
          <cell r="AH606">
            <v>0</v>
          </cell>
          <cell r="AI606">
            <v>0</v>
          </cell>
          <cell r="AJ606">
            <v>7400</v>
          </cell>
          <cell r="AK606">
            <v>0</v>
          </cell>
          <cell r="AL606">
            <v>0</v>
          </cell>
          <cell r="AM606">
            <v>7400</v>
          </cell>
          <cell r="AN606">
            <v>0</v>
          </cell>
          <cell r="AO606">
            <v>7400</v>
          </cell>
          <cell r="AP606">
            <v>0</v>
          </cell>
          <cell r="AQ606">
            <v>7400</v>
          </cell>
          <cell r="AR606" t="str">
            <v>US_24524</v>
          </cell>
          <cell r="AS606">
            <v>0</v>
          </cell>
          <cell r="AT606">
            <v>1</v>
          </cell>
          <cell r="AU606">
            <v>1</v>
          </cell>
          <cell r="AV606">
            <v>0</v>
          </cell>
          <cell r="AW606">
            <v>7400</v>
          </cell>
          <cell r="AX606">
            <v>7400</v>
          </cell>
          <cell r="AY606">
            <v>7400</v>
          </cell>
          <cell r="AZ606">
            <v>0</v>
          </cell>
          <cell r="BA606">
            <v>0</v>
          </cell>
          <cell r="BB606">
            <v>0</v>
          </cell>
          <cell r="BF606">
            <v>7400</v>
          </cell>
          <cell r="BG606">
            <v>7400</v>
          </cell>
          <cell r="BH606">
            <v>7400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7400</v>
          </cell>
          <cell r="BP606" t="str">
            <v>Y</v>
          </cell>
          <cell r="BQ606">
            <v>1</v>
          </cell>
          <cell r="BR606" t="str">
            <v>Y</v>
          </cell>
          <cell r="BS606">
            <v>0</v>
          </cell>
          <cell r="BT606" t="str">
            <v>Done</v>
          </cell>
          <cell r="BU606">
            <v>0</v>
          </cell>
          <cell r="BV606">
            <v>2025</v>
          </cell>
        </row>
        <row r="607">
          <cell r="A607" t="str">
            <v>Lucknow</v>
          </cell>
          <cell r="B607" t="str">
            <v>Americas</v>
          </cell>
          <cell r="C607" t="str">
            <v>Mid Level</v>
          </cell>
          <cell r="D607" t="str">
            <v>Rajesh Khanna</v>
          </cell>
          <cell r="E607" t="str">
            <v>-</v>
          </cell>
          <cell r="H607" t="str">
            <v>Rajesh Khanna</v>
          </cell>
          <cell r="L607" t="str">
            <v>New</v>
          </cell>
          <cell r="M607">
            <v>45663</v>
          </cell>
          <cell r="N607">
            <v>1</v>
          </cell>
          <cell r="O607">
            <v>383</v>
          </cell>
          <cell r="P607" t="str">
            <v>-</v>
          </cell>
          <cell r="Q607">
            <v>46028</v>
          </cell>
          <cell r="R607" t="str">
            <v>PLC Fanatics</v>
          </cell>
          <cell r="S607" t="str">
            <v>Siddheshwar Mhetre</v>
          </cell>
          <cell r="T607" t="str">
            <v>Individual</v>
          </cell>
          <cell r="U607" t="str">
            <v>FTE</v>
          </cell>
          <cell r="V607" t="str">
            <v>Fanatics - Offshore</v>
          </cell>
          <cell r="W607">
            <v>0</v>
          </cell>
          <cell r="X607">
            <v>0</v>
          </cell>
          <cell r="Y607" t="str">
            <v>USD</v>
          </cell>
          <cell r="Z607">
            <v>7400</v>
          </cell>
          <cell r="AA607">
            <v>0</v>
          </cell>
          <cell r="AB607">
            <v>0</v>
          </cell>
          <cell r="AC607">
            <v>0</v>
          </cell>
          <cell r="AD607">
            <v>45731</v>
          </cell>
          <cell r="AE607">
            <v>1</v>
          </cell>
          <cell r="AF607">
            <v>46022</v>
          </cell>
          <cell r="AG607">
            <v>0</v>
          </cell>
          <cell r="AH607">
            <v>0</v>
          </cell>
          <cell r="AI607">
            <v>0</v>
          </cell>
          <cell r="AJ607">
            <v>7400</v>
          </cell>
          <cell r="AK607">
            <v>0</v>
          </cell>
          <cell r="AL607">
            <v>0</v>
          </cell>
          <cell r="AM607">
            <v>7400</v>
          </cell>
          <cell r="AN607">
            <v>0</v>
          </cell>
          <cell r="AO607">
            <v>7400</v>
          </cell>
          <cell r="AP607">
            <v>0</v>
          </cell>
          <cell r="AQ607">
            <v>7400</v>
          </cell>
          <cell r="AR607" t="str">
            <v>US_24700</v>
          </cell>
          <cell r="AS607">
            <v>0</v>
          </cell>
          <cell r="AT607">
            <v>1</v>
          </cell>
          <cell r="AU607">
            <v>1</v>
          </cell>
          <cell r="AV607">
            <v>0</v>
          </cell>
          <cell r="AW607">
            <v>7400</v>
          </cell>
          <cell r="AX607">
            <v>7400</v>
          </cell>
          <cell r="AY607">
            <v>7400</v>
          </cell>
          <cell r="AZ607">
            <v>0</v>
          </cell>
          <cell r="BA607">
            <v>0</v>
          </cell>
          <cell r="BB607">
            <v>0</v>
          </cell>
          <cell r="BF607">
            <v>7400</v>
          </cell>
          <cell r="BG607">
            <v>7400</v>
          </cell>
          <cell r="BH607">
            <v>7400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7400</v>
          </cell>
          <cell r="BP607" t="str">
            <v>Y</v>
          </cell>
          <cell r="BQ607">
            <v>1</v>
          </cell>
          <cell r="BR607" t="str">
            <v>Y</v>
          </cell>
          <cell r="BS607">
            <v>0</v>
          </cell>
          <cell r="BT607" t="str">
            <v>Done</v>
          </cell>
          <cell r="BU607">
            <v>0</v>
          </cell>
          <cell r="BV607">
            <v>2025</v>
          </cell>
        </row>
        <row r="608">
          <cell r="A608" t="str">
            <v>Lucknow</v>
          </cell>
          <cell r="B608" t="str">
            <v>Americas</v>
          </cell>
          <cell r="C608" t="str">
            <v>Mid Level</v>
          </cell>
          <cell r="D608" t="str">
            <v>Rajesh Khanna</v>
          </cell>
          <cell r="E608" t="str">
            <v>-</v>
          </cell>
          <cell r="H608" t="str">
            <v>Rajesh Khanna</v>
          </cell>
          <cell r="L608" t="str">
            <v>New</v>
          </cell>
          <cell r="M608">
            <v>45663</v>
          </cell>
          <cell r="N608">
            <v>1</v>
          </cell>
          <cell r="O608">
            <v>383</v>
          </cell>
          <cell r="P608" t="str">
            <v>-</v>
          </cell>
          <cell r="Q608">
            <v>46028</v>
          </cell>
          <cell r="R608" t="str">
            <v>PLC Fanatics</v>
          </cell>
          <cell r="S608" t="str">
            <v>Siddheshwar Mhetre</v>
          </cell>
          <cell r="T608" t="str">
            <v>Individual</v>
          </cell>
          <cell r="U608" t="str">
            <v>FTE</v>
          </cell>
          <cell r="V608" t="str">
            <v>Fanatics - Offshore</v>
          </cell>
          <cell r="W608">
            <v>0</v>
          </cell>
          <cell r="X608">
            <v>0</v>
          </cell>
          <cell r="Y608" t="str">
            <v>USD</v>
          </cell>
          <cell r="Z608">
            <v>7400</v>
          </cell>
          <cell r="AA608">
            <v>0</v>
          </cell>
          <cell r="AB608">
            <v>0</v>
          </cell>
          <cell r="AC608">
            <v>0</v>
          </cell>
          <cell r="AD608">
            <v>45762</v>
          </cell>
          <cell r="AE608">
            <v>1</v>
          </cell>
          <cell r="AF608">
            <v>46022</v>
          </cell>
          <cell r="AG608">
            <v>0</v>
          </cell>
          <cell r="AH608">
            <v>0</v>
          </cell>
          <cell r="AI608">
            <v>0</v>
          </cell>
          <cell r="AJ608">
            <v>7400</v>
          </cell>
          <cell r="AK608">
            <v>0</v>
          </cell>
          <cell r="AL608">
            <v>0</v>
          </cell>
          <cell r="AM608">
            <v>7400</v>
          </cell>
          <cell r="AN608">
            <v>0</v>
          </cell>
          <cell r="AO608">
            <v>7400</v>
          </cell>
          <cell r="AP608">
            <v>0</v>
          </cell>
          <cell r="AQ608">
            <v>7400</v>
          </cell>
          <cell r="AR608" t="str">
            <v>US_24900</v>
          </cell>
          <cell r="AS608">
            <v>0</v>
          </cell>
          <cell r="AT608">
            <v>1</v>
          </cell>
          <cell r="AU608">
            <v>1</v>
          </cell>
          <cell r="AV608">
            <v>0</v>
          </cell>
          <cell r="AW608">
            <v>7400</v>
          </cell>
          <cell r="AX608">
            <v>7400</v>
          </cell>
          <cell r="AY608">
            <v>7400</v>
          </cell>
          <cell r="AZ608">
            <v>0</v>
          </cell>
          <cell r="BA608">
            <v>0</v>
          </cell>
          <cell r="BB608">
            <v>0</v>
          </cell>
          <cell r="BF608">
            <v>7400</v>
          </cell>
          <cell r="BG608">
            <v>7400</v>
          </cell>
          <cell r="BH608">
            <v>7400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7400</v>
          </cell>
          <cell r="BP608" t="str">
            <v>Y</v>
          </cell>
          <cell r="BQ608">
            <v>2</v>
          </cell>
          <cell r="BR608" t="str">
            <v>Y</v>
          </cell>
          <cell r="BS608">
            <v>0</v>
          </cell>
          <cell r="BT608" t="str">
            <v>Done</v>
          </cell>
          <cell r="BU608">
            <v>0</v>
          </cell>
          <cell r="BV608">
            <v>2025</v>
          </cell>
        </row>
        <row r="609">
          <cell r="A609" t="str">
            <v>Lucknow</v>
          </cell>
          <cell r="B609" t="str">
            <v>Vantedge</v>
          </cell>
          <cell r="C609" t="str">
            <v>Senior</v>
          </cell>
          <cell r="D609" t="str">
            <v>Umar Mujahid Husain</v>
          </cell>
          <cell r="E609" t="str">
            <v>-</v>
          </cell>
          <cell r="H609" t="str">
            <v>Abhay Pratap Singh</v>
          </cell>
          <cell r="K609" t="str">
            <v>Tanya Mishra</v>
          </cell>
          <cell r="L609" t="str">
            <v>New</v>
          </cell>
          <cell r="M609">
            <v>45698</v>
          </cell>
          <cell r="N609">
            <v>1</v>
          </cell>
          <cell r="O609">
            <v>348</v>
          </cell>
          <cell r="P609" t="str">
            <v>-</v>
          </cell>
          <cell r="Q609">
            <v>46063</v>
          </cell>
          <cell r="R609" t="str">
            <v>PLC-4125</v>
          </cell>
          <cell r="S609" t="str">
            <v>Sindhu Venkatesh</v>
          </cell>
          <cell r="T609" t="str">
            <v>Individual</v>
          </cell>
          <cell r="U609" t="str">
            <v>FTE</v>
          </cell>
          <cell r="V609" t="str">
            <v>QualiZeal </v>
          </cell>
          <cell r="W609">
            <v>0</v>
          </cell>
          <cell r="X609">
            <v>0</v>
          </cell>
          <cell r="Y609" t="str">
            <v>USD</v>
          </cell>
          <cell r="Z609">
            <v>25000</v>
          </cell>
          <cell r="AA609">
            <v>0</v>
          </cell>
          <cell r="AB609">
            <v>0</v>
          </cell>
          <cell r="AC609">
            <v>0</v>
          </cell>
          <cell r="AD609">
            <v>45703</v>
          </cell>
          <cell r="AE609">
            <v>1</v>
          </cell>
          <cell r="AF609">
            <v>46022</v>
          </cell>
          <cell r="AG609">
            <v>0</v>
          </cell>
          <cell r="AH609">
            <v>0</v>
          </cell>
          <cell r="AI609">
            <v>0</v>
          </cell>
          <cell r="AJ609">
            <v>25000</v>
          </cell>
          <cell r="AK609">
            <v>0</v>
          </cell>
          <cell r="AL609">
            <v>0</v>
          </cell>
          <cell r="AM609">
            <v>25000</v>
          </cell>
          <cell r="AN609">
            <v>0</v>
          </cell>
          <cell r="AO609">
            <v>25000</v>
          </cell>
          <cell r="AP609">
            <v>0</v>
          </cell>
          <cell r="AQ609">
            <v>25000</v>
          </cell>
          <cell r="AR609" t="str">
            <v>US_24340</v>
          </cell>
          <cell r="AS609">
            <v>0</v>
          </cell>
          <cell r="AT609">
            <v>1</v>
          </cell>
          <cell r="AU609">
            <v>1</v>
          </cell>
          <cell r="AV609">
            <v>0</v>
          </cell>
          <cell r="AW609">
            <v>25000</v>
          </cell>
          <cell r="AX609">
            <v>25000</v>
          </cell>
          <cell r="AY609">
            <v>25000</v>
          </cell>
          <cell r="AZ609">
            <v>91</v>
          </cell>
          <cell r="BA609">
            <v>38000</v>
          </cell>
          <cell r="BB609">
            <v>38000</v>
          </cell>
          <cell r="BC609">
            <v>59</v>
          </cell>
          <cell r="BD609">
            <v>25000</v>
          </cell>
          <cell r="BE609">
            <v>20000</v>
          </cell>
          <cell r="BF609">
            <v>25000</v>
          </cell>
          <cell r="BG609">
            <v>25000</v>
          </cell>
          <cell r="BH609">
            <v>25000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25000</v>
          </cell>
          <cell r="BP609" t="str">
            <v>Y</v>
          </cell>
          <cell r="BQ609">
            <v>1</v>
          </cell>
          <cell r="BR609" t="str">
            <v>Y</v>
          </cell>
          <cell r="BS609">
            <v>38000</v>
          </cell>
          <cell r="BT609" t="str">
            <v>Done</v>
          </cell>
          <cell r="BU609">
            <v>0</v>
          </cell>
          <cell r="BV609">
            <v>2025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Rohit Gupta</v>
          </cell>
          <cell r="E610" t="str">
            <v>-</v>
          </cell>
          <cell r="H610" t="str">
            <v>Akhilesh Gupta</v>
          </cell>
          <cell r="K610">
            <v>0</v>
          </cell>
          <cell r="L610" t="str">
            <v>Old</v>
          </cell>
          <cell r="M610">
            <v>45600</v>
          </cell>
          <cell r="N610">
            <v>4</v>
          </cell>
          <cell r="O610">
            <v>446</v>
          </cell>
          <cell r="P610" t="str">
            <v>-</v>
          </cell>
          <cell r="Q610">
            <v>45965</v>
          </cell>
          <cell r="R610" t="str">
            <v>PLC-4043</v>
          </cell>
          <cell r="S610" t="str">
            <v>Sivanagaraju Mundru</v>
          </cell>
          <cell r="T610" t="str">
            <v>Individual</v>
          </cell>
          <cell r="U610" t="str">
            <v>C2C</v>
          </cell>
          <cell r="V610" t="str">
            <v>Coforge</v>
          </cell>
          <cell r="W610">
            <v>105</v>
          </cell>
          <cell r="X610">
            <v>0</v>
          </cell>
          <cell r="Y610" t="str">
            <v>USD</v>
          </cell>
          <cell r="Z610">
            <v>108</v>
          </cell>
          <cell r="AA610">
            <v>0</v>
          </cell>
          <cell r="AB610">
            <v>0</v>
          </cell>
          <cell r="AC610">
            <v>0</v>
          </cell>
          <cell r="AD610">
            <v>45672</v>
          </cell>
          <cell r="AE610">
            <v>23</v>
          </cell>
          <cell r="AF610">
            <v>46022</v>
          </cell>
          <cell r="AG610">
            <v>105</v>
          </cell>
          <cell r="AH610">
            <v>0</v>
          </cell>
          <cell r="AI610">
            <v>105</v>
          </cell>
          <cell r="AJ610">
            <v>108</v>
          </cell>
          <cell r="AK610">
            <v>0</v>
          </cell>
          <cell r="AL610">
            <v>0</v>
          </cell>
          <cell r="AM610">
            <v>3</v>
          </cell>
          <cell r="AN610">
            <v>0</v>
          </cell>
          <cell r="AO610">
            <v>3</v>
          </cell>
          <cell r="AP610">
            <v>0</v>
          </cell>
          <cell r="AQ610">
            <v>3</v>
          </cell>
          <cell r="AR610" t="str">
            <v>US_24300</v>
          </cell>
          <cell r="AS610">
            <v>0</v>
          </cell>
          <cell r="AT610">
            <v>176</v>
          </cell>
          <cell r="AU610">
            <v>176</v>
          </cell>
          <cell r="AV610">
            <v>0</v>
          </cell>
          <cell r="AW610">
            <v>528</v>
          </cell>
          <cell r="AX610">
            <v>528</v>
          </cell>
          <cell r="AY610">
            <v>528</v>
          </cell>
          <cell r="AZ610">
            <v>100</v>
          </cell>
          <cell r="BA610">
            <v>10.199999999999999</v>
          </cell>
          <cell r="BB610">
            <v>1795.1999999999998</v>
          </cell>
          <cell r="BC610">
            <v>38.28125</v>
          </cell>
          <cell r="BD610">
            <v>528</v>
          </cell>
          <cell r="BE610">
            <v>422.4</v>
          </cell>
          <cell r="BF610">
            <v>528</v>
          </cell>
          <cell r="BG610">
            <v>19008</v>
          </cell>
          <cell r="BH610">
            <v>19008</v>
          </cell>
          <cell r="BI610">
            <v>18480</v>
          </cell>
          <cell r="BJ610">
            <v>0</v>
          </cell>
          <cell r="BK610">
            <v>0</v>
          </cell>
          <cell r="BL610">
            <v>0</v>
          </cell>
          <cell r="BM610">
            <v>18480</v>
          </cell>
          <cell r="BN610">
            <v>0</v>
          </cell>
          <cell r="BO610">
            <v>528</v>
          </cell>
          <cell r="BP610" t="str">
            <v>Y</v>
          </cell>
          <cell r="BQ610">
            <v>1</v>
          </cell>
          <cell r="BR610" t="str">
            <v>Y</v>
          </cell>
          <cell r="BS610">
            <v>1795.1999999999998</v>
          </cell>
          <cell r="BT610" t="str">
            <v>Done</v>
          </cell>
          <cell r="BU610">
            <v>176</v>
          </cell>
          <cell r="BV610">
            <v>2024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Rohit Gupta</v>
          </cell>
          <cell r="E611" t="str">
            <v>-</v>
          </cell>
          <cell r="H611" t="str">
            <v>Akhilesh Gupta</v>
          </cell>
          <cell r="K611">
            <v>0</v>
          </cell>
          <cell r="L611" t="str">
            <v>Old</v>
          </cell>
          <cell r="M611">
            <v>45600</v>
          </cell>
          <cell r="N611">
            <v>4</v>
          </cell>
          <cell r="O611">
            <v>446</v>
          </cell>
          <cell r="P611" t="str">
            <v>-</v>
          </cell>
          <cell r="Q611">
            <v>45965</v>
          </cell>
          <cell r="R611" t="str">
            <v>PLC-4043</v>
          </cell>
          <cell r="S611" t="str">
            <v>Sivanagaraju Mundru</v>
          </cell>
          <cell r="T611" t="str">
            <v>Individual</v>
          </cell>
          <cell r="U611" t="str">
            <v>C2C</v>
          </cell>
          <cell r="V611" t="str">
            <v>Coforge</v>
          </cell>
          <cell r="W611">
            <v>105</v>
          </cell>
          <cell r="X611">
            <v>0</v>
          </cell>
          <cell r="Y611" t="str">
            <v>USD</v>
          </cell>
          <cell r="Z611">
            <v>108</v>
          </cell>
          <cell r="AA611">
            <v>0</v>
          </cell>
          <cell r="AB611">
            <v>0</v>
          </cell>
          <cell r="AC611">
            <v>0</v>
          </cell>
          <cell r="AD611">
            <v>45703</v>
          </cell>
          <cell r="AE611">
            <v>20</v>
          </cell>
          <cell r="AF611">
            <v>46022</v>
          </cell>
          <cell r="AG611">
            <v>105</v>
          </cell>
          <cell r="AH611">
            <v>0</v>
          </cell>
          <cell r="AI611">
            <v>105</v>
          </cell>
          <cell r="AJ611">
            <v>108</v>
          </cell>
          <cell r="AK611">
            <v>0</v>
          </cell>
          <cell r="AL611">
            <v>0</v>
          </cell>
          <cell r="AM611">
            <v>3</v>
          </cell>
          <cell r="AN611">
            <v>0</v>
          </cell>
          <cell r="AO611">
            <v>3</v>
          </cell>
          <cell r="AP611">
            <v>0</v>
          </cell>
          <cell r="AQ611">
            <v>3</v>
          </cell>
          <cell r="AR611" t="str">
            <v>US_24498</v>
          </cell>
          <cell r="AS611">
            <v>0</v>
          </cell>
          <cell r="AT611">
            <v>152</v>
          </cell>
          <cell r="AU611">
            <v>152</v>
          </cell>
          <cell r="AV611">
            <v>0</v>
          </cell>
          <cell r="AW611">
            <v>456</v>
          </cell>
          <cell r="AX611">
            <v>456</v>
          </cell>
          <cell r="AY611">
            <v>456</v>
          </cell>
          <cell r="AZ611">
            <v>100</v>
          </cell>
          <cell r="BA611">
            <v>10.199999999999999</v>
          </cell>
          <cell r="BB611">
            <v>1550.3999999999999</v>
          </cell>
          <cell r="BC611">
            <v>38.28125</v>
          </cell>
          <cell r="BD611">
            <v>456</v>
          </cell>
          <cell r="BE611">
            <v>364.8</v>
          </cell>
          <cell r="BF611">
            <v>456</v>
          </cell>
          <cell r="BG611">
            <v>16416</v>
          </cell>
          <cell r="BH611">
            <v>16416</v>
          </cell>
          <cell r="BI611">
            <v>15960</v>
          </cell>
          <cell r="BJ611">
            <v>0</v>
          </cell>
          <cell r="BK611">
            <v>0</v>
          </cell>
          <cell r="BL611">
            <v>0</v>
          </cell>
          <cell r="BM611">
            <v>15960</v>
          </cell>
          <cell r="BN611">
            <v>0</v>
          </cell>
          <cell r="BO611">
            <v>456</v>
          </cell>
          <cell r="BP611" t="str">
            <v>Y</v>
          </cell>
          <cell r="BQ611">
            <v>1</v>
          </cell>
          <cell r="BR611" t="str">
            <v>Y</v>
          </cell>
          <cell r="BS611">
            <v>1550.3999999999999</v>
          </cell>
          <cell r="BT611" t="str">
            <v>Done</v>
          </cell>
          <cell r="BU611">
            <v>152</v>
          </cell>
          <cell r="BV611">
            <v>2024</v>
          </cell>
        </row>
        <row r="612">
          <cell r="A612" t="str">
            <v>Lucknow</v>
          </cell>
          <cell r="B612" t="str">
            <v>Mavericks</v>
          </cell>
          <cell r="C612" t="str">
            <v>Mid Level</v>
          </cell>
          <cell r="D612" t="str">
            <v>Rohit Gupta</v>
          </cell>
          <cell r="E612" t="str">
            <v>-</v>
          </cell>
          <cell r="H612" t="str">
            <v>Akhilesh Gupta</v>
          </cell>
          <cell r="K612">
            <v>0</v>
          </cell>
          <cell r="L612" t="str">
            <v>Old</v>
          </cell>
          <cell r="M612">
            <v>45600</v>
          </cell>
          <cell r="N612">
            <v>4</v>
          </cell>
          <cell r="O612">
            <v>446</v>
          </cell>
          <cell r="P612" t="str">
            <v>-</v>
          </cell>
          <cell r="Q612">
            <v>45965</v>
          </cell>
          <cell r="R612" t="str">
            <v>PLC-4043</v>
          </cell>
          <cell r="S612" t="str">
            <v>Sivanagaraju Mundru</v>
          </cell>
          <cell r="T612" t="str">
            <v>Individual</v>
          </cell>
          <cell r="U612" t="str">
            <v>C2C</v>
          </cell>
          <cell r="V612" t="str">
            <v>Coforge</v>
          </cell>
          <cell r="W612">
            <v>105</v>
          </cell>
          <cell r="X612">
            <v>0</v>
          </cell>
          <cell r="Y612" t="str">
            <v>USD</v>
          </cell>
          <cell r="Z612">
            <v>108</v>
          </cell>
          <cell r="AA612">
            <v>0</v>
          </cell>
          <cell r="AB612">
            <v>0</v>
          </cell>
          <cell r="AC612">
            <v>0</v>
          </cell>
          <cell r="AD612">
            <v>45731</v>
          </cell>
          <cell r="AE612">
            <v>21</v>
          </cell>
          <cell r="AF612">
            <v>46022</v>
          </cell>
          <cell r="AG612">
            <v>105</v>
          </cell>
          <cell r="AH612">
            <v>0</v>
          </cell>
          <cell r="AI612">
            <v>105</v>
          </cell>
          <cell r="AJ612">
            <v>108</v>
          </cell>
          <cell r="AK612">
            <v>0</v>
          </cell>
          <cell r="AL612">
            <v>0</v>
          </cell>
          <cell r="AM612">
            <v>3</v>
          </cell>
          <cell r="AN612">
            <v>0</v>
          </cell>
          <cell r="AO612">
            <v>3</v>
          </cell>
          <cell r="AP612">
            <v>0</v>
          </cell>
          <cell r="AQ612">
            <v>3</v>
          </cell>
          <cell r="AR612" t="str">
            <v>US_24683</v>
          </cell>
          <cell r="AS612">
            <v>0</v>
          </cell>
          <cell r="AT612">
            <v>168</v>
          </cell>
          <cell r="AU612">
            <v>168</v>
          </cell>
          <cell r="AV612">
            <v>0</v>
          </cell>
          <cell r="AW612">
            <v>504</v>
          </cell>
          <cell r="AX612">
            <v>504</v>
          </cell>
          <cell r="AY612">
            <v>504</v>
          </cell>
          <cell r="AZ612">
            <v>100</v>
          </cell>
          <cell r="BA612">
            <v>10.199999999999999</v>
          </cell>
          <cell r="BB612">
            <v>1713.6</v>
          </cell>
          <cell r="BC612">
            <v>38.28125</v>
          </cell>
          <cell r="BD612">
            <v>504</v>
          </cell>
          <cell r="BE612">
            <v>403.2</v>
          </cell>
          <cell r="BF612">
            <v>504</v>
          </cell>
          <cell r="BG612">
            <v>18144</v>
          </cell>
          <cell r="BH612">
            <v>18144</v>
          </cell>
          <cell r="BI612">
            <v>17640</v>
          </cell>
          <cell r="BJ612">
            <v>0</v>
          </cell>
          <cell r="BK612">
            <v>0</v>
          </cell>
          <cell r="BL612">
            <v>0</v>
          </cell>
          <cell r="BM612">
            <v>17640</v>
          </cell>
          <cell r="BN612">
            <v>0</v>
          </cell>
          <cell r="BO612">
            <v>504</v>
          </cell>
          <cell r="BP612" t="str">
            <v>Y</v>
          </cell>
          <cell r="BQ612">
            <v>1</v>
          </cell>
          <cell r="BR612" t="str">
            <v>Y</v>
          </cell>
          <cell r="BS612">
            <v>1713.6</v>
          </cell>
          <cell r="BT612" t="str">
            <v>Done</v>
          </cell>
          <cell r="BU612">
            <v>168</v>
          </cell>
          <cell r="BV612">
            <v>2024</v>
          </cell>
        </row>
        <row r="613">
          <cell r="A613" t="str">
            <v>Lucknow</v>
          </cell>
          <cell r="B613" t="str">
            <v>Mavericks</v>
          </cell>
          <cell r="C613" t="str">
            <v>Mid Level</v>
          </cell>
          <cell r="D613" t="str">
            <v>Rohit Gupta</v>
          </cell>
          <cell r="E613" t="str">
            <v>-</v>
          </cell>
          <cell r="H613" t="str">
            <v>Akhilesh Gupta</v>
          </cell>
          <cell r="K613">
            <v>0</v>
          </cell>
          <cell r="L613" t="str">
            <v>Old</v>
          </cell>
          <cell r="M613">
            <v>45600</v>
          </cell>
          <cell r="N613">
            <v>4</v>
          </cell>
          <cell r="O613">
            <v>446</v>
          </cell>
          <cell r="P613" t="str">
            <v>-</v>
          </cell>
          <cell r="Q613">
            <v>45965</v>
          </cell>
          <cell r="R613" t="str">
            <v>PLC-4043</v>
          </cell>
          <cell r="S613" t="str">
            <v>Sivanagaraju Mundru</v>
          </cell>
          <cell r="T613" t="str">
            <v>Individual</v>
          </cell>
          <cell r="U613" t="str">
            <v>C2C</v>
          </cell>
          <cell r="V613" t="str">
            <v>Coforge</v>
          </cell>
          <cell r="W613">
            <v>105</v>
          </cell>
          <cell r="X613">
            <v>0</v>
          </cell>
          <cell r="Y613" t="str">
            <v>USD</v>
          </cell>
          <cell r="Z613">
            <v>108</v>
          </cell>
          <cell r="AA613">
            <v>0</v>
          </cell>
          <cell r="AB613">
            <v>0</v>
          </cell>
          <cell r="AC613">
            <v>0</v>
          </cell>
          <cell r="AD613">
            <v>45762</v>
          </cell>
          <cell r="AE613">
            <v>22</v>
          </cell>
          <cell r="AF613">
            <v>46022</v>
          </cell>
          <cell r="AG613">
            <v>105</v>
          </cell>
          <cell r="AH613">
            <v>0</v>
          </cell>
          <cell r="AI613">
            <v>105</v>
          </cell>
          <cell r="AJ613">
            <v>108</v>
          </cell>
          <cell r="AK613">
            <v>0</v>
          </cell>
          <cell r="AL613">
            <v>0</v>
          </cell>
          <cell r="AM613">
            <v>3</v>
          </cell>
          <cell r="AN613">
            <v>0</v>
          </cell>
          <cell r="AO613">
            <v>3</v>
          </cell>
          <cell r="AP613">
            <v>0</v>
          </cell>
          <cell r="AQ613">
            <v>3</v>
          </cell>
          <cell r="AR613" t="str">
            <v>US_24886</v>
          </cell>
          <cell r="AS613">
            <v>0</v>
          </cell>
          <cell r="AT613">
            <v>176</v>
          </cell>
          <cell r="AU613">
            <v>176</v>
          </cell>
          <cell r="AV613">
            <v>0</v>
          </cell>
          <cell r="AW613">
            <v>528</v>
          </cell>
          <cell r="AX613">
            <v>528</v>
          </cell>
          <cell r="AY613">
            <v>528</v>
          </cell>
          <cell r="AZ613">
            <v>100</v>
          </cell>
          <cell r="BA613">
            <v>10.199999999999999</v>
          </cell>
          <cell r="BB613">
            <v>1795.1999999999998</v>
          </cell>
          <cell r="BC613">
            <v>38.28125</v>
          </cell>
          <cell r="BD613">
            <v>528</v>
          </cell>
          <cell r="BE613">
            <v>422.4</v>
          </cell>
          <cell r="BF613">
            <v>528</v>
          </cell>
          <cell r="BG613">
            <v>19008</v>
          </cell>
          <cell r="BH613">
            <v>19008</v>
          </cell>
          <cell r="BI613">
            <v>18480</v>
          </cell>
          <cell r="BJ613">
            <v>0</v>
          </cell>
          <cell r="BK613">
            <v>0</v>
          </cell>
          <cell r="BL613">
            <v>0</v>
          </cell>
          <cell r="BM613">
            <v>18480</v>
          </cell>
          <cell r="BN613">
            <v>0</v>
          </cell>
          <cell r="BO613">
            <v>528</v>
          </cell>
          <cell r="BP613" t="str">
            <v>Y</v>
          </cell>
          <cell r="BQ613">
            <v>2</v>
          </cell>
          <cell r="BR613" t="str">
            <v>N</v>
          </cell>
          <cell r="BS613">
            <v>1795.1999999999998</v>
          </cell>
          <cell r="BT613" t="str">
            <v>Done</v>
          </cell>
          <cell r="BU613">
            <v>176</v>
          </cell>
          <cell r="BV613">
            <v>2024</v>
          </cell>
        </row>
        <row r="614">
          <cell r="A614" t="str">
            <v>Lucknow</v>
          </cell>
          <cell r="B614" t="str">
            <v>Trust</v>
          </cell>
          <cell r="C614" t="str">
            <v>Mid Level</v>
          </cell>
          <cell r="D614" t="str">
            <v>Harsh Agarwal</v>
          </cell>
          <cell r="E614" t="str">
            <v>-</v>
          </cell>
          <cell r="F614" t="str">
            <v>-</v>
          </cell>
          <cell r="G614" t="str">
            <v>-</v>
          </cell>
          <cell r="H614" t="str">
            <v>Harsh Shukla</v>
          </cell>
          <cell r="L614" t="str">
            <v>New</v>
          </cell>
          <cell r="M614">
            <v>45775</v>
          </cell>
          <cell r="N614">
            <v>2</v>
          </cell>
          <cell r="O614">
            <v>271</v>
          </cell>
          <cell r="P614" t="str">
            <v>-</v>
          </cell>
          <cell r="Q614">
            <v>46140</v>
          </cell>
          <cell r="R614" t="str">
            <v>PLC-4210</v>
          </cell>
          <cell r="S614" t="str">
            <v>Smita Pattanaik</v>
          </cell>
          <cell r="T614" t="str">
            <v>Individual</v>
          </cell>
          <cell r="U614" t="str">
            <v>FTE</v>
          </cell>
          <cell r="V614" t="str">
            <v>Infosys</v>
          </cell>
          <cell r="W614">
            <v>0</v>
          </cell>
          <cell r="X614">
            <v>0</v>
          </cell>
          <cell r="Y614" t="str">
            <v>USD</v>
          </cell>
          <cell r="Z614">
            <v>3500</v>
          </cell>
          <cell r="AA614">
            <v>0</v>
          </cell>
          <cell r="AB614">
            <v>0</v>
          </cell>
          <cell r="AC614">
            <v>0</v>
          </cell>
          <cell r="AD614">
            <v>45762</v>
          </cell>
          <cell r="AE614">
            <v>1</v>
          </cell>
          <cell r="AF614">
            <v>46022</v>
          </cell>
          <cell r="AG614">
            <v>0</v>
          </cell>
          <cell r="AH614">
            <v>0</v>
          </cell>
          <cell r="AI614">
            <v>0</v>
          </cell>
          <cell r="AJ614">
            <v>3500</v>
          </cell>
          <cell r="AK614">
            <v>0</v>
          </cell>
          <cell r="AL614">
            <v>0</v>
          </cell>
          <cell r="AM614">
            <v>3500</v>
          </cell>
          <cell r="AN614">
            <v>0</v>
          </cell>
          <cell r="AO614">
            <v>3500</v>
          </cell>
          <cell r="AP614">
            <v>0</v>
          </cell>
          <cell r="AQ614">
            <v>3500</v>
          </cell>
          <cell r="AR614" t="str">
            <v>US_24929</v>
          </cell>
          <cell r="AS614">
            <v>0</v>
          </cell>
          <cell r="AT614">
            <v>1</v>
          </cell>
          <cell r="AU614">
            <v>1</v>
          </cell>
          <cell r="AV614">
            <v>0</v>
          </cell>
          <cell r="AW614">
            <v>3500</v>
          </cell>
          <cell r="AX614">
            <v>3500</v>
          </cell>
          <cell r="AY614">
            <v>3500</v>
          </cell>
          <cell r="AZ614">
            <v>83.333333333333343</v>
          </cell>
          <cell r="BA614">
            <v>5600</v>
          </cell>
          <cell r="BB614">
            <v>5600</v>
          </cell>
          <cell r="BC614">
            <v>42</v>
          </cell>
          <cell r="BD614">
            <v>3500</v>
          </cell>
          <cell r="BE614">
            <v>2800</v>
          </cell>
          <cell r="BF614">
            <v>3500</v>
          </cell>
          <cell r="BG614">
            <v>3500</v>
          </cell>
          <cell r="BH614">
            <v>3500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3500</v>
          </cell>
          <cell r="BP614" t="str">
            <v>Y</v>
          </cell>
          <cell r="BQ614">
            <v>2</v>
          </cell>
          <cell r="BR614" t="str">
            <v>Y</v>
          </cell>
          <cell r="BS614">
            <v>5600</v>
          </cell>
          <cell r="BT614" t="str">
            <v>Done</v>
          </cell>
          <cell r="BU614">
            <v>0</v>
          </cell>
          <cell r="BV614">
            <v>2025</v>
          </cell>
        </row>
        <row r="615">
          <cell r="A615" t="str">
            <v>Chennai</v>
          </cell>
          <cell r="B615" t="str">
            <v>Chennai</v>
          </cell>
          <cell r="C615" t="str">
            <v>Mid Level</v>
          </cell>
          <cell r="D615" t="str">
            <v>Akbar Ibrahim</v>
          </cell>
          <cell r="E615" t="str">
            <v>Vinoth L</v>
          </cell>
          <cell r="H615" t="str">
            <v>Dinesh Kumar Veluchamy</v>
          </cell>
          <cell r="K615">
            <v>0</v>
          </cell>
          <cell r="L615" t="str">
            <v>Old</v>
          </cell>
          <cell r="M615">
            <v>45365</v>
          </cell>
          <cell r="N615">
            <v>1</v>
          </cell>
          <cell r="O615">
            <v>681</v>
          </cell>
          <cell r="P615" t="str">
            <v>-</v>
          </cell>
          <cell r="Q615">
            <v>45730</v>
          </cell>
          <cell r="R615" t="str">
            <v>PLC-3639</v>
          </cell>
          <cell r="S615" t="str">
            <v>Sri Sai Charan Kalluri</v>
          </cell>
          <cell r="T615" t="str">
            <v>Split</v>
          </cell>
          <cell r="U615" t="str">
            <v>C2C</v>
          </cell>
          <cell r="V615" t="str">
            <v>LTIMindtree</v>
          </cell>
          <cell r="W615">
            <v>68</v>
          </cell>
          <cell r="X615">
            <v>0</v>
          </cell>
          <cell r="Y615" t="str">
            <v>USD</v>
          </cell>
          <cell r="Z615">
            <v>76</v>
          </cell>
          <cell r="AA615">
            <v>0</v>
          </cell>
          <cell r="AB615">
            <v>0</v>
          </cell>
          <cell r="AC615">
            <v>0</v>
          </cell>
          <cell r="AD615">
            <v>45672</v>
          </cell>
          <cell r="AE615">
            <v>23</v>
          </cell>
          <cell r="AF615">
            <v>46022</v>
          </cell>
          <cell r="AG615">
            <v>68</v>
          </cell>
          <cell r="AH615">
            <v>0</v>
          </cell>
          <cell r="AI615">
            <v>68</v>
          </cell>
          <cell r="AJ615">
            <v>73.72</v>
          </cell>
          <cell r="AK615">
            <v>0</v>
          </cell>
          <cell r="AL615">
            <v>0</v>
          </cell>
          <cell r="AM615">
            <v>5.7199999999999989</v>
          </cell>
          <cell r="AN615">
            <v>0</v>
          </cell>
          <cell r="AO615">
            <v>2.8599999999999994</v>
          </cell>
          <cell r="AP615">
            <v>0</v>
          </cell>
          <cell r="AQ615">
            <v>2.8599999999999994</v>
          </cell>
          <cell r="AR615" t="str">
            <v>US_24220</v>
          </cell>
          <cell r="AS615">
            <v>0</v>
          </cell>
          <cell r="AT615">
            <v>184</v>
          </cell>
          <cell r="AU615">
            <v>184</v>
          </cell>
          <cell r="AV615">
            <v>0</v>
          </cell>
          <cell r="AW615">
            <v>526.2399999999999</v>
          </cell>
          <cell r="AX615">
            <v>526.2399999999999</v>
          </cell>
          <cell r="AY615">
            <v>526.2399999999999</v>
          </cell>
          <cell r="AZ615">
            <v>50</v>
          </cell>
          <cell r="BA615">
            <v>4.5759999999999987</v>
          </cell>
          <cell r="BB615">
            <v>841.98399999999981</v>
          </cell>
          <cell r="BD615">
            <v>526.2399999999999</v>
          </cell>
          <cell r="BF615">
            <v>526.2399999999999</v>
          </cell>
          <cell r="BG615">
            <v>6992</v>
          </cell>
          <cell r="BH615">
            <v>6782.24</v>
          </cell>
          <cell r="BI615">
            <v>6256</v>
          </cell>
          <cell r="BJ615">
            <v>0</v>
          </cell>
          <cell r="BK615">
            <v>0</v>
          </cell>
          <cell r="BL615">
            <v>0</v>
          </cell>
          <cell r="BM615">
            <v>6256</v>
          </cell>
          <cell r="BN615">
            <v>0</v>
          </cell>
          <cell r="BO615">
            <v>526.23999999999978</v>
          </cell>
          <cell r="BP615" t="str">
            <v>Y</v>
          </cell>
          <cell r="BQ615">
            <v>1</v>
          </cell>
          <cell r="BR615" t="str">
            <v>Y</v>
          </cell>
          <cell r="BS615">
            <v>841.98399999999981</v>
          </cell>
          <cell r="BT615" t="str">
            <v>Done</v>
          </cell>
          <cell r="BU615">
            <v>184</v>
          </cell>
          <cell r="BV615">
            <v>2024</v>
          </cell>
        </row>
        <row r="616">
          <cell r="A616" t="str">
            <v>Chennai</v>
          </cell>
          <cell r="B616" t="str">
            <v>Chennai</v>
          </cell>
          <cell r="C616" t="str">
            <v>Mid Level</v>
          </cell>
          <cell r="D616" t="str">
            <v>Vinoth L</v>
          </cell>
          <cell r="E616" t="str">
            <v>Akbar Ibrahim</v>
          </cell>
          <cell r="F616" t="str">
            <v>Vinoth L</v>
          </cell>
          <cell r="H616" t="str">
            <v>Dinesh Kumar Veluchamy</v>
          </cell>
          <cell r="K616">
            <v>0</v>
          </cell>
          <cell r="L616" t="str">
            <v>Old</v>
          </cell>
          <cell r="M616">
            <v>45365</v>
          </cell>
          <cell r="N616">
            <v>1</v>
          </cell>
          <cell r="O616">
            <v>681</v>
          </cell>
          <cell r="P616" t="str">
            <v>-</v>
          </cell>
          <cell r="Q616">
            <v>45730</v>
          </cell>
          <cell r="R616" t="str">
            <v>PLC-3639</v>
          </cell>
          <cell r="S616" t="str">
            <v>Sri Sai Charan Kalluri</v>
          </cell>
          <cell r="T616" t="str">
            <v>Split</v>
          </cell>
          <cell r="U616" t="str">
            <v>C2C</v>
          </cell>
          <cell r="V616" t="str">
            <v>LTIMindtree</v>
          </cell>
          <cell r="W616">
            <v>68</v>
          </cell>
          <cell r="X616">
            <v>0</v>
          </cell>
          <cell r="Y616" t="str">
            <v>USD</v>
          </cell>
          <cell r="Z616">
            <v>76</v>
          </cell>
          <cell r="AA616">
            <v>0</v>
          </cell>
          <cell r="AB616">
            <v>0</v>
          </cell>
          <cell r="AC616">
            <v>0</v>
          </cell>
          <cell r="AD616">
            <v>45672</v>
          </cell>
          <cell r="AE616">
            <v>23</v>
          </cell>
          <cell r="AF616">
            <v>46022</v>
          </cell>
          <cell r="AG616">
            <v>68</v>
          </cell>
          <cell r="AH616">
            <v>0</v>
          </cell>
          <cell r="AI616">
            <v>68</v>
          </cell>
          <cell r="AJ616">
            <v>73.72</v>
          </cell>
          <cell r="AK616">
            <v>0</v>
          </cell>
          <cell r="AL616">
            <v>0</v>
          </cell>
          <cell r="AM616">
            <v>5.7199999999999989</v>
          </cell>
          <cell r="AN616">
            <v>0</v>
          </cell>
          <cell r="AO616">
            <v>2.8599999999999994</v>
          </cell>
          <cell r="AP616">
            <v>0</v>
          </cell>
          <cell r="AQ616">
            <v>2.8599999999999994</v>
          </cell>
          <cell r="AR616" t="str">
            <v>US_24220</v>
          </cell>
          <cell r="AS616">
            <v>0</v>
          </cell>
          <cell r="AT616">
            <v>184</v>
          </cell>
          <cell r="AU616">
            <v>184</v>
          </cell>
          <cell r="AV616">
            <v>0</v>
          </cell>
          <cell r="AW616">
            <v>526.2399999999999</v>
          </cell>
          <cell r="AX616">
            <v>526.2399999999999</v>
          </cell>
          <cell r="AY616">
            <v>526.2399999999999</v>
          </cell>
          <cell r="AZ616">
            <v>50</v>
          </cell>
          <cell r="BA616">
            <v>4.5759999999999987</v>
          </cell>
          <cell r="BB616">
            <v>841.98399999999981</v>
          </cell>
          <cell r="BC616">
            <v>53.225806451612897</v>
          </cell>
          <cell r="BD616">
            <v>526.2399999999999</v>
          </cell>
          <cell r="BE616">
            <v>420.9919999999999</v>
          </cell>
          <cell r="BF616">
            <v>526.2399999999999</v>
          </cell>
          <cell r="BG616">
            <v>6992</v>
          </cell>
          <cell r="BH616">
            <v>6782.24</v>
          </cell>
          <cell r="BI616">
            <v>6256</v>
          </cell>
          <cell r="BJ616">
            <v>0</v>
          </cell>
          <cell r="BK616">
            <v>0</v>
          </cell>
          <cell r="BL616">
            <v>0</v>
          </cell>
          <cell r="BM616">
            <v>6256</v>
          </cell>
          <cell r="BN616">
            <v>0</v>
          </cell>
          <cell r="BO616">
            <v>526.23999999999978</v>
          </cell>
          <cell r="BP616" t="str">
            <v>Y</v>
          </cell>
          <cell r="BQ616">
            <v>1</v>
          </cell>
          <cell r="BR616" t="str">
            <v>Y</v>
          </cell>
          <cell r="BS616">
            <v>841.98399999999981</v>
          </cell>
          <cell r="BT616" t="str">
            <v>Done</v>
          </cell>
          <cell r="BU616">
            <v>184</v>
          </cell>
          <cell r="BV616">
            <v>2024</v>
          </cell>
        </row>
        <row r="617">
          <cell r="A617" t="str">
            <v>Chennai</v>
          </cell>
          <cell r="B617" t="str">
            <v>Chennai</v>
          </cell>
          <cell r="C617" t="str">
            <v>Mid Level</v>
          </cell>
          <cell r="D617" t="str">
            <v>Akbar Ibrahim</v>
          </cell>
          <cell r="E617" t="str">
            <v>Vinoth L</v>
          </cell>
          <cell r="H617" t="str">
            <v>Dinesh Kumar Veluchamy</v>
          </cell>
          <cell r="K617">
            <v>0</v>
          </cell>
          <cell r="L617" t="str">
            <v>Old</v>
          </cell>
          <cell r="M617">
            <v>45365</v>
          </cell>
          <cell r="N617">
            <v>1</v>
          </cell>
          <cell r="O617">
            <v>681</v>
          </cell>
          <cell r="P617" t="str">
            <v>-</v>
          </cell>
          <cell r="Q617">
            <v>45730</v>
          </cell>
          <cell r="R617" t="str">
            <v>PLC-3639</v>
          </cell>
          <cell r="S617" t="str">
            <v>Sri Sai Charan Kalluri</v>
          </cell>
          <cell r="T617" t="str">
            <v>Split</v>
          </cell>
          <cell r="U617" t="str">
            <v>C2C</v>
          </cell>
          <cell r="V617" t="str">
            <v>LTIMindtree</v>
          </cell>
          <cell r="W617">
            <v>68</v>
          </cell>
          <cell r="X617">
            <v>0</v>
          </cell>
          <cell r="Y617" t="str">
            <v>USD</v>
          </cell>
          <cell r="Z617">
            <v>76</v>
          </cell>
          <cell r="AA617">
            <v>0</v>
          </cell>
          <cell r="AB617">
            <v>0</v>
          </cell>
          <cell r="AC617">
            <v>0</v>
          </cell>
          <cell r="AD617">
            <v>45703</v>
          </cell>
          <cell r="AE617">
            <v>20</v>
          </cell>
          <cell r="AF617">
            <v>46022</v>
          </cell>
          <cell r="AG617">
            <v>68</v>
          </cell>
          <cell r="AH617">
            <v>0</v>
          </cell>
          <cell r="AI617">
            <v>68</v>
          </cell>
          <cell r="AJ617">
            <v>73.72</v>
          </cell>
          <cell r="AK617">
            <v>0</v>
          </cell>
          <cell r="AL617">
            <v>0</v>
          </cell>
          <cell r="AM617">
            <v>5.7199999999999989</v>
          </cell>
          <cell r="AN617">
            <v>0</v>
          </cell>
          <cell r="AO617">
            <v>2.8599999999999994</v>
          </cell>
          <cell r="AP617">
            <v>0</v>
          </cell>
          <cell r="AQ617">
            <v>2.8599999999999994</v>
          </cell>
          <cell r="AR617" t="str">
            <v>US_24427</v>
          </cell>
          <cell r="AS617">
            <v>0</v>
          </cell>
          <cell r="AT617">
            <v>155</v>
          </cell>
          <cell r="AU617">
            <v>155</v>
          </cell>
          <cell r="AV617">
            <v>0</v>
          </cell>
          <cell r="AW617">
            <v>443.2999999999999</v>
          </cell>
          <cell r="AX617">
            <v>443.2999999999999</v>
          </cell>
          <cell r="AY617">
            <v>443.2999999999999</v>
          </cell>
          <cell r="AZ617">
            <v>50</v>
          </cell>
          <cell r="BA617">
            <v>4.5759999999999987</v>
          </cell>
          <cell r="BB617">
            <v>709.27999999999986</v>
          </cell>
          <cell r="BD617">
            <v>443.2999999999999</v>
          </cell>
          <cell r="BF617">
            <v>443.2999999999999</v>
          </cell>
          <cell r="BG617">
            <v>5890</v>
          </cell>
          <cell r="BH617">
            <v>5713.3</v>
          </cell>
          <cell r="BI617">
            <v>5270</v>
          </cell>
          <cell r="BJ617">
            <v>0</v>
          </cell>
          <cell r="BK617">
            <v>0</v>
          </cell>
          <cell r="BL617">
            <v>0</v>
          </cell>
          <cell r="BM617">
            <v>5270</v>
          </cell>
          <cell r="BN617">
            <v>0</v>
          </cell>
          <cell r="BO617">
            <v>443.30000000000018</v>
          </cell>
          <cell r="BP617" t="str">
            <v>Y</v>
          </cell>
          <cell r="BQ617">
            <v>1</v>
          </cell>
          <cell r="BR617" t="str">
            <v>Y</v>
          </cell>
          <cell r="BS617">
            <v>709.27999999999986</v>
          </cell>
          <cell r="BT617" t="str">
            <v>Done</v>
          </cell>
          <cell r="BU617">
            <v>155</v>
          </cell>
          <cell r="BV617">
            <v>2024</v>
          </cell>
        </row>
        <row r="618">
          <cell r="A618" t="str">
            <v>Chennai</v>
          </cell>
          <cell r="B618" t="str">
            <v>Chennai</v>
          </cell>
          <cell r="C618" t="str">
            <v>Mid Level</v>
          </cell>
          <cell r="D618" t="str">
            <v>Vinoth L</v>
          </cell>
          <cell r="E618" t="str">
            <v>Akbar Ibrahim</v>
          </cell>
          <cell r="F618" t="str">
            <v>Vinoth L</v>
          </cell>
          <cell r="H618" t="str">
            <v>Dinesh Kumar Veluchamy</v>
          </cell>
          <cell r="K618">
            <v>0</v>
          </cell>
          <cell r="L618" t="str">
            <v>Old</v>
          </cell>
          <cell r="M618">
            <v>45365</v>
          </cell>
          <cell r="N618">
            <v>1</v>
          </cell>
          <cell r="O618">
            <v>681</v>
          </cell>
          <cell r="P618" t="str">
            <v>-</v>
          </cell>
          <cell r="Q618">
            <v>45730</v>
          </cell>
          <cell r="R618" t="str">
            <v>PLC-3639</v>
          </cell>
          <cell r="S618" t="str">
            <v>Sri Sai Charan Kalluri</v>
          </cell>
          <cell r="T618" t="str">
            <v>Split</v>
          </cell>
          <cell r="U618" t="str">
            <v>C2C</v>
          </cell>
          <cell r="V618" t="str">
            <v>LTIMindtree</v>
          </cell>
          <cell r="W618">
            <v>68</v>
          </cell>
          <cell r="X618">
            <v>0</v>
          </cell>
          <cell r="Y618" t="str">
            <v>USD</v>
          </cell>
          <cell r="Z618">
            <v>76</v>
          </cell>
          <cell r="AA618">
            <v>0</v>
          </cell>
          <cell r="AB618">
            <v>0</v>
          </cell>
          <cell r="AC618">
            <v>0</v>
          </cell>
          <cell r="AD618">
            <v>45703</v>
          </cell>
          <cell r="AE618">
            <v>20</v>
          </cell>
          <cell r="AF618">
            <v>46022</v>
          </cell>
          <cell r="AG618">
            <v>68</v>
          </cell>
          <cell r="AH618">
            <v>0</v>
          </cell>
          <cell r="AI618">
            <v>68</v>
          </cell>
          <cell r="AJ618">
            <v>73.72</v>
          </cell>
          <cell r="AK618">
            <v>0</v>
          </cell>
          <cell r="AL618">
            <v>0</v>
          </cell>
          <cell r="AM618">
            <v>5.7199999999999989</v>
          </cell>
          <cell r="AN618">
            <v>0</v>
          </cell>
          <cell r="AO618">
            <v>2.8599999999999994</v>
          </cell>
          <cell r="AP618">
            <v>0</v>
          </cell>
          <cell r="AQ618">
            <v>2.8599999999999994</v>
          </cell>
          <cell r="AR618" t="str">
            <v>US_24427</v>
          </cell>
          <cell r="AS618">
            <v>0</v>
          </cell>
          <cell r="AT618">
            <v>155</v>
          </cell>
          <cell r="AU618">
            <v>155</v>
          </cell>
          <cell r="AV618">
            <v>0</v>
          </cell>
          <cell r="AW618">
            <v>443.2999999999999</v>
          </cell>
          <cell r="AX618">
            <v>443.2999999999999</v>
          </cell>
          <cell r="AY618">
            <v>443.2999999999999</v>
          </cell>
          <cell r="AZ618">
            <v>50</v>
          </cell>
          <cell r="BA618">
            <v>4.5759999999999987</v>
          </cell>
          <cell r="BB618">
            <v>709.27999999999986</v>
          </cell>
          <cell r="BC618">
            <v>53.225806451612897</v>
          </cell>
          <cell r="BD618">
            <v>443.2999999999999</v>
          </cell>
          <cell r="BE618">
            <v>354.63999999999993</v>
          </cell>
          <cell r="BF618">
            <v>443.2999999999999</v>
          </cell>
          <cell r="BG618">
            <v>5890</v>
          </cell>
          <cell r="BH618">
            <v>5713.3</v>
          </cell>
          <cell r="BI618">
            <v>5270</v>
          </cell>
          <cell r="BJ618">
            <v>0</v>
          </cell>
          <cell r="BK618">
            <v>0</v>
          </cell>
          <cell r="BL618">
            <v>0</v>
          </cell>
          <cell r="BM618">
            <v>5270</v>
          </cell>
          <cell r="BN618">
            <v>0</v>
          </cell>
          <cell r="BO618">
            <v>443.30000000000018</v>
          </cell>
          <cell r="BP618" t="str">
            <v>Y</v>
          </cell>
          <cell r="BQ618">
            <v>1</v>
          </cell>
          <cell r="BR618" t="str">
            <v>Y</v>
          </cell>
          <cell r="BS618">
            <v>709.27999999999986</v>
          </cell>
          <cell r="BT618" t="str">
            <v>Done</v>
          </cell>
          <cell r="BU618">
            <v>155</v>
          </cell>
          <cell r="BV618">
            <v>2024</v>
          </cell>
        </row>
        <row r="619">
          <cell r="A619" t="str">
            <v>Chennai</v>
          </cell>
          <cell r="B619" t="str">
            <v>Chennai</v>
          </cell>
          <cell r="C619" t="str">
            <v>Mid Level</v>
          </cell>
          <cell r="D619" t="str">
            <v>Akbar Ibrahim</v>
          </cell>
          <cell r="E619" t="str">
            <v>Vinoth L</v>
          </cell>
          <cell r="H619" t="str">
            <v>Dinesh Kumar Veluchamy</v>
          </cell>
          <cell r="K619">
            <v>0</v>
          </cell>
          <cell r="L619" t="str">
            <v>Old</v>
          </cell>
          <cell r="M619">
            <v>45365</v>
          </cell>
          <cell r="N619">
            <v>1</v>
          </cell>
          <cell r="O619">
            <v>681</v>
          </cell>
          <cell r="P619" t="str">
            <v>-</v>
          </cell>
          <cell r="Q619">
            <v>45730</v>
          </cell>
          <cell r="R619" t="str">
            <v>PLC-3639</v>
          </cell>
          <cell r="S619" t="str">
            <v>Sri Sai Charan Kalluri</v>
          </cell>
          <cell r="T619" t="str">
            <v>Split</v>
          </cell>
          <cell r="U619" t="str">
            <v>C2C</v>
          </cell>
          <cell r="V619" t="str">
            <v>LTIMindtree</v>
          </cell>
          <cell r="W619">
            <v>68</v>
          </cell>
          <cell r="X619">
            <v>0</v>
          </cell>
          <cell r="Y619" t="str">
            <v>USD</v>
          </cell>
          <cell r="Z619">
            <v>76</v>
          </cell>
          <cell r="AA619">
            <v>0</v>
          </cell>
          <cell r="AB619">
            <v>0</v>
          </cell>
          <cell r="AC619">
            <v>0</v>
          </cell>
          <cell r="AD619">
            <v>45731</v>
          </cell>
          <cell r="AE619">
            <v>21</v>
          </cell>
          <cell r="AF619">
            <v>46022</v>
          </cell>
          <cell r="AG619">
            <v>68</v>
          </cell>
          <cell r="AH619">
            <v>0</v>
          </cell>
          <cell r="AI619">
            <v>68</v>
          </cell>
          <cell r="AJ619">
            <v>73.72</v>
          </cell>
          <cell r="AK619">
            <v>0</v>
          </cell>
          <cell r="AL619">
            <v>0</v>
          </cell>
          <cell r="AM619">
            <v>5.7199999999999989</v>
          </cell>
          <cell r="AN619">
            <v>0</v>
          </cell>
          <cell r="AO619">
            <v>2.8599999999999994</v>
          </cell>
          <cell r="AP619">
            <v>0</v>
          </cell>
          <cell r="AQ619">
            <v>2.8599999999999994</v>
          </cell>
          <cell r="AR619" t="str">
            <v>US_24619</v>
          </cell>
          <cell r="AS619">
            <v>0</v>
          </cell>
          <cell r="AT619">
            <v>176</v>
          </cell>
          <cell r="AU619">
            <v>176</v>
          </cell>
          <cell r="AV619">
            <v>0</v>
          </cell>
          <cell r="AW619">
            <v>503.3599999999999</v>
          </cell>
          <cell r="AX619">
            <v>503.3599999999999</v>
          </cell>
          <cell r="AY619">
            <v>503.3599999999999</v>
          </cell>
          <cell r="AZ619">
            <v>50</v>
          </cell>
          <cell r="BA619">
            <v>4.5759999999999987</v>
          </cell>
          <cell r="BB619">
            <v>0</v>
          </cell>
          <cell r="BD619">
            <v>0</v>
          </cell>
          <cell r="BF619">
            <v>0</v>
          </cell>
          <cell r="BG619">
            <v>6688</v>
          </cell>
          <cell r="BH619">
            <v>6487.36</v>
          </cell>
          <cell r="BI619">
            <v>5984</v>
          </cell>
          <cell r="BJ619">
            <v>0</v>
          </cell>
          <cell r="BK619">
            <v>0</v>
          </cell>
          <cell r="BL619">
            <v>0</v>
          </cell>
          <cell r="BM619">
            <v>5984</v>
          </cell>
          <cell r="BN619">
            <v>0</v>
          </cell>
          <cell r="BO619">
            <v>503.35999999999967</v>
          </cell>
          <cell r="BP619" t="str">
            <v>Y</v>
          </cell>
          <cell r="BQ619">
            <v>1</v>
          </cell>
          <cell r="BR619" t="str">
            <v>Y</v>
          </cell>
          <cell r="BS619">
            <v>0</v>
          </cell>
          <cell r="BT619" t="str">
            <v>Done</v>
          </cell>
          <cell r="BU619">
            <v>176</v>
          </cell>
          <cell r="BV619">
            <v>2024</v>
          </cell>
        </row>
        <row r="620">
          <cell r="A620" t="str">
            <v>Chennai</v>
          </cell>
          <cell r="B620" t="str">
            <v>Chennai</v>
          </cell>
          <cell r="C620" t="str">
            <v>Mid Level</v>
          </cell>
          <cell r="D620" t="str">
            <v>Vinoth L</v>
          </cell>
          <cell r="E620" t="str">
            <v>Akbar Ibrahim</v>
          </cell>
          <cell r="F620" t="str">
            <v>Vinoth L</v>
          </cell>
          <cell r="H620" t="str">
            <v>Dinesh Kumar Veluchamy</v>
          </cell>
          <cell r="K620">
            <v>0</v>
          </cell>
          <cell r="L620" t="str">
            <v>Old</v>
          </cell>
          <cell r="M620">
            <v>45365</v>
          </cell>
          <cell r="N620">
            <v>1</v>
          </cell>
          <cell r="O620">
            <v>681</v>
          </cell>
          <cell r="P620" t="str">
            <v>-</v>
          </cell>
          <cell r="Q620">
            <v>45730</v>
          </cell>
          <cell r="R620" t="str">
            <v>PLC-3639</v>
          </cell>
          <cell r="S620" t="str">
            <v>Sri Sai Charan Kalluri</v>
          </cell>
          <cell r="T620" t="str">
            <v>Split</v>
          </cell>
          <cell r="U620" t="str">
            <v>C2C</v>
          </cell>
          <cell r="V620" t="str">
            <v>LTIMindtree</v>
          </cell>
          <cell r="W620">
            <v>68</v>
          </cell>
          <cell r="X620">
            <v>0</v>
          </cell>
          <cell r="Y620" t="str">
            <v>USD</v>
          </cell>
          <cell r="Z620">
            <v>76</v>
          </cell>
          <cell r="AA620">
            <v>0</v>
          </cell>
          <cell r="AB620">
            <v>0</v>
          </cell>
          <cell r="AC620">
            <v>0</v>
          </cell>
          <cell r="AD620">
            <v>45731</v>
          </cell>
          <cell r="AE620">
            <v>21</v>
          </cell>
          <cell r="AF620">
            <v>46022</v>
          </cell>
          <cell r="AG620">
            <v>68</v>
          </cell>
          <cell r="AH620">
            <v>0</v>
          </cell>
          <cell r="AI620">
            <v>68</v>
          </cell>
          <cell r="AJ620">
            <v>73.72</v>
          </cell>
          <cell r="AK620">
            <v>0</v>
          </cell>
          <cell r="AL620">
            <v>0</v>
          </cell>
          <cell r="AM620">
            <v>5.7199999999999989</v>
          </cell>
          <cell r="AN620">
            <v>0</v>
          </cell>
          <cell r="AO620">
            <v>2.8599999999999994</v>
          </cell>
          <cell r="AP620">
            <v>0</v>
          </cell>
          <cell r="AQ620">
            <v>2.8599999999999994</v>
          </cell>
          <cell r="AR620" t="str">
            <v>US_24619</v>
          </cell>
          <cell r="AS620">
            <v>0</v>
          </cell>
          <cell r="AT620">
            <v>176</v>
          </cell>
          <cell r="AU620">
            <v>176</v>
          </cell>
          <cell r="AV620">
            <v>0</v>
          </cell>
          <cell r="AW620">
            <v>503.3599999999999</v>
          </cell>
          <cell r="AX620">
            <v>503.3599999999999</v>
          </cell>
          <cell r="AY620">
            <v>503.3599999999999</v>
          </cell>
          <cell r="AZ620">
            <v>50</v>
          </cell>
          <cell r="BA620">
            <v>4.5759999999999987</v>
          </cell>
          <cell r="BB620">
            <v>0</v>
          </cell>
          <cell r="BC620">
            <v>53.225806451612897</v>
          </cell>
          <cell r="BD620">
            <v>0</v>
          </cell>
          <cell r="BE620">
            <v>0</v>
          </cell>
          <cell r="BF620">
            <v>0</v>
          </cell>
          <cell r="BG620">
            <v>6688</v>
          </cell>
          <cell r="BH620">
            <v>6487.36</v>
          </cell>
          <cell r="BI620">
            <v>5984</v>
          </cell>
          <cell r="BJ620">
            <v>0</v>
          </cell>
          <cell r="BK620">
            <v>0</v>
          </cell>
          <cell r="BL620">
            <v>0</v>
          </cell>
          <cell r="BM620">
            <v>5984</v>
          </cell>
          <cell r="BN620">
            <v>0</v>
          </cell>
          <cell r="BO620">
            <v>503.35999999999967</v>
          </cell>
          <cell r="BP620" t="str">
            <v>Y</v>
          </cell>
          <cell r="BQ620">
            <v>1</v>
          </cell>
          <cell r="BR620" t="str">
            <v>Y</v>
          </cell>
          <cell r="BS620">
            <v>0</v>
          </cell>
          <cell r="BT620" t="str">
            <v>Done</v>
          </cell>
          <cell r="BU620">
            <v>176</v>
          </cell>
          <cell r="BV620">
            <v>2024</v>
          </cell>
        </row>
        <row r="621">
          <cell r="A621" t="str">
            <v>Chennai</v>
          </cell>
          <cell r="B621" t="str">
            <v>Chennai</v>
          </cell>
          <cell r="C621" t="str">
            <v>Mid Level</v>
          </cell>
          <cell r="D621" t="str">
            <v>Akbar Ibrahim</v>
          </cell>
          <cell r="E621" t="str">
            <v>Vinoth L</v>
          </cell>
          <cell r="H621" t="str">
            <v>Dinesh Kumar Veluchamy</v>
          </cell>
          <cell r="K621">
            <v>0</v>
          </cell>
          <cell r="L621" t="str">
            <v>Old</v>
          </cell>
          <cell r="M621">
            <v>45365</v>
          </cell>
          <cell r="N621">
            <v>1</v>
          </cell>
          <cell r="O621">
            <v>681</v>
          </cell>
          <cell r="P621" t="str">
            <v>-</v>
          </cell>
          <cell r="Q621">
            <v>45730</v>
          </cell>
          <cell r="R621" t="str">
            <v>PLC-3639</v>
          </cell>
          <cell r="S621" t="str">
            <v>Sri Sai Charan Kalluri</v>
          </cell>
          <cell r="T621" t="str">
            <v>Split</v>
          </cell>
          <cell r="U621" t="str">
            <v>C2C</v>
          </cell>
          <cell r="V621" t="str">
            <v>LTIMindtree</v>
          </cell>
          <cell r="W621">
            <v>68</v>
          </cell>
          <cell r="X621">
            <v>0</v>
          </cell>
          <cell r="Y621" t="str">
            <v>USD</v>
          </cell>
          <cell r="Z621">
            <v>76</v>
          </cell>
          <cell r="AA621">
            <v>0</v>
          </cell>
          <cell r="AB621">
            <v>0</v>
          </cell>
          <cell r="AC621">
            <v>0</v>
          </cell>
          <cell r="AD621">
            <v>45762</v>
          </cell>
          <cell r="AE621">
            <v>22</v>
          </cell>
          <cell r="AF621">
            <v>46022</v>
          </cell>
          <cell r="AG621">
            <v>68</v>
          </cell>
          <cell r="AH621">
            <v>0</v>
          </cell>
          <cell r="AI621">
            <v>68</v>
          </cell>
          <cell r="AJ621">
            <v>73.72</v>
          </cell>
          <cell r="AK621">
            <v>0</v>
          </cell>
          <cell r="AL621">
            <v>0</v>
          </cell>
          <cell r="AM621">
            <v>5.7199999999999989</v>
          </cell>
          <cell r="AN621">
            <v>0</v>
          </cell>
          <cell r="AO621">
            <v>2.8599999999999994</v>
          </cell>
          <cell r="AP621">
            <v>0</v>
          </cell>
          <cell r="AQ621">
            <v>2.8599999999999994</v>
          </cell>
          <cell r="AR621" t="str">
            <v>US_24828</v>
          </cell>
          <cell r="AS621">
            <v>0</v>
          </cell>
          <cell r="AT621">
            <v>176</v>
          </cell>
          <cell r="AU621">
            <v>176</v>
          </cell>
          <cell r="AV621">
            <v>0</v>
          </cell>
          <cell r="AW621">
            <v>503.3599999999999</v>
          </cell>
          <cell r="AX621">
            <v>503.3599999999999</v>
          </cell>
          <cell r="AY621">
            <v>503.3599999999999</v>
          </cell>
          <cell r="AZ621">
            <v>50</v>
          </cell>
          <cell r="BA621">
            <v>4.5759999999999987</v>
          </cell>
          <cell r="BB621">
            <v>0</v>
          </cell>
          <cell r="BD621">
            <v>0</v>
          </cell>
          <cell r="BF621">
            <v>0</v>
          </cell>
          <cell r="BG621">
            <v>6688</v>
          </cell>
          <cell r="BH621">
            <v>6487.36</v>
          </cell>
          <cell r="BI621">
            <v>5984</v>
          </cell>
          <cell r="BJ621">
            <v>0</v>
          </cell>
          <cell r="BK621">
            <v>0</v>
          </cell>
          <cell r="BL621">
            <v>0</v>
          </cell>
          <cell r="BM621">
            <v>5984</v>
          </cell>
          <cell r="BN621">
            <v>0</v>
          </cell>
          <cell r="BO621">
            <v>503.35999999999967</v>
          </cell>
          <cell r="BP621" t="str">
            <v>Y</v>
          </cell>
          <cell r="BQ621">
            <v>2</v>
          </cell>
          <cell r="BR621" t="str">
            <v>Y</v>
          </cell>
          <cell r="BS621">
            <v>0</v>
          </cell>
          <cell r="BT621" t="str">
            <v>Done</v>
          </cell>
          <cell r="BU621">
            <v>176</v>
          </cell>
          <cell r="BV621">
            <v>2024</v>
          </cell>
        </row>
        <row r="622">
          <cell r="A622" t="str">
            <v>Chennai</v>
          </cell>
          <cell r="B622" t="str">
            <v>Chennai</v>
          </cell>
          <cell r="C622" t="str">
            <v>Mid Level</v>
          </cell>
          <cell r="D622" t="str">
            <v>Vinoth L</v>
          </cell>
          <cell r="E622" t="str">
            <v>Akbar Ibrahim</v>
          </cell>
          <cell r="F622" t="str">
            <v>Vinoth L</v>
          </cell>
          <cell r="H622" t="str">
            <v>Dinesh Kumar Veluchamy</v>
          </cell>
          <cell r="K622">
            <v>0</v>
          </cell>
          <cell r="L622" t="str">
            <v>Old</v>
          </cell>
          <cell r="M622">
            <v>45365</v>
          </cell>
          <cell r="N622">
            <v>1</v>
          </cell>
          <cell r="O622">
            <v>681</v>
          </cell>
          <cell r="P622" t="str">
            <v>-</v>
          </cell>
          <cell r="Q622">
            <v>45730</v>
          </cell>
          <cell r="R622" t="str">
            <v>PLC-3639</v>
          </cell>
          <cell r="S622" t="str">
            <v>Sri Sai Charan Kalluri</v>
          </cell>
          <cell r="T622" t="str">
            <v>Split</v>
          </cell>
          <cell r="U622" t="str">
            <v>C2C</v>
          </cell>
          <cell r="V622" t="str">
            <v>LTIMindtree</v>
          </cell>
          <cell r="W622">
            <v>68</v>
          </cell>
          <cell r="X622">
            <v>0</v>
          </cell>
          <cell r="Y622" t="str">
            <v>USD</v>
          </cell>
          <cell r="Z622">
            <v>76</v>
          </cell>
          <cell r="AA622">
            <v>0</v>
          </cell>
          <cell r="AB622">
            <v>0</v>
          </cell>
          <cell r="AC622">
            <v>0</v>
          </cell>
          <cell r="AD622">
            <v>45762</v>
          </cell>
          <cell r="AE622">
            <v>22</v>
          </cell>
          <cell r="AF622">
            <v>46022</v>
          </cell>
          <cell r="AG622">
            <v>68</v>
          </cell>
          <cell r="AH622">
            <v>0</v>
          </cell>
          <cell r="AI622">
            <v>68</v>
          </cell>
          <cell r="AJ622">
            <v>73.72</v>
          </cell>
          <cell r="AK622">
            <v>0</v>
          </cell>
          <cell r="AL622">
            <v>0</v>
          </cell>
          <cell r="AM622">
            <v>5.7199999999999989</v>
          </cell>
          <cell r="AN622">
            <v>0</v>
          </cell>
          <cell r="AO622">
            <v>2.8599999999999994</v>
          </cell>
          <cell r="AP622">
            <v>0</v>
          </cell>
          <cell r="AQ622">
            <v>2.8599999999999994</v>
          </cell>
          <cell r="AR622" t="str">
            <v>US_24828</v>
          </cell>
          <cell r="AS622">
            <v>0</v>
          </cell>
          <cell r="AT622">
            <v>176</v>
          </cell>
          <cell r="AU622">
            <v>176</v>
          </cell>
          <cell r="AV622">
            <v>0</v>
          </cell>
          <cell r="AW622">
            <v>503.3599999999999</v>
          </cell>
          <cell r="AX622">
            <v>503.3599999999999</v>
          </cell>
          <cell r="AY622">
            <v>503.3599999999999</v>
          </cell>
          <cell r="AZ622">
            <v>50</v>
          </cell>
          <cell r="BA622">
            <v>4.5759999999999987</v>
          </cell>
          <cell r="BB622">
            <v>0</v>
          </cell>
          <cell r="BC622">
            <v>53.225806451612897</v>
          </cell>
          <cell r="BD622">
            <v>0</v>
          </cell>
          <cell r="BE622">
            <v>0</v>
          </cell>
          <cell r="BF622">
            <v>0</v>
          </cell>
          <cell r="BG622">
            <v>6688</v>
          </cell>
          <cell r="BH622">
            <v>6487.36</v>
          </cell>
          <cell r="BI622">
            <v>5984</v>
          </cell>
          <cell r="BJ622">
            <v>0</v>
          </cell>
          <cell r="BK622">
            <v>0</v>
          </cell>
          <cell r="BL622">
            <v>0</v>
          </cell>
          <cell r="BM622">
            <v>5984</v>
          </cell>
          <cell r="BN622">
            <v>0</v>
          </cell>
          <cell r="BO622">
            <v>503.35999999999967</v>
          </cell>
          <cell r="BP622" t="str">
            <v>Y</v>
          </cell>
          <cell r="BQ622">
            <v>2</v>
          </cell>
          <cell r="BR622" t="str">
            <v>Y</v>
          </cell>
          <cell r="BS622">
            <v>0</v>
          </cell>
          <cell r="BT622" t="str">
            <v>Done</v>
          </cell>
          <cell r="BU622">
            <v>176</v>
          </cell>
          <cell r="BV622">
            <v>2024</v>
          </cell>
        </row>
        <row r="623">
          <cell r="A623" t="str">
            <v>Lucknow</v>
          </cell>
          <cell r="B623" t="str">
            <v>Titans</v>
          </cell>
          <cell r="C623" t="str">
            <v>Mid Level</v>
          </cell>
          <cell r="D623" t="str">
            <v>Nitin Saxena</v>
          </cell>
          <cell r="E623" t="str">
            <v>Nitin Saxena</v>
          </cell>
          <cell r="H623" t="str">
            <v>Samad Quraishi</v>
          </cell>
          <cell r="J623" t="str">
            <v>ACH</v>
          </cell>
          <cell r="K623">
            <v>0</v>
          </cell>
          <cell r="L623" t="str">
            <v>Old</v>
          </cell>
          <cell r="M623">
            <v>45365</v>
          </cell>
          <cell r="N623">
            <v>1</v>
          </cell>
          <cell r="O623">
            <v>681</v>
          </cell>
          <cell r="P623">
            <v>45768</v>
          </cell>
          <cell r="Q623">
            <v>45730</v>
          </cell>
          <cell r="R623" t="str">
            <v>PLC-3674</v>
          </cell>
          <cell r="S623" t="str">
            <v>Sri Vardhani Jammalamadaka</v>
          </cell>
          <cell r="T623" t="str">
            <v>Individual</v>
          </cell>
          <cell r="U623">
            <v>1099</v>
          </cell>
          <cell r="V623" t="str">
            <v>Genpact</v>
          </cell>
          <cell r="W623">
            <v>20</v>
          </cell>
          <cell r="X623">
            <v>30</v>
          </cell>
          <cell r="Y623" t="str">
            <v>USD</v>
          </cell>
          <cell r="Z623">
            <v>28</v>
          </cell>
          <cell r="AA623">
            <v>42</v>
          </cell>
          <cell r="AB623">
            <v>0</v>
          </cell>
          <cell r="AC623">
            <v>0</v>
          </cell>
          <cell r="AD623">
            <v>45672</v>
          </cell>
          <cell r="AE623">
            <v>22</v>
          </cell>
          <cell r="AF623">
            <v>46022</v>
          </cell>
          <cell r="AG623">
            <v>21.400000000000002</v>
          </cell>
          <cell r="AH623">
            <v>32.1</v>
          </cell>
          <cell r="AI623">
            <v>21.400000000000002</v>
          </cell>
          <cell r="AJ623">
            <v>28</v>
          </cell>
          <cell r="AK623">
            <v>42</v>
          </cell>
          <cell r="AL623">
            <v>9.8999999999999986</v>
          </cell>
          <cell r="AM623">
            <v>6.5999999999999979</v>
          </cell>
          <cell r="AN623">
            <v>9.8999999999999986</v>
          </cell>
          <cell r="AO623">
            <v>6.5999999999999979</v>
          </cell>
          <cell r="AP623">
            <v>9.8999999999999986</v>
          </cell>
          <cell r="AQ623">
            <v>6.5999999999999979</v>
          </cell>
          <cell r="AR623" t="str">
            <v>US_24217</v>
          </cell>
          <cell r="AS623">
            <v>15</v>
          </cell>
          <cell r="AT623">
            <v>170</v>
          </cell>
          <cell r="AU623">
            <v>170</v>
          </cell>
          <cell r="AV623">
            <v>148.49999999999997</v>
          </cell>
          <cell r="AW623">
            <v>1121.9999999999995</v>
          </cell>
          <cell r="AX623">
            <v>1257.7949999999996</v>
          </cell>
          <cell r="AY623">
            <v>1121.9999999999995</v>
          </cell>
          <cell r="AZ623">
            <v>100</v>
          </cell>
          <cell r="BA623">
            <v>22.439999999999991</v>
          </cell>
          <cell r="BB623">
            <v>3814.7999999999984</v>
          </cell>
          <cell r="BC623">
            <v>63</v>
          </cell>
          <cell r="BD623">
            <v>1121.9999999999995</v>
          </cell>
          <cell r="BE623">
            <v>1346.3999999999994</v>
          </cell>
          <cell r="BF623">
            <v>1257.7949999999996</v>
          </cell>
          <cell r="BG623">
            <v>4760</v>
          </cell>
          <cell r="BH623">
            <v>4760</v>
          </cell>
          <cell r="BI623">
            <v>3400</v>
          </cell>
          <cell r="BJ623">
            <v>1.4000000000000001</v>
          </cell>
          <cell r="BK623">
            <v>0</v>
          </cell>
          <cell r="BL623">
            <v>238.00000000000003</v>
          </cell>
          <cell r="BM623">
            <v>3638</v>
          </cell>
          <cell r="BN623">
            <v>1.4000000000000001</v>
          </cell>
          <cell r="BO623">
            <v>1122</v>
          </cell>
          <cell r="BP623" t="str">
            <v>Y</v>
          </cell>
          <cell r="BQ623">
            <v>1</v>
          </cell>
          <cell r="BR623" t="str">
            <v>Y</v>
          </cell>
          <cell r="BS623">
            <v>3814.7999999999984</v>
          </cell>
          <cell r="BT623" t="str">
            <v>Done</v>
          </cell>
          <cell r="BU623">
            <v>170</v>
          </cell>
          <cell r="BV623">
            <v>2024</v>
          </cell>
        </row>
        <row r="624">
          <cell r="A624" t="str">
            <v>Lucknow</v>
          </cell>
          <cell r="B624" t="str">
            <v>Titans</v>
          </cell>
          <cell r="C624" t="str">
            <v>Mid Level</v>
          </cell>
          <cell r="D624" t="str">
            <v>Nitin Saxena</v>
          </cell>
          <cell r="E624" t="str">
            <v>Nitin Saxena</v>
          </cell>
          <cell r="H624" t="str">
            <v>Samad Quraishi</v>
          </cell>
          <cell r="J624" t="str">
            <v>ACH</v>
          </cell>
          <cell r="K624">
            <v>0</v>
          </cell>
          <cell r="L624" t="str">
            <v>Old</v>
          </cell>
          <cell r="M624">
            <v>45365</v>
          </cell>
          <cell r="N624">
            <v>1</v>
          </cell>
          <cell r="O624">
            <v>681</v>
          </cell>
          <cell r="P624">
            <v>45768</v>
          </cell>
          <cell r="Q624">
            <v>45730</v>
          </cell>
          <cell r="R624" t="str">
            <v>PLC-3674</v>
          </cell>
          <cell r="S624" t="str">
            <v>Sri Vardhani Jammalamadaka</v>
          </cell>
          <cell r="T624" t="str">
            <v>Individual</v>
          </cell>
          <cell r="U624">
            <v>1099</v>
          </cell>
          <cell r="V624" t="str">
            <v>Genpact</v>
          </cell>
          <cell r="W624">
            <v>20</v>
          </cell>
          <cell r="X624">
            <v>30</v>
          </cell>
          <cell r="Y624" t="str">
            <v>USD</v>
          </cell>
          <cell r="Z624">
            <v>28</v>
          </cell>
          <cell r="AA624">
            <v>42</v>
          </cell>
          <cell r="AB624">
            <v>0</v>
          </cell>
          <cell r="AC624">
            <v>0</v>
          </cell>
          <cell r="AD624">
            <v>45703</v>
          </cell>
          <cell r="AE624">
            <v>20</v>
          </cell>
          <cell r="AF624">
            <v>46022</v>
          </cell>
          <cell r="AG624">
            <v>21.400000000000002</v>
          </cell>
          <cell r="AH624">
            <v>32.1</v>
          </cell>
          <cell r="AI624">
            <v>21.400000000000002</v>
          </cell>
          <cell r="AJ624">
            <v>28</v>
          </cell>
          <cell r="AK624">
            <v>42</v>
          </cell>
          <cell r="AL624">
            <v>9.8999999999999986</v>
          </cell>
          <cell r="AM624">
            <v>6.5999999999999979</v>
          </cell>
          <cell r="AN624">
            <v>9.8999999999999986</v>
          </cell>
          <cell r="AO624">
            <v>6.5999999999999979</v>
          </cell>
          <cell r="AP624">
            <v>9.8999999999999986</v>
          </cell>
          <cell r="AQ624">
            <v>6.5999999999999979</v>
          </cell>
          <cell r="AR624" t="str">
            <v>US_24424</v>
          </cell>
          <cell r="AS624">
            <v>20</v>
          </cell>
          <cell r="AT624">
            <v>150</v>
          </cell>
          <cell r="AU624">
            <v>150</v>
          </cell>
          <cell r="AV624">
            <v>197.99999999999997</v>
          </cell>
          <cell r="AW624">
            <v>989.99999999999966</v>
          </cell>
          <cell r="AX624">
            <v>1176.1199999999994</v>
          </cell>
          <cell r="AY624">
            <v>989.99999999999966</v>
          </cell>
          <cell r="AZ624">
            <v>100</v>
          </cell>
          <cell r="BA624">
            <v>22.439999999999991</v>
          </cell>
          <cell r="BB624">
            <v>3365.9999999999986</v>
          </cell>
          <cell r="BC624">
            <v>63</v>
          </cell>
          <cell r="BD624">
            <v>989.99999999999966</v>
          </cell>
          <cell r="BE624">
            <v>1187.9999999999995</v>
          </cell>
          <cell r="BF624">
            <v>1176.1199999999994</v>
          </cell>
          <cell r="BG624">
            <v>4200</v>
          </cell>
          <cell r="BH624">
            <v>4200</v>
          </cell>
          <cell r="BI624">
            <v>3000</v>
          </cell>
          <cell r="BJ624">
            <v>1.4000000000000001</v>
          </cell>
          <cell r="BK624">
            <v>0</v>
          </cell>
          <cell r="BL624">
            <v>210.00000000000003</v>
          </cell>
          <cell r="BM624">
            <v>3210</v>
          </cell>
          <cell r="BN624">
            <v>1.4000000000000001</v>
          </cell>
          <cell r="BO624">
            <v>990</v>
          </cell>
          <cell r="BP624" t="str">
            <v>Y</v>
          </cell>
          <cell r="BQ624">
            <v>1</v>
          </cell>
          <cell r="BR624" t="str">
            <v>Y</v>
          </cell>
          <cell r="BS624">
            <v>3365.9999999999986</v>
          </cell>
          <cell r="BT624" t="str">
            <v>Done</v>
          </cell>
          <cell r="BU624">
            <v>150</v>
          </cell>
          <cell r="BV624">
            <v>2024</v>
          </cell>
        </row>
        <row r="625">
          <cell r="A625" t="str">
            <v>Lucknow</v>
          </cell>
          <cell r="B625" t="str">
            <v>Titans</v>
          </cell>
          <cell r="C625" t="str">
            <v>Mid Level</v>
          </cell>
          <cell r="D625" t="str">
            <v>Nitin Saxena</v>
          </cell>
          <cell r="E625" t="str">
            <v>Nitin Saxena</v>
          </cell>
          <cell r="H625" t="str">
            <v>Samad Quraishi</v>
          </cell>
          <cell r="J625" t="str">
            <v>ACH</v>
          </cell>
          <cell r="K625">
            <v>0</v>
          </cell>
          <cell r="L625" t="str">
            <v>Old</v>
          </cell>
          <cell r="M625">
            <v>45365</v>
          </cell>
          <cell r="N625">
            <v>1</v>
          </cell>
          <cell r="O625">
            <v>681</v>
          </cell>
          <cell r="P625">
            <v>45768</v>
          </cell>
          <cell r="Q625">
            <v>45730</v>
          </cell>
          <cell r="R625" t="str">
            <v>PLC-3674</v>
          </cell>
          <cell r="S625" t="str">
            <v>Sri Vardhani Jammalamadaka</v>
          </cell>
          <cell r="T625" t="str">
            <v>Individual</v>
          </cell>
          <cell r="U625">
            <v>1099</v>
          </cell>
          <cell r="V625" t="str">
            <v>Genpact</v>
          </cell>
          <cell r="W625">
            <v>20</v>
          </cell>
          <cell r="X625">
            <v>30</v>
          </cell>
          <cell r="Y625" t="str">
            <v>USD</v>
          </cell>
          <cell r="Z625">
            <v>28</v>
          </cell>
          <cell r="AA625">
            <v>42</v>
          </cell>
          <cell r="AB625">
            <v>0</v>
          </cell>
          <cell r="AC625">
            <v>0</v>
          </cell>
          <cell r="AD625">
            <v>45731</v>
          </cell>
          <cell r="AE625">
            <v>21</v>
          </cell>
          <cell r="AF625">
            <v>46022</v>
          </cell>
          <cell r="AG625">
            <v>21.400000000000002</v>
          </cell>
          <cell r="AH625">
            <v>32.1</v>
          </cell>
          <cell r="AI625">
            <v>21.400000000000002</v>
          </cell>
          <cell r="AJ625">
            <v>28</v>
          </cell>
          <cell r="AK625">
            <v>42</v>
          </cell>
          <cell r="AL625">
            <v>9.8999999999999986</v>
          </cell>
          <cell r="AM625">
            <v>6.5999999999999979</v>
          </cell>
          <cell r="AN625">
            <v>9.8999999999999986</v>
          </cell>
          <cell r="AO625">
            <v>6.5999999999999979</v>
          </cell>
          <cell r="AP625">
            <v>9.8999999999999986</v>
          </cell>
          <cell r="AQ625">
            <v>6.5999999999999979</v>
          </cell>
          <cell r="AR625" t="str">
            <v>US_24616</v>
          </cell>
          <cell r="AS625">
            <v>0</v>
          </cell>
          <cell r="AT625">
            <v>147</v>
          </cell>
          <cell r="AU625">
            <v>147</v>
          </cell>
          <cell r="AV625">
            <v>0</v>
          </cell>
          <cell r="AW625">
            <v>970.1999999999997</v>
          </cell>
          <cell r="AX625">
            <v>960.49799999999971</v>
          </cell>
          <cell r="AY625">
            <v>970.1999999999997</v>
          </cell>
          <cell r="AZ625">
            <v>100</v>
          </cell>
          <cell r="BA625">
            <v>22.439999999999991</v>
          </cell>
          <cell r="BB625">
            <v>0</v>
          </cell>
          <cell r="BC625">
            <v>63</v>
          </cell>
          <cell r="BD625">
            <v>0</v>
          </cell>
          <cell r="BE625">
            <v>0</v>
          </cell>
          <cell r="BF625">
            <v>0</v>
          </cell>
          <cell r="BG625">
            <v>4116</v>
          </cell>
          <cell r="BH625">
            <v>4116</v>
          </cell>
          <cell r="BI625">
            <v>2940</v>
          </cell>
          <cell r="BJ625">
            <v>1.4000000000000001</v>
          </cell>
          <cell r="BK625">
            <v>0</v>
          </cell>
          <cell r="BL625">
            <v>205.8</v>
          </cell>
          <cell r="BM625">
            <v>3145.8</v>
          </cell>
          <cell r="BN625">
            <v>1.4000000000000001</v>
          </cell>
          <cell r="BO625">
            <v>970.2</v>
          </cell>
          <cell r="BP625" t="str">
            <v>Y</v>
          </cell>
          <cell r="BQ625">
            <v>1</v>
          </cell>
          <cell r="BR625" t="str">
            <v>Y</v>
          </cell>
          <cell r="BS625">
            <v>0</v>
          </cell>
          <cell r="BT625" t="str">
            <v>Done</v>
          </cell>
          <cell r="BU625">
            <v>147</v>
          </cell>
          <cell r="BV625">
            <v>2024</v>
          </cell>
        </row>
        <row r="626">
          <cell r="A626" t="str">
            <v>Lucknow</v>
          </cell>
          <cell r="B626" t="str">
            <v>Titans</v>
          </cell>
          <cell r="C626" t="str">
            <v>Mid Level</v>
          </cell>
          <cell r="D626" t="str">
            <v>Nitin Saxena</v>
          </cell>
          <cell r="E626" t="str">
            <v>Nitin Saxena</v>
          </cell>
          <cell r="H626" t="str">
            <v>Samad Quraishi</v>
          </cell>
          <cell r="J626" t="str">
            <v>ACH</v>
          </cell>
          <cell r="K626">
            <v>0</v>
          </cell>
          <cell r="L626" t="str">
            <v>Old</v>
          </cell>
          <cell r="M626">
            <v>45365</v>
          </cell>
          <cell r="N626">
            <v>1</v>
          </cell>
          <cell r="O626">
            <v>681</v>
          </cell>
          <cell r="P626">
            <v>45768</v>
          </cell>
          <cell r="Q626">
            <v>45730</v>
          </cell>
          <cell r="R626" t="str">
            <v>PLC-3674</v>
          </cell>
          <cell r="S626" t="str">
            <v>Sri Vardhani Jammalamadaka</v>
          </cell>
          <cell r="T626" t="str">
            <v>Individual</v>
          </cell>
          <cell r="U626">
            <v>1099</v>
          </cell>
          <cell r="V626" t="str">
            <v>Genpact</v>
          </cell>
          <cell r="W626">
            <v>20</v>
          </cell>
          <cell r="X626">
            <v>30</v>
          </cell>
          <cell r="Y626" t="str">
            <v>USD</v>
          </cell>
          <cell r="Z626">
            <v>28</v>
          </cell>
          <cell r="AA626">
            <v>42</v>
          </cell>
          <cell r="AB626">
            <v>0</v>
          </cell>
          <cell r="AC626">
            <v>0</v>
          </cell>
          <cell r="AD626">
            <v>45762</v>
          </cell>
          <cell r="AE626">
            <v>15</v>
          </cell>
          <cell r="AF626">
            <v>46022</v>
          </cell>
          <cell r="AG626">
            <v>21.400000000000002</v>
          </cell>
          <cell r="AH626">
            <v>32.1</v>
          </cell>
          <cell r="AI626">
            <v>21.400000000000002</v>
          </cell>
          <cell r="AJ626">
            <v>28</v>
          </cell>
          <cell r="AK626">
            <v>42</v>
          </cell>
          <cell r="AL626">
            <v>9.8999999999999986</v>
          </cell>
          <cell r="AM626">
            <v>6.5999999999999979</v>
          </cell>
          <cell r="AN626">
            <v>9.8999999999999986</v>
          </cell>
          <cell r="AO626">
            <v>6.5999999999999979</v>
          </cell>
          <cell r="AP626">
            <v>9.8999999999999986</v>
          </cell>
          <cell r="AQ626">
            <v>6.5999999999999979</v>
          </cell>
          <cell r="AR626" t="str">
            <v>US_24827</v>
          </cell>
          <cell r="AS626">
            <v>0</v>
          </cell>
          <cell r="AT626">
            <v>120</v>
          </cell>
          <cell r="AU626">
            <v>120</v>
          </cell>
          <cell r="AV626">
            <v>0</v>
          </cell>
          <cell r="AW626">
            <v>791.99999999999977</v>
          </cell>
          <cell r="AX626">
            <v>784.07999999999981</v>
          </cell>
          <cell r="AY626">
            <v>791.99999999999977</v>
          </cell>
          <cell r="AZ626">
            <v>100</v>
          </cell>
          <cell r="BA626">
            <v>22.439999999999991</v>
          </cell>
          <cell r="BB626">
            <v>0</v>
          </cell>
          <cell r="BC626">
            <v>63</v>
          </cell>
          <cell r="BD626">
            <v>0</v>
          </cell>
          <cell r="BE626">
            <v>0</v>
          </cell>
          <cell r="BF626">
            <v>0</v>
          </cell>
          <cell r="BG626">
            <v>3360</v>
          </cell>
          <cell r="BH626">
            <v>3360</v>
          </cell>
          <cell r="BI626">
            <v>2400</v>
          </cell>
          <cell r="BJ626">
            <v>1.4000000000000001</v>
          </cell>
          <cell r="BK626">
            <v>0</v>
          </cell>
          <cell r="BL626">
            <v>168.00000000000003</v>
          </cell>
          <cell r="BM626">
            <v>2568</v>
          </cell>
          <cell r="BN626">
            <v>1.4000000000000001</v>
          </cell>
          <cell r="BO626">
            <v>792</v>
          </cell>
          <cell r="BP626" t="str">
            <v>Y</v>
          </cell>
          <cell r="BQ626">
            <v>2</v>
          </cell>
          <cell r="BR626" t="str">
            <v>Y</v>
          </cell>
          <cell r="BS626">
            <v>0</v>
          </cell>
          <cell r="BT626" t="str">
            <v>Done</v>
          </cell>
          <cell r="BU626">
            <v>120</v>
          </cell>
          <cell r="BV626">
            <v>2024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Kashif Nabi</v>
          </cell>
          <cell r="E627" t="str">
            <v>-</v>
          </cell>
          <cell r="F627" t="str">
            <v>-</v>
          </cell>
          <cell r="G627" t="str">
            <v>-</v>
          </cell>
          <cell r="H627" t="str">
            <v>Satyajeet Singh</v>
          </cell>
          <cell r="K627" t="str">
            <v>-</v>
          </cell>
          <cell r="L627" t="str">
            <v>New</v>
          </cell>
          <cell r="M627">
            <v>45775</v>
          </cell>
          <cell r="N627">
            <v>2</v>
          </cell>
          <cell r="O627">
            <v>271</v>
          </cell>
          <cell r="P627">
            <v>46009</v>
          </cell>
          <cell r="Q627">
            <v>46140</v>
          </cell>
          <cell r="R627" t="str">
            <v>PLC-4215</v>
          </cell>
          <cell r="S627" t="str">
            <v>Sriharsha Vemulapalli</v>
          </cell>
          <cell r="T627" t="str">
            <v>Individual</v>
          </cell>
          <cell r="U627" t="str">
            <v>C2C</v>
          </cell>
          <cell r="V627" t="str">
            <v>Genpact</v>
          </cell>
          <cell r="W627">
            <v>60</v>
          </cell>
          <cell r="X627">
            <v>0</v>
          </cell>
          <cell r="Y627" t="str">
            <v>CAD</v>
          </cell>
          <cell r="Z627">
            <v>67</v>
          </cell>
          <cell r="AA627">
            <v>0</v>
          </cell>
          <cell r="AB627">
            <v>0</v>
          </cell>
          <cell r="AC627">
            <v>0</v>
          </cell>
          <cell r="AD627">
            <v>45762</v>
          </cell>
          <cell r="AE627">
            <v>3</v>
          </cell>
          <cell r="AF627">
            <v>46022</v>
          </cell>
          <cell r="AG627">
            <v>42.599999999999994</v>
          </cell>
          <cell r="AH627">
            <v>0</v>
          </cell>
          <cell r="AI627">
            <v>42.599999999999994</v>
          </cell>
          <cell r="AJ627">
            <v>47.57</v>
          </cell>
          <cell r="AK627">
            <v>0</v>
          </cell>
          <cell r="AL627">
            <v>0</v>
          </cell>
          <cell r="AM627">
            <v>4.970000000000006</v>
          </cell>
          <cell r="AN627">
            <v>0</v>
          </cell>
          <cell r="AO627">
            <v>4.970000000000006</v>
          </cell>
          <cell r="AP627">
            <v>0</v>
          </cell>
          <cell r="AQ627">
            <v>4.970000000000006</v>
          </cell>
          <cell r="AR627" t="str">
            <v>CAD_1499</v>
          </cell>
          <cell r="AS627">
            <v>0</v>
          </cell>
          <cell r="AT627">
            <v>24</v>
          </cell>
          <cell r="AU627">
            <v>24</v>
          </cell>
          <cell r="AV627">
            <v>0</v>
          </cell>
          <cell r="AW627">
            <v>119.28000000000014</v>
          </cell>
          <cell r="AX627">
            <v>119.28000000000014</v>
          </cell>
          <cell r="AY627">
            <v>119.28000000000014</v>
          </cell>
          <cell r="AZ627">
            <v>0</v>
          </cell>
          <cell r="BA627">
            <v>0</v>
          </cell>
          <cell r="BB627">
            <v>0</v>
          </cell>
          <cell r="BF627">
            <v>119.28000000000014</v>
          </cell>
          <cell r="BG627">
            <v>1608</v>
          </cell>
          <cell r="BH627">
            <v>1141.68</v>
          </cell>
          <cell r="BI627">
            <v>1066.896</v>
          </cell>
          <cell r="BJ627">
            <v>0</v>
          </cell>
          <cell r="BK627">
            <v>0</v>
          </cell>
          <cell r="BL627">
            <v>0</v>
          </cell>
          <cell r="BM627">
            <v>1066.896</v>
          </cell>
          <cell r="BN627">
            <v>0</v>
          </cell>
          <cell r="BO627">
            <v>74.784000000000106</v>
          </cell>
          <cell r="BP627" t="str">
            <v>Y</v>
          </cell>
          <cell r="BQ627">
            <v>2</v>
          </cell>
          <cell r="BR627" t="str">
            <v>Y</v>
          </cell>
          <cell r="BS627">
            <v>0</v>
          </cell>
          <cell r="BT627" t="str">
            <v>Done</v>
          </cell>
          <cell r="BU627">
            <v>24</v>
          </cell>
          <cell r="BV627">
            <v>2025</v>
          </cell>
        </row>
        <row r="628">
          <cell r="A628" t="str">
            <v>Chennai</v>
          </cell>
          <cell r="B628" t="str">
            <v>Chennai</v>
          </cell>
          <cell r="C628" t="str">
            <v>Mid Level</v>
          </cell>
          <cell r="D628" t="str">
            <v>Vinoth L</v>
          </cell>
          <cell r="E628" t="str">
            <v>-</v>
          </cell>
          <cell r="H628" t="str">
            <v>Thirumeninathan.V</v>
          </cell>
          <cell r="K628">
            <v>0</v>
          </cell>
          <cell r="L628" t="str">
            <v>Old</v>
          </cell>
          <cell r="M628">
            <v>45594</v>
          </cell>
          <cell r="N628">
            <v>4</v>
          </cell>
          <cell r="O628">
            <v>452</v>
          </cell>
          <cell r="P628">
            <v>45716</v>
          </cell>
          <cell r="Q628">
            <v>45959</v>
          </cell>
          <cell r="R628" t="str">
            <v>PLC-3654</v>
          </cell>
          <cell r="S628" t="str">
            <v>Srinath Koppula</v>
          </cell>
          <cell r="T628" t="str">
            <v>Individual</v>
          </cell>
          <cell r="U628" t="str">
            <v>C2C</v>
          </cell>
          <cell r="V628" t="str">
            <v>Citius Tech</v>
          </cell>
          <cell r="W628">
            <v>78</v>
          </cell>
          <cell r="X628">
            <v>0</v>
          </cell>
          <cell r="Y628" t="str">
            <v>USD</v>
          </cell>
          <cell r="Z628">
            <v>80</v>
          </cell>
          <cell r="AA628">
            <v>0</v>
          </cell>
          <cell r="AB628">
            <v>0</v>
          </cell>
          <cell r="AC628">
            <v>0</v>
          </cell>
          <cell r="AD628">
            <v>45672</v>
          </cell>
          <cell r="AE628">
            <v>22</v>
          </cell>
          <cell r="AF628">
            <v>46022</v>
          </cell>
          <cell r="AG628">
            <v>78</v>
          </cell>
          <cell r="AH628">
            <v>0</v>
          </cell>
          <cell r="AI628">
            <v>78</v>
          </cell>
          <cell r="AJ628">
            <v>80</v>
          </cell>
          <cell r="AK628">
            <v>0</v>
          </cell>
          <cell r="AL628">
            <v>0</v>
          </cell>
          <cell r="AM628">
            <v>2</v>
          </cell>
          <cell r="AN628">
            <v>0</v>
          </cell>
          <cell r="AO628">
            <v>2</v>
          </cell>
          <cell r="AP628">
            <v>0</v>
          </cell>
          <cell r="AQ628">
            <v>2</v>
          </cell>
          <cell r="AR628" t="str">
            <v>US_24294</v>
          </cell>
          <cell r="AS628">
            <v>0</v>
          </cell>
          <cell r="AT628">
            <v>168</v>
          </cell>
          <cell r="AU628">
            <v>168</v>
          </cell>
          <cell r="AV628">
            <v>0</v>
          </cell>
          <cell r="AW628">
            <v>336</v>
          </cell>
          <cell r="AX628">
            <v>336</v>
          </cell>
          <cell r="AY628">
            <v>336</v>
          </cell>
          <cell r="AZ628">
            <v>0</v>
          </cell>
          <cell r="BA628">
            <v>0</v>
          </cell>
          <cell r="BB628">
            <v>0</v>
          </cell>
          <cell r="BC628">
            <v>53.225806451612897</v>
          </cell>
          <cell r="BD628">
            <v>336</v>
          </cell>
          <cell r="BE628">
            <v>268.8</v>
          </cell>
          <cell r="BF628">
            <v>336</v>
          </cell>
          <cell r="BG628">
            <v>13440</v>
          </cell>
          <cell r="BH628">
            <v>13440</v>
          </cell>
          <cell r="BI628">
            <v>13104</v>
          </cell>
          <cell r="BJ628">
            <v>0</v>
          </cell>
          <cell r="BK628">
            <v>0</v>
          </cell>
          <cell r="BL628">
            <v>0</v>
          </cell>
          <cell r="BM628">
            <v>13104</v>
          </cell>
          <cell r="BN628">
            <v>0</v>
          </cell>
          <cell r="BO628">
            <v>336</v>
          </cell>
          <cell r="BP628" t="str">
            <v>Y</v>
          </cell>
          <cell r="BQ628">
            <v>1</v>
          </cell>
          <cell r="BR628" t="str">
            <v>N</v>
          </cell>
          <cell r="BS628">
            <v>0</v>
          </cell>
          <cell r="BT628" t="str">
            <v>Done</v>
          </cell>
          <cell r="BU628">
            <v>168</v>
          </cell>
          <cell r="BV628">
            <v>2024</v>
          </cell>
        </row>
        <row r="629">
          <cell r="A629" t="str">
            <v>Chennai</v>
          </cell>
          <cell r="B629" t="str">
            <v>Chennai</v>
          </cell>
          <cell r="C629" t="str">
            <v>Mid Level</v>
          </cell>
          <cell r="D629" t="str">
            <v>Vinoth L</v>
          </cell>
          <cell r="E629" t="str">
            <v>-</v>
          </cell>
          <cell r="H629" t="str">
            <v>Thirumeninathan.V</v>
          </cell>
          <cell r="K629">
            <v>0</v>
          </cell>
          <cell r="L629" t="str">
            <v>Old</v>
          </cell>
          <cell r="M629">
            <v>45594</v>
          </cell>
          <cell r="N629">
            <v>4</v>
          </cell>
          <cell r="O629">
            <v>452</v>
          </cell>
          <cell r="P629">
            <v>45716</v>
          </cell>
          <cell r="Q629">
            <v>45959</v>
          </cell>
          <cell r="R629" t="str">
            <v>PLC-3654</v>
          </cell>
          <cell r="S629" t="str">
            <v>Srinath Koppula</v>
          </cell>
          <cell r="T629" t="str">
            <v>Individual</v>
          </cell>
          <cell r="U629" t="str">
            <v>C2C</v>
          </cell>
          <cell r="V629" t="str">
            <v>Citius Tech</v>
          </cell>
          <cell r="W629">
            <v>78</v>
          </cell>
          <cell r="X629">
            <v>0</v>
          </cell>
          <cell r="Y629" t="str">
            <v>USD</v>
          </cell>
          <cell r="Z629">
            <v>80</v>
          </cell>
          <cell r="AA629">
            <v>0</v>
          </cell>
          <cell r="AB629">
            <v>0</v>
          </cell>
          <cell r="AC629">
            <v>0</v>
          </cell>
          <cell r="AD629">
            <v>45703</v>
          </cell>
          <cell r="AE629">
            <v>20</v>
          </cell>
          <cell r="AF629">
            <v>46022</v>
          </cell>
          <cell r="AG629">
            <v>78</v>
          </cell>
          <cell r="AH629">
            <v>0</v>
          </cell>
          <cell r="AI629">
            <v>78</v>
          </cell>
          <cell r="AJ629">
            <v>80</v>
          </cell>
          <cell r="AK629">
            <v>0</v>
          </cell>
          <cell r="AL629">
            <v>0</v>
          </cell>
          <cell r="AM629">
            <v>2</v>
          </cell>
          <cell r="AN629">
            <v>0</v>
          </cell>
          <cell r="AO629">
            <v>2</v>
          </cell>
          <cell r="AP629">
            <v>0</v>
          </cell>
          <cell r="AQ629">
            <v>2</v>
          </cell>
          <cell r="AR629" t="str">
            <v>US_24493</v>
          </cell>
          <cell r="AS629">
            <v>0</v>
          </cell>
          <cell r="AT629">
            <v>144</v>
          </cell>
          <cell r="AU629">
            <v>144</v>
          </cell>
          <cell r="AV629">
            <v>0</v>
          </cell>
          <cell r="AW629">
            <v>288</v>
          </cell>
          <cell r="AX629">
            <v>288</v>
          </cell>
          <cell r="AY629">
            <v>288</v>
          </cell>
          <cell r="AZ629">
            <v>0</v>
          </cell>
          <cell r="BA629">
            <v>0</v>
          </cell>
          <cell r="BB629">
            <v>0</v>
          </cell>
          <cell r="BC629">
            <v>53.225806451612897</v>
          </cell>
          <cell r="BD629">
            <v>288</v>
          </cell>
          <cell r="BE629">
            <v>230.4</v>
          </cell>
          <cell r="BF629">
            <v>288</v>
          </cell>
          <cell r="BG629">
            <v>11520</v>
          </cell>
          <cell r="BH629">
            <v>11520</v>
          </cell>
          <cell r="BI629">
            <v>11232</v>
          </cell>
          <cell r="BJ629">
            <v>0</v>
          </cell>
          <cell r="BK629">
            <v>0</v>
          </cell>
          <cell r="BL629">
            <v>0</v>
          </cell>
          <cell r="BM629">
            <v>11232</v>
          </cell>
          <cell r="BN629">
            <v>0</v>
          </cell>
          <cell r="BO629">
            <v>288</v>
          </cell>
          <cell r="BP629" t="str">
            <v>Y</v>
          </cell>
          <cell r="BQ629">
            <v>1</v>
          </cell>
          <cell r="BR629" t="str">
            <v>N</v>
          </cell>
          <cell r="BS629">
            <v>0</v>
          </cell>
          <cell r="BT629" t="str">
            <v>Done</v>
          </cell>
          <cell r="BU629">
            <v>144</v>
          </cell>
          <cell r="BV629">
            <v>2024</v>
          </cell>
        </row>
        <row r="630">
          <cell r="A630" t="str">
            <v>Lucknow</v>
          </cell>
          <cell r="B630" t="str">
            <v>Trust</v>
          </cell>
          <cell r="C630" t="str">
            <v>Mid Level</v>
          </cell>
          <cell r="D630" t="str">
            <v>Shashank Yadav</v>
          </cell>
          <cell r="E630" t="str">
            <v>-</v>
          </cell>
          <cell r="F630" t="str">
            <v>-</v>
          </cell>
          <cell r="G630" t="str">
            <v>-</v>
          </cell>
          <cell r="H630" t="str">
            <v>Aman Singh Chauhan</v>
          </cell>
          <cell r="L630" t="str">
            <v>New</v>
          </cell>
          <cell r="M630">
            <v>45775</v>
          </cell>
          <cell r="N630">
            <v>2</v>
          </cell>
          <cell r="O630">
            <v>271</v>
          </cell>
          <cell r="P630" t="str">
            <v>-</v>
          </cell>
          <cell r="Q630">
            <v>46140</v>
          </cell>
          <cell r="R630" t="str">
            <v>PLC-4184</v>
          </cell>
          <cell r="S630" t="str">
            <v>Srinivas Guntupalli</v>
          </cell>
          <cell r="T630" t="str">
            <v>Individual</v>
          </cell>
          <cell r="U630" t="str">
            <v>FTE</v>
          </cell>
          <cell r="V630" t="str">
            <v>Infosys</v>
          </cell>
          <cell r="W630">
            <v>0</v>
          </cell>
          <cell r="X630">
            <v>0</v>
          </cell>
          <cell r="Y630" t="str">
            <v>USD</v>
          </cell>
          <cell r="Z630">
            <v>3500</v>
          </cell>
          <cell r="AA630">
            <v>0</v>
          </cell>
          <cell r="AB630">
            <v>0</v>
          </cell>
          <cell r="AC630">
            <v>0</v>
          </cell>
          <cell r="AD630">
            <v>45762</v>
          </cell>
          <cell r="AE630">
            <v>1</v>
          </cell>
          <cell r="AF630">
            <v>46022</v>
          </cell>
          <cell r="AG630">
            <v>0</v>
          </cell>
          <cell r="AH630">
            <v>0</v>
          </cell>
          <cell r="AI630">
            <v>0</v>
          </cell>
          <cell r="AJ630">
            <v>3500</v>
          </cell>
          <cell r="AK630">
            <v>0</v>
          </cell>
          <cell r="AL630">
            <v>0</v>
          </cell>
          <cell r="AM630">
            <v>3500</v>
          </cell>
          <cell r="AN630">
            <v>0</v>
          </cell>
          <cell r="AO630">
            <v>3500</v>
          </cell>
          <cell r="AP630">
            <v>0</v>
          </cell>
          <cell r="AQ630">
            <v>3500</v>
          </cell>
          <cell r="AR630" t="str">
            <v>US_24930</v>
          </cell>
          <cell r="AS630">
            <v>0</v>
          </cell>
          <cell r="AT630">
            <v>1</v>
          </cell>
          <cell r="AU630">
            <v>1</v>
          </cell>
          <cell r="AV630">
            <v>0</v>
          </cell>
          <cell r="AW630">
            <v>3500</v>
          </cell>
          <cell r="AX630">
            <v>3500</v>
          </cell>
          <cell r="AY630">
            <v>3500</v>
          </cell>
          <cell r="AZ630">
            <v>0</v>
          </cell>
          <cell r="BA630">
            <v>0</v>
          </cell>
          <cell r="BB630">
            <v>0</v>
          </cell>
          <cell r="BC630">
            <v>32</v>
          </cell>
          <cell r="BD630">
            <v>3500</v>
          </cell>
          <cell r="BE630">
            <v>2800</v>
          </cell>
          <cell r="BF630">
            <v>3500</v>
          </cell>
          <cell r="BG630">
            <v>3500</v>
          </cell>
          <cell r="BH630">
            <v>3500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3500</v>
          </cell>
          <cell r="BP630" t="str">
            <v>Y</v>
          </cell>
          <cell r="BQ630">
            <v>2</v>
          </cell>
          <cell r="BR630" t="str">
            <v>Y</v>
          </cell>
          <cell r="BS630">
            <v>0</v>
          </cell>
          <cell r="BT630" t="str">
            <v>Done</v>
          </cell>
          <cell r="BU630">
            <v>0</v>
          </cell>
          <cell r="BV630">
            <v>2025</v>
          </cell>
        </row>
        <row r="631">
          <cell r="A631" t="str">
            <v>Lucknow</v>
          </cell>
          <cell r="B631" t="str">
            <v>Trust</v>
          </cell>
          <cell r="C631" t="str">
            <v>Mid Level</v>
          </cell>
          <cell r="D631" t="str">
            <v>Harsh Agarwal</v>
          </cell>
          <cell r="E631" t="str">
            <v>Harsh Agrawal</v>
          </cell>
          <cell r="H631" t="str">
            <v>Sana Zohra</v>
          </cell>
          <cell r="L631" t="str">
            <v>New</v>
          </cell>
          <cell r="M631">
            <v>45729</v>
          </cell>
          <cell r="N631">
            <v>1</v>
          </cell>
          <cell r="O631">
            <v>317</v>
          </cell>
          <cell r="P631">
            <v>45919</v>
          </cell>
          <cell r="Q631">
            <v>46094</v>
          </cell>
          <cell r="R631" t="str">
            <v>PLC-4160</v>
          </cell>
          <cell r="S631" t="str">
            <v>Srinivas Pulkaram</v>
          </cell>
          <cell r="T631" t="str">
            <v>Individual</v>
          </cell>
          <cell r="U631" t="str">
            <v>C2C</v>
          </cell>
          <cell r="V631" t="str">
            <v>Birlasoft</v>
          </cell>
          <cell r="W631">
            <v>110</v>
          </cell>
          <cell r="X631">
            <v>0</v>
          </cell>
          <cell r="Y631" t="str">
            <v>USD</v>
          </cell>
          <cell r="Z631">
            <v>117</v>
          </cell>
          <cell r="AA631">
            <v>0</v>
          </cell>
          <cell r="AB631">
            <v>0</v>
          </cell>
          <cell r="AC631">
            <v>0</v>
          </cell>
          <cell r="AD631">
            <v>45731</v>
          </cell>
          <cell r="AE631">
            <v>13</v>
          </cell>
          <cell r="AF631">
            <v>46022</v>
          </cell>
          <cell r="AG631">
            <v>110</v>
          </cell>
          <cell r="AH631">
            <v>0</v>
          </cell>
          <cell r="AI631">
            <v>110</v>
          </cell>
          <cell r="AJ631">
            <v>117</v>
          </cell>
          <cell r="AK631">
            <v>0</v>
          </cell>
          <cell r="AL631">
            <v>0</v>
          </cell>
          <cell r="AM631">
            <v>7</v>
          </cell>
          <cell r="AN631">
            <v>0</v>
          </cell>
          <cell r="AO631">
            <v>7</v>
          </cell>
          <cell r="AP631">
            <v>0</v>
          </cell>
          <cell r="AQ631">
            <v>7</v>
          </cell>
          <cell r="AR631" t="str">
            <v>US_24712</v>
          </cell>
          <cell r="AS631">
            <v>0</v>
          </cell>
          <cell r="AT631">
            <v>104</v>
          </cell>
          <cell r="AU631">
            <v>104</v>
          </cell>
          <cell r="AV631">
            <v>0</v>
          </cell>
          <cell r="AW631">
            <v>728</v>
          </cell>
          <cell r="AX631">
            <v>728</v>
          </cell>
          <cell r="AY631">
            <v>728</v>
          </cell>
          <cell r="AZ631">
            <v>58.333333333333336</v>
          </cell>
          <cell r="BA631">
            <v>8.4</v>
          </cell>
          <cell r="BB631">
            <v>873.6</v>
          </cell>
          <cell r="BC631">
            <v>42</v>
          </cell>
          <cell r="BD631">
            <v>728</v>
          </cell>
          <cell r="BE631">
            <v>582.4</v>
          </cell>
          <cell r="BF631">
            <v>728</v>
          </cell>
          <cell r="BG631">
            <v>12168</v>
          </cell>
          <cell r="BH631">
            <v>12168</v>
          </cell>
          <cell r="BI631">
            <v>11440</v>
          </cell>
          <cell r="BJ631">
            <v>0</v>
          </cell>
          <cell r="BK631">
            <v>0</v>
          </cell>
          <cell r="BL631">
            <v>0</v>
          </cell>
          <cell r="BM631">
            <v>11440</v>
          </cell>
          <cell r="BN631">
            <v>0</v>
          </cell>
          <cell r="BO631">
            <v>728</v>
          </cell>
          <cell r="BP631" t="str">
            <v>Y</v>
          </cell>
          <cell r="BQ631">
            <v>1</v>
          </cell>
          <cell r="BR631" t="str">
            <v>Y</v>
          </cell>
          <cell r="BS631">
            <v>873.6</v>
          </cell>
          <cell r="BT631" t="str">
            <v>Done</v>
          </cell>
          <cell r="BU631">
            <v>104</v>
          </cell>
          <cell r="BV631">
            <v>2025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Harsh Agrawal</v>
          </cell>
          <cell r="H632" t="str">
            <v>Sana Zohra</v>
          </cell>
          <cell r="L632" t="str">
            <v>New</v>
          </cell>
          <cell r="M632">
            <v>45729</v>
          </cell>
          <cell r="N632">
            <v>1</v>
          </cell>
          <cell r="O632">
            <v>317</v>
          </cell>
          <cell r="P632">
            <v>45919</v>
          </cell>
          <cell r="Q632">
            <v>46094</v>
          </cell>
          <cell r="R632" t="str">
            <v>PLC-4160</v>
          </cell>
          <cell r="S632" t="str">
            <v>Srinivas Pulkaram</v>
          </cell>
          <cell r="T632" t="str">
            <v>Individual</v>
          </cell>
          <cell r="U632" t="str">
            <v>C2C</v>
          </cell>
          <cell r="V632" t="str">
            <v>Birlasoft</v>
          </cell>
          <cell r="W632">
            <v>110</v>
          </cell>
          <cell r="X632">
            <v>0</v>
          </cell>
          <cell r="Y632" t="str">
            <v>USD</v>
          </cell>
          <cell r="Z632">
            <v>117</v>
          </cell>
          <cell r="AA632">
            <v>0</v>
          </cell>
          <cell r="AB632">
            <v>0</v>
          </cell>
          <cell r="AC632">
            <v>0</v>
          </cell>
          <cell r="AD632">
            <v>45762</v>
          </cell>
          <cell r="AE632">
            <v>22</v>
          </cell>
          <cell r="AF632">
            <v>46022</v>
          </cell>
          <cell r="AG632">
            <v>110</v>
          </cell>
          <cell r="AH632">
            <v>0</v>
          </cell>
          <cell r="AI632">
            <v>110</v>
          </cell>
          <cell r="AJ632">
            <v>117</v>
          </cell>
          <cell r="AK632">
            <v>0</v>
          </cell>
          <cell r="AL632">
            <v>0</v>
          </cell>
          <cell r="AM632">
            <v>7</v>
          </cell>
          <cell r="AN632">
            <v>0</v>
          </cell>
          <cell r="AO632">
            <v>7</v>
          </cell>
          <cell r="AP632">
            <v>0</v>
          </cell>
          <cell r="AQ632">
            <v>7</v>
          </cell>
          <cell r="AR632" t="str">
            <v>US_24909</v>
          </cell>
          <cell r="AS632">
            <v>0</v>
          </cell>
          <cell r="AT632">
            <v>152</v>
          </cell>
          <cell r="AU632">
            <v>152</v>
          </cell>
          <cell r="AV632">
            <v>0</v>
          </cell>
          <cell r="AW632">
            <v>1064</v>
          </cell>
          <cell r="AX632">
            <v>1064</v>
          </cell>
          <cell r="AY632">
            <v>1064</v>
          </cell>
          <cell r="AZ632">
            <v>58.333333333333336</v>
          </cell>
          <cell r="BA632">
            <v>8.4</v>
          </cell>
          <cell r="BB632">
            <v>1276.8</v>
          </cell>
          <cell r="BC632">
            <v>42</v>
          </cell>
          <cell r="BD632">
            <v>1064</v>
          </cell>
          <cell r="BE632">
            <v>851.2</v>
          </cell>
          <cell r="BF632">
            <v>1064</v>
          </cell>
          <cell r="BG632">
            <v>17784</v>
          </cell>
          <cell r="BH632">
            <v>17784</v>
          </cell>
          <cell r="BI632">
            <v>16720</v>
          </cell>
          <cell r="BJ632">
            <v>0</v>
          </cell>
          <cell r="BK632">
            <v>0</v>
          </cell>
          <cell r="BL632">
            <v>0</v>
          </cell>
          <cell r="BM632">
            <v>16720</v>
          </cell>
          <cell r="BN632">
            <v>0</v>
          </cell>
          <cell r="BO632">
            <v>1064</v>
          </cell>
          <cell r="BP632" t="str">
            <v>Y</v>
          </cell>
          <cell r="BQ632">
            <v>2</v>
          </cell>
          <cell r="BR632" t="str">
            <v>Y</v>
          </cell>
          <cell r="BS632">
            <v>1276.8</v>
          </cell>
          <cell r="BT632" t="str">
            <v>Done</v>
          </cell>
          <cell r="BU632">
            <v>152</v>
          </cell>
          <cell r="BV632">
            <v>2025</v>
          </cell>
        </row>
        <row r="633">
          <cell r="A633" t="str">
            <v>Chennai</v>
          </cell>
          <cell r="B633" t="str">
            <v>Chennai</v>
          </cell>
          <cell r="C633" t="str">
            <v>Mid Level</v>
          </cell>
          <cell r="D633" t="str">
            <v>Vinoth L</v>
          </cell>
          <cell r="E633" t="str">
            <v>-</v>
          </cell>
          <cell r="F633">
            <v>0</v>
          </cell>
          <cell r="H633" t="str">
            <v>Priyanga S</v>
          </cell>
          <cell r="K633">
            <v>0</v>
          </cell>
          <cell r="L633" t="str">
            <v>Old</v>
          </cell>
          <cell r="M633">
            <v>45309</v>
          </cell>
          <cell r="N633">
            <v>1</v>
          </cell>
          <cell r="O633">
            <v>737</v>
          </cell>
          <cell r="P633">
            <v>45719</v>
          </cell>
          <cell r="Q633">
            <v>45674</v>
          </cell>
          <cell r="R633" t="str">
            <v>PLC-3607</v>
          </cell>
          <cell r="S633" t="str">
            <v>Srujan Sama</v>
          </cell>
          <cell r="T633" t="str">
            <v>Individual</v>
          </cell>
          <cell r="U633" t="str">
            <v>C2C</v>
          </cell>
          <cell r="V633" t="str">
            <v>LTIMindtree</v>
          </cell>
          <cell r="W633">
            <v>53</v>
          </cell>
          <cell r="X633">
            <v>53</v>
          </cell>
          <cell r="Y633" t="str">
            <v>USD</v>
          </cell>
          <cell r="Z633">
            <v>58</v>
          </cell>
          <cell r="AA633">
            <v>58</v>
          </cell>
          <cell r="AB633">
            <v>0</v>
          </cell>
          <cell r="AC633">
            <v>0</v>
          </cell>
          <cell r="AD633">
            <v>45672</v>
          </cell>
          <cell r="AE633">
            <v>22</v>
          </cell>
          <cell r="AF633">
            <v>46022</v>
          </cell>
          <cell r="AG633">
            <v>53</v>
          </cell>
          <cell r="AH633">
            <v>53</v>
          </cell>
          <cell r="AI633">
            <v>53</v>
          </cell>
          <cell r="AJ633">
            <v>56.26</v>
          </cell>
          <cell r="AK633">
            <v>56.26</v>
          </cell>
          <cell r="AL633">
            <v>3.259999999999998</v>
          </cell>
          <cell r="AM633">
            <v>3.259999999999998</v>
          </cell>
          <cell r="AN633">
            <v>3.259999999999998</v>
          </cell>
          <cell r="AO633">
            <v>3.259999999999998</v>
          </cell>
          <cell r="AP633">
            <v>3.259999999999998</v>
          </cell>
          <cell r="AQ633">
            <v>3.259999999999998</v>
          </cell>
          <cell r="AR633" t="str">
            <v>US_24211</v>
          </cell>
          <cell r="AS633">
            <v>0</v>
          </cell>
          <cell r="AT633">
            <v>160</v>
          </cell>
          <cell r="AU633">
            <v>160</v>
          </cell>
          <cell r="AV633">
            <v>0</v>
          </cell>
          <cell r="AW633">
            <v>521.59999999999968</v>
          </cell>
          <cell r="AX633">
            <v>521.59999999999968</v>
          </cell>
          <cell r="AY633">
            <v>521.59999999999968</v>
          </cell>
          <cell r="AZ633">
            <v>33.333333333333329</v>
          </cell>
          <cell r="BA633">
            <v>5.2159999999999966</v>
          </cell>
          <cell r="BB633">
            <v>834.55999999999949</v>
          </cell>
          <cell r="BC633">
            <v>53.225806451612897</v>
          </cell>
          <cell r="BD633">
            <v>521.59999999999968</v>
          </cell>
          <cell r="BE633">
            <v>417.27999999999969</v>
          </cell>
          <cell r="BF633">
            <v>521.59999999999968</v>
          </cell>
          <cell r="BG633">
            <v>9280</v>
          </cell>
          <cell r="BH633">
            <v>9001.6</v>
          </cell>
          <cell r="BI633">
            <v>8480</v>
          </cell>
          <cell r="BJ633">
            <v>0</v>
          </cell>
          <cell r="BK633">
            <v>0</v>
          </cell>
          <cell r="BL633">
            <v>0</v>
          </cell>
          <cell r="BM633">
            <v>8480</v>
          </cell>
          <cell r="BN633">
            <v>0</v>
          </cell>
          <cell r="BO633">
            <v>521.60000000000036</v>
          </cell>
          <cell r="BP633" t="str">
            <v>Y</v>
          </cell>
          <cell r="BQ633">
            <v>1</v>
          </cell>
          <cell r="BR633" t="str">
            <v>N</v>
          </cell>
          <cell r="BS633">
            <v>834.55999999999949</v>
          </cell>
          <cell r="BT633" t="str">
            <v>Done</v>
          </cell>
          <cell r="BU633">
            <v>160</v>
          </cell>
          <cell r="BV633">
            <v>2024</v>
          </cell>
        </row>
        <row r="634">
          <cell r="A634" t="str">
            <v>Chennai</v>
          </cell>
          <cell r="B634" t="str">
            <v>Chennai</v>
          </cell>
          <cell r="C634" t="str">
            <v>Mid Level</v>
          </cell>
          <cell r="D634" t="str">
            <v>Vinoth L</v>
          </cell>
          <cell r="E634" t="str">
            <v>-</v>
          </cell>
          <cell r="F634">
            <v>0</v>
          </cell>
          <cell r="H634" t="str">
            <v>Priyanga S</v>
          </cell>
          <cell r="K634">
            <v>0</v>
          </cell>
          <cell r="L634" t="str">
            <v>Old</v>
          </cell>
          <cell r="M634">
            <v>45309</v>
          </cell>
          <cell r="N634">
            <v>1</v>
          </cell>
          <cell r="O634">
            <v>737</v>
          </cell>
          <cell r="P634">
            <v>45719</v>
          </cell>
          <cell r="Q634">
            <v>45674</v>
          </cell>
          <cell r="R634" t="str">
            <v>PLC-3607</v>
          </cell>
          <cell r="S634" t="str">
            <v>Srujan Sama</v>
          </cell>
          <cell r="T634" t="str">
            <v>Individual</v>
          </cell>
          <cell r="U634" t="str">
            <v>C2C</v>
          </cell>
          <cell r="V634" t="str">
            <v>LTIMindtree</v>
          </cell>
          <cell r="W634">
            <v>53</v>
          </cell>
          <cell r="X634">
            <v>53</v>
          </cell>
          <cell r="Y634" t="str">
            <v>USD</v>
          </cell>
          <cell r="Z634">
            <v>58</v>
          </cell>
          <cell r="AA634">
            <v>58</v>
          </cell>
          <cell r="AB634">
            <v>0</v>
          </cell>
          <cell r="AC634">
            <v>0</v>
          </cell>
          <cell r="AD634">
            <v>45703</v>
          </cell>
          <cell r="AE634">
            <v>20</v>
          </cell>
          <cell r="AF634">
            <v>46022</v>
          </cell>
          <cell r="AG634">
            <v>53</v>
          </cell>
          <cell r="AH634">
            <v>53</v>
          </cell>
          <cell r="AI634">
            <v>53</v>
          </cell>
          <cell r="AJ634">
            <v>56.26</v>
          </cell>
          <cell r="AK634">
            <v>56.26</v>
          </cell>
          <cell r="AL634">
            <v>3.259999999999998</v>
          </cell>
          <cell r="AM634">
            <v>3.259999999999998</v>
          </cell>
          <cell r="AN634">
            <v>3.259999999999998</v>
          </cell>
          <cell r="AO634">
            <v>3.259999999999998</v>
          </cell>
          <cell r="AP634">
            <v>3.259999999999998</v>
          </cell>
          <cell r="AQ634">
            <v>3.259999999999998</v>
          </cell>
          <cell r="AR634" t="str">
            <v>US_24418</v>
          </cell>
          <cell r="AS634">
            <v>0</v>
          </cell>
          <cell r="AT634">
            <v>160</v>
          </cell>
          <cell r="AU634">
            <v>160</v>
          </cell>
          <cell r="AV634">
            <v>0</v>
          </cell>
          <cell r="AW634">
            <v>521.59999999999968</v>
          </cell>
          <cell r="AX634">
            <v>521.59999999999968</v>
          </cell>
          <cell r="AY634">
            <v>521.59999999999968</v>
          </cell>
          <cell r="AZ634">
            <v>33.333333333333329</v>
          </cell>
          <cell r="BA634">
            <v>5.2159999999999966</v>
          </cell>
          <cell r="BB634">
            <v>0</v>
          </cell>
          <cell r="BC634">
            <v>53.225806451612897</v>
          </cell>
          <cell r="BD634">
            <v>0</v>
          </cell>
          <cell r="BE634">
            <v>0</v>
          </cell>
          <cell r="BF634">
            <v>0</v>
          </cell>
          <cell r="BG634">
            <v>9280</v>
          </cell>
          <cell r="BH634">
            <v>9001.6</v>
          </cell>
          <cell r="BI634">
            <v>8480</v>
          </cell>
          <cell r="BJ634">
            <v>0</v>
          </cell>
          <cell r="BK634">
            <v>0</v>
          </cell>
          <cell r="BL634">
            <v>0</v>
          </cell>
          <cell r="BM634">
            <v>8480</v>
          </cell>
          <cell r="BN634">
            <v>0</v>
          </cell>
          <cell r="BO634">
            <v>521.60000000000036</v>
          </cell>
          <cell r="BP634" t="str">
            <v>Y</v>
          </cell>
          <cell r="BQ634">
            <v>1</v>
          </cell>
          <cell r="BR634" t="str">
            <v>N</v>
          </cell>
          <cell r="BS634">
            <v>0</v>
          </cell>
          <cell r="BT634" t="str">
            <v>Done</v>
          </cell>
          <cell r="BU634">
            <v>160</v>
          </cell>
          <cell r="BV634">
            <v>2024</v>
          </cell>
        </row>
        <row r="635">
          <cell r="A635" t="str">
            <v>Lucknow</v>
          </cell>
          <cell r="B635" t="str">
            <v>Trust</v>
          </cell>
          <cell r="C635" t="str">
            <v>Mid Level</v>
          </cell>
          <cell r="D635" t="str">
            <v>Bhanu Pratap Singh</v>
          </cell>
          <cell r="E635" t="str">
            <v>-</v>
          </cell>
          <cell r="F635" t="str">
            <v>-</v>
          </cell>
          <cell r="G635" t="str">
            <v>-</v>
          </cell>
          <cell r="H635" t="str">
            <v>Pass Through</v>
          </cell>
          <cell r="K635" t="str">
            <v>-</v>
          </cell>
          <cell r="L635" t="str">
            <v>New</v>
          </cell>
          <cell r="M635">
            <v>45754</v>
          </cell>
          <cell r="N635">
            <v>2</v>
          </cell>
          <cell r="O635">
            <v>292</v>
          </cell>
          <cell r="P635" t="str">
            <v>-</v>
          </cell>
          <cell r="Q635">
            <v>46119</v>
          </cell>
          <cell r="R635" t="str">
            <v>PLC-4211</v>
          </cell>
          <cell r="S635" t="str">
            <v>Stephanie Ashley Belle</v>
          </cell>
          <cell r="T635" t="str">
            <v>Individual</v>
          </cell>
          <cell r="U635" t="str">
            <v>W2</v>
          </cell>
          <cell r="V635" t="str">
            <v>Precision IT</v>
          </cell>
          <cell r="W635">
            <v>42</v>
          </cell>
          <cell r="X635">
            <v>0</v>
          </cell>
          <cell r="Y635" t="str">
            <v>USD</v>
          </cell>
          <cell r="Z635">
            <v>53.13</v>
          </cell>
          <cell r="AA635">
            <v>0</v>
          </cell>
          <cell r="AB635">
            <v>0</v>
          </cell>
          <cell r="AC635">
            <v>0</v>
          </cell>
          <cell r="AD635">
            <v>45762</v>
          </cell>
          <cell r="AE635">
            <v>18</v>
          </cell>
          <cell r="AF635">
            <v>46022</v>
          </cell>
          <cell r="AG635">
            <v>48.3</v>
          </cell>
          <cell r="AH635">
            <v>0</v>
          </cell>
          <cell r="AI635">
            <v>48.3</v>
          </cell>
          <cell r="AJ635">
            <v>53.13</v>
          </cell>
          <cell r="AK635">
            <v>0</v>
          </cell>
          <cell r="AL635">
            <v>0</v>
          </cell>
          <cell r="AM635">
            <v>4.8300000000000054</v>
          </cell>
          <cell r="AN635">
            <v>0</v>
          </cell>
          <cell r="AO635">
            <v>4.8300000000000054</v>
          </cell>
          <cell r="AP635">
            <v>0</v>
          </cell>
          <cell r="AQ635">
            <v>4.8300000000000054</v>
          </cell>
          <cell r="AR635" t="str">
            <v>US_24944</v>
          </cell>
          <cell r="AS635">
            <v>0</v>
          </cell>
          <cell r="AT635">
            <v>152</v>
          </cell>
          <cell r="AU635">
            <v>152</v>
          </cell>
          <cell r="AV635">
            <v>0</v>
          </cell>
          <cell r="AW635">
            <v>734.16000000000076</v>
          </cell>
          <cell r="AX635">
            <v>734.16000000000076</v>
          </cell>
          <cell r="AY635">
            <v>734.16000000000076</v>
          </cell>
          <cell r="AZ635">
            <v>0</v>
          </cell>
          <cell r="BA635">
            <v>0</v>
          </cell>
          <cell r="BB635">
            <v>0</v>
          </cell>
          <cell r="BF635">
            <v>734.16000000000076</v>
          </cell>
          <cell r="BG635">
            <v>8075.76</v>
          </cell>
          <cell r="BH635">
            <v>8075.76</v>
          </cell>
          <cell r="BI635">
            <v>6384</v>
          </cell>
          <cell r="BJ635">
            <v>6.3</v>
          </cell>
          <cell r="BK635">
            <v>0</v>
          </cell>
          <cell r="BL635">
            <v>957.6</v>
          </cell>
          <cell r="BM635">
            <v>7341.6</v>
          </cell>
          <cell r="BN635">
            <v>6.3</v>
          </cell>
          <cell r="BO635">
            <v>734.1600000000002</v>
          </cell>
          <cell r="BP635" t="str">
            <v>Y</v>
          </cell>
          <cell r="BQ635">
            <v>2</v>
          </cell>
          <cell r="BR635" t="str">
            <v>Y</v>
          </cell>
          <cell r="BS635">
            <v>0</v>
          </cell>
          <cell r="BT635" t="str">
            <v>Done</v>
          </cell>
          <cell r="BU635">
            <v>152</v>
          </cell>
          <cell r="BV635">
            <v>2025</v>
          </cell>
        </row>
        <row r="636">
          <cell r="A636" t="str">
            <v>Lucknow</v>
          </cell>
          <cell r="B636" t="str">
            <v>Titans</v>
          </cell>
          <cell r="C636" t="str">
            <v>Mid Level</v>
          </cell>
          <cell r="D636" t="str">
            <v>Nitin Saxena</v>
          </cell>
          <cell r="E636" t="str">
            <v>-</v>
          </cell>
          <cell r="F636" t="str">
            <v>-</v>
          </cell>
          <cell r="G636" t="str">
            <v>-</v>
          </cell>
          <cell r="H636" t="str">
            <v>Aviral Shukla</v>
          </cell>
          <cell r="L636" t="str">
            <v>New</v>
          </cell>
          <cell r="M636">
            <v>45775</v>
          </cell>
          <cell r="N636">
            <v>2</v>
          </cell>
          <cell r="O636">
            <v>271</v>
          </cell>
          <cell r="P636" t="str">
            <v>-</v>
          </cell>
          <cell r="Q636">
            <v>46140</v>
          </cell>
          <cell r="R636" t="str">
            <v>PLC-4237</v>
          </cell>
          <cell r="S636" t="str">
            <v>Steven Cruz</v>
          </cell>
          <cell r="T636" t="str">
            <v>Individual</v>
          </cell>
          <cell r="U636" t="str">
            <v>FTE</v>
          </cell>
          <cell r="V636" t="str">
            <v>Genpact</v>
          </cell>
          <cell r="W636">
            <v>0</v>
          </cell>
          <cell r="X636">
            <v>0</v>
          </cell>
          <cell r="Y636" t="str">
            <v>USD</v>
          </cell>
          <cell r="Z636">
            <v>4500</v>
          </cell>
          <cell r="AA636">
            <v>0</v>
          </cell>
          <cell r="AB636">
            <v>0</v>
          </cell>
          <cell r="AC636">
            <v>0</v>
          </cell>
          <cell r="AD636">
            <v>45762</v>
          </cell>
          <cell r="AE636">
            <v>1</v>
          </cell>
          <cell r="AF636">
            <v>46022</v>
          </cell>
          <cell r="AG636">
            <v>0</v>
          </cell>
          <cell r="AH636">
            <v>0</v>
          </cell>
          <cell r="AI636">
            <v>0</v>
          </cell>
          <cell r="AJ636">
            <v>4500</v>
          </cell>
          <cell r="AK636">
            <v>0</v>
          </cell>
          <cell r="AL636">
            <v>0</v>
          </cell>
          <cell r="AM636">
            <v>4500</v>
          </cell>
          <cell r="AN636">
            <v>0</v>
          </cell>
          <cell r="AO636">
            <v>4500</v>
          </cell>
          <cell r="AP636">
            <v>0</v>
          </cell>
          <cell r="AQ636">
            <v>4500</v>
          </cell>
          <cell r="AR636" t="str">
            <v>US_24927</v>
          </cell>
          <cell r="AS636">
            <v>0</v>
          </cell>
          <cell r="AT636">
            <v>1</v>
          </cell>
          <cell r="AU636">
            <v>1</v>
          </cell>
          <cell r="AV636">
            <v>0</v>
          </cell>
          <cell r="AW636">
            <v>4500</v>
          </cell>
          <cell r="AX636">
            <v>4500</v>
          </cell>
          <cell r="AY636">
            <v>4500</v>
          </cell>
          <cell r="AZ636">
            <v>50</v>
          </cell>
          <cell r="BA636">
            <v>5400</v>
          </cell>
          <cell r="BB636">
            <v>5400</v>
          </cell>
          <cell r="BC636">
            <v>46</v>
          </cell>
          <cell r="BD636">
            <v>4500</v>
          </cell>
          <cell r="BE636">
            <v>3600</v>
          </cell>
          <cell r="BF636">
            <v>4500</v>
          </cell>
          <cell r="BG636">
            <v>4500</v>
          </cell>
          <cell r="BH636">
            <v>4500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4500</v>
          </cell>
          <cell r="BP636" t="str">
            <v>Y</v>
          </cell>
          <cell r="BQ636">
            <v>2</v>
          </cell>
          <cell r="BR636" t="str">
            <v>Y</v>
          </cell>
          <cell r="BS636">
            <v>5400</v>
          </cell>
          <cell r="BT636" t="str">
            <v>Done</v>
          </cell>
          <cell r="BU636">
            <v>0</v>
          </cell>
          <cell r="BV636">
            <v>2025</v>
          </cell>
        </row>
        <row r="637">
          <cell r="A637" t="str">
            <v>Lucknow</v>
          </cell>
          <cell r="B637" t="str">
            <v>Trust</v>
          </cell>
          <cell r="C637" t="str">
            <v>Mid Level</v>
          </cell>
          <cell r="D637" t="str">
            <v>Bhanu Pratap Singh</v>
          </cell>
          <cell r="E637" t="str">
            <v>-</v>
          </cell>
          <cell r="F637">
            <v>0</v>
          </cell>
          <cell r="H637" t="str">
            <v>Pass Through</v>
          </cell>
          <cell r="J637" t="str">
            <v>ACH</v>
          </cell>
          <cell r="K637">
            <v>0</v>
          </cell>
          <cell r="L637" t="str">
            <v>Old</v>
          </cell>
          <cell r="M637">
            <v>45342</v>
          </cell>
          <cell r="N637">
            <v>1</v>
          </cell>
          <cell r="O637">
            <v>704</v>
          </cell>
          <cell r="P637" t="str">
            <v>-</v>
          </cell>
          <cell r="Q637">
            <v>45707</v>
          </cell>
          <cell r="R637" t="str">
            <v>PLC-3638</v>
          </cell>
          <cell r="S637" t="str">
            <v>Subashini Sughumaran</v>
          </cell>
          <cell r="T637" t="str">
            <v>Individual</v>
          </cell>
          <cell r="U637">
            <v>1099</v>
          </cell>
          <cell r="V637" t="str">
            <v>Birlasoft</v>
          </cell>
          <cell r="W637">
            <v>31</v>
          </cell>
          <cell r="X637">
            <v>46.5</v>
          </cell>
          <cell r="Y637" t="str">
            <v>USD</v>
          </cell>
          <cell r="Z637">
            <v>32.5</v>
          </cell>
          <cell r="AA637">
            <v>48.75</v>
          </cell>
          <cell r="AB637">
            <v>0</v>
          </cell>
          <cell r="AC637">
            <v>0</v>
          </cell>
          <cell r="AD637">
            <v>45672</v>
          </cell>
          <cell r="AE637">
            <v>23</v>
          </cell>
          <cell r="AF637">
            <v>46022</v>
          </cell>
          <cell r="AG637">
            <v>33.17</v>
          </cell>
          <cell r="AH637">
            <v>49.755000000000003</v>
          </cell>
          <cell r="AI637">
            <v>33.17</v>
          </cell>
          <cell r="AJ637">
            <v>32.5</v>
          </cell>
          <cell r="AK637">
            <v>48.75</v>
          </cell>
          <cell r="AL637">
            <v>-1.0050000000000026</v>
          </cell>
          <cell r="AM637">
            <v>-0.67000000000000171</v>
          </cell>
          <cell r="AN637">
            <v>-1.0050000000000026</v>
          </cell>
          <cell r="AO637">
            <v>-0.67000000000000171</v>
          </cell>
          <cell r="AP637">
            <v>-1.0050000000000026</v>
          </cell>
          <cell r="AQ637">
            <v>-0.67000000000000171</v>
          </cell>
          <cell r="AR637" t="str">
            <v>US_24162</v>
          </cell>
          <cell r="AS637">
            <v>0</v>
          </cell>
          <cell r="AT637">
            <v>176</v>
          </cell>
          <cell r="AU637">
            <v>176</v>
          </cell>
          <cell r="AV637">
            <v>0</v>
          </cell>
          <cell r="AW637">
            <v>-117.9200000000003</v>
          </cell>
          <cell r="AX637">
            <v>-116.74080000000029</v>
          </cell>
          <cell r="AY637">
            <v>-117.9200000000003</v>
          </cell>
          <cell r="AZ637">
            <v>0</v>
          </cell>
          <cell r="BA637">
            <v>0</v>
          </cell>
          <cell r="BB637">
            <v>0</v>
          </cell>
          <cell r="BD637">
            <v>-117.9200000000003</v>
          </cell>
          <cell r="BF637">
            <v>-116.74080000000029</v>
          </cell>
          <cell r="BG637">
            <v>5720</v>
          </cell>
          <cell r="BH637">
            <v>5720</v>
          </cell>
          <cell r="BI637">
            <v>5456</v>
          </cell>
          <cell r="BJ637">
            <v>2.1700000000000004</v>
          </cell>
          <cell r="BK637">
            <v>0</v>
          </cell>
          <cell r="BL637">
            <v>381.92000000000007</v>
          </cell>
          <cell r="BM637">
            <v>5837.92</v>
          </cell>
          <cell r="BN637">
            <v>2.1700000000000004</v>
          </cell>
          <cell r="BO637">
            <v>-117.92000000000007</v>
          </cell>
          <cell r="BP637" t="str">
            <v>Y</v>
          </cell>
          <cell r="BQ637">
            <v>1</v>
          </cell>
          <cell r="BR637" t="str">
            <v>Y</v>
          </cell>
          <cell r="BS637">
            <v>0</v>
          </cell>
          <cell r="BT637" t="str">
            <v>Done</v>
          </cell>
          <cell r="BU637">
            <v>176</v>
          </cell>
          <cell r="BV637">
            <v>2024</v>
          </cell>
        </row>
        <row r="638">
          <cell r="A638" t="str">
            <v>Lucknow</v>
          </cell>
          <cell r="B638" t="str">
            <v>Trust</v>
          </cell>
          <cell r="C638" t="str">
            <v>Mid Level</v>
          </cell>
          <cell r="D638" t="str">
            <v>Bhanu Pratap Singh</v>
          </cell>
          <cell r="E638" t="str">
            <v>-</v>
          </cell>
          <cell r="F638">
            <v>0</v>
          </cell>
          <cell r="H638" t="str">
            <v>Pass Through</v>
          </cell>
          <cell r="J638" t="str">
            <v>ACH</v>
          </cell>
          <cell r="K638">
            <v>0</v>
          </cell>
          <cell r="L638" t="str">
            <v>Old</v>
          </cell>
          <cell r="M638">
            <v>45342</v>
          </cell>
          <cell r="N638">
            <v>1</v>
          </cell>
          <cell r="O638">
            <v>704</v>
          </cell>
          <cell r="P638" t="str">
            <v>-</v>
          </cell>
          <cell r="Q638">
            <v>45707</v>
          </cell>
          <cell r="R638" t="str">
            <v>PLC-3638</v>
          </cell>
          <cell r="S638" t="str">
            <v>Subashini Sughumaran</v>
          </cell>
          <cell r="T638" t="str">
            <v>Individual</v>
          </cell>
          <cell r="U638">
            <v>1099</v>
          </cell>
          <cell r="V638" t="str">
            <v>Birlasoft</v>
          </cell>
          <cell r="W638">
            <v>31</v>
          </cell>
          <cell r="X638">
            <v>46.5</v>
          </cell>
          <cell r="Y638" t="str">
            <v>USD</v>
          </cell>
          <cell r="Z638">
            <v>32.5</v>
          </cell>
          <cell r="AA638">
            <v>48.75</v>
          </cell>
          <cell r="AB638">
            <v>0</v>
          </cell>
          <cell r="AC638">
            <v>0</v>
          </cell>
          <cell r="AD638">
            <v>45703</v>
          </cell>
          <cell r="AE638">
            <v>20</v>
          </cell>
          <cell r="AF638">
            <v>46022</v>
          </cell>
          <cell r="AG638">
            <v>33.17</v>
          </cell>
          <cell r="AH638">
            <v>49.755000000000003</v>
          </cell>
          <cell r="AI638">
            <v>33.17</v>
          </cell>
          <cell r="AJ638">
            <v>32.5</v>
          </cell>
          <cell r="AK638">
            <v>48.75</v>
          </cell>
          <cell r="AL638">
            <v>-1.0050000000000026</v>
          </cell>
          <cell r="AM638">
            <v>-0.67000000000000171</v>
          </cell>
          <cell r="AN638">
            <v>-1.0050000000000026</v>
          </cell>
          <cell r="AO638">
            <v>-0.67000000000000171</v>
          </cell>
          <cell r="AP638">
            <v>-1.0050000000000026</v>
          </cell>
          <cell r="AQ638">
            <v>-0.67000000000000171</v>
          </cell>
          <cell r="AR638" t="str">
            <v>US_24371</v>
          </cell>
          <cell r="AS638">
            <v>0</v>
          </cell>
          <cell r="AT638">
            <v>152</v>
          </cell>
          <cell r="AU638">
            <v>152</v>
          </cell>
          <cell r="AV638">
            <v>0</v>
          </cell>
          <cell r="AW638">
            <v>-101.84000000000026</v>
          </cell>
          <cell r="AX638">
            <v>-100.82160000000026</v>
          </cell>
          <cell r="AY638">
            <v>-101.84000000000026</v>
          </cell>
          <cell r="AZ638">
            <v>0</v>
          </cell>
          <cell r="BA638">
            <v>0</v>
          </cell>
          <cell r="BB638">
            <v>0</v>
          </cell>
          <cell r="BD638">
            <v>-101.84000000000026</v>
          </cell>
          <cell r="BF638">
            <v>-100.82160000000026</v>
          </cell>
          <cell r="BG638">
            <v>4940</v>
          </cell>
          <cell r="BH638">
            <v>4940</v>
          </cell>
          <cell r="BI638">
            <v>4712</v>
          </cell>
          <cell r="BJ638">
            <v>2.1700000000000004</v>
          </cell>
          <cell r="BK638">
            <v>0</v>
          </cell>
          <cell r="BL638">
            <v>329.84000000000003</v>
          </cell>
          <cell r="BM638">
            <v>5041.84</v>
          </cell>
          <cell r="BN638">
            <v>2.1700000000000004</v>
          </cell>
          <cell r="BO638">
            <v>-101.84000000000003</v>
          </cell>
          <cell r="BP638" t="str">
            <v>Y</v>
          </cell>
          <cell r="BQ638">
            <v>1</v>
          </cell>
          <cell r="BR638" t="str">
            <v>Y</v>
          </cell>
          <cell r="BS638">
            <v>0</v>
          </cell>
          <cell r="BT638" t="str">
            <v>Done</v>
          </cell>
          <cell r="BU638">
            <v>152</v>
          </cell>
          <cell r="BV638">
            <v>2024</v>
          </cell>
        </row>
        <row r="639">
          <cell r="A639" t="str">
            <v>Lucknow</v>
          </cell>
          <cell r="B639" t="str">
            <v>Trust</v>
          </cell>
          <cell r="C639" t="str">
            <v>Mid Level</v>
          </cell>
          <cell r="D639" t="str">
            <v>Bhanu Pratap Singh</v>
          </cell>
          <cell r="E639" t="str">
            <v>-</v>
          </cell>
          <cell r="F639">
            <v>0</v>
          </cell>
          <cell r="H639" t="str">
            <v>Pass Through</v>
          </cell>
          <cell r="J639" t="str">
            <v>ACH</v>
          </cell>
          <cell r="K639">
            <v>0</v>
          </cell>
          <cell r="L639" t="str">
            <v>Old</v>
          </cell>
          <cell r="M639">
            <v>45342</v>
          </cell>
          <cell r="N639">
            <v>1</v>
          </cell>
          <cell r="O639">
            <v>704</v>
          </cell>
          <cell r="P639" t="str">
            <v>-</v>
          </cell>
          <cell r="Q639">
            <v>45707</v>
          </cell>
          <cell r="R639" t="str">
            <v>PLC-3638</v>
          </cell>
          <cell r="S639" t="str">
            <v>Subashini Sughumaran</v>
          </cell>
          <cell r="T639" t="str">
            <v>Individual</v>
          </cell>
          <cell r="U639">
            <v>1099</v>
          </cell>
          <cell r="V639" t="str">
            <v>Birlasoft</v>
          </cell>
          <cell r="W639">
            <v>31</v>
          </cell>
          <cell r="X639">
            <v>46.5</v>
          </cell>
          <cell r="Y639" t="str">
            <v>USD</v>
          </cell>
          <cell r="Z639">
            <v>32.5</v>
          </cell>
          <cell r="AA639">
            <v>48.75</v>
          </cell>
          <cell r="AB639">
            <v>0</v>
          </cell>
          <cell r="AC639">
            <v>0</v>
          </cell>
          <cell r="AD639">
            <v>45731</v>
          </cell>
          <cell r="AE639">
            <v>21</v>
          </cell>
          <cell r="AF639">
            <v>46022</v>
          </cell>
          <cell r="AG639">
            <v>33.17</v>
          </cell>
          <cell r="AH639">
            <v>49.755000000000003</v>
          </cell>
          <cell r="AI639">
            <v>33.17</v>
          </cell>
          <cell r="AJ639">
            <v>32.5</v>
          </cell>
          <cell r="AK639">
            <v>48.75</v>
          </cell>
          <cell r="AL639">
            <v>-1.0050000000000026</v>
          </cell>
          <cell r="AM639">
            <v>-0.67000000000000171</v>
          </cell>
          <cell r="AN639">
            <v>-1.0050000000000026</v>
          </cell>
          <cell r="AO639">
            <v>-0.67000000000000171</v>
          </cell>
          <cell r="AP639">
            <v>-1.0050000000000026</v>
          </cell>
          <cell r="AQ639">
            <v>-0.67000000000000171</v>
          </cell>
          <cell r="AR639" t="str">
            <v>US_24567</v>
          </cell>
          <cell r="AS639">
            <v>0</v>
          </cell>
          <cell r="AT639">
            <v>168</v>
          </cell>
          <cell r="AU639">
            <v>168</v>
          </cell>
          <cell r="AV639">
            <v>0</v>
          </cell>
          <cell r="AW639">
            <v>-112.56000000000029</v>
          </cell>
          <cell r="AX639">
            <v>-111.43440000000028</v>
          </cell>
          <cell r="AY639">
            <v>-112.56000000000029</v>
          </cell>
          <cell r="AZ639">
            <v>0</v>
          </cell>
          <cell r="BA639">
            <v>0</v>
          </cell>
          <cell r="BB639">
            <v>0</v>
          </cell>
          <cell r="BD639">
            <v>0</v>
          </cell>
          <cell r="BF639">
            <v>0</v>
          </cell>
          <cell r="BG639">
            <v>5460</v>
          </cell>
          <cell r="BH639">
            <v>5460</v>
          </cell>
          <cell r="BI639">
            <v>5208</v>
          </cell>
          <cell r="BJ639">
            <v>2.1700000000000004</v>
          </cell>
          <cell r="BK639">
            <v>0</v>
          </cell>
          <cell r="BL639">
            <v>364.56000000000006</v>
          </cell>
          <cell r="BM639">
            <v>5572.56</v>
          </cell>
          <cell r="BN639">
            <v>2.1700000000000004</v>
          </cell>
          <cell r="BO639">
            <v>-112.56000000000006</v>
          </cell>
          <cell r="BP639" t="str">
            <v>Y</v>
          </cell>
          <cell r="BQ639">
            <v>1</v>
          </cell>
          <cell r="BR639" t="str">
            <v>Y</v>
          </cell>
          <cell r="BS639">
            <v>0</v>
          </cell>
          <cell r="BT639" t="str">
            <v>Done</v>
          </cell>
          <cell r="BU639">
            <v>168</v>
          </cell>
          <cell r="BV639">
            <v>2024</v>
          </cell>
        </row>
        <row r="640">
          <cell r="A640" t="str">
            <v>Lucknow</v>
          </cell>
          <cell r="B640" t="str">
            <v>Trust</v>
          </cell>
          <cell r="C640" t="str">
            <v>Mid Level</v>
          </cell>
          <cell r="D640" t="str">
            <v>Bhanu Pratap Singh</v>
          </cell>
          <cell r="E640" t="str">
            <v>-</v>
          </cell>
          <cell r="F640">
            <v>0</v>
          </cell>
          <cell r="H640" t="str">
            <v>Pass Through</v>
          </cell>
          <cell r="J640" t="str">
            <v>ACH</v>
          </cell>
          <cell r="K640">
            <v>0</v>
          </cell>
          <cell r="L640" t="str">
            <v>Old</v>
          </cell>
          <cell r="M640">
            <v>45342</v>
          </cell>
          <cell r="N640">
            <v>1</v>
          </cell>
          <cell r="O640">
            <v>704</v>
          </cell>
          <cell r="P640" t="str">
            <v>-</v>
          </cell>
          <cell r="Q640">
            <v>45707</v>
          </cell>
          <cell r="R640" t="str">
            <v>PLC-3638</v>
          </cell>
          <cell r="S640" t="str">
            <v>Subashini Sughumaran</v>
          </cell>
          <cell r="T640" t="str">
            <v>Individual</v>
          </cell>
          <cell r="U640">
            <v>1099</v>
          </cell>
          <cell r="V640" t="str">
            <v>Birlasoft</v>
          </cell>
          <cell r="W640">
            <v>31</v>
          </cell>
          <cell r="X640">
            <v>46.5</v>
          </cell>
          <cell r="Y640" t="str">
            <v>USD</v>
          </cell>
          <cell r="Z640">
            <v>32.5</v>
          </cell>
          <cell r="AA640">
            <v>48.75</v>
          </cell>
          <cell r="AB640">
            <v>0</v>
          </cell>
          <cell r="AC640">
            <v>0</v>
          </cell>
          <cell r="AD640">
            <v>45762</v>
          </cell>
          <cell r="AE640">
            <v>22</v>
          </cell>
          <cell r="AF640">
            <v>46022</v>
          </cell>
          <cell r="AG640">
            <v>33.17</v>
          </cell>
          <cell r="AH640">
            <v>49.755000000000003</v>
          </cell>
          <cell r="AI640">
            <v>33.17</v>
          </cell>
          <cell r="AJ640">
            <v>32.5</v>
          </cell>
          <cell r="AK640">
            <v>48.75</v>
          </cell>
          <cell r="AL640">
            <v>-1.0050000000000026</v>
          </cell>
          <cell r="AM640">
            <v>-0.67000000000000171</v>
          </cell>
          <cell r="AN640">
            <v>-1.0050000000000026</v>
          </cell>
          <cell r="AO640">
            <v>-0.67000000000000171</v>
          </cell>
          <cell r="AP640">
            <v>-1.0050000000000026</v>
          </cell>
          <cell r="AQ640">
            <v>-0.67000000000000171</v>
          </cell>
          <cell r="AR640" t="str">
            <v>US_24783</v>
          </cell>
          <cell r="AS640">
            <v>0</v>
          </cell>
          <cell r="AT640">
            <v>152</v>
          </cell>
          <cell r="AU640">
            <v>152</v>
          </cell>
          <cell r="AV640">
            <v>0</v>
          </cell>
          <cell r="AW640">
            <v>-101.84000000000026</v>
          </cell>
          <cell r="AX640">
            <v>-100.82160000000026</v>
          </cell>
          <cell r="AY640">
            <v>-101.84000000000026</v>
          </cell>
          <cell r="AZ640">
            <v>0</v>
          </cell>
          <cell r="BA640">
            <v>0</v>
          </cell>
          <cell r="BB640">
            <v>0</v>
          </cell>
          <cell r="BD640">
            <v>0</v>
          </cell>
          <cell r="BF640">
            <v>0</v>
          </cell>
          <cell r="BG640">
            <v>4940</v>
          </cell>
          <cell r="BH640">
            <v>4940</v>
          </cell>
          <cell r="BI640">
            <v>4712</v>
          </cell>
          <cell r="BJ640">
            <v>2.1700000000000004</v>
          </cell>
          <cell r="BK640">
            <v>0</v>
          </cell>
          <cell r="BL640">
            <v>329.84000000000003</v>
          </cell>
          <cell r="BM640">
            <v>5041.84</v>
          </cell>
          <cell r="BN640">
            <v>2.1700000000000004</v>
          </cell>
          <cell r="BO640">
            <v>-101.84000000000003</v>
          </cell>
          <cell r="BP640" t="str">
            <v>Y</v>
          </cell>
          <cell r="BQ640">
            <v>2</v>
          </cell>
          <cell r="BR640" t="str">
            <v>Y</v>
          </cell>
          <cell r="BS640">
            <v>0</v>
          </cell>
          <cell r="BT640" t="str">
            <v>Done</v>
          </cell>
          <cell r="BU640">
            <v>152</v>
          </cell>
          <cell r="BV640">
            <v>2024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Rohit Gupta</v>
          </cell>
          <cell r="E641" t="str">
            <v>Vivek Yadav</v>
          </cell>
          <cell r="F641" t="str">
            <v>-</v>
          </cell>
          <cell r="G641" t="str">
            <v>-</v>
          </cell>
          <cell r="H641" t="str">
            <v>Anuj Tewari</v>
          </cell>
          <cell r="J641" t="str">
            <v>ACH</v>
          </cell>
          <cell r="K641" t="str">
            <v>-</v>
          </cell>
          <cell r="L641" t="str">
            <v>New</v>
          </cell>
          <cell r="M641">
            <v>45749</v>
          </cell>
          <cell r="N641">
            <v>2</v>
          </cell>
          <cell r="O641">
            <v>297</v>
          </cell>
          <cell r="P641" t="str">
            <v>-</v>
          </cell>
          <cell r="Q641">
            <v>46114</v>
          </cell>
          <cell r="R641" t="str">
            <v>PLC-4197</v>
          </cell>
          <cell r="S641" t="str">
            <v>Suchithira Vijayaraghavan</v>
          </cell>
          <cell r="T641" t="str">
            <v>Individual</v>
          </cell>
          <cell r="U641" t="str">
            <v>C2C</v>
          </cell>
          <cell r="V641" t="str">
            <v>Fanatics</v>
          </cell>
          <cell r="W641">
            <v>70</v>
          </cell>
          <cell r="X641">
            <v>0</v>
          </cell>
          <cell r="Y641" t="str">
            <v>USD</v>
          </cell>
          <cell r="Z641">
            <v>125</v>
          </cell>
          <cell r="AA641">
            <v>0</v>
          </cell>
          <cell r="AB641">
            <v>0</v>
          </cell>
          <cell r="AC641">
            <v>0</v>
          </cell>
          <cell r="AD641">
            <v>45762</v>
          </cell>
          <cell r="AE641">
            <v>21</v>
          </cell>
          <cell r="AF641">
            <v>46022</v>
          </cell>
          <cell r="AG641">
            <v>70</v>
          </cell>
          <cell r="AH641">
            <v>0</v>
          </cell>
          <cell r="AI641">
            <v>70</v>
          </cell>
          <cell r="AJ641">
            <v>125</v>
          </cell>
          <cell r="AK641">
            <v>0</v>
          </cell>
          <cell r="AL641">
            <v>0</v>
          </cell>
          <cell r="AM641">
            <v>20</v>
          </cell>
          <cell r="AN641">
            <v>0</v>
          </cell>
          <cell r="AO641">
            <v>20</v>
          </cell>
          <cell r="AP641">
            <v>0</v>
          </cell>
          <cell r="AQ641">
            <v>20</v>
          </cell>
          <cell r="AR641" t="str">
            <v>US_24935</v>
          </cell>
          <cell r="AS641">
            <v>0</v>
          </cell>
          <cell r="AT641">
            <v>144</v>
          </cell>
          <cell r="AU641">
            <v>144</v>
          </cell>
          <cell r="AV641">
            <v>0</v>
          </cell>
          <cell r="AW641">
            <v>2880</v>
          </cell>
          <cell r="AX641">
            <v>2851.2</v>
          </cell>
          <cell r="AY641">
            <v>2880</v>
          </cell>
          <cell r="AZ641">
            <v>133.33333333333331</v>
          </cell>
          <cell r="BA641">
            <v>32</v>
          </cell>
          <cell r="BB641">
            <v>4608</v>
          </cell>
          <cell r="BF641">
            <v>2851.2</v>
          </cell>
          <cell r="BG641">
            <v>18000</v>
          </cell>
          <cell r="BH641">
            <v>18000</v>
          </cell>
          <cell r="BI641">
            <v>10080</v>
          </cell>
          <cell r="BJ641">
            <v>0</v>
          </cell>
          <cell r="BK641">
            <v>0</v>
          </cell>
          <cell r="BL641">
            <v>0</v>
          </cell>
          <cell r="BM641">
            <v>10080</v>
          </cell>
          <cell r="BN641">
            <v>0</v>
          </cell>
          <cell r="BO641">
            <v>7920</v>
          </cell>
          <cell r="BP641" t="str">
            <v>Y</v>
          </cell>
          <cell r="BQ641">
            <v>2</v>
          </cell>
          <cell r="BR641" t="str">
            <v>Y</v>
          </cell>
          <cell r="BS641">
            <v>4608</v>
          </cell>
          <cell r="BT641" t="str">
            <v>Done</v>
          </cell>
          <cell r="BU641">
            <v>144</v>
          </cell>
          <cell r="BV641">
            <v>2025</v>
          </cell>
        </row>
        <row r="642">
          <cell r="A642" t="str">
            <v>Lucknow</v>
          </cell>
          <cell r="B642" t="str">
            <v>Mavericks</v>
          </cell>
          <cell r="C642" t="str">
            <v>Mid Level</v>
          </cell>
          <cell r="D642" t="str">
            <v>Kashif Nabi</v>
          </cell>
          <cell r="E642" t="str">
            <v>Mohammad Tariq</v>
          </cell>
          <cell r="F642" t="str">
            <v>Vivek Mishra</v>
          </cell>
          <cell r="H642" t="str">
            <v>Rahul Srivastava</v>
          </cell>
          <cell r="K642">
            <v>0</v>
          </cell>
          <cell r="L642" t="str">
            <v>Old</v>
          </cell>
          <cell r="M642">
            <v>45632</v>
          </cell>
          <cell r="N642">
            <v>4</v>
          </cell>
          <cell r="O642">
            <v>414</v>
          </cell>
          <cell r="P642">
            <v>45680</v>
          </cell>
          <cell r="Q642">
            <v>45997</v>
          </cell>
          <cell r="R642" t="str">
            <v>PLC-4066</v>
          </cell>
          <cell r="S642" t="str">
            <v>Sukanya Salapu</v>
          </cell>
          <cell r="T642" t="str">
            <v>Split</v>
          </cell>
          <cell r="U642" t="str">
            <v>C2C</v>
          </cell>
          <cell r="V642" t="str">
            <v>Synechron</v>
          </cell>
          <cell r="W642">
            <v>50</v>
          </cell>
          <cell r="X642">
            <v>0</v>
          </cell>
          <cell r="Y642" t="str">
            <v>CAD</v>
          </cell>
          <cell r="Z642">
            <v>55</v>
          </cell>
          <cell r="AA642">
            <v>0</v>
          </cell>
          <cell r="AB642">
            <v>0</v>
          </cell>
          <cell r="AC642">
            <v>0</v>
          </cell>
          <cell r="AD642">
            <v>45672</v>
          </cell>
          <cell r="AE642">
            <v>17</v>
          </cell>
          <cell r="AF642">
            <v>46022</v>
          </cell>
          <cell r="AG642">
            <v>35.5</v>
          </cell>
          <cell r="AH642">
            <v>0</v>
          </cell>
          <cell r="AI642">
            <v>35.5</v>
          </cell>
          <cell r="AJ642">
            <v>39.049999999999997</v>
          </cell>
          <cell r="AK642">
            <v>0</v>
          </cell>
          <cell r="AL642">
            <v>0</v>
          </cell>
          <cell r="AM642">
            <v>3.5499999999999972</v>
          </cell>
          <cell r="AN642">
            <v>0</v>
          </cell>
          <cell r="AO642">
            <v>1.7749999999999986</v>
          </cell>
          <cell r="AP642">
            <v>0</v>
          </cell>
          <cell r="AQ642">
            <v>1.7749999999999986</v>
          </cell>
          <cell r="AR642" t="str">
            <v>CAD_1416</v>
          </cell>
          <cell r="AS642">
            <v>0</v>
          </cell>
          <cell r="AT642">
            <v>104</v>
          </cell>
          <cell r="AU642">
            <v>104</v>
          </cell>
          <cell r="AV642">
            <v>0</v>
          </cell>
          <cell r="AW642">
            <v>184.59999999999985</v>
          </cell>
          <cell r="AX642">
            <v>184.59999999999985</v>
          </cell>
          <cell r="AY642">
            <v>184.59999999999985</v>
          </cell>
          <cell r="AZ642">
            <v>50</v>
          </cell>
          <cell r="BA642">
            <v>2.8399999999999976</v>
          </cell>
          <cell r="BB642">
            <v>295.35999999999973</v>
          </cell>
          <cell r="BD642">
            <v>184.59999999999985</v>
          </cell>
          <cell r="BF642">
            <v>184.59999999999985</v>
          </cell>
          <cell r="BG642">
            <v>2860</v>
          </cell>
          <cell r="BH642">
            <v>2030.6</v>
          </cell>
          <cell r="BI642">
            <v>2600</v>
          </cell>
          <cell r="BJ642">
            <v>0</v>
          </cell>
          <cell r="BK642">
            <v>0</v>
          </cell>
          <cell r="BL642">
            <v>0</v>
          </cell>
          <cell r="BM642">
            <v>2600</v>
          </cell>
          <cell r="BN642">
            <v>0</v>
          </cell>
          <cell r="BO642">
            <v>-569.40000000000009</v>
          </cell>
          <cell r="BP642" t="str">
            <v>Y</v>
          </cell>
          <cell r="BQ642">
            <v>1</v>
          </cell>
          <cell r="BR642" t="str">
            <v>Y</v>
          </cell>
          <cell r="BS642">
            <v>295.35999999999973</v>
          </cell>
          <cell r="BT642" t="str">
            <v>Done</v>
          </cell>
          <cell r="BU642">
            <v>104</v>
          </cell>
          <cell r="BV642">
            <v>2024</v>
          </cell>
        </row>
        <row r="643">
          <cell r="A643" t="str">
            <v>Lucknow</v>
          </cell>
          <cell r="B643" t="str">
            <v>Trust</v>
          </cell>
          <cell r="C643" t="str">
            <v>Mid Level</v>
          </cell>
          <cell r="D643" t="str">
            <v>Vivek Mishra</v>
          </cell>
          <cell r="E643" t="str">
            <v>-</v>
          </cell>
          <cell r="F643" t="str">
            <v>Mohammad Tariq</v>
          </cell>
          <cell r="H643" t="str">
            <v>Rahul Srivastava</v>
          </cell>
          <cell r="K643">
            <v>0</v>
          </cell>
          <cell r="L643" t="str">
            <v>Old</v>
          </cell>
          <cell r="M643">
            <v>45632</v>
          </cell>
          <cell r="N643">
            <v>4</v>
          </cell>
          <cell r="O643">
            <v>414</v>
          </cell>
          <cell r="P643">
            <v>45680</v>
          </cell>
          <cell r="Q643">
            <v>45997</v>
          </cell>
          <cell r="R643" t="str">
            <v>PLC-4066</v>
          </cell>
          <cell r="S643" t="str">
            <v>Sukanya Salapu</v>
          </cell>
          <cell r="T643" t="str">
            <v>Split</v>
          </cell>
          <cell r="U643" t="str">
            <v>C2C</v>
          </cell>
          <cell r="V643" t="str">
            <v>Synechron</v>
          </cell>
          <cell r="W643">
            <v>50</v>
          </cell>
          <cell r="X643">
            <v>0</v>
          </cell>
          <cell r="Y643" t="str">
            <v>CAD</v>
          </cell>
          <cell r="Z643">
            <v>55</v>
          </cell>
          <cell r="AA643">
            <v>0</v>
          </cell>
          <cell r="AB643">
            <v>0</v>
          </cell>
          <cell r="AC643">
            <v>0</v>
          </cell>
          <cell r="AD643">
            <v>45672</v>
          </cell>
          <cell r="AE643">
            <v>17</v>
          </cell>
          <cell r="AF643">
            <v>46022</v>
          </cell>
          <cell r="AG643">
            <v>35.5</v>
          </cell>
          <cell r="AH643">
            <v>0</v>
          </cell>
          <cell r="AI643">
            <v>35.5</v>
          </cell>
          <cell r="AJ643">
            <v>39.049999999999997</v>
          </cell>
          <cell r="AK643">
            <v>0</v>
          </cell>
          <cell r="AL643">
            <v>0</v>
          </cell>
          <cell r="AM643">
            <v>3.5499999999999972</v>
          </cell>
          <cell r="AN643">
            <v>0</v>
          </cell>
          <cell r="AO643">
            <v>1.7749999999999986</v>
          </cell>
          <cell r="AP643">
            <v>0</v>
          </cell>
          <cell r="AQ643">
            <v>1.7749999999999986</v>
          </cell>
          <cell r="AR643" t="str">
            <v>CAD_1416</v>
          </cell>
          <cell r="AS643">
            <v>0</v>
          </cell>
          <cell r="AT643">
            <v>104</v>
          </cell>
          <cell r="AU643">
            <v>104</v>
          </cell>
          <cell r="AV643">
            <v>0</v>
          </cell>
          <cell r="AW643">
            <v>184.59999999999985</v>
          </cell>
          <cell r="AX643">
            <v>184.59999999999985</v>
          </cell>
          <cell r="AY643">
            <v>184.59999999999985</v>
          </cell>
          <cell r="AZ643">
            <v>50</v>
          </cell>
          <cell r="BA643">
            <v>2.8399999999999976</v>
          </cell>
          <cell r="BB643">
            <v>295.35999999999973</v>
          </cell>
          <cell r="BD643">
            <v>184.59999999999985</v>
          </cell>
          <cell r="BF643">
            <v>184.59999999999985</v>
          </cell>
          <cell r="BG643">
            <v>2860</v>
          </cell>
          <cell r="BH643">
            <v>2030.6</v>
          </cell>
          <cell r="BI643">
            <v>2600</v>
          </cell>
          <cell r="BJ643">
            <v>0</v>
          </cell>
          <cell r="BK643">
            <v>0</v>
          </cell>
          <cell r="BL643">
            <v>0</v>
          </cell>
          <cell r="BM643">
            <v>2600</v>
          </cell>
          <cell r="BN643">
            <v>0</v>
          </cell>
          <cell r="BO643">
            <v>-569.40000000000009</v>
          </cell>
          <cell r="BP643" t="str">
            <v>Y</v>
          </cell>
          <cell r="BQ643">
            <v>1</v>
          </cell>
          <cell r="BR643" t="str">
            <v>Y</v>
          </cell>
          <cell r="BS643">
            <v>295.35999999999973</v>
          </cell>
          <cell r="BT643" t="str">
            <v>Done</v>
          </cell>
          <cell r="BU643">
            <v>104</v>
          </cell>
          <cell r="BV643">
            <v>2024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Kashif Nabi</v>
          </cell>
          <cell r="E644" t="str">
            <v>-</v>
          </cell>
          <cell r="H644" t="str">
            <v>Harshita Mani Srivastava</v>
          </cell>
          <cell r="L644" t="str">
            <v>New</v>
          </cell>
          <cell r="M644">
            <v>45670</v>
          </cell>
          <cell r="N644">
            <v>1</v>
          </cell>
          <cell r="O644">
            <v>376</v>
          </cell>
          <cell r="P644">
            <v>45820</v>
          </cell>
          <cell r="Q644">
            <v>46035</v>
          </cell>
          <cell r="R644" t="str">
            <v>PLC-4069</v>
          </cell>
          <cell r="S644" t="str">
            <v>Sukruth Shiva Swamy</v>
          </cell>
          <cell r="T644" t="str">
            <v>Individual</v>
          </cell>
          <cell r="U644" t="str">
            <v>C2C</v>
          </cell>
          <cell r="V644" t="str">
            <v>Genpact</v>
          </cell>
          <cell r="W644">
            <v>74</v>
          </cell>
          <cell r="X644">
            <v>0</v>
          </cell>
          <cell r="Y644" t="str">
            <v>CAD</v>
          </cell>
          <cell r="Z644">
            <v>93.79</v>
          </cell>
          <cell r="AA644">
            <v>0</v>
          </cell>
          <cell r="AB644">
            <v>0</v>
          </cell>
          <cell r="AC644">
            <v>0</v>
          </cell>
          <cell r="AD644">
            <v>45672</v>
          </cell>
          <cell r="AE644">
            <v>15</v>
          </cell>
          <cell r="AF644">
            <v>46022</v>
          </cell>
          <cell r="AG644">
            <v>52.54</v>
          </cell>
          <cell r="AH644">
            <v>0</v>
          </cell>
          <cell r="AI644">
            <v>52.54</v>
          </cell>
          <cell r="AJ644">
            <v>66.590900000000005</v>
          </cell>
          <cell r="AK644">
            <v>0</v>
          </cell>
          <cell r="AL644">
            <v>0</v>
          </cell>
          <cell r="AM644">
            <v>14.050900000000006</v>
          </cell>
          <cell r="AN644">
            <v>0</v>
          </cell>
          <cell r="AO644">
            <v>14.050900000000006</v>
          </cell>
          <cell r="AP644">
            <v>0</v>
          </cell>
          <cell r="AQ644">
            <v>14.050900000000006</v>
          </cell>
          <cell r="AR644" t="str">
            <v>CAD_1422</v>
          </cell>
          <cell r="AS644">
            <v>0</v>
          </cell>
          <cell r="AT644">
            <v>120</v>
          </cell>
          <cell r="AU644">
            <v>120</v>
          </cell>
          <cell r="AV644">
            <v>0</v>
          </cell>
          <cell r="AW644">
            <v>1686.1080000000006</v>
          </cell>
          <cell r="AX644">
            <v>1686.1080000000006</v>
          </cell>
          <cell r="AY644">
            <v>1686.1080000000006</v>
          </cell>
          <cell r="AZ644">
            <v>100</v>
          </cell>
          <cell r="BA644">
            <v>22.48144000000001</v>
          </cell>
          <cell r="BB644">
            <v>2697.7728000000011</v>
          </cell>
          <cell r="BF644">
            <v>1686.1080000000006</v>
          </cell>
          <cell r="BG644">
            <v>11254.800000000001</v>
          </cell>
          <cell r="BH644">
            <v>7990.9080000000004</v>
          </cell>
          <cell r="BI644">
            <v>6579.192</v>
          </cell>
          <cell r="BJ644">
            <v>0</v>
          </cell>
          <cell r="BK644">
            <v>0</v>
          </cell>
          <cell r="BL644">
            <v>0</v>
          </cell>
          <cell r="BM644">
            <v>6579.192</v>
          </cell>
          <cell r="BN644">
            <v>0</v>
          </cell>
          <cell r="BO644">
            <v>1411.7160000000003</v>
          </cell>
          <cell r="BP644" t="str">
            <v>Y</v>
          </cell>
          <cell r="BQ644">
            <v>1</v>
          </cell>
          <cell r="BR644" t="str">
            <v>Y</v>
          </cell>
          <cell r="BS644">
            <v>2697.7728000000011</v>
          </cell>
          <cell r="BT644" t="str">
            <v>Done</v>
          </cell>
          <cell r="BU644">
            <v>120</v>
          </cell>
          <cell r="BV644">
            <v>2025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Kashif Nabi</v>
          </cell>
          <cell r="E645" t="str">
            <v>-</v>
          </cell>
          <cell r="H645" t="str">
            <v>Harshita Mani Srivastava</v>
          </cell>
          <cell r="L645" t="str">
            <v>New</v>
          </cell>
          <cell r="M645">
            <v>45670</v>
          </cell>
          <cell r="N645">
            <v>1</v>
          </cell>
          <cell r="O645">
            <v>376</v>
          </cell>
          <cell r="P645">
            <v>45820</v>
          </cell>
          <cell r="Q645">
            <v>46035</v>
          </cell>
          <cell r="R645" t="str">
            <v>PLC-4069</v>
          </cell>
          <cell r="S645" t="str">
            <v>Sukruth Shiva Swamy</v>
          </cell>
          <cell r="T645" t="str">
            <v>Individual</v>
          </cell>
          <cell r="U645" t="str">
            <v>C2C</v>
          </cell>
          <cell r="V645" t="str">
            <v>Genpact</v>
          </cell>
          <cell r="W645">
            <v>74</v>
          </cell>
          <cell r="X645">
            <v>0</v>
          </cell>
          <cell r="Y645" t="str">
            <v>CAD</v>
          </cell>
          <cell r="Z645">
            <v>93.79</v>
          </cell>
          <cell r="AA645">
            <v>0</v>
          </cell>
          <cell r="AB645">
            <v>0</v>
          </cell>
          <cell r="AC645">
            <v>0</v>
          </cell>
          <cell r="AD645">
            <v>45703</v>
          </cell>
          <cell r="AE645">
            <v>20</v>
          </cell>
          <cell r="AF645">
            <v>46022</v>
          </cell>
          <cell r="AG645">
            <v>52.54</v>
          </cell>
          <cell r="AH645">
            <v>0</v>
          </cell>
          <cell r="AI645">
            <v>52.54</v>
          </cell>
          <cell r="AJ645">
            <v>66.590900000000005</v>
          </cell>
          <cell r="AK645">
            <v>0</v>
          </cell>
          <cell r="AL645">
            <v>0</v>
          </cell>
          <cell r="AM645">
            <v>14.050900000000006</v>
          </cell>
          <cell r="AN645">
            <v>0</v>
          </cell>
          <cell r="AO645">
            <v>14.050900000000006</v>
          </cell>
          <cell r="AP645">
            <v>0</v>
          </cell>
          <cell r="AQ645">
            <v>14.050900000000006</v>
          </cell>
          <cell r="AR645" t="str">
            <v>CAD_1446</v>
          </cell>
          <cell r="AS645">
            <v>0</v>
          </cell>
          <cell r="AT645">
            <v>160</v>
          </cell>
          <cell r="AU645">
            <v>160</v>
          </cell>
          <cell r="AV645">
            <v>0</v>
          </cell>
          <cell r="AW645">
            <v>2248.1440000000011</v>
          </cell>
          <cell r="AX645">
            <v>2248.1440000000011</v>
          </cell>
          <cell r="AY645">
            <v>2248.1440000000011</v>
          </cell>
          <cell r="AZ645">
            <v>100</v>
          </cell>
          <cell r="BA645">
            <v>22.48144000000001</v>
          </cell>
          <cell r="BB645">
            <v>3597.0304000000015</v>
          </cell>
          <cell r="BF645">
            <v>2248.1440000000011</v>
          </cell>
          <cell r="BG645">
            <v>15006.400000000001</v>
          </cell>
          <cell r="BH645">
            <v>10654.544000000002</v>
          </cell>
          <cell r="BI645">
            <v>8772.2559999999994</v>
          </cell>
          <cell r="BJ645">
            <v>0</v>
          </cell>
          <cell r="BK645">
            <v>0</v>
          </cell>
          <cell r="BL645">
            <v>0</v>
          </cell>
          <cell r="BM645">
            <v>8772.2559999999994</v>
          </cell>
          <cell r="BN645">
            <v>0</v>
          </cell>
          <cell r="BO645">
            <v>1882.2880000000023</v>
          </cell>
          <cell r="BP645" t="str">
            <v>Y</v>
          </cell>
          <cell r="BQ645">
            <v>1</v>
          </cell>
          <cell r="BR645" t="str">
            <v>Y</v>
          </cell>
          <cell r="BS645">
            <v>3597.0304000000015</v>
          </cell>
          <cell r="BT645" t="str">
            <v>Done</v>
          </cell>
          <cell r="BU645">
            <v>160</v>
          </cell>
          <cell r="BV645">
            <v>2025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Kashif Nabi</v>
          </cell>
          <cell r="E646" t="str">
            <v>-</v>
          </cell>
          <cell r="H646" t="str">
            <v>Harshita Mani Srivastava</v>
          </cell>
          <cell r="L646" t="str">
            <v>New</v>
          </cell>
          <cell r="M646">
            <v>45670</v>
          </cell>
          <cell r="N646">
            <v>1</v>
          </cell>
          <cell r="O646">
            <v>376</v>
          </cell>
          <cell r="P646">
            <v>45820</v>
          </cell>
          <cell r="Q646">
            <v>46035</v>
          </cell>
          <cell r="R646" t="str">
            <v>PLC-4069</v>
          </cell>
          <cell r="S646" t="str">
            <v>Sukruth Shiva Swamy</v>
          </cell>
          <cell r="T646" t="str">
            <v>Individual</v>
          </cell>
          <cell r="U646" t="str">
            <v>C2C</v>
          </cell>
          <cell r="V646" t="str">
            <v>Genpact</v>
          </cell>
          <cell r="W646">
            <v>74</v>
          </cell>
          <cell r="X646">
            <v>0</v>
          </cell>
          <cell r="Y646" t="str">
            <v>CAD</v>
          </cell>
          <cell r="Z646">
            <v>93.79</v>
          </cell>
          <cell r="AA646">
            <v>0</v>
          </cell>
          <cell r="AB646">
            <v>0</v>
          </cell>
          <cell r="AC646">
            <v>0</v>
          </cell>
          <cell r="AD646">
            <v>45731</v>
          </cell>
          <cell r="AE646">
            <v>21</v>
          </cell>
          <cell r="AF646">
            <v>46022</v>
          </cell>
          <cell r="AG646">
            <v>52.54</v>
          </cell>
          <cell r="AH646">
            <v>0</v>
          </cell>
          <cell r="AI646">
            <v>52.54</v>
          </cell>
          <cell r="AJ646">
            <v>66.590900000000005</v>
          </cell>
          <cell r="AK646">
            <v>0</v>
          </cell>
          <cell r="AL646">
            <v>0</v>
          </cell>
          <cell r="AM646">
            <v>14.050900000000006</v>
          </cell>
          <cell r="AN646">
            <v>0</v>
          </cell>
          <cell r="AO646">
            <v>14.050900000000006</v>
          </cell>
          <cell r="AP646">
            <v>0</v>
          </cell>
          <cell r="AQ646">
            <v>14.050900000000006</v>
          </cell>
          <cell r="AR646" t="str">
            <v>CAD_1471</v>
          </cell>
          <cell r="AS646">
            <v>0</v>
          </cell>
          <cell r="AT646">
            <v>168</v>
          </cell>
          <cell r="AU646">
            <v>168</v>
          </cell>
          <cell r="AV646">
            <v>0</v>
          </cell>
          <cell r="AW646">
            <v>2360.5512000000008</v>
          </cell>
          <cell r="AX646">
            <v>2360.5512000000008</v>
          </cell>
          <cell r="AY646">
            <v>2360.5512000000008</v>
          </cell>
          <cell r="AZ646">
            <v>100</v>
          </cell>
          <cell r="BA646">
            <v>22.48144000000001</v>
          </cell>
          <cell r="BB646">
            <v>3776.8819200000016</v>
          </cell>
          <cell r="BF646">
            <v>2360.5512000000008</v>
          </cell>
          <cell r="BG646">
            <v>15756.720000000001</v>
          </cell>
          <cell r="BH646">
            <v>11187.271200000001</v>
          </cell>
          <cell r="BI646">
            <v>9210.8688000000002</v>
          </cell>
          <cell r="BJ646">
            <v>0</v>
          </cell>
          <cell r="BK646">
            <v>0</v>
          </cell>
          <cell r="BL646">
            <v>0</v>
          </cell>
          <cell r="BM646">
            <v>9210.8688000000002</v>
          </cell>
          <cell r="BN646">
            <v>0</v>
          </cell>
          <cell r="BO646">
            <v>1976.4024000000009</v>
          </cell>
          <cell r="BP646" t="str">
            <v>Y</v>
          </cell>
          <cell r="BQ646">
            <v>1</v>
          </cell>
          <cell r="BR646" t="str">
            <v>Y</v>
          </cell>
          <cell r="BS646">
            <v>3776.8819200000016</v>
          </cell>
          <cell r="BT646" t="str">
            <v>Done</v>
          </cell>
          <cell r="BU646">
            <v>168</v>
          </cell>
          <cell r="BV646">
            <v>2025</v>
          </cell>
        </row>
        <row r="647">
          <cell r="A647" t="str">
            <v>Lucknow</v>
          </cell>
          <cell r="B647" t="str">
            <v>Mavericks</v>
          </cell>
          <cell r="C647" t="str">
            <v>Mid Level</v>
          </cell>
          <cell r="D647" t="str">
            <v>Kashif Nabi</v>
          </cell>
          <cell r="E647" t="str">
            <v>-</v>
          </cell>
          <cell r="H647" t="str">
            <v>Harshita Mani Srivastava</v>
          </cell>
          <cell r="L647" t="str">
            <v>New</v>
          </cell>
          <cell r="M647">
            <v>45670</v>
          </cell>
          <cell r="N647">
            <v>1</v>
          </cell>
          <cell r="O647">
            <v>376</v>
          </cell>
          <cell r="P647">
            <v>45820</v>
          </cell>
          <cell r="Q647">
            <v>46035</v>
          </cell>
          <cell r="R647" t="str">
            <v>PLC-4069</v>
          </cell>
          <cell r="S647" t="str">
            <v>Sukruth Shiva Swamy</v>
          </cell>
          <cell r="T647" t="str">
            <v>Individual</v>
          </cell>
          <cell r="U647" t="str">
            <v>C2C</v>
          </cell>
          <cell r="V647" t="str">
            <v>Genpact</v>
          </cell>
          <cell r="W647">
            <v>74</v>
          </cell>
          <cell r="X647">
            <v>0</v>
          </cell>
          <cell r="Y647" t="str">
            <v>CAD</v>
          </cell>
          <cell r="Z647">
            <v>93.79</v>
          </cell>
          <cell r="AA647">
            <v>0</v>
          </cell>
          <cell r="AB647">
            <v>0</v>
          </cell>
          <cell r="AC647">
            <v>0</v>
          </cell>
          <cell r="AD647">
            <v>45762</v>
          </cell>
          <cell r="AE647">
            <v>22</v>
          </cell>
          <cell r="AF647">
            <v>46022</v>
          </cell>
          <cell r="AG647">
            <v>52.54</v>
          </cell>
          <cell r="AH647">
            <v>0</v>
          </cell>
          <cell r="AI647">
            <v>52.54</v>
          </cell>
          <cell r="AJ647">
            <v>66.590900000000005</v>
          </cell>
          <cell r="AK647">
            <v>0</v>
          </cell>
          <cell r="AL647">
            <v>0</v>
          </cell>
          <cell r="AM647">
            <v>14.050900000000006</v>
          </cell>
          <cell r="AN647">
            <v>0</v>
          </cell>
          <cell r="AO647">
            <v>14.050900000000006</v>
          </cell>
          <cell r="AP647">
            <v>0</v>
          </cell>
          <cell r="AQ647">
            <v>14.050900000000006</v>
          </cell>
          <cell r="AR647" t="str">
            <v>CAD_1494</v>
          </cell>
          <cell r="AS647">
            <v>0</v>
          </cell>
          <cell r="AT647">
            <v>176</v>
          </cell>
          <cell r="AU647">
            <v>176</v>
          </cell>
          <cell r="AV647">
            <v>0</v>
          </cell>
          <cell r="AW647">
            <v>2472.9584000000009</v>
          </cell>
          <cell r="AX647">
            <v>2472.9584000000009</v>
          </cell>
          <cell r="AY647">
            <v>2472.9584000000009</v>
          </cell>
          <cell r="AZ647">
            <v>100</v>
          </cell>
          <cell r="BA647">
            <v>22.48144000000001</v>
          </cell>
          <cell r="BB647">
            <v>3956.7334400000018</v>
          </cell>
          <cell r="BF647">
            <v>2472.9584000000009</v>
          </cell>
          <cell r="BG647">
            <v>16507.04</v>
          </cell>
          <cell r="BH647">
            <v>11719.9984</v>
          </cell>
          <cell r="BI647">
            <v>9649.4815999999992</v>
          </cell>
          <cell r="BJ647">
            <v>0</v>
          </cell>
          <cell r="BK647">
            <v>0</v>
          </cell>
          <cell r="BL647">
            <v>0</v>
          </cell>
          <cell r="BM647">
            <v>9649.4815999999992</v>
          </cell>
          <cell r="BN647">
            <v>0</v>
          </cell>
          <cell r="BO647">
            <v>2070.5168000000012</v>
          </cell>
          <cell r="BP647" t="str">
            <v>Y</v>
          </cell>
          <cell r="BQ647">
            <v>2</v>
          </cell>
          <cell r="BR647" t="str">
            <v>N</v>
          </cell>
          <cell r="BS647">
            <v>3956.7334400000018</v>
          </cell>
          <cell r="BT647" t="str">
            <v>Done</v>
          </cell>
          <cell r="BU647">
            <v>176</v>
          </cell>
          <cell r="BV647">
            <v>2025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E648" t="str">
            <v>Nitin Saxena</v>
          </cell>
          <cell r="H648" t="str">
            <v>Samad Quraishi</v>
          </cell>
          <cell r="J648" t="str">
            <v>ACH</v>
          </cell>
          <cell r="K648">
            <v>0</v>
          </cell>
          <cell r="L648" t="str">
            <v>Old</v>
          </cell>
          <cell r="M648">
            <v>45365</v>
          </cell>
          <cell r="N648">
            <v>1</v>
          </cell>
          <cell r="O648">
            <v>681</v>
          </cell>
          <cell r="P648">
            <v>45742</v>
          </cell>
          <cell r="Q648">
            <v>45730</v>
          </cell>
          <cell r="R648" t="str">
            <v>PLC-3673</v>
          </cell>
          <cell r="S648" t="str">
            <v>Sumanth Muduthanapelli</v>
          </cell>
          <cell r="T648" t="str">
            <v>Individual</v>
          </cell>
          <cell r="U648">
            <v>1099</v>
          </cell>
          <cell r="V648" t="str">
            <v>Genpact</v>
          </cell>
          <cell r="W648">
            <v>20</v>
          </cell>
          <cell r="X648">
            <v>30</v>
          </cell>
          <cell r="Y648" t="str">
            <v>USD</v>
          </cell>
          <cell r="Z648">
            <v>28</v>
          </cell>
          <cell r="AA648">
            <v>42</v>
          </cell>
          <cell r="AB648">
            <v>0</v>
          </cell>
          <cell r="AC648">
            <v>0</v>
          </cell>
          <cell r="AD648">
            <v>45672</v>
          </cell>
          <cell r="AE648">
            <v>22</v>
          </cell>
          <cell r="AF648">
            <v>46022</v>
          </cell>
          <cell r="AG648">
            <v>21.400000000000002</v>
          </cell>
          <cell r="AH648">
            <v>32.1</v>
          </cell>
          <cell r="AI648">
            <v>21.400000000000002</v>
          </cell>
          <cell r="AJ648">
            <v>28</v>
          </cell>
          <cell r="AK648">
            <v>42</v>
          </cell>
          <cell r="AL648">
            <v>9.8999999999999986</v>
          </cell>
          <cell r="AM648">
            <v>6.5999999999999979</v>
          </cell>
          <cell r="AN648">
            <v>9.8999999999999986</v>
          </cell>
          <cell r="AO648">
            <v>6.5999999999999979</v>
          </cell>
          <cell r="AP648">
            <v>9.8999999999999986</v>
          </cell>
          <cell r="AQ648">
            <v>6.5999999999999979</v>
          </cell>
          <cell r="AR648" t="str">
            <v>US_24219</v>
          </cell>
          <cell r="AS648">
            <v>24</v>
          </cell>
          <cell r="AT648">
            <v>180</v>
          </cell>
          <cell r="AU648">
            <v>180</v>
          </cell>
          <cell r="AV648">
            <v>237.59999999999997</v>
          </cell>
          <cell r="AW648">
            <v>1187.9999999999995</v>
          </cell>
          <cell r="AX648">
            <v>1411.3439999999994</v>
          </cell>
          <cell r="AY648">
            <v>1187.9999999999995</v>
          </cell>
          <cell r="AZ648">
            <v>100</v>
          </cell>
          <cell r="BA648">
            <v>22.439999999999991</v>
          </cell>
          <cell r="BB648">
            <v>4039.1999999999985</v>
          </cell>
          <cell r="BC648">
            <v>63</v>
          </cell>
          <cell r="BD648">
            <v>1187.9999999999995</v>
          </cell>
          <cell r="BE648">
            <v>1425.5999999999995</v>
          </cell>
          <cell r="BF648">
            <v>1411.3439999999994</v>
          </cell>
          <cell r="BG648">
            <v>5040</v>
          </cell>
          <cell r="BH648">
            <v>5040</v>
          </cell>
          <cell r="BI648">
            <v>3600</v>
          </cell>
          <cell r="BJ648">
            <v>1.4000000000000001</v>
          </cell>
          <cell r="BK648">
            <v>0</v>
          </cell>
          <cell r="BL648">
            <v>252.00000000000003</v>
          </cell>
          <cell r="BM648">
            <v>3852</v>
          </cell>
          <cell r="BN648">
            <v>1.4000000000000001</v>
          </cell>
          <cell r="BO648">
            <v>1188</v>
          </cell>
          <cell r="BP648" t="str">
            <v>Y</v>
          </cell>
          <cell r="BQ648">
            <v>1</v>
          </cell>
          <cell r="BR648" t="str">
            <v>Y</v>
          </cell>
          <cell r="BS648">
            <v>4039.1999999999985</v>
          </cell>
          <cell r="BT648" t="str">
            <v>Done</v>
          </cell>
          <cell r="BU648">
            <v>180</v>
          </cell>
          <cell r="BV648">
            <v>2024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Nitin Saxena</v>
          </cell>
          <cell r="E649" t="str">
            <v>Nitin Saxena</v>
          </cell>
          <cell r="H649" t="str">
            <v>Samad Quraishi</v>
          </cell>
          <cell r="J649" t="str">
            <v>ACH</v>
          </cell>
          <cell r="K649">
            <v>0</v>
          </cell>
          <cell r="L649" t="str">
            <v>Old</v>
          </cell>
          <cell r="M649">
            <v>45365</v>
          </cell>
          <cell r="N649">
            <v>1</v>
          </cell>
          <cell r="O649">
            <v>681</v>
          </cell>
          <cell r="P649">
            <v>45742</v>
          </cell>
          <cell r="Q649">
            <v>45730</v>
          </cell>
          <cell r="R649" t="str">
            <v>PLC-3673</v>
          </cell>
          <cell r="S649" t="str">
            <v>Sumanth Muduthanapelli</v>
          </cell>
          <cell r="T649" t="str">
            <v>Individual</v>
          </cell>
          <cell r="U649">
            <v>1099</v>
          </cell>
          <cell r="V649" t="str">
            <v>Genpact</v>
          </cell>
          <cell r="W649">
            <v>20</v>
          </cell>
          <cell r="X649">
            <v>30</v>
          </cell>
          <cell r="Y649" t="str">
            <v>USD</v>
          </cell>
          <cell r="Z649">
            <v>28</v>
          </cell>
          <cell r="AA649">
            <v>42</v>
          </cell>
          <cell r="AB649">
            <v>0</v>
          </cell>
          <cell r="AC649">
            <v>0</v>
          </cell>
          <cell r="AD649">
            <v>45703</v>
          </cell>
          <cell r="AE649">
            <v>20</v>
          </cell>
          <cell r="AF649">
            <v>46022</v>
          </cell>
          <cell r="AG649">
            <v>21.400000000000002</v>
          </cell>
          <cell r="AH649">
            <v>32.1</v>
          </cell>
          <cell r="AI649">
            <v>21.400000000000002</v>
          </cell>
          <cell r="AJ649">
            <v>28</v>
          </cell>
          <cell r="AK649">
            <v>42</v>
          </cell>
          <cell r="AL649">
            <v>9.8999999999999986</v>
          </cell>
          <cell r="AM649">
            <v>6.5999999999999979</v>
          </cell>
          <cell r="AN649">
            <v>9.8999999999999986</v>
          </cell>
          <cell r="AO649">
            <v>6.5999999999999979</v>
          </cell>
          <cell r="AP649">
            <v>9.8999999999999986</v>
          </cell>
          <cell r="AQ649">
            <v>6.5999999999999979</v>
          </cell>
          <cell r="AR649" t="str">
            <v>US_24426</v>
          </cell>
          <cell r="AS649">
            <v>6</v>
          </cell>
          <cell r="AT649">
            <v>160</v>
          </cell>
          <cell r="AU649">
            <v>160</v>
          </cell>
          <cell r="AV649">
            <v>59.399999999999991</v>
          </cell>
          <cell r="AW649">
            <v>1055.9999999999995</v>
          </cell>
          <cell r="AX649">
            <v>1104.2459999999996</v>
          </cell>
          <cell r="AY649">
            <v>1055.9999999999995</v>
          </cell>
          <cell r="AZ649">
            <v>100</v>
          </cell>
          <cell r="BA649">
            <v>22.439999999999991</v>
          </cell>
          <cell r="BB649">
            <v>3590.3999999999987</v>
          </cell>
          <cell r="BC649">
            <v>63</v>
          </cell>
          <cell r="BD649">
            <v>1055.9999999999995</v>
          </cell>
          <cell r="BE649">
            <v>1267.1999999999994</v>
          </cell>
          <cell r="BF649">
            <v>1104.2459999999996</v>
          </cell>
          <cell r="BG649">
            <v>4480</v>
          </cell>
          <cell r="BH649">
            <v>4480</v>
          </cell>
          <cell r="BI649">
            <v>3200</v>
          </cell>
          <cell r="BJ649">
            <v>1.4000000000000001</v>
          </cell>
          <cell r="BK649">
            <v>0</v>
          </cell>
          <cell r="BL649">
            <v>224.00000000000003</v>
          </cell>
          <cell r="BM649">
            <v>3424</v>
          </cell>
          <cell r="BN649">
            <v>1.4000000000000001</v>
          </cell>
          <cell r="BO649">
            <v>1056</v>
          </cell>
          <cell r="BP649" t="str">
            <v>Y</v>
          </cell>
          <cell r="BQ649">
            <v>1</v>
          </cell>
          <cell r="BR649" t="str">
            <v>Y</v>
          </cell>
          <cell r="BS649">
            <v>3590.3999999999987</v>
          </cell>
          <cell r="BT649" t="str">
            <v>Done</v>
          </cell>
          <cell r="BU649">
            <v>160</v>
          </cell>
          <cell r="BV649">
            <v>2024</v>
          </cell>
        </row>
        <row r="650">
          <cell r="A650" t="str">
            <v>Lucknow</v>
          </cell>
          <cell r="B650" t="str">
            <v>Titans</v>
          </cell>
          <cell r="C650" t="str">
            <v>Mid Level</v>
          </cell>
          <cell r="D650" t="str">
            <v>Nitin Saxena</v>
          </cell>
          <cell r="E650" t="str">
            <v>Nitin Saxena</v>
          </cell>
          <cell r="H650" t="str">
            <v>Samad Quraishi</v>
          </cell>
          <cell r="J650" t="str">
            <v>ACH</v>
          </cell>
          <cell r="K650">
            <v>0</v>
          </cell>
          <cell r="L650" t="str">
            <v>Old</v>
          </cell>
          <cell r="M650">
            <v>45365</v>
          </cell>
          <cell r="N650">
            <v>1</v>
          </cell>
          <cell r="O650">
            <v>681</v>
          </cell>
          <cell r="P650">
            <v>45742</v>
          </cell>
          <cell r="Q650">
            <v>45730</v>
          </cell>
          <cell r="R650" t="str">
            <v>PLC-3673</v>
          </cell>
          <cell r="S650" t="str">
            <v>Sumanth Muduthanapelli</v>
          </cell>
          <cell r="T650" t="str">
            <v>Individual</v>
          </cell>
          <cell r="U650">
            <v>1099</v>
          </cell>
          <cell r="V650" t="str">
            <v>Genpact</v>
          </cell>
          <cell r="W650">
            <v>20</v>
          </cell>
          <cell r="X650">
            <v>30</v>
          </cell>
          <cell r="Y650" t="str">
            <v>USD</v>
          </cell>
          <cell r="Z650">
            <v>28</v>
          </cell>
          <cell r="AA650">
            <v>42</v>
          </cell>
          <cell r="AB650">
            <v>0</v>
          </cell>
          <cell r="AC650">
            <v>0</v>
          </cell>
          <cell r="AD650">
            <v>45731</v>
          </cell>
          <cell r="AE650">
            <v>18</v>
          </cell>
          <cell r="AF650">
            <v>46022</v>
          </cell>
          <cell r="AG650">
            <v>21.400000000000002</v>
          </cell>
          <cell r="AH650">
            <v>32.1</v>
          </cell>
          <cell r="AI650">
            <v>21.400000000000002</v>
          </cell>
          <cell r="AJ650">
            <v>28</v>
          </cell>
          <cell r="AK650">
            <v>42</v>
          </cell>
          <cell r="AL650">
            <v>9.8999999999999986</v>
          </cell>
          <cell r="AM650">
            <v>6.5999999999999979</v>
          </cell>
          <cell r="AN650">
            <v>9.8999999999999986</v>
          </cell>
          <cell r="AO650">
            <v>6.5999999999999979</v>
          </cell>
          <cell r="AP650">
            <v>9.8999999999999986</v>
          </cell>
          <cell r="AQ650">
            <v>6.5999999999999979</v>
          </cell>
          <cell r="AR650" t="str">
            <v>US_24618</v>
          </cell>
          <cell r="AS650">
            <v>20</v>
          </cell>
          <cell r="AT650">
            <v>140</v>
          </cell>
          <cell r="AU650">
            <v>140</v>
          </cell>
          <cell r="AV650">
            <v>197.99999999999997</v>
          </cell>
          <cell r="AW650">
            <v>923.99999999999966</v>
          </cell>
          <cell r="AX650">
            <v>1110.7799999999995</v>
          </cell>
          <cell r="AY650">
            <v>923.99999999999966</v>
          </cell>
          <cell r="AZ650">
            <v>100</v>
          </cell>
          <cell r="BA650">
            <v>22.439999999999991</v>
          </cell>
          <cell r="BB650">
            <v>0</v>
          </cell>
          <cell r="BC650">
            <v>63</v>
          </cell>
          <cell r="BD650">
            <v>0</v>
          </cell>
          <cell r="BE650">
            <v>0</v>
          </cell>
          <cell r="BF650">
            <v>0</v>
          </cell>
          <cell r="BG650">
            <v>3920</v>
          </cell>
          <cell r="BH650">
            <v>3920</v>
          </cell>
          <cell r="BI650">
            <v>2800</v>
          </cell>
          <cell r="BJ650">
            <v>1.4000000000000001</v>
          </cell>
          <cell r="BK650">
            <v>0</v>
          </cell>
          <cell r="BL650">
            <v>196.00000000000003</v>
          </cell>
          <cell r="BM650">
            <v>2996</v>
          </cell>
          <cell r="BN650">
            <v>1.4000000000000001</v>
          </cell>
          <cell r="BO650">
            <v>924</v>
          </cell>
          <cell r="BP650" t="str">
            <v>Y</v>
          </cell>
          <cell r="BQ650">
            <v>1</v>
          </cell>
          <cell r="BR650" t="str">
            <v>Y</v>
          </cell>
          <cell r="BS650">
            <v>0</v>
          </cell>
          <cell r="BT650" t="str">
            <v>Done</v>
          </cell>
          <cell r="BU650">
            <v>140</v>
          </cell>
          <cell r="BV650">
            <v>2024</v>
          </cell>
        </row>
        <row r="651">
          <cell r="A651" t="str">
            <v>Chennai</v>
          </cell>
          <cell r="B651" t="str">
            <v>Chennai</v>
          </cell>
          <cell r="C651" t="str">
            <v>Mid Level</v>
          </cell>
          <cell r="D651" t="str">
            <v>Vinoth L</v>
          </cell>
          <cell r="E651" t="str">
            <v>-</v>
          </cell>
          <cell r="H651" t="str">
            <v>Pass Through</v>
          </cell>
          <cell r="K651">
            <v>0</v>
          </cell>
          <cell r="L651" t="str">
            <v>Old</v>
          </cell>
          <cell r="M651">
            <v>45362</v>
          </cell>
          <cell r="N651">
            <v>1</v>
          </cell>
          <cell r="O651">
            <v>684</v>
          </cell>
          <cell r="P651">
            <v>45884</v>
          </cell>
          <cell r="Q651">
            <v>45727</v>
          </cell>
          <cell r="R651" t="str">
            <v>PLC-3672</v>
          </cell>
          <cell r="S651" t="str">
            <v>Sumith Ramana Boinpally</v>
          </cell>
          <cell r="T651" t="str">
            <v>Individual</v>
          </cell>
          <cell r="U651" t="str">
            <v>C2C</v>
          </cell>
          <cell r="V651" t="str">
            <v>Citius Tech</v>
          </cell>
          <cell r="W651">
            <v>72</v>
          </cell>
          <cell r="X651">
            <v>72</v>
          </cell>
          <cell r="Y651" t="str">
            <v>USD</v>
          </cell>
          <cell r="Z651">
            <v>75</v>
          </cell>
          <cell r="AA651">
            <v>75</v>
          </cell>
          <cell r="AB651">
            <v>0</v>
          </cell>
          <cell r="AC651">
            <v>0</v>
          </cell>
          <cell r="AD651">
            <v>45672</v>
          </cell>
          <cell r="AE651">
            <v>22</v>
          </cell>
          <cell r="AF651">
            <v>46022</v>
          </cell>
          <cell r="AG651">
            <v>72</v>
          </cell>
          <cell r="AH651">
            <v>72</v>
          </cell>
          <cell r="AI651">
            <v>72</v>
          </cell>
          <cell r="AJ651">
            <v>75</v>
          </cell>
          <cell r="AK651">
            <v>75</v>
          </cell>
          <cell r="AL651">
            <v>3</v>
          </cell>
          <cell r="AM651">
            <v>3</v>
          </cell>
          <cell r="AN651">
            <v>3</v>
          </cell>
          <cell r="AO651">
            <v>3</v>
          </cell>
          <cell r="AP651">
            <v>3</v>
          </cell>
          <cell r="AQ651">
            <v>3</v>
          </cell>
          <cell r="AR651" t="str">
            <v>US_24216</v>
          </cell>
          <cell r="AS651">
            <v>0</v>
          </cell>
          <cell r="AT651">
            <v>168</v>
          </cell>
          <cell r="AU651">
            <v>168</v>
          </cell>
          <cell r="AV651">
            <v>0</v>
          </cell>
          <cell r="AW651">
            <v>504</v>
          </cell>
          <cell r="AX651">
            <v>504</v>
          </cell>
          <cell r="AY651">
            <v>504</v>
          </cell>
          <cell r="AZ651">
            <v>0</v>
          </cell>
          <cell r="BA651">
            <v>0</v>
          </cell>
          <cell r="BB651">
            <v>0</v>
          </cell>
          <cell r="BC651">
            <v>53.225806451612897</v>
          </cell>
          <cell r="BD651">
            <v>504</v>
          </cell>
          <cell r="BE651">
            <v>403.2</v>
          </cell>
          <cell r="BF651">
            <v>504</v>
          </cell>
          <cell r="BG651">
            <v>12600</v>
          </cell>
          <cell r="BH651">
            <v>12600</v>
          </cell>
          <cell r="BI651">
            <v>12096</v>
          </cell>
          <cell r="BJ651">
            <v>0</v>
          </cell>
          <cell r="BK651">
            <v>0</v>
          </cell>
          <cell r="BL651">
            <v>0</v>
          </cell>
          <cell r="BM651">
            <v>12096</v>
          </cell>
          <cell r="BN651">
            <v>0</v>
          </cell>
          <cell r="BO651">
            <v>504</v>
          </cell>
          <cell r="BP651" t="str">
            <v>Y</v>
          </cell>
          <cell r="BQ651">
            <v>1</v>
          </cell>
          <cell r="BR651" t="str">
            <v>Y</v>
          </cell>
          <cell r="BS651">
            <v>0</v>
          </cell>
          <cell r="BT651" t="str">
            <v>Done</v>
          </cell>
          <cell r="BU651">
            <v>168</v>
          </cell>
          <cell r="BV651">
            <v>2024</v>
          </cell>
        </row>
        <row r="652">
          <cell r="A652" t="str">
            <v>Chennai</v>
          </cell>
          <cell r="B652" t="str">
            <v>Chennai</v>
          </cell>
          <cell r="C652" t="str">
            <v>Mid Level</v>
          </cell>
          <cell r="D652" t="str">
            <v>Vinoth L</v>
          </cell>
          <cell r="E652" t="str">
            <v>-</v>
          </cell>
          <cell r="H652" t="str">
            <v>Pass Through</v>
          </cell>
          <cell r="K652">
            <v>0</v>
          </cell>
          <cell r="L652" t="str">
            <v>Old</v>
          </cell>
          <cell r="M652">
            <v>45362</v>
          </cell>
          <cell r="N652">
            <v>1</v>
          </cell>
          <cell r="O652">
            <v>684</v>
          </cell>
          <cell r="P652">
            <v>45884</v>
          </cell>
          <cell r="Q652">
            <v>45727</v>
          </cell>
          <cell r="R652" t="str">
            <v>PLC-3672</v>
          </cell>
          <cell r="S652" t="str">
            <v>Sumith Ramana Boinpally</v>
          </cell>
          <cell r="T652" t="str">
            <v>Individual</v>
          </cell>
          <cell r="U652" t="str">
            <v>C2C</v>
          </cell>
          <cell r="V652" t="str">
            <v>Citius Tech</v>
          </cell>
          <cell r="W652">
            <v>72</v>
          </cell>
          <cell r="X652">
            <v>72</v>
          </cell>
          <cell r="Y652" t="str">
            <v>USD</v>
          </cell>
          <cell r="Z652">
            <v>75</v>
          </cell>
          <cell r="AA652">
            <v>75</v>
          </cell>
          <cell r="AB652">
            <v>0</v>
          </cell>
          <cell r="AC652">
            <v>0</v>
          </cell>
          <cell r="AD652">
            <v>45703</v>
          </cell>
          <cell r="AE652">
            <v>20</v>
          </cell>
          <cell r="AF652">
            <v>46022</v>
          </cell>
          <cell r="AG652">
            <v>72</v>
          </cell>
          <cell r="AH652">
            <v>72</v>
          </cell>
          <cell r="AI652">
            <v>72</v>
          </cell>
          <cell r="AJ652">
            <v>75</v>
          </cell>
          <cell r="AK652">
            <v>75</v>
          </cell>
          <cell r="AL652">
            <v>3</v>
          </cell>
          <cell r="AM652">
            <v>3</v>
          </cell>
          <cell r="AN652">
            <v>3</v>
          </cell>
          <cell r="AO652">
            <v>3</v>
          </cell>
          <cell r="AP652">
            <v>3</v>
          </cell>
          <cell r="AQ652">
            <v>3</v>
          </cell>
          <cell r="AR652" t="str">
            <v>US_24423</v>
          </cell>
          <cell r="AS652">
            <v>0</v>
          </cell>
          <cell r="AT652">
            <v>160</v>
          </cell>
          <cell r="AU652">
            <v>160</v>
          </cell>
          <cell r="AV652">
            <v>0</v>
          </cell>
          <cell r="AW652">
            <v>480</v>
          </cell>
          <cell r="AX652">
            <v>480</v>
          </cell>
          <cell r="AY652">
            <v>480</v>
          </cell>
          <cell r="AZ652">
            <v>0</v>
          </cell>
          <cell r="BA652">
            <v>0</v>
          </cell>
          <cell r="BB652">
            <v>0</v>
          </cell>
          <cell r="BC652">
            <v>53.225806451612897</v>
          </cell>
          <cell r="BD652">
            <v>480</v>
          </cell>
          <cell r="BE652">
            <v>384</v>
          </cell>
          <cell r="BF652">
            <v>480</v>
          </cell>
          <cell r="BG652">
            <v>12000</v>
          </cell>
          <cell r="BH652">
            <v>12000</v>
          </cell>
          <cell r="BI652">
            <v>11520</v>
          </cell>
          <cell r="BJ652">
            <v>0</v>
          </cell>
          <cell r="BK652">
            <v>0</v>
          </cell>
          <cell r="BL652">
            <v>0</v>
          </cell>
          <cell r="BM652">
            <v>11520</v>
          </cell>
          <cell r="BN652">
            <v>0</v>
          </cell>
          <cell r="BO652">
            <v>480</v>
          </cell>
          <cell r="BP652" t="str">
            <v>Y</v>
          </cell>
          <cell r="BQ652">
            <v>1</v>
          </cell>
          <cell r="BR652" t="str">
            <v>Y</v>
          </cell>
          <cell r="BS652">
            <v>0</v>
          </cell>
          <cell r="BT652" t="str">
            <v>Done</v>
          </cell>
          <cell r="BU652">
            <v>160</v>
          </cell>
          <cell r="BV652">
            <v>2024</v>
          </cell>
        </row>
        <row r="653">
          <cell r="A653" t="str">
            <v>Chennai</v>
          </cell>
          <cell r="B653" t="str">
            <v>Chennai</v>
          </cell>
          <cell r="C653" t="str">
            <v>Mid Level</v>
          </cell>
          <cell r="D653" t="str">
            <v>Vinoth L</v>
          </cell>
          <cell r="E653" t="str">
            <v>-</v>
          </cell>
          <cell r="H653" t="str">
            <v>Pass Through</v>
          </cell>
          <cell r="K653">
            <v>0</v>
          </cell>
          <cell r="L653" t="str">
            <v>Old</v>
          </cell>
          <cell r="M653">
            <v>45362</v>
          </cell>
          <cell r="N653">
            <v>1</v>
          </cell>
          <cell r="O653">
            <v>684</v>
          </cell>
          <cell r="P653">
            <v>45884</v>
          </cell>
          <cell r="Q653">
            <v>45727</v>
          </cell>
          <cell r="R653" t="str">
            <v>PLC-3672</v>
          </cell>
          <cell r="S653" t="str">
            <v>Sumith Ramana Boinpally</v>
          </cell>
          <cell r="T653" t="str">
            <v>Individual</v>
          </cell>
          <cell r="U653" t="str">
            <v>C2C</v>
          </cell>
          <cell r="V653" t="str">
            <v>Citius Tech</v>
          </cell>
          <cell r="W653">
            <v>72</v>
          </cell>
          <cell r="X653">
            <v>72</v>
          </cell>
          <cell r="Y653" t="str">
            <v>USD</v>
          </cell>
          <cell r="Z653">
            <v>75</v>
          </cell>
          <cell r="AA653">
            <v>75</v>
          </cell>
          <cell r="AB653">
            <v>0</v>
          </cell>
          <cell r="AC653">
            <v>0</v>
          </cell>
          <cell r="AD653">
            <v>45731</v>
          </cell>
          <cell r="AE653">
            <v>21</v>
          </cell>
          <cell r="AF653">
            <v>46022</v>
          </cell>
          <cell r="AG653">
            <v>72</v>
          </cell>
          <cell r="AH653">
            <v>72</v>
          </cell>
          <cell r="AI653">
            <v>72</v>
          </cell>
          <cell r="AJ653">
            <v>75</v>
          </cell>
          <cell r="AK653">
            <v>75</v>
          </cell>
          <cell r="AL653">
            <v>3</v>
          </cell>
          <cell r="AM653">
            <v>3</v>
          </cell>
          <cell r="AN653">
            <v>3</v>
          </cell>
          <cell r="AO653">
            <v>3</v>
          </cell>
          <cell r="AP653">
            <v>3</v>
          </cell>
          <cell r="AQ653">
            <v>3</v>
          </cell>
          <cell r="AR653" t="str">
            <v>US_24615</v>
          </cell>
          <cell r="AS653">
            <v>0</v>
          </cell>
          <cell r="AT653">
            <v>168</v>
          </cell>
          <cell r="AU653">
            <v>168</v>
          </cell>
          <cell r="AV653">
            <v>0</v>
          </cell>
          <cell r="AW653">
            <v>504</v>
          </cell>
          <cell r="AX653">
            <v>504</v>
          </cell>
          <cell r="AY653">
            <v>504</v>
          </cell>
          <cell r="AZ653">
            <v>0</v>
          </cell>
          <cell r="BA653">
            <v>0</v>
          </cell>
          <cell r="BB653">
            <v>0</v>
          </cell>
          <cell r="BC653">
            <v>53.225806451612897</v>
          </cell>
          <cell r="BD653">
            <v>0</v>
          </cell>
          <cell r="BE653">
            <v>0</v>
          </cell>
          <cell r="BF653">
            <v>0</v>
          </cell>
          <cell r="BG653">
            <v>12600</v>
          </cell>
          <cell r="BH653">
            <v>12600</v>
          </cell>
          <cell r="BI653">
            <v>12096</v>
          </cell>
          <cell r="BJ653">
            <v>0</v>
          </cell>
          <cell r="BK653">
            <v>0</v>
          </cell>
          <cell r="BL653">
            <v>0</v>
          </cell>
          <cell r="BM653">
            <v>12096</v>
          </cell>
          <cell r="BN653">
            <v>0</v>
          </cell>
          <cell r="BO653">
            <v>504</v>
          </cell>
          <cell r="BP653" t="str">
            <v>Y</v>
          </cell>
          <cell r="BQ653">
            <v>1</v>
          </cell>
          <cell r="BR653" t="str">
            <v>Y</v>
          </cell>
          <cell r="BS653">
            <v>0</v>
          </cell>
          <cell r="BT653" t="str">
            <v>Done</v>
          </cell>
          <cell r="BU653">
            <v>168</v>
          </cell>
          <cell r="BV653">
            <v>2024</v>
          </cell>
        </row>
        <row r="654">
          <cell r="A654" t="str">
            <v>Chennai</v>
          </cell>
          <cell r="B654" t="str">
            <v>Chennai</v>
          </cell>
          <cell r="C654" t="str">
            <v>Mid Level</v>
          </cell>
          <cell r="D654" t="str">
            <v>Vinoth L</v>
          </cell>
          <cell r="E654" t="str">
            <v>-</v>
          </cell>
          <cell r="H654" t="str">
            <v>Pass Through</v>
          </cell>
          <cell r="K654">
            <v>0</v>
          </cell>
          <cell r="L654" t="str">
            <v>Old</v>
          </cell>
          <cell r="M654">
            <v>45362</v>
          </cell>
          <cell r="N654">
            <v>1</v>
          </cell>
          <cell r="O654">
            <v>684</v>
          </cell>
          <cell r="P654">
            <v>45884</v>
          </cell>
          <cell r="Q654">
            <v>45727</v>
          </cell>
          <cell r="R654" t="str">
            <v>PLC-3672</v>
          </cell>
          <cell r="S654" t="str">
            <v>Sumith Ramana Boinpally</v>
          </cell>
          <cell r="T654" t="str">
            <v>Individual</v>
          </cell>
          <cell r="U654" t="str">
            <v>C2C</v>
          </cell>
          <cell r="V654" t="str">
            <v>Citius Tech</v>
          </cell>
          <cell r="W654">
            <v>72</v>
          </cell>
          <cell r="X654">
            <v>72</v>
          </cell>
          <cell r="Y654" t="str">
            <v>USD</v>
          </cell>
          <cell r="Z654">
            <v>75</v>
          </cell>
          <cell r="AA654">
            <v>75</v>
          </cell>
          <cell r="AB654">
            <v>0</v>
          </cell>
          <cell r="AC654">
            <v>0</v>
          </cell>
          <cell r="AD654">
            <v>45762</v>
          </cell>
          <cell r="AE654">
            <v>22</v>
          </cell>
          <cell r="AF654">
            <v>46022</v>
          </cell>
          <cell r="AG654">
            <v>72</v>
          </cell>
          <cell r="AH654">
            <v>72</v>
          </cell>
          <cell r="AI654">
            <v>72</v>
          </cell>
          <cell r="AJ654">
            <v>75</v>
          </cell>
          <cell r="AK654">
            <v>75</v>
          </cell>
          <cell r="AL654">
            <v>3</v>
          </cell>
          <cell r="AM654">
            <v>3</v>
          </cell>
          <cell r="AN654">
            <v>3</v>
          </cell>
          <cell r="AO654">
            <v>3</v>
          </cell>
          <cell r="AP654">
            <v>3</v>
          </cell>
          <cell r="AQ654">
            <v>3</v>
          </cell>
          <cell r="AR654" t="str">
            <v>US_24826</v>
          </cell>
          <cell r="AS654">
            <v>0</v>
          </cell>
          <cell r="AT654">
            <v>176</v>
          </cell>
          <cell r="AU654">
            <v>176</v>
          </cell>
          <cell r="AV654">
            <v>0</v>
          </cell>
          <cell r="AW654">
            <v>528</v>
          </cell>
          <cell r="AX654">
            <v>528</v>
          </cell>
          <cell r="AY654">
            <v>528</v>
          </cell>
          <cell r="AZ654">
            <v>0</v>
          </cell>
          <cell r="BA654">
            <v>0</v>
          </cell>
          <cell r="BB654">
            <v>0</v>
          </cell>
          <cell r="BC654">
            <v>53.225806451612897</v>
          </cell>
          <cell r="BD654">
            <v>0</v>
          </cell>
          <cell r="BE654">
            <v>0</v>
          </cell>
          <cell r="BF654">
            <v>0</v>
          </cell>
          <cell r="BG654">
            <v>13200</v>
          </cell>
          <cell r="BH654">
            <v>13200</v>
          </cell>
          <cell r="BI654">
            <v>12672</v>
          </cell>
          <cell r="BJ654">
            <v>0</v>
          </cell>
          <cell r="BK654">
            <v>0</v>
          </cell>
          <cell r="BL654">
            <v>0</v>
          </cell>
          <cell r="BM654">
            <v>12672</v>
          </cell>
          <cell r="BN654">
            <v>0</v>
          </cell>
          <cell r="BO654">
            <v>528</v>
          </cell>
          <cell r="BP654" t="str">
            <v>Y</v>
          </cell>
          <cell r="BQ654">
            <v>2</v>
          </cell>
          <cell r="BR654" t="str">
            <v>Y</v>
          </cell>
          <cell r="BS654">
            <v>0</v>
          </cell>
          <cell r="BT654" t="str">
            <v>Done</v>
          </cell>
          <cell r="BU654">
            <v>176</v>
          </cell>
          <cell r="BV654">
            <v>2024</v>
          </cell>
        </row>
        <row r="655">
          <cell r="A655" t="str">
            <v>Lucknow</v>
          </cell>
          <cell r="B655" t="str">
            <v>RPO</v>
          </cell>
          <cell r="C655" t="str">
            <v>Mid Level</v>
          </cell>
          <cell r="D655" t="str">
            <v>Ankit Pandey</v>
          </cell>
          <cell r="E655" t="str">
            <v>-</v>
          </cell>
          <cell r="H655" t="str">
            <v>Sagar Chandani</v>
          </cell>
          <cell r="L655" t="str">
            <v>New</v>
          </cell>
          <cell r="M655">
            <v>45728</v>
          </cell>
          <cell r="N655">
            <v>1</v>
          </cell>
          <cell r="O655">
            <v>318</v>
          </cell>
          <cell r="P655" t="str">
            <v>-</v>
          </cell>
          <cell r="Q655">
            <v>46093</v>
          </cell>
          <cell r="R655" t="str">
            <v>PLC-4175</v>
          </cell>
          <cell r="S655" t="str">
            <v>Sundaram Saminathan</v>
          </cell>
          <cell r="T655" t="str">
            <v>Individual</v>
          </cell>
          <cell r="U655" t="str">
            <v>FTE</v>
          </cell>
          <cell r="V655" t="str">
            <v>GPC RPO</v>
          </cell>
          <cell r="W655">
            <v>0</v>
          </cell>
          <cell r="X655">
            <v>0</v>
          </cell>
          <cell r="Y655" t="str">
            <v>USD</v>
          </cell>
          <cell r="Z655">
            <v>3000</v>
          </cell>
          <cell r="AA655">
            <v>0</v>
          </cell>
          <cell r="AB655">
            <v>0</v>
          </cell>
          <cell r="AC655">
            <v>0</v>
          </cell>
          <cell r="AD655">
            <v>45731</v>
          </cell>
          <cell r="AE655">
            <v>1</v>
          </cell>
          <cell r="AF655">
            <v>46022</v>
          </cell>
          <cell r="AG655">
            <v>0</v>
          </cell>
          <cell r="AH655">
            <v>0</v>
          </cell>
          <cell r="AI655">
            <v>0</v>
          </cell>
          <cell r="AJ655">
            <v>3000</v>
          </cell>
          <cell r="AK655">
            <v>0</v>
          </cell>
          <cell r="AL655">
            <v>0</v>
          </cell>
          <cell r="AM655">
            <v>3000</v>
          </cell>
          <cell r="AN655">
            <v>0</v>
          </cell>
          <cell r="AO655">
            <v>3000</v>
          </cell>
          <cell r="AP655">
            <v>0</v>
          </cell>
          <cell r="AQ655">
            <v>3000</v>
          </cell>
          <cell r="AR655" t="str">
            <v>US_24541</v>
          </cell>
          <cell r="AS655">
            <v>0</v>
          </cell>
          <cell r="AT655">
            <v>1</v>
          </cell>
          <cell r="AU655">
            <v>1</v>
          </cell>
          <cell r="AV655">
            <v>0</v>
          </cell>
          <cell r="AW655">
            <v>3000</v>
          </cell>
          <cell r="AX655">
            <v>3000</v>
          </cell>
          <cell r="AY655">
            <v>3000</v>
          </cell>
          <cell r="AZ655">
            <v>116.3</v>
          </cell>
          <cell r="BA655">
            <v>4800</v>
          </cell>
          <cell r="BB655">
            <v>4800</v>
          </cell>
          <cell r="BF655">
            <v>3000</v>
          </cell>
          <cell r="BG655">
            <v>3000</v>
          </cell>
          <cell r="BH655">
            <v>3000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3000</v>
          </cell>
          <cell r="BP655" t="str">
            <v>Y</v>
          </cell>
          <cell r="BQ655">
            <v>1</v>
          </cell>
          <cell r="BR655" t="str">
            <v>Y</v>
          </cell>
          <cell r="BS655">
            <v>4800</v>
          </cell>
          <cell r="BT655" t="str">
            <v>Done</v>
          </cell>
          <cell r="BU655">
            <v>0</v>
          </cell>
          <cell r="BV655">
            <v>2025</v>
          </cell>
        </row>
        <row r="656">
          <cell r="A656" t="str">
            <v>Lucknow</v>
          </cell>
          <cell r="B656" t="str">
            <v>Healthcare</v>
          </cell>
          <cell r="C656" t="str">
            <v>Mid Level</v>
          </cell>
          <cell r="D656" t="str">
            <v>Abhishek Singh</v>
          </cell>
          <cell r="E656" t="str">
            <v>-</v>
          </cell>
          <cell r="F656" t="str">
            <v>-</v>
          </cell>
          <cell r="G656" t="str">
            <v>-</v>
          </cell>
          <cell r="H656" t="str">
            <v>Tushar Mishra</v>
          </cell>
          <cell r="J656" t="str">
            <v>ACH</v>
          </cell>
          <cell r="K656" t="str">
            <v>-</v>
          </cell>
          <cell r="L656" t="str">
            <v>New</v>
          </cell>
          <cell r="M656">
            <v>45761</v>
          </cell>
          <cell r="N656">
            <v>2</v>
          </cell>
          <cell r="O656">
            <v>285</v>
          </cell>
          <cell r="P656" t="str">
            <v>-</v>
          </cell>
          <cell r="Q656">
            <v>46126</v>
          </cell>
          <cell r="S656" t="str">
            <v>Sunil Singh</v>
          </cell>
          <cell r="T656" t="str">
            <v>Individual</v>
          </cell>
          <cell r="U656" t="str">
            <v>W2</v>
          </cell>
          <cell r="V656" t="str">
            <v>Prime Healthcare</v>
          </cell>
          <cell r="W656">
            <v>77.05</v>
          </cell>
          <cell r="X656">
            <v>0</v>
          </cell>
          <cell r="Y656" t="str">
            <v>USD</v>
          </cell>
          <cell r="Z656">
            <v>95</v>
          </cell>
          <cell r="AA656">
            <v>0</v>
          </cell>
          <cell r="AB656">
            <v>0</v>
          </cell>
          <cell r="AC656">
            <v>0</v>
          </cell>
          <cell r="AD656">
            <v>45762</v>
          </cell>
          <cell r="AE656">
            <v>13</v>
          </cell>
          <cell r="AF656">
            <v>46022</v>
          </cell>
          <cell r="AG656">
            <v>88.607499999999987</v>
          </cell>
          <cell r="AH656">
            <v>0</v>
          </cell>
          <cell r="AI656">
            <v>88.607499999999987</v>
          </cell>
          <cell r="AJ656">
            <v>95</v>
          </cell>
          <cell r="AK656">
            <v>0</v>
          </cell>
          <cell r="AL656">
            <v>0</v>
          </cell>
          <cell r="AM656">
            <v>6.3925000000000125</v>
          </cell>
          <cell r="AN656">
            <v>0</v>
          </cell>
          <cell r="AO656">
            <v>6.3925000000000125</v>
          </cell>
          <cell r="AP656">
            <v>0</v>
          </cell>
          <cell r="AQ656">
            <v>6.3925000000000125</v>
          </cell>
          <cell r="AU656">
            <v>104</v>
          </cell>
          <cell r="AY656">
            <v>664.8200000000013</v>
          </cell>
          <cell r="AZ656">
            <v>0</v>
          </cell>
          <cell r="BA656">
            <v>0</v>
          </cell>
          <cell r="BH656">
            <v>9880</v>
          </cell>
          <cell r="BI656">
            <v>8013.2</v>
          </cell>
          <cell r="BJ656">
            <v>11.557499999999999</v>
          </cell>
          <cell r="BK656">
            <v>0</v>
          </cell>
          <cell r="BL656">
            <v>1201.98</v>
          </cell>
          <cell r="BM656">
            <v>9215.18</v>
          </cell>
          <cell r="BN656">
            <v>11.557499999999999</v>
          </cell>
          <cell r="BO656">
            <v>664.82000000000016</v>
          </cell>
          <cell r="BQ656">
            <v>2</v>
          </cell>
          <cell r="BR656" t="str">
            <v>Y</v>
          </cell>
          <cell r="BS656">
            <v>0</v>
          </cell>
          <cell r="BT656" t="str">
            <v>Pending</v>
          </cell>
          <cell r="BU656">
            <v>0</v>
          </cell>
          <cell r="BV656">
            <v>2025</v>
          </cell>
        </row>
        <row r="657">
          <cell r="A657" t="str">
            <v>Noida</v>
          </cell>
          <cell r="B657" t="str">
            <v>Healthcare</v>
          </cell>
          <cell r="C657" t="str">
            <v>Mid Level</v>
          </cell>
          <cell r="D657" t="str">
            <v>Shailesh Sharma</v>
          </cell>
          <cell r="E657" t="str">
            <v>Shailesh Sharma</v>
          </cell>
          <cell r="H657" t="str">
            <v>Mohini Chand</v>
          </cell>
          <cell r="J657" t="str">
            <v>ACH</v>
          </cell>
          <cell r="L657" t="str">
            <v>New</v>
          </cell>
          <cell r="M657">
            <v>45719</v>
          </cell>
          <cell r="N657">
            <v>1</v>
          </cell>
          <cell r="O657">
            <v>327</v>
          </cell>
          <cell r="P657">
            <v>45807</v>
          </cell>
          <cell r="Q657">
            <v>46084</v>
          </cell>
          <cell r="S657" t="str">
            <v>Susan O'Brian</v>
          </cell>
          <cell r="T657" t="str">
            <v>Individual</v>
          </cell>
          <cell r="U657" t="str">
            <v>W2</v>
          </cell>
          <cell r="V657" t="str">
            <v>CSU</v>
          </cell>
          <cell r="W657">
            <v>60.15</v>
          </cell>
          <cell r="X657">
            <v>0</v>
          </cell>
          <cell r="Y657" t="str">
            <v>USD</v>
          </cell>
          <cell r="Z657">
            <v>80</v>
          </cell>
          <cell r="AA657">
            <v>0</v>
          </cell>
          <cell r="AB657">
            <v>0</v>
          </cell>
          <cell r="AC657">
            <v>0</v>
          </cell>
          <cell r="AD657">
            <v>45731</v>
          </cell>
          <cell r="AE657">
            <v>21</v>
          </cell>
          <cell r="AF657">
            <v>46022</v>
          </cell>
          <cell r="AG657">
            <v>69.172499999999999</v>
          </cell>
          <cell r="AH657">
            <v>0</v>
          </cell>
          <cell r="AI657">
            <v>69.172499999999999</v>
          </cell>
          <cell r="AJ657">
            <v>75.199999999999989</v>
          </cell>
          <cell r="AK657">
            <v>0</v>
          </cell>
          <cell r="AL657">
            <v>0</v>
          </cell>
          <cell r="AM657">
            <v>6.0274999999999892</v>
          </cell>
          <cell r="AN657">
            <v>0</v>
          </cell>
          <cell r="AO657">
            <v>6.0274999999999892</v>
          </cell>
          <cell r="AP657">
            <v>0</v>
          </cell>
          <cell r="AQ657">
            <v>6.0274999999999892</v>
          </cell>
          <cell r="AU657">
            <v>168</v>
          </cell>
          <cell r="AY657">
            <v>1012.6199999999982</v>
          </cell>
          <cell r="AZ657">
            <v>0</v>
          </cell>
          <cell r="BA657">
            <v>0</v>
          </cell>
          <cell r="BH657">
            <v>12633.599999999999</v>
          </cell>
          <cell r="BI657">
            <v>10105.199999999999</v>
          </cell>
          <cell r="BJ657">
            <v>9.0224999999999991</v>
          </cell>
          <cell r="BK657">
            <v>0</v>
          </cell>
          <cell r="BL657">
            <v>1515.7799999999997</v>
          </cell>
          <cell r="BM657">
            <v>11620.98</v>
          </cell>
          <cell r="BN657">
            <v>9.0224999999999991</v>
          </cell>
          <cell r="BO657">
            <v>1012.6199999999999</v>
          </cell>
          <cell r="BQ657">
            <v>1</v>
          </cell>
          <cell r="BR657" t="str">
            <v>Y</v>
          </cell>
          <cell r="BS657">
            <v>0</v>
          </cell>
          <cell r="BT657" t="str">
            <v>Pending</v>
          </cell>
          <cell r="BU657">
            <v>0</v>
          </cell>
          <cell r="BV657">
            <v>2025</v>
          </cell>
        </row>
        <row r="658">
          <cell r="A658" t="str">
            <v>Noida</v>
          </cell>
          <cell r="B658" t="str">
            <v>Healthcare</v>
          </cell>
          <cell r="C658" t="str">
            <v>Mid Level</v>
          </cell>
          <cell r="D658" t="str">
            <v>Shailesh Sharma</v>
          </cell>
          <cell r="E658" t="str">
            <v>Shailesh Sharma</v>
          </cell>
          <cell r="H658" t="str">
            <v>Mohini Chand</v>
          </cell>
          <cell r="J658" t="str">
            <v>ACH</v>
          </cell>
          <cell r="L658" t="str">
            <v>New</v>
          </cell>
          <cell r="M658">
            <v>45719</v>
          </cell>
          <cell r="N658">
            <v>1</v>
          </cell>
          <cell r="O658">
            <v>327</v>
          </cell>
          <cell r="P658">
            <v>45807</v>
          </cell>
          <cell r="Q658">
            <v>46084</v>
          </cell>
          <cell r="S658" t="str">
            <v>Susan O'Brian</v>
          </cell>
          <cell r="T658" t="str">
            <v>Individual</v>
          </cell>
          <cell r="U658" t="str">
            <v>W2</v>
          </cell>
          <cell r="V658" t="str">
            <v>CSU</v>
          </cell>
          <cell r="W658">
            <v>60.15</v>
          </cell>
          <cell r="X658">
            <v>0</v>
          </cell>
          <cell r="Y658" t="str">
            <v>USD</v>
          </cell>
          <cell r="Z658">
            <v>80</v>
          </cell>
          <cell r="AA658">
            <v>0</v>
          </cell>
          <cell r="AB658">
            <v>0</v>
          </cell>
          <cell r="AC658">
            <v>0</v>
          </cell>
          <cell r="AD658">
            <v>45762</v>
          </cell>
          <cell r="AE658">
            <v>22</v>
          </cell>
          <cell r="AF658">
            <v>46022</v>
          </cell>
          <cell r="AG658">
            <v>69.172499999999999</v>
          </cell>
          <cell r="AH658">
            <v>0</v>
          </cell>
          <cell r="AI658">
            <v>69.172499999999999</v>
          </cell>
          <cell r="AJ658">
            <v>75.199999999999989</v>
          </cell>
          <cell r="AK658">
            <v>0</v>
          </cell>
          <cell r="AL658">
            <v>0</v>
          </cell>
          <cell r="AM658">
            <v>6.0274999999999892</v>
          </cell>
          <cell r="AN658">
            <v>0</v>
          </cell>
          <cell r="AO658">
            <v>6.0274999999999892</v>
          </cell>
          <cell r="AP658">
            <v>0</v>
          </cell>
          <cell r="AQ658">
            <v>6.0274999999999892</v>
          </cell>
          <cell r="AU658">
            <v>176</v>
          </cell>
          <cell r="AY658">
            <v>1060.8399999999981</v>
          </cell>
          <cell r="AZ658">
            <v>0</v>
          </cell>
          <cell r="BA658">
            <v>0</v>
          </cell>
          <cell r="BH658">
            <v>13235.199999999997</v>
          </cell>
          <cell r="BI658">
            <v>10586.4</v>
          </cell>
          <cell r="BJ658">
            <v>9.0224999999999991</v>
          </cell>
          <cell r="BK658">
            <v>0</v>
          </cell>
          <cell r="BL658">
            <v>1587.9599999999998</v>
          </cell>
          <cell r="BM658">
            <v>12174.359999999999</v>
          </cell>
          <cell r="BN658">
            <v>9.0224999999999991</v>
          </cell>
          <cell r="BO658">
            <v>1060.8399999999976</v>
          </cell>
          <cell r="BQ658">
            <v>2</v>
          </cell>
          <cell r="BR658" t="str">
            <v>Y</v>
          </cell>
          <cell r="BS658">
            <v>0</v>
          </cell>
          <cell r="BT658" t="str">
            <v>Pending</v>
          </cell>
          <cell r="BU658">
            <v>0</v>
          </cell>
          <cell r="BV658">
            <v>2025</v>
          </cell>
        </row>
        <row r="659">
          <cell r="A659" t="str">
            <v>Lucknow</v>
          </cell>
          <cell r="B659" t="str">
            <v>Trust</v>
          </cell>
          <cell r="C659" t="str">
            <v>Mid Level</v>
          </cell>
          <cell r="D659" t="str">
            <v>Harsh Agarwal</v>
          </cell>
          <cell r="E659" t="str">
            <v>-</v>
          </cell>
          <cell r="H659" t="str">
            <v>Vishwendra</v>
          </cell>
          <cell r="K659">
            <v>0</v>
          </cell>
          <cell r="L659" t="str">
            <v>Old</v>
          </cell>
          <cell r="M659">
            <v>45383</v>
          </cell>
          <cell r="N659">
            <v>2</v>
          </cell>
          <cell r="O659">
            <v>663</v>
          </cell>
          <cell r="P659">
            <v>45933</v>
          </cell>
          <cell r="Q659">
            <v>45748</v>
          </cell>
          <cell r="R659" t="str">
            <v>PLC-3677</v>
          </cell>
          <cell r="S659" t="str">
            <v>Syed Ali Abbas</v>
          </cell>
          <cell r="T659" t="str">
            <v>Individual</v>
          </cell>
          <cell r="U659" t="str">
            <v>W2</v>
          </cell>
          <cell r="V659" t="str">
            <v>Birlasoft</v>
          </cell>
          <cell r="W659">
            <v>83</v>
          </cell>
          <cell r="X659">
            <v>0</v>
          </cell>
          <cell r="Y659" t="str">
            <v>USD</v>
          </cell>
          <cell r="Z659">
            <v>105</v>
          </cell>
          <cell r="AA659">
            <v>0</v>
          </cell>
          <cell r="AB659">
            <v>0</v>
          </cell>
          <cell r="AC659">
            <v>2.5</v>
          </cell>
          <cell r="AD659">
            <v>45672</v>
          </cell>
          <cell r="AE659">
            <v>23</v>
          </cell>
          <cell r="AF659">
            <v>46022</v>
          </cell>
          <cell r="AG659">
            <v>95.449999999999989</v>
          </cell>
          <cell r="AH659">
            <v>0</v>
          </cell>
          <cell r="AI659">
            <v>97.949999999999989</v>
          </cell>
          <cell r="AJ659">
            <v>105</v>
          </cell>
          <cell r="AK659">
            <v>0</v>
          </cell>
          <cell r="AL659">
            <v>0</v>
          </cell>
          <cell r="AM659">
            <v>7.0500000000000114</v>
          </cell>
          <cell r="AN659">
            <v>0</v>
          </cell>
          <cell r="AO659">
            <v>7.0500000000000114</v>
          </cell>
          <cell r="AP659">
            <v>0</v>
          </cell>
          <cell r="AQ659">
            <v>7.0500000000000114</v>
          </cell>
          <cell r="AR659" t="str">
            <v>US_24221</v>
          </cell>
          <cell r="AS659">
            <v>0</v>
          </cell>
          <cell r="AT659">
            <v>176</v>
          </cell>
          <cell r="AU659">
            <v>176</v>
          </cell>
          <cell r="AV659">
            <v>0</v>
          </cell>
          <cell r="AW659">
            <v>1240.800000000002</v>
          </cell>
          <cell r="AX659">
            <v>1240.800000000002</v>
          </cell>
          <cell r="AY659">
            <v>1240.800000000002</v>
          </cell>
          <cell r="AZ659">
            <v>0</v>
          </cell>
          <cell r="BA659">
            <v>0</v>
          </cell>
          <cell r="BB659">
            <v>0</v>
          </cell>
          <cell r="BD659">
            <v>1240.800000000002</v>
          </cell>
          <cell r="BF659">
            <v>1240.800000000002</v>
          </cell>
          <cell r="BG659">
            <v>18480</v>
          </cell>
          <cell r="BH659">
            <v>18480</v>
          </cell>
          <cell r="BI659">
            <v>14608</v>
          </cell>
          <cell r="BJ659">
            <v>12.45</v>
          </cell>
          <cell r="BK659">
            <v>440</v>
          </cell>
          <cell r="BL659">
            <v>2191.1999999999998</v>
          </cell>
          <cell r="BM659">
            <v>17239.2</v>
          </cell>
          <cell r="BN659">
            <v>14.95</v>
          </cell>
          <cell r="BO659">
            <v>1240.8000000000002</v>
          </cell>
          <cell r="BP659" t="str">
            <v>Y</v>
          </cell>
          <cell r="BQ659">
            <v>1</v>
          </cell>
          <cell r="BR659" t="str">
            <v>N</v>
          </cell>
          <cell r="BS659">
            <v>0</v>
          </cell>
          <cell r="BT659" t="str">
            <v>Done</v>
          </cell>
          <cell r="BU659">
            <v>176</v>
          </cell>
          <cell r="BV659">
            <v>2024</v>
          </cell>
        </row>
        <row r="660">
          <cell r="A660" t="str">
            <v>Lucknow</v>
          </cell>
          <cell r="B660" t="str">
            <v>Trust</v>
          </cell>
          <cell r="C660" t="str">
            <v>Mid Level</v>
          </cell>
          <cell r="D660" t="str">
            <v>Harsh Agarwal</v>
          </cell>
          <cell r="E660" t="str">
            <v>-</v>
          </cell>
          <cell r="H660" t="str">
            <v>Vishwendra</v>
          </cell>
          <cell r="K660">
            <v>0</v>
          </cell>
          <cell r="L660" t="str">
            <v>Old</v>
          </cell>
          <cell r="M660">
            <v>45383</v>
          </cell>
          <cell r="N660">
            <v>2</v>
          </cell>
          <cell r="O660">
            <v>663</v>
          </cell>
          <cell r="P660">
            <v>45933</v>
          </cell>
          <cell r="Q660">
            <v>45748</v>
          </cell>
          <cell r="R660" t="str">
            <v>PLC-3677</v>
          </cell>
          <cell r="S660" t="str">
            <v>Syed Ali Abbas</v>
          </cell>
          <cell r="T660" t="str">
            <v>Individual</v>
          </cell>
          <cell r="U660" t="str">
            <v>W2</v>
          </cell>
          <cell r="V660" t="str">
            <v>Birlasoft</v>
          </cell>
          <cell r="W660">
            <v>83</v>
          </cell>
          <cell r="X660">
            <v>0</v>
          </cell>
          <cell r="Y660" t="str">
            <v>USD</v>
          </cell>
          <cell r="Z660">
            <v>105</v>
          </cell>
          <cell r="AA660">
            <v>0</v>
          </cell>
          <cell r="AB660">
            <v>0</v>
          </cell>
          <cell r="AC660">
            <v>2.5</v>
          </cell>
          <cell r="AD660">
            <v>45703</v>
          </cell>
          <cell r="AE660">
            <v>20</v>
          </cell>
          <cell r="AF660">
            <v>46022</v>
          </cell>
          <cell r="AG660">
            <v>95.449999999999989</v>
          </cell>
          <cell r="AH660">
            <v>0</v>
          </cell>
          <cell r="AI660">
            <v>97.949999999999989</v>
          </cell>
          <cell r="AJ660">
            <v>105</v>
          </cell>
          <cell r="AK660">
            <v>0</v>
          </cell>
          <cell r="AL660">
            <v>0</v>
          </cell>
          <cell r="AM660">
            <v>7.0500000000000114</v>
          </cell>
          <cell r="AN660">
            <v>0</v>
          </cell>
          <cell r="AO660">
            <v>7.0500000000000114</v>
          </cell>
          <cell r="AP660">
            <v>0</v>
          </cell>
          <cell r="AQ660">
            <v>7.0500000000000114</v>
          </cell>
          <cell r="AR660" t="str">
            <v>US_24428</v>
          </cell>
          <cell r="AS660">
            <v>0</v>
          </cell>
          <cell r="AT660">
            <v>160</v>
          </cell>
          <cell r="AU660">
            <v>160</v>
          </cell>
          <cell r="AV660">
            <v>0</v>
          </cell>
          <cell r="AW660">
            <v>1128.0000000000018</v>
          </cell>
          <cell r="AX660">
            <v>1128.0000000000018</v>
          </cell>
          <cell r="AY660">
            <v>1128.0000000000018</v>
          </cell>
          <cell r="AZ660">
            <v>0</v>
          </cell>
          <cell r="BA660">
            <v>0</v>
          </cell>
          <cell r="BB660">
            <v>0</v>
          </cell>
          <cell r="BD660">
            <v>1128.0000000000018</v>
          </cell>
          <cell r="BF660">
            <v>1128.0000000000018</v>
          </cell>
          <cell r="BG660">
            <v>16800</v>
          </cell>
          <cell r="BH660">
            <v>16800</v>
          </cell>
          <cell r="BI660">
            <v>13280</v>
          </cell>
          <cell r="BJ660">
            <v>12.45</v>
          </cell>
          <cell r="BK660">
            <v>400</v>
          </cell>
          <cell r="BL660">
            <v>1992</v>
          </cell>
          <cell r="BM660">
            <v>15672</v>
          </cell>
          <cell r="BN660">
            <v>14.95</v>
          </cell>
          <cell r="BO660">
            <v>1128</v>
          </cell>
          <cell r="BP660" t="str">
            <v>Y</v>
          </cell>
          <cell r="BQ660">
            <v>1</v>
          </cell>
          <cell r="BR660" t="str">
            <v>N</v>
          </cell>
          <cell r="BS660">
            <v>0</v>
          </cell>
          <cell r="BT660" t="str">
            <v>Done</v>
          </cell>
          <cell r="BU660">
            <v>160</v>
          </cell>
          <cell r="BV660">
            <v>2024</v>
          </cell>
        </row>
        <row r="661">
          <cell r="A661" t="str">
            <v>Lucknow</v>
          </cell>
          <cell r="B661" t="str">
            <v>Trust</v>
          </cell>
          <cell r="C661" t="str">
            <v>Mid Level</v>
          </cell>
          <cell r="D661" t="str">
            <v>Harsh Agarwal</v>
          </cell>
          <cell r="E661" t="str">
            <v>-</v>
          </cell>
          <cell r="H661" t="str">
            <v>Vishwendra</v>
          </cell>
          <cell r="K661">
            <v>0</v>
          </cell>
          <cell r="L661" t="str">
            <v>Old</v>
          </cell>
          <cell r="M661">
            <v>45383</v>
          </cell>
          <cell r="N661">
            <v>2</v>
          </cell>
          <cell r="O661">
            <v>663</v>
          </cell>
          <cell r="P661">
            <v>45933</v>
          </cell>
          <cell r="Q661">
            <v>45748</v>
          </cell>
          <cell r="R661" t="str">
            <v>PLC-3677</v>
          </cell>
          <cell r="S661" t="str">
            <v>Syed Ali Abbas</v>
          </cell>
          <cell r="T661" t="str">
            <v>Individual</v>
          </cell>
          <cell r="U661" t="str">
            <v>W2</v>
          </cell>
          <cell r="V661" t="str">
            <v>Birlasoft</v>
          </cell>
          <cell r="W661">
            <v>83</v>
          </cell>
          <cell r="X661">
            <v>0</v>
          </cell>
          <cell r="Y661" t="str">
            <v>USD</v>
          </cell>
          <cell r="Z661">
            <v>105</v>
          </cell>
          <cell r="AA661">
            <v>0</v>
          </cell>
          <cell r="AB661">
            <v>0</v>
          </cell>
          <cell r="AC661">
            <v>2.5</v>
          </cell>
          <cell r="AD661">
            <v>45731</v>
          </cell>
          <cell r="AE661">
            <v>21</v>
          </cell>
          <cell r="AF661">
            <v>46022</v>
          </cell>
          <cell r="AG661">
            <v>95.449999999999989</v>
          </cell>
          <cell r="AH661">
            <v>0</v>
          </cell>
          <cell r="AI661">
            <v>97.949999999999989</v>
          </cell>
          <cell r="AJ661">
            <v>105</v>
          </cell>
          <cell r="AK661">
            <v>0</v>
          </cell>
          <cell r="AL661">
            <v>0</v>
          </cell>
          <cell r="AM661">
            <v>7.0500000000000114</v>
          </cell>
          <cell r="AN661">
            <v>0</v>
          </cell>
          <cell r="AO661">
            <v>7.0500000000000114</v>
          </cell>
          <cell r="AP661">
            <v>0</v>
          </cell>
          <cell r="AQ661">
            <v>7.0500000000000114</v>
          </cell>
          <cell r="AR661" t="str">
            <v>US_24620</v>
          </cell>
          <cell r="AS661">
            <v>0</v>
          </cell>
          <cell r="AT661">
            <v>168</v>
          </cell>
          <cell r="AU661">
            <v>168</v>
          </cell>
          <cell r="AV661">
            <v>0</v>
          </cell>
          <cell r="AW661">
            <v>1184.4000000000019</v>
          </cell>
          <cell r="AX661">
            <v>1184.4000000000019</v>
          </cell>
          <cell r="AY661">
            <v>1184.4000000000019</v>
          </cell>
          <cell r="AZ661">
            <v>0</v>
          </cell>
          <cell r="BA661">
            <v>0</v>
          </cell>
          <cell r="BB661">
            <v>0</v>
          </cell>
          <cell r="BD661">
            <v>1184.4000000000019</v>
          </cell>
          <cell r="BF661">
            <v>1184.4000000000019</v>
          </cell>
          <cell r="BG661">
            <v>17640</v>
          </cell>
          <cell r="BH661">
            <v>17640</v>
          </cell>
          <cell r="BI661">
            <v>13944</v>
          </cell>
          <cell r="BJ661">
            <v>12.45</v>
          </cell>
          <cell r="BK661">
            <v>420</v>
          </cell>
          <cell r="BL661">
            <v>2091.6</v>
          </cell>
          <cell r="BM661">
            <v>16455.599999999999</v>
          </cell>
          <cell r="BN661">
            <v>14.95</v>
          </cell>
          <cell r="BO661">
            <v>1184.4000000000001</v>
          </cell>
          <cell r="BP661" t="str">
            <v>Y</v>
          </cell>
          <cell r="BQ661">
            <v>1</v>
          </cell>
          <cell r="BR661" t="str">
            <v>N</v>
          </cell>
          <cell r="BS661">
            <v>0</v>
          </cell>
          <cell r="BT661" t="str">
            <v>Done</v>
          </cell>
          <cell r="BU661">
            <v>168</v>
          </cell>
          <cell r="BV661">
            <v>2024</v>
          </cell>
        </row>
        <row r="662">
          <cell r="A662" t="str">
            <v>Lucknow</v>
          </cell>
          <cell r="B662" t="str">
            <v>Trust</v>
          </cell>
          <cell r="C662" t="str">
            <v>Mid Level</v>
          </cell>
          <cell r="D662" t="str">
            <v>Harsh Agarwal</v>
          </cell>
          <cell r="E662" t="str">
            <v>-</v>
          </cell>
          <cell r="H662" t="str">
            <v>Vishwendra</v>
          </cell>
          <cell r="K662">
            <v>0</v>
          </cell>
          <cell r="L662" t="str">
            <v>Old</v>
          </cell>
          <cell r="M662">
            <v>45383</v>
          </cell>
          <cell r="N662">
            <v>2</v>
          </cell>
          <cell r="O662">
            <v>663</v>
          </cell>
          <cell r="P662">
            <v>45933</v>
          </cell>
          <cell r="Q662">
            <v>45748</v>
          </cell>
          <cell r="R662" t="str">
            <v>PLC-3677</v>
          </cell>
          <cell r="S662" t="str">
            <v>Syed Ali Abbas</v>
          </cell>
          <cell r="T662" t="str">
            <v>Individual</v>
          </cell>
          <cell r="U662" t="str">
            <v>W2</v>
          </cell>
          <cell r="V662" t="str">
            <v>Birlasoft</v>
          </cell>
          <cell r="W662">
            <v>83</v>
          </cell>
          <cell r="X662">
            <v>0</v>
          </cell>
          <cell r="Y662" t="str">
            <v>USD</v>
          </cell>
          <cell r="Z662">
            <v>105</v>
          </cell>
          <cell r="AA662">
            <v>0</v>
          </cell>
          <cell r="AB662">
            <v>0</v>
          </cell>
          <cell r="AC662">
            <v>2.5</v>
          </cell>
          <cell r="AD662">
            <v>45762</v>
          </cell>
          <cell r="AE662">
            <v>22</v>
          </cell>
          <cell r="AF662">
            <v>46022</v>
          </cell>
          <cell r="AG662">
            <v>95.449999999999989</v>
          </cell>
          <cell r="AH662">
            <v>0</v>
          </cell>
          <cell r="AI662">
            <v>97.949999999999989</v>
          </cell>
          <cell r="AJ662">
            <v>105</v>
          </cell>
          <cell r="AK662">
            <v>0</v>
          </cell>
          <cell r="AL662">
            <v>0</v>
          </cell>
          <cell r="AM662">
            <v>7.0500000000000114</v>
          </cell>
          <cell r="AN662">
            <v>0</v>
          </cell>
          <cell r="AO662">
            <v>7.0500000000000114</v>
          </cell>
          <cell r="AP662">
            <v>0</v>
          </cell>
          <cell r="AQ662">
            <v>7.0500000000000114</v>
          </cell>
          <cell r="AR662" t="str">
            <v>US_24829</v>
          </cell>
          <cell r="AS662">
            <v>0</v>
          </cell>
          <cell r="AT662">
            <v>176</v>
          </cell>
          <cell r="AU662">
            <v>176</v>
          </cell>
          <cell r="AV662">
            <v>0</v>
          </cell>
          <cell r="AW662">
            <v>1240.800000000002</v>
          </cell>
          <cell r="AX662">
            <v>1240.800000000002</v>
          </cell>
          <cell r="AY662">
            <v>1240.800000000002</v>
          </cell>
          <cell r="AZ662">
            <v>0</v>
          </cell>
          <cell r="BA662">
            <v>0</v>
          </cell>
          <cell r="BB662">
            <v>0</v>
          </cell>
          <cell r="BD662">
            <v>0</v>
          </cell>
          <cell r="BF662">
            <v>0</v>
          </cell>
          <cell r="BG662">
            <v>18480</v>
          </cell>
          <cell r="BH662">
            <v>18480</v>
          </cell>
          <cell r="BI662">
            <v>14608</v>
          </cell>
          <cell r="BJ662">
            <v>12.45</v>
          </cell>
          <cell r="BK662">
            <v>440</v>
          </cell>
          <cell r="BL662">
            <v>2191.1999999999998</v>
          </cell>
          <cell r="BM662">
            <v>17239.2</v>
          </cell>
          <cell r="BN662">
            <v>14.95</v>
          </cell>
          <cell r="BO662">
            <v>1240.8000000000002</v>
          </cell>
          <cell r="BP662" t="str">
            <v>Y</v>
          </cell>
          <cell r="BQ662">
            <v>2</v>
          </cell>
          <cell r="BR662" t="str">
            <v>N</v>
          </cell>
          <cell r="BS662">
            <v>0</v>
          </cell>
          <cell r="BT662" t="str">
            <v>Done</v>
          </cell>
          <cell r="BU662">
            <v>176</v>
          </cell>
          <cell r="BV662">
            <v>2024</v>
          </cell>
        </row>
        <row r="663">
          <cell r="A663" t="str">
            <v>Lucknow</v>
          </cell>
          <cell r="B663" t="str">
            <v>RPO</v>
          </cell>
          <cell r="C663" t="str">
            <v>Mid Level</v>
          </cell>
          <cell r="D663" t="str">
            <v>Ankit Pandey</v>
          </cell>
          <cell r="E663" t="str">
            <v>-</v>
          </cell>
          <cell r="H663" t="str">
            <v>Priyanka Mishra</v>
          </cell>
          <cell r="K663" t="str">
            <v>N.A</v>
          </cell>
          <cell r="L663" t="str">
            <v>New</v>
          </cell>
          <cell r="M663">
            <v>45705</v>
          </cell>
          <cell r="N663">
            <v>1</v>
          </cell>
          <cell r="O663">
            <v>341</v>
          </cell>
          <cell r="P663" t="str">
            <v>-</v>
          </cell>
          <cell r="Q663">
            <v>46070</v>
          </cell>
          <cell r="R663" t="str">
            <v>PLC-4137</v>
          </cell>
          <cell r="S663" t="str">
            <v>Tanner Mortensen</v>
          </cell>
          <cell r="T663" t="str">
            <v>Individual</v>
          </cell>
          <cell r="U663" t="str">
            <v>RPO</v>
          </cell>
          <cell r="V663" t="str">
            <v>GPC RPO</v>
          </cell>
          <cell r="W663">
            <v>0</v>
          </cell>
          <cell r="X663">
            <v>0</v>
          </cell>
          <cell r="Y663" t="str">
            <v>USD</v>
          </cell>
          <cell r="Z663">
            <v>300</v>
          </cell>
          <cell r="AA663">
            <v>0</v>
          </cell>
          <cell r="AB663">
            <v>0</v>
          </cell>
          <cell r="AC663">
            <v>0</v>
          </cell>
          <cell r="AD663">
            <v>45703</v>
          </cell>
          <cell r="AE663">
            <v>10</v>
          </cell>
          <cell r="AF663">
            <v>46022</v>
          </cell>
          <cell r="AG663">
            <v>0</v>
          </cell>
          <cell r="AH663">
            <v>0</v>
          </cell>
          <cell r="AI663">
            <v>0</v>
          </cell>
          <cell r="AJ663">
            <v>300</v>
          </cell>
          <cell r="AK663">
            <v>0</v>
          </cell>
          <cell r="AL663">
            <v>0</v>
          </cell>
          <cell r="AM663">
            <v>300</v>
          </cell>
          <cell r="AN663">
            <v>0</v>
          </cell>
          <cell r="AO663">
            <v>300</v>
          </cell>
          <cell r="AP663">
            <v>0</v>
          </cell>
          <cell r="AQ663">
            <v>0</v>
          </cell>
          <cell r="AR663" t="str">
            <v>US_24397</v>
          </cell>
          <cell r="AS663">
            <v>0</v>
          </cell>
          <cell r="AT663">
            <v>1</v>
          </cell>
          <cell r="AU663">
            <v>1</v>
          </cell>
          <cell r="AV663">
            <v>0</v>
          </cell>
          <cell r="AW663">
            <v>300</v>
          </cell>
          <cell r="AX663">
            <v>300</v>
          </cell>
          <cell r="AY663">
            <v>300</v>
          </cell>
          <cell r="AZ663">
            <v>0</v>
          </cell>
          <cell r="BA663">
            <v>0</v>
          </cell>
          <cell r="BB663">
            <v>0</v>
          </cell>
          <cell r="BF663">
            <v>300</v>
          </cell>
          <cell r="BG663">
            <v>300</v>
          </cell>
          <cell r="BH663">
            <v>300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300</v>
          </cell>
          <cell r="BP663" t="str">
            <v>Y</v>
          </cell>
          <cell r="BQ663">
            <v>1</v>
          </cell>
          <cell r="BR663" t="str">
            <v>Y</v>
          </cell>
          <cell r="BS663">
            <v>0</v>
          </cell>
          <cell r="BT663" t="str">
            <v>Done</v>
          </cell>
          <cell r="BU663">
            <v>0</v>
          </cell>
          <cell r="BV663">
            <v>2025</v>
          </cell>
        </row>
        <row r="664">
          <cell r="A664" t="str">
            <v>Lucknow</v>
          </cell>
          <cell r="B664" t="str">
            <v>Trust</v>
          </cell>
          <cell r="C664" t="str">
            <v>Mid Level</v>
          </cell>
          <cell r="D664" t="str">
            <v>Harsh Agarwal</v>
          </cell>
          <cell r="E664" t="str">
            <v>-</v>
          </cell>
          <cell r="F664" t="str">
            <v>-</v>
          </cell>
          <cell r="G664" t="str">
            <v>-</v>
          </cell>
          <cell r="H664" t="str">
            <v>Aarzoo Khan</v>
          </cell>
          <cell r="K664" t="str">
            <v>-</v>
          </cell>
          <cell r="L664" t="str">
            <v>New</v>
          </cell>
          <cell r="M664">
            <v>45754</v>
          </cell>
          <cell r="N664">
            <v>2</v>
          </cell>
          <cell r="O664">
            <v>292</v>
          </cell>
          <cell r="P664" t="str">
            <v>-</v>
          </cell>
          <cell r="Q664">
            <v>46119</v>
          </cell>
          <cell r="R664" t="str">
            <v>PLC-4180</v>
          </cell>
          <cell r="S664" t="str">
            <v>Timothy Douglas Scott</v>
          </cell>
          <cell r="T664" t="str">
            <v>Individual</v>
          </cell>
          <cell r="U664" t="str">
            <v>C2C</v>
          </cell>
          <cell r="V664" t="str">
            <v>Birlasoft</v>
          </cell>
          <cell r="W664">
            <v>70</v>
          </cell>
          <cell r="X664">
            <v>0</v>
          </cell>
          <cell r="Y664" t="str">
            <v>USD</v>
          </cell>
          <cell r="Z664">
            <v>85</v>
          </cell>
          <cell r="AA664">
            <v>0</v>
          </cell>
          <cell r="AB664">
            <v>0</v>
          </cell>
          <cell r="AC664">
            <v>0</v>
          </cell>
          <cell r="AD664">
            <v>45762</v>
          </cell>
          <cell r="AE664">
            <v>18</v>
          </cell>
          <cell r="AF664">
            <v>46022</v>
          </cell>
          <cell r="AG664">
            <v>70</v>
          </cell>
          <cell r="AH664">
            <v>0</v>
          </cell>
          <cell r="AI664">
            <v>70</v>
          </cell>
          <cell r="AJ664">
            <v>85</v>
          </cell>
          <cell r="AK664">
            <v>0</v>
          </cell>
          <cell r="AL664">
            <v>0</v>
          </cell>
          <cell r="AM664">
            <v>15</v>
          </cell>
          <cell r="AN664">
            <v>0</v>
          </cell>
          <cell r="AO664">
            <v>15</v>
          </cell>
          <cell r="AP664">
            <v>0</v>
          </cell>
          <cell r="AQ664">
            <v>15</v>
          </cell>
          <cell r="AR664" t="str">
            <v>US_24943</v>
          </cell>
          <cell r="AS664">
            <v>0</v>
          </cell>
          <cell r="AT664">
            <v>176</v>
          </cell>
          <cell r="AU664">
            <v>176</v>
          </cell>
          <cell r="AV664">
            <v>0</v>
          </cell>
          <cell r="AW664">
            <v>2640</v>
          </cell>
          <cell r="AX664">
            <v>2640</v>
          </cell>
          <cell r="AY664">
            <v>2640</v>
          </cell>
          <cell r="AZ664">
            <v>50</v>
          </cell>
          <cell r="BA664">
            <v>18</v>
          </cell>
          <cell r="BB664">
            <v>3168</v>
          </cell>
          <cell r="BC664">
            <v>42</v>
          </cell>
          <cell r="BD664">
            <v>2640</v>
          </cell>
          <cell r="BE664">
            <v>2112</v>
          </cell>
          <cell r="BF664">
            <v>2640</v>
          </cell>
          <cell r="BG664">
            <v>14960</v>
          </cell>
          <cell r="BH664">
            <v>14960</v>
          </cell>
          <cell r="BI664">
            <v>12320</v>
          </cell>
          <cell r="BJ664">
            <v>0</v>
          </cell>
          <cell r="BK664">
            <v>0</v>
          </cell>
          <cell r="BL664">
            <v>0</v>
          </cell>
          <cell r="BM664">
            <v>12320</v>
          </cell>
          <cell r="BN664">
            <v>0</v>
          </cell>
          <cell r="BO664">
            <v>2640</v>
          </cell>
          <cell r="BP664" t="str">
            <v>Y</v>
          </cell>
          <cell r="BQ664">
            <v>2</v>
          </cell>
          <cell r="BR664" t="str">
            <v>Y</v>
          </cell>
          <cell r="BS664">
            <v>3168</v>
          </cell>
          <cell r="BT664" t="str">
            <v>Done</v>
          </cell>
          <cell r="BU664">
            <v>176</v>
          </cell>
          <cell r="BV664">
            <v>2025</v>
          </cell>
        </row>
        <row r="665">
          <cell r="A665" t="str">
            <v>Lucknow</v>
          </cell>
          <cell r="B665" t="str">
            <v>Healthcare</v>
          </cell>
          <cell r="C665" t="str">
            <v>Mid Level</v>
          </cell>
          <cell r="D665" t="str">
            <v>Abhishek Singh</v>
          </cell>
          <cell r="E665" t="str">
            <v>-</v>
          </cell>
          <cell r="F665" t="str">
            <v>-</v>
          </cell>
          <cell r="G665" t="str">
            <v>-</v>
          </cell>
          <cell r="H665" t="str">
            <v>Sachin Singh</v>
          </cell>
          <cell r="J665" t="str">
            <v>ACH</v>
          </cell>
          <cell r="K665" t="str">
            <v>-</v>
          </cell>
          <cell r="L665" t="str">
            <v>New</v>
          </cell>
          <cell r="M665">
            <v>45758</v>
          </cell>
          <cell r="N665">
            <v>2</v>
          </cell>
          <cell r="O665">
            <v>288</v>
          </cell>
          <cell r="P665" t="str">
            <v>-</v>
          </cell>
          <cell r="Q665">
            <v>46123</v>
          </cell>
          <cell r="S665" t="str">
            <v>Timothy Webb</v>
          </cell>
          <cell r="T665" t="str">
            <v>Individual</v>
          </cell>
          <cell r="U665" t="str">
            <v>W2</v>
          </cell>
          <cell r="V665" t="str">
            <v>Prime Healthcare</v>
          </cell>
          <cell r="W665">
            <v>40.25</v>
          </cell>
          <cell r="X665">
            <v>0</v>
          </cell>
          <cell r="Y665" t="str">
            <v>USD</v>
          </cell>
          <cell r="Z665">
            <v>65</v>
          </cell>
          <cell r="AA665">
            <v>0</v>
          </cell>
          <cell r="AB665">
            <v>0</v>
          </cell>
          <cell r="AC665">
            <v>0</v>
          </cell>
          <cell r="AD665">
            <v>45762</v>
          </cell>
          <cell r="AE665">
            <v>14</v>
          </cell>
          <cell r="AF665">
            <v>46022</v>
          </cell>
          <cell r="AG665">
            <v>46.287499999999994</v>
          </cell>
          <cell r="AH665">
            <v>0</v>
          </cell>
          <cell r="AI665">
            <v>46.287499999999994</v>
          </cell>
          <cell r="AJ665">
            <v>65</v>
          </cell>
          <cell r="AK665">
            <v>0</v>
          </cell>
          <cell r="AL665">
            <v>0</v>
          </cell>
          <cell r="AM665">
            <v>18.712500000000006</v>
          </cell>
          <cell r="AN665">
            <v>0</v>
          </cell>
          <cell r="AO665">
            <v>18.712500000000006</v>
          </cell>
          <cell r="AP665">
            <v>0</v>
          </cell>
          <cell r="AQ665">
            <v>18.712500000000006</v>
          </cell>
          <cell r="AU665">
            <v>112</v>
          </cell>
          <cell r="AY665">
            <v>2095.8000000000006</v>
          </cell>
          <cell r="AZ665">
            <v>0</v>
          </cell>
          <cell r="BA665">
            <v>0</v>
          </cell>
          <cell r="BH665">
            <v>7280</v>
          </cell>
          <cell r="BI665">
            <v>4508</v>
          </cell>
          <cell r="BJ665">
            <v>6.0374999999999996</v>
          </cell>
          <cell r="BK665">
            <v>0</v>
          </cell>
          <cell r="BL665">
            <v>676.19999999999993</v>
          </cell>
          <cell r="BM665">
            <v>5184.2</v>
          </cell>
          <cell r="BN665">
            <v>6.0374999999999996</v>
          </cell>
          <cell r="BO665">
            <v>2095.8000000000002</v>
          </cell>
          <cell r="BQ665">
            <v>2</v>
          </cell>
          <cell r="BR665" t="str">
            <v>Y</v>
          </cell>
          <cell r="BS665">
            <v>0</v>
          </cell>
          <cell r="BT665" t="str">
            <v>Pending</v>
          </cell>
          <cell r="BU665">
            <v>0</v>
          </cell>
          <cell r="BV665">
            <v>2025</v>
          </cell>
        </row>
        <row r="666">
          <cell r="A666" t="str">
            <v>Lucknow</v>
          </cell>
          <cell r="B666" t="str">
            <v>RPO</v>
          </cell>
          <cell r="C666" t="str">
            <v>Mid Level</v>
          </cell>
          <cell r="D666" t="str">
            <v>Ankit Pandey</v>
          </cell>
          <cell r="E666" t="str">
            <v>-</v>
          </cell>
          <cell r="H666" t="str">
            <v>Sagar Chandani</v>
          </cell>
          <cell r="L666" t="str">
            <v>New</v>
          </cell>
          <cell r="M666">
            <v>45717</v>
          </cell>
          <cell r="N666">
            <v>1</v>
          </cell>
          <cell r="O666">
            <v>329</v>
          </cell>
          <cell r="P666" t="str">
            <v>-</v>
          </cell>
          <cell r="Q666">
            <v>46082</v>
          </cell>
          <cell r="R666" t="str">
            <v>PLC-4169</v>
          </cell>
          <cell r="S666" t="str">
            <v>Tom Simcox</v>
          </cell>
          <cell r="T666" t="str">
            <v>Individual</v>
          </cell>
          <cell r="U666" t="str">
            <v>FTE</v>
          </cell>
          <cell r="V666" t="str">
            <v>GPC RPO</v>
          </cell>
          <cell r="W666">
            <v>0</v>
          </cell>
          <cell r="X666">
            <v>0</v>
          </cell>
          <cell r="Y666" t="str">
            <v>USD</v>
          </cell>
          <cell r="Z666">
            <v>300</v>
          </cell>
          <cell r="AA666">
            <v>0</v>
          </cell>
          <cell r="AB666">
            <v>0</v>
          </cell>
          <cell r="AC666">
            <v>0</v>
          </cell>
          <cell r="AD666">
            <v>45731</v>
          </cell>
          <cell r="AE666">
            <v>1</v>
          </cell>
          <cell r="AF666">
            <v>46022</v>
          </cell>
          <cell r="AG666">
            <v>0</v>
          </cell>
          <cell r="AH666">
            <v>0</v>
          </cell>
          <cell r="AI666">
            <v>0</v>
          </cell>
          <cell r="AJ666">
            <v>300</v>
          </cell>
          <cell r="AK666">
            <v>0</v>
          </cell>
          <cell r="AL666">
            <v>0</v>
          </cell>
          <cell r="AM666">
            <v>300</v>
          </cell>
          <cell r="AN666">
            <v>0</v>
          </cell>
          <cell r="AO666">
            <v>300</v>
          </cell>
          <cell r="AP666">
            <v>0</v>
          </cell>
          <cell r="AQ666">
            <v>300</v>
          </cell>
          <cell r="AR666" t="str">
            <v>US_24541</v>
          </cell>
          <cell r="AS666">
            <v>0</v>
          </cell>
          <cell r="AT666">
            <v>1</v>
          </cell>
          <cell r="AU666">
            <v>1</v>
          </cell>
          <cell r="AV666">
            <v>0</v>
          </cell>
          <cell r="AW666">
            <v>300</v>
          </cell>
          <cell r="AX666">
            <v>300</v>
          </cell>
          <cell r="AY666">
            <v>300</v>
          </cell>
          <cell r="AZ666">
            <v>116.3</v>
          </cell>
          <cell r="BA666">
            <v>480</v>
          </cell>
          <cell r="BB666">
            <v>480</v>
          </cell>
          <cell r="BF666">
            <v>300</v>
          </cell>
          <cell r="BG666">
            <v>300</v>
          </cell>
          <cell r="BH666">
            <v>300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300</v>
          </cell>
          <cell r="BP666" t="str">
            <v>Y</v>
          </cell>
          <cell r="BQ666">
            <v>1</v>
          </cell>
          <cell r="BR666" t="str">
            <v>Y</v>
          </cell>
          <cell r="BS666">
            <v>480</v>
          </cell>
          <cell r="BT666" t="str">
            <v>Done</v>
          </cell>
          <cell r="BU666">
            <v>0</v>
          </cell>
          <cell r="BV666">
            <v>2025</v>
          </cell>
        </row>
        <row r="667">
          <cell r="A667" t="str">
            <v>Chennai</v>
          </cell>
          <cell r="B667" t="str">
            <v>Chennai</v>
          </cell>
          <cell r="C667" t="str">
            <v>Mid Level</v>
          </cell>
          <cell r="D667" t="str">
            <v>Vinoth L</v>
          </cell>
          <cell r="E667" t="str">
            <v>-</v>
          </cell>
          <cell r="H667" t="str">
            <v>Gayathri.J</v>
          </cell>
          <cell r="J667" t="str">
            <v>ACH</v>
          </cell>
          <cell r="K667">
            <v>0</v>
          </cell>
          <cell r="L667" t="str">
            <v>Old</v>
          </cell>
          <cell r="M667">
            <v>45575</v>
          </cell>
          <cell r="N667">
            <v>4</v>
          </cell>
          <cell r="O667">
            <v>471</v>
          </cell>
          <cell r="P667" t="str">
            <v>-</v>
          </cell>
          <cell r="Q667">
            <v>45940</v>
          </cell>
          <cell r="R667" t="str">
            <v>PLC-4021</v>
          </cell>
          <cell r="S667" t="str">
            <v>Tulsiram Bale</v>
          </cell>
          <cell r="T667" t="str">
            <v>Individual</v>
          </cell>
          <cell r="U667" t="str">
            <v>C2C</v>
          </cell>
          <cell r="V667" t="str">
            <v>Citius Tech</v>
          </cell>
          <cell r="W667">
            <v>65</v>
          </cell>
          <cell r="X667">
            <v>65</v>
          </cell>
          <cell r="Y667" t="str">
            <v>USD</v>
          </cell>
          <cell r="Z667">
            <v>69</v>
          </cell>
          <cell r="AA667">
            <v>69</v>
          </cell>
          <cell r="AB667">
            <v>0</v>
          </cell>
          <cell r="AC667">
            <v>0</v>
          </cell>
          <cell r="AD667">
            <v>45672</v>
          </cell>
          <cell r="AE667">
            <v>23</v>
          </cell>
          <cell r="AF667">
            <v>46022</v>
          </cell>
          <cell r="AG667">
            <v>65</v>
          </cell>
          <cell r="AH667">
            <v>65</v>
          </cell>
          <cell r="AI667">
            <v>65</v>
          </cell>
          <cell r="AJ667">
            <v>69</v>
          </cell>
          <cell r="AK667">
            <v>69</v>
          </cell>
          <cell r="AL667">
            <v>4</v>
          </cell>
          <cell r="AM667">
            <v>4</v>
          </cell>
          <cell r="AN667">
            <v>4</v>
          </cell>
          <cell r="AO667">
            <v>4</v>
          </cell>
          <cell r="AP667">
            <v>4</v>
          </cell>
          <cell r="AQ667">
            <v>4</v>
          </cell>
          <cell r="AR667" t="str">
            <v>US_24284</v>
          </cell>
          <cell r="AS667">
            <v>0</v>
          </cell>
          <cell r="AT667">
            <v>168</v>
          </cell>
          <cell r="AU667">
            <v>168</v>
          </cell>
          <cell r="AV667">
            <v>0</v>
          </cell>
          <cell r="AW667">
            <v>672</v>
          </cell>
          <cell r="AX667">
            <v>665.28</v>
          </cell>
          <cell r="AY667">
            <v>672</v>
          </cell>
          <cell r="AZ667">
            <v>60</v>
          </cell>
          <cell r="BA667">
            <v>8.8000000000000007</v>
          </cell>
          <cell r="BB667">
            <v>1478.4</v>
          </cell>
          <cell r="BC667">
            <v>53.225806451612897</v>
          </cell>
          <cell r="BD667">
            <v>672</v>
          </cell>
          <cell r="BE667">
            <v>537.6</v>
          </cell>
          <cell r="BF667">
            <v>665.28</v>
          </cell>
          <cell r="BG667">
            <v>11592</v>
          </cell>
          <cell r="BH667">
            <v>11592</v>
          </cell>
          <cell r="BI667">
            <v>10920</v>
          </cell>
          <cell r="BJ667">
            <v>0</v>
          </cell>
          <cell r="BK667">
            <v>0</v>
          </cell>
          <cell r="BL667">
            <v>0</v>
          </cell>
          <cell r="BM667">
            <v>10920</v>
          </cell>
          <cell r="BN667">
            <v>0</v>
          </cell>
          <cell r="BO667">
            <v>672</v>
          </cell>
          <cell r="BP667" t="str">
            <v>Y</v>
          </cell>
          <cell r="BQ667">
            <v>1</v>
          </cell>
          <cell r="BR667" t="str">
            <v>N</v>
          </cell>
          <cell r="BS667">
            <v>1478.4</v>
          </cell>
          <cell r="BT667" t="str">
            <v>Done</v>
          </cell>
          <cell r="BU667">
            <v>168</v>
          </cell>
          <cell r="BV667">
            <v>2024</v>
          </cell>
        </row>
        <row r="668">
          <cell r="A668" t="str">
            <v>Chennai</v>
          </cell>
          <cell r="B668" t="str">
            <v>Chennai</v>
          </cell>
          <cell r="C668" t="str">
            <v>Mid Level</v>
          </cell>
          <cell r="D668" t="str">
            <v>Vinoth L</v>
          </cell>
          <cell r="E668" t="str">
            <v>-</v>
          </cell>
          <cell r="H668" t="str">
            <v>Gayathri.J</v>
          </cell>
          <cell r="J668" t="str">
            <v>ACH</v>
          </cell>
          <cell r="K668">
            <v>0</v>
          </cell>
          <cell r="L668" t="str">
            <v>Old</v>
          </cell>
          <cell r="M668">
            <v>45575</v>
          </cell>
          <cell r="N668">
            <v>4</v>
          </cell>
          <cell r="O668">
            <v>471</v>
          </cell>
          <cell r="P668" t="str">
            <v>-</v>
          </cell>
          <cell r="Q668">
            <v>45940</v>
          </cell>
          <cell r="R668" t="str">
            <v>PLC-4021</v>
          </cell>
          <cell r="S668" t="str">
            <v>Tulsiram Bale</v>
          </cell>
          <cell r="T668" t="str">
            <v>Individual</v>
          </cell>
          <cell r="U668" t="str">
            <v>C2C</v>
          </cell>
          <cell r="V668" t="str">
            <v>Citius Tech</v>
          </cell>
          <cell r="W668">
            <v>65</v>
          </cell>
          <cell r="X668">
            <v>65</v>
          </cell>
          <cell r="Y668" t="str">
            <v>USD</v>
          </cell>
          <cell r="Z668">
            <v>69</v>
          </cell>
          <cell r="AA668">
            <v>69</v>
          </cell>
          <cell r="AB668">
            <v>0</v>
          </cell>
          <cell r="AC668">
            <v>0</v>
          </cell>
          <cell r="AD668">
            <v>45703</v>
          </cell>
          <cell r="AE668">
            <v>20</v>
          </cell>
          <cell r="AF668">
            <v>46022</v>
          </cell>
          <cell r="AG668">
            <v>65</v>
          </cell>
          <cell r="AH668">
            <v>65</v>
          </cell>
          <cell r="AI668">
            <v>65</v>
          </cell>
          <cell r="AJ668">
            <v>69</v>
          </cell>
          <cell r="AK668">
            <v>69</v>
          </cell>
          <cell r="AL668">
            <v>4</v>
          </cell>
          <cell r="AM668">
            <v>4</v>
          </cell>
          <cell r="AN668">
            <v>4</v>
          </cell>
          <cell r="AO668">
            <v>4</v>
          </cell>
          <cell r="AP668">
            <v>4</v>
          </cell>
          <cell r="AQ668">
            <v>4</v>
          </cell>
          <cell r="AR668" t="str">
            <v>US_24484</v>
          </cell>
          <cell r="AS668">
            <v>0</v>
          </cell>
          <cell r="AT668">
            <v>160</v>
          </cell>
          <cell r="AU668">
            <v>160</v>
          </cell>
          <cell r="AV668">
            <v>0</v>
          </cell>
          <cell r="AW668">
            <v>640</v>
          </cell>
          <cell r="AX668">
            <v>633.6</v>
          </cell>
          <cell r="AY668">
            <v>640</v>
          </cell>
          <cell r="AZ668">
            <v>60</v>
          </cell>
          <cell r="BA668">
            <v>8.8000000000000007</v>
          </cell>
          <cell r="BB668">
            <v>1408</v>
          </cell>
          <cell r="BC668">
            <v>53.225806451612897</v>
          </cell>
          <cell r="BD668">
            <v>640</v>
          </cell>
          <cell r="BE668">
            <v>512</v>
          </cell>
          <cell r="BF668">
            <v>633.6</v>
          </cell>
          <cell r="BG668">
            <v>11040</v>
          </cell>
          <cell r="BH668">
            <v>11040</v>
          </cell>
          <cell r="BI668">
            <v>10400</v>
          </cell>
          <cell r="BJ668">
            <v>0</v>
          </cell>
          <cell r="BK668">
            <v>0</v>
          </cell>
          <cell r="BL668">
            <v>0</v>
          </cell>
          <cell r="BM668">
            <v>10400</v>
          </cell>
          <cell r="BN668">
            <v>0</v>
          </cell>
          <cell r="BO668">
            <v>640</v>
          </cell>
          <cell r="BP668" t="str">
            <v>Y</v>
          </cell>
          <cell r="BQ668">
            <v>1</v>
          </cell>
          <cell r="BR668" t="str">
            <v>N</v>
          </cell>
          <cell r="BS668">
            <v>1408</v>
          </cell>
          <cell r="BT668" t="str">
            <v>Done</v>
          </cell>
          <cell r="BU668">
            <v>160</v>
          </cell>
          <cell r="BV668">
            <v>2024</v>
          </cell>
        </row>
        <row r="669">
          <cell r="A669" t="str">
            <v>Chennai</v>
          </cell>
          <cell r="B669" t="str">
            <v>Chennai</v>
          </cell>
          <cell r="C669" t="str">
            <v>Mid Level</v>
          </cell>
          <cell r="D669" t="str">
            <v>Vinoth L</v>
          </cell>
          <cell r="E669" t="str">
            <v>-</v>
          </cell>
          <cell r="H669" t="str">
            <v>Gayathri.J</v>
          </cell>
          <cell r="J669" t="str">
            <v>ACH</v>
          </cell>
          <cell r="K669">
            <v>0</v>
          </cell>
          <cell r="L669" t="str">
            <v>Old</v>
          </cell>
          <cell r="M669">
            <v>45575</v>
          </cell>
          <cell r="N669">
            <v>4</v>
          </cell>
          <cell r="O669">
            <v>471</v>
          </cell>
          <cell r="P669" t="str">
            <v>-</v>
          </cell>
          <cell r="Q669">
            <v>45940</v>
          </cell>
          <cell r="R669" t="str">
            <v>PLC-4021</v>
          </cell>
          <cell r="S669" t="str">
            <v>Tulsiram Bale</v>
          </cell>
          <cell r="T669" t="str">
            <v>Individual</v>
          </cell>
          <cell r="U669" t="str">
            <v>C2C</v>
          </cell>
          <cell r="V669" t="str">
            <v>Citius Tech</v>
          </cell>
          <cell r="W669">
            <v>65</v>
          </cell>
          <cell r="X669">
            <v>65</v>
          </cell>
          <cell r="Y669" t="str">
            <v>USD</v>
          </cell>
          <cell r="Z669">
            <v>69</v>
          </cell>
          <cell r="AA669">
            <v>69</v>
          </cell>
          <cell r="AB669">
            <v>0</v>
          </cell>
          <cell r="AC669">
            <v>0</v>
          </cell>
          <cell r="AD669">
            <v>45731</v>
          </cell>
          <cell r="AE669">
            <v>21</v>
          </cell>
          <cell r="AF669">
            <v>46022</v>
          </cell>
          <cell r="AG669">
            <v>65</v>
          </cell>
          <cell r="AH669">
            <v>65</v>
          </cell>
          <cell r="AI669">
            <v>65</v>
          </cell>
          <cell r="AJ669">
            <v>69</v>
          </cell>
          <cell r="AK669">
            <v>69</v>
          </cell>
          <cell r="AL669">
            <v>4</v>
          </cell>
          <cell r="AM669">
            <v>4</v>
          </cell>
          <cell r="AN669">
            <v>4</v>
          </cell>
          <cell r="AO669">
            <v>4</v>
          </cell>
          <cell r="AP669">
            <v>4</v>
          </cell>
          <cell r="AQ669">
            <v>4</v>
          </cell>
          <cell r="AR669" t="str">
            <v>US_24670</v>
          </cell>
          <cell r="AS669">
            <v>0</v>
          </cell>
          <cell r="AT669">
            <v>168</v>
          </cell>
          <cell r="AU669">
            <v>168</v>
          </cell>
          <cell r="AV669">
            <v>0</v>
          </cell>
          <cell r="AW669">
            <v>672</v>
          </cell>
          <cell r="AX669">
            <v>665.28</v>
          </cell>
          <cell r="AY669">
            <v>672</v>
          </cell>
          <cell r="AZ669">
            <v>60</v>
          </cell>
          <cell r="BA669">
            <v>8.8000000000000007</v>
          </cell>
          <cell r="BB669">
            <v>1478.4</v>
          </cell>
          <cell r="BC669">
            <v>53.225806451612897</v>
          </cell>
          <cell r="BD669">
            <v>672</v>
          </cell>
          <cell r="BE669">
            <v>537.6</v>
          </cell>
          <cell r="BF669">
            <v>665.28</v>
          </cell>
          <cell r="BG669">
            <v>11592</v>
          </cell>
          <cell r="BH669">
            <v>11592</v>
          </cell>
          <cell r="BI669">
            <v>10920</v>
          </cell>
          <cell r="BJ669">
            <v>0</v>
          </cell>
          <cell r="BK669">
            <v>0</v>
          </cell>
          <cell r="BL669">
            <v>0</v>
          </cell>
          <cell r="BM669">
            <v>10920</v>
          </cell>
          <cell r="BN669">
            <v>0</v>
          </cell>
          <cell r="BO669">
            <v>672</v>
          </cell>
          <cell r="BP669" t="str">
            <v>Y</v>
          </cell>
          <cell r="BQ669">
            <v>1</v>
          </cell>
          <cell r="BR669" t="str">
            <v>N</v>
          </cell>
          <cell r="BS669">
            <v>1478.4</v>
          </cell>
          <cell r="BT669" t="str">
            <v>Done</v>
          </cell>
          <cell r="BU669">
            <v>168</v>
          </cell>
          <cell r="BV669">
            <v>2024</v>
          </cell>
        </row>
        <row r="670">
          <cell r="A670" t="str">
            <v>Chennai</v>
          </cell>
          <cell r="B670" t="str">
            <v>Chennai</v>
          </cell>
          <cell r="C670" t="str">
            <v>Mid Level</v>
          </cell>
          <cell r="D670" t="str">
            <v>Vinoth L</v>
          </cell>
          <cell r="E670" t="str">
            <v>-</v>
          </cell>
          <cell r="H670" t="str">
            <v>Gayathri.J</v>
          </cell>
          <cell r="J670" t="str">
            <v>ACH</v>
          </cell>
          <cell r="K670">
            <v>0</v>
          </cell>
          <cell r="L670" t="str">
            <v>Old</v>
          </cell>
          <cell r="M670">
            <v>45575</v>
          </cell>
          <cell r="N670">
            <v>4</v>
          </cell>
          <cell r="O670">
            <v>471</v>
          </cell>
          <cell r="P670" t="str">
            <v>-</v>
          </cell>
          <cell r="Q670">
            <v>45940</v>
          </cell>
          <cell r="R670" t="str">
            <v>PLC-4021</v>
          </cell>
          <cell r="S670" t="str">
            <v>Tulsiram Bale</v>
          </cell>
          <cell r="T670" t="str">
            <v>Individual</v>
          </cell>
          <cell r="U670" t="str">
            <v>C2C</v>
          </cell>
          <cell r="V670" t="str">
            <v>Citius Tech</v>
          </cell>
          <cell r="W670">
            <v>65</v>
          </cell>
          <cell r="X670">
            <v>65</v>
          </cell>
          <cell r="Y670" t="str">
            <v>USD</v>
          </cell>
          <cell r="Z670">
            <v>69</v>
          </cell>
          <cell r="AA670">
            <v>69</v>
          </cell>
          <cell r="AB670">
            <v>0</v>
          </cell>
          <cell r="AC670">
            <v>0</v>
          </cell>
          <cell r="AD670">
            <v>45762</v>
          </cell>
          <cell r="AE670">
            <v>22</v>
          </cell>
          <cell r="AF670">
            <v>46022</v>
          </cell>
          <cell r="AG670">
            <v>65</v>
          </cell>
          <cell r="AH670">
            <v>65</v>
          </cell>
          <cell r="AI670">
            <v>65</v>
          </cell>
          <cell r="AJ670">
            <v>69</v>
          </cell>
          <cell r="AK670">
            <v>69</v>
          </cell>
          <cell r="AL670">
            <v>4</v>
          </cell>
          <cell r="AM670">
            <v>4</v>
          </cell>
          <cell r="AN670">
            <v>4</v>
          </cell>
          <cell r="AO670">
            <v>4</v>
          </cell>
          <cell r="AP670">
            <v>4</v>
          </cell>
          <cell r="AQ670">
            <v>4</v>
          </cell>
          <cell r="AR670" t="str">
            <v>US_24875</v>
          </cell>
          <cell r="AS670">
            <v>0</v>
          </cell>
          <cell r="AT670">
            <v>176</v>
          </cell>
          <cell r="AU670">
            <v>176</v>
          </cell>
          <cell r="AV670">
            <v>0</v>
          </cell>
          <cell r="AW670">
            <v>704</v>
          </cell>
          <cell r="AX670">
            <v>696.96</v>
          </cell>
          <cell r="AY670">
            <v>704</v>
          </cell>
          <cell r="AZ670">
            <v>60</v>
          </cell>
          <cell r="BA670">
            <v>8.8000000000000007</v>
          </cell>
          <cell r="BB670">
            <v>1548.8000000000002</v>
          </cell>
          <cell r="BC670">
            <v>53.225806451612897</v>
          </cell>
          <cell r="BD670">
            <v>704</v>
          </cell>
          <cell r="BE670">
            <v>563.20000000000005</v>
          </cell>
          <cell r="BF670">
            <v>696.96</v>
          </cell>
          <cell r="BG670">
            <v>12144</v>
          </cell>
          <cell r="BH670">
            <v>12144</v>
          </cell>
          <cell r="BI670">
            <v>11440</v>
          </cell>
          <cell r="BJ670">
            <v>0</v>
          </cell>
          <cell r="BK670">
            <v>0</v>
          </cell>
          <cell r="BL670">
            <v>0</v>
          </cell>
          <cell r="BM670">
            <v>11440</v>
          </cell>
          <cell r="BN670">
            <v>0</v>
          </cell>
          <cell r="BO670">
            <v>704</v>
          </cell>
          <cell r="BP670" t="str">
            <v>Y</v>
          </cell>
          <cell r="BQ670">
            <v>2</v>
          </cell>
          <cell r="BR670" t="str">
            <v>Y</v>
          </cell>
          <cell r="BS670">
            <v>1548.8000000000002</v>
          </cell>
          <cell r="BT670" t="str">
            <v>Done</v>
          </cell>
          <cell r="BU670">
            <v>176</v>
          </cell>
          <cell r="BV670">
            <v>2024</v>
          </cell>
        </row>
        <row r="671">
          <cell r="A671" t="str">
            <v>Lucknow</v>
          </cell>
          <cell r="B671" t="str">
            <v>RPO</v>
          </cell>
          <cell r="C671" t="str">
            <v>Mid Level</v>
          </cell>
          <cell r="D671" t="str">
            <v>Ankit Pandey</v>
          </cell>
          <cell r="E671" t="str">
            <v>-</v>
          </cell>
          <cell r="H671" t="str">
            <v>Bibhore Bhattacharya</v>
          </cell>
          <cell r="K671" t="str">
            <v>N.A</v>
          </cell>
          <cell r="L671" t="str">
            <v>New</v>
          </cell>
          <cell r="M671">
            <v>45698</v>
          </cell>
          <cell r="N671">
            <v>1</v>
          </cell>
          <cell r="O671">
            <v>348</v>
          </cell>
          <cell r="P671" t="str">
            <v>-</v>
          </cell>
          <cell r="Q671">
            <v>46063</v>
          </cell>
          <cell r="R671" t="str">
            <v>PLC-4158</v>
          </cell>
          <cell r="S671" t="str">
            <v>Tyler Park</v>
          </cell>
          <cell r="T671" t="str">
            <v>Individual</v>
          </cell>
          <cell r="U671" t="str">
            <v>RPO</v>
          </cell>
          <cell r="V671" t="str">
            <v>USAG</v>
          </cell>
          <cell r="W671">
            <v>0</v>
          </cell>
          <cell r="X671">
            <v>0</v>
          </cell>
          <cell r="Y671" t="str">
            <v>USD</v>
          </cell>
          <cell r="Z671">
            <v>300</v>
          </cell>
          <cell r="AA671">
            <v>0</v>
          </cell>
          <cell r="AB671">
            <v>0</v>
          </cell>
          <cell r="AC671">
            <v>0</v>
          </cell>
          <cell r="AD671">
            <v>45703</v>
          </cell>
          <cell r="AE671">
            <v>15</v>
          </cell>
          <cell r="AF671">
            <v>46022</v>
          </cell>
          <cell r="AG671">
            <v>0</v>
          </cell>
          <cell r="AH671">
            <v>0</v>
          </cell>
          <cell r="AI671">
            <v>0</v>
          </cell>
          <cell r="AJ671">
            <v>300</v>
          </cell>
          <cell r="AK671">
            <v>0</v>
          </cell>
          <cell r="AL671">
            <v>0</v>
          </cell>
          <cell r="AM671">
            <v>300</v>
          </cell>
          <cell r="AN671">
            <v>0</v>
          </cell>
          <cell r="AO671">
            <v>300</v>
          </cell>
          <cell r="AP671">
            <v>0</v>
          </cell>
          <cell r="AQ671">
            <v>0</v>
          </cell>
          <cell r="AR671" t="str">
            <v>US_24397</v>
          </cell>
          <cell r="AS671">
            <v>0</v>
          </cell>
          <cell r="AT671">
            <v>1</v>
          </cell>
          <cell r="AU671">
            <v>1</v>
          </cell>
          <cell r="AV671">
            <v>0</v>
          </cell>
          <cell r="AW671">
            <v>300</v>
          </cell>
          <cell r="AX671">
            <v>300</v>
          </cell>
          <cell r="AY671">
            <v>300</v>
          </cell>
          <cell r="AZ671">
            <v>0</v>
          </cell>
          <cell r="BA671">
            <v>0</v>
          </cell>
          <cell r="BB671">
            <v>0</v>
          </cell>
          <cell r="BF671">
            <v>300</v>
          </cell>
          <cell r="BG671">
            <v>300</v>
          </cell>
          <cell r="BH671">
            <v>300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300</v>
          </cell>
          <cell r="BP671" t="str">
            <v>Y</v>
          </cell>
          <cell r="BQ671">
            <v>1</v>
          </cell>
          <cell r="BR671" t="str">
            <v>Y</v>
          </cell>
          <cell r="BS671">
            <v>0</v>
          </cell>
          <cell r="BT671" t="str">
            <v>Done</v>
          </cell>
          <cell r="BU671">
            <v>0</v>
          </cell>
          <cell r="BV671">
            <v>2025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Abhishek Yadav</v>
          </cell>
          <cell r="E672" t="str">
            <v>Abhishek Yadav</v>
          </cell>
          <cell r="H672" t="str">
            <v>Shubham Tripathi</v>
          </cell>
          <cell r="L672" t="str">
            <v>New</v>
          </cell>
          <cell r="M672">
            <v>45726</v>
          </cell>
          <cell r="N672">
            <v>1</v>
          </cell>
          <cell r="O672">
            <v>320</v>
          </cell>
          <cell r="P672">
            <v>45849</v>
          </cell>
          <cell r="Q672">
            <v>46091</v>
          </cell>
          <cell r="R672" t="str">
            <v>PLC-4128</v>
          </cell>
          <cell r="S672" t="str">
            <v>Vaishnavi Vundrakonda</v>
          </cell>
          <cell r="T672" t="str">
            <v>Individual</v>
          </cell>
          <cell r="U672" t="str">
            <v>C2C</v>
          </cell>
          <cell r="V672" t="str">
            <v>Genpact</v>
          </cell>
          <cell r="W672">
            <v>56</v>
          </cell>
          <cell r="X672">
            <v>84</v>
          </cell>
          <cell r="Y672" t="str">
            <v>CAD</v>
          </cell>
          <cell r="Z672">
            <v>69</v>
          </cell>
          <cell r="AA672">
            <v>103</v>
          </cell>
          <cell r="AB672">
            <v>0</v>
          </cell>
          <cell r="AC672">
            <v>0</v>
          </cell>
          <cell r="AD672">
            <v>45731</v>
          </cell>
          <cell r="AE672">
            <v>16</v>
          </cell>
          <cell r="AF672">
            <v>46022</v>
          </cell>
          <cell r="AG672">
            <v>39.76</v>
          </cell>
          <cell r="AH672">
            <v>62.235599999999998</v>
          </cell>
          <cell r="AI672">
            <v>39.76</v>
          </cell>
          <cell r="AJ672">
            <v>48.989999999999995</v>
          </cell>
          <cell r="AK672">
            <v>76.312700000000007</v>
          </cell>
          <cell r="AL672">
            <v>14.077100000000009</v>
          </cell>
          <cell r="AM672">
            <v>9.2299999999999969</v>
          </cell>
          <cell r="AN672">
            <v>14.077100000000009</v>
          </cell>
          <cell r="AO672">
            <v>9.2299999999999969</v>
          </cell>
          <cell r="AP672">
            <v>14.077100000000009</v>
          </cell>
          <cell r="AQ672">
            <v>9.2299999999999969</v>
          </cell>
          <cell r="AR672" t="str">
            <v>CAD_1464</v>
          </cell>
          <cell r="AS672">
            <v>0</v>
          </cell>
          <cell r="AT672">
            <v>128</v>
          </cell>
          <cell r="AU672">
            <v>128</v>
          </cell>
          <cell r="AV672">
            <v>0</v>
          </cell>
          <cell r="AW672">
            <v>1181.4399999999996</v>
          </cell>
          <cell r="AX672">
            <v>1181.4399999999996</v>
          </cell>
          <cell r="AY672">
            <v>1181.4399999999996</v>
          </cell>
          <cell r="AZ672">
            <v>100</v>
          </cell>
          <cell r="BA672">
            <v>14.767999999999995</v>
          </cell>
          <cell r="BB672">
            <v>1890.3039999999994</v>
          </cell>
          <cell r="BC672">
            <v>102</v>
          </cell>
          <cell r="BD672">
            <v>1181.4399999999996</v>
          </cell>
          <cell r="BE672">
            <v>1890.3039999999994</v>
          </cell>
          <cell r="BF672">
            <v>1181.4399999999996</v>
          </cell>
          <cell r="BG672">
            <v>8832</v>
          </cell>
          <cell r="BH672">
            <v>6270.7199999999993</v>
          </cell>
          <cell r="BI672">
            <v>5310.7712000000001</v>
          </cell>
          <cell r="BJ672">
            <v>0</v>
          </cell>
          <cell r="BK672">
            <v>0</v>
          </cell>
          <cell r="BL672">
            <v>0</v>
          </cell>
          <cell r="BM672">
            <v>5310.7712000000001</v>
          </cell>
          <cell r="BN672">
            <v>0</v>
          </cell>
          <cell r="BO672">
            <v>959.94879999999921</v>
          </cell>
          <cell r="BP672" t="str">
            <v>Y</v>
          </cell>
          <cell r="BQ672">
            <v>1</v>
          </cell>
          <cell r="BR672" t="str">
            <v>Y</v>
          </cell>
          <cell r="BS672">
            <v>1890.3039999999994</v>
          </cell>
          <cell r="BT672" t="str">
            <v>Done</v>
          </cell>
          <cell r="BU672">
            <v>128</v>
          </cell>
          <cell r="BV672">
            <v>2025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Abhishek Yadav</v>
          </cell>
          <cell r="E673" t="str">
            <v>Abhishek Yadav</v>
          </cell>
          <cell r="H673" t="str">
            <v>Shubham Tripathi</v>
          </cell>
          <cell r="L673" t="str">
            <v>New</v>
          </cell>
          <cell r="M673">
            <v>45726</v>
          </cell>
          <cell r="N673">
            <v>1</v>
          </cell>
          <cell r="O673">
            <v>320</v>
          </cell>
          <cell r="P673">
            <v>45849</v>
          </cell>
          <cell r="Q673">
            <v>46091</v>
          </cell>
          <cell r="R673" t="str">
            <v>PLC-4128</v>
          </cell>
          <cell r="S673" t="str">
            <v>Vaishnavi Vundrakonda</v>
          </cell>
          <cell r="T673" t="str">
            <v>Individual</v>
          </cell>
          <cell r="U673" t="str">
            <v>C2C</v>
          </cell>
          <cell r="V673" t="str">
            <v>Genpact</v>
          </cell>
          <cell r="W673">
            <v>56</v>
          </cell>
          <cell r="X673">
            <v>84</v>
          </cell>
          <cell r="Y673" t="str">
            <v>CAD</v>
          </cell>
          <cell r="Z673">
            <v>69</v>
          </cell>
          <cell r="AA673">
            <v>103</v>
          </cell>
          <cell r="AB673">
            <v>0</v>
          </cell>
          <cell r="AC673">
            <v>0</v>
          </cell>
          <cell r="AD673">
            <v>45762</v>
          </cell>
          <cell r="AE673">
            <v>22</v>
          </cell>
          <cell r="AF673">
            <v>46022</v>
          </cell>
          <cell r="AG673">
            <v>39.76</v>
          </cell>
          <cell r="AH673">
            <v>62.235599999999998</v>
          </cell>
          <cell r="AI673">
            <v>39.76</v>
          </cell>
          <cell r="AJ673">
            <v>48.989999999999995</v>
          </cell>
          <cell r="AK673">
            <v>76.312700000000007</v>
          </cell>
          <cell r="AL673">
            <v>14.077100000000009</v>
          </cell>
          <cell r="AM673">
            <v>9.2299999999999969</v>
          </cell>
          <cell r="AN673">
            <v>14.077100000000009</v>
          </cell>
          <cell r="AO673">
            <v>9.2299999999999969</v>
          </cell>
          <cell r="AP673">
            <v>14.077100000000009</v>
          </cell>
          <cell r="AQ673">
            <v>9.2299999999999969</v>
          </cell>
          <cell r="AR673" t="str">
            <v>CAD_1498</v>
          </cell>
          <cell r="AS673">
            <v>0</v>
          </cell>
          <cell r="AT673">
            <v>160</v>
          </cell>
          <cell r="AU673">
            <v>160</v>
          </cell>
          <cell r="AV673">
            <v>0</v>
          </cell>
          <cell r="AW673">
            <v>1476.7999999999995</v>
          </cell>
          <cell r="AX673">
            <v>1476.7999999999995</v>
          </cell>
          <cell r="AY673">
            <v>1476.7999999999995</v>
          </cell>
          <cell r="AZ673">
            <v>100</v>
          </cell>
          <cell r="BA673">
            <v>14.767999999999995</v>
          </cell>
          <cell r="BB673">
            <v>2362.8799999999992</v>
          </cell>
          <cell r="BC673">
            <v>102</v>
          </cell>
          <cell r="BD673">
            <v>1476.7999999999995</v>
          </cell>
          <cell r="BE673">
            <v>2362.8799999999992</v>
          </cell>
          <cell r="BF673">
            <v>1476.7999999999995</v>
          </cell>
          <cell r="BG673">
            <v>11040</v>
          </cell>
          <cell r="BH673">
            <v>7838.4</v>
          </cell>
          <cell r="BI673">
            <v>6638.4639999999999</v>
          </cell>
          <cell r="BJ673">
            <v>0</v>
          </cell>
          <cell r="BK673">
            <v>0</v>
          </cell>
          <cell r="BL673">
            <v>0</v>
          </cell>
          <cell r="BM673">
            <v>6638.4639999999999</v>
          </cell>
          <cell r="BN673">
            <v>0</v>
          </cell>
          <cell r="BO673">
            <v>1199.9359999999997</v>
          </cell>
          <cell r="BP673" t="str">
            <v>Y</v>
          </cell>
          <cell r="BQ673">
            <v>2</v>
          </cell>
          <cell r="BR673" t="str">
            <v>N</v>
          </cell>
          <cell r="BS673">
            <v>2362.8799999999992</v>
          </cell>
          <cell r="BT673" t="str">
            <v>Done</v>
          </cell>
          <cell r="BU673">
            <v>160</v>
          </cell>
          <cell r="BV673">
            <v>2025</v>
          </cell>
        </row>
        <row r="674">
          <cell r="A674" t="str">
            <v>Lucknow</v>
          </cell>
          <cell r="B674" t="str">
            <v>Mavericks</v>
          </cell>
          <cell r="C674" t="str">
            <v>Mid Level</v>
          </cell>
          <cell r="D674" t="str">
            <v>Rohit Gupta</v>
          </cell>
          <cell r="E674" t="str">
            <v>-</v>
          </cell>
          <cell r="H674" t="str">
            <v>Akhilesh Gupta</v>
          </cell>
          <cell r="J674" t="str">
            <v>ACH</v>
          </cell>
          <cell r="L674" t="str">
            <v>New</v>
          </cell>
          <cell r="M674">
            <v>45691</v>
          </cell>
          <cell r="N674">
            <v>1</v>
          </cell>
          <cell r="O674">
            <v>355</v>
          </cell>
          <cell r="P674">
            <v>45838</v>
          </cell>
          <cell r="Q674">
            <v>46056</v>
          </cell>
          <cell r="R674" t="str">
            <v>PLC-4104</v>
          </cell>
          <cell r="S674" t="str">
            <v>Vamshi Krishna Bandaru</v>
          </cell>
          <cell r="T674" t="str">
            <v>Individual</v>
          </cell>
          <cell r="U674" t="str">
            <v>C2C</v>
          </cell>
          <cell r="V674" t="str">
            <v>Coforge</v>
          </cell>
          <cell r="W674">
            <v>65</v>
          </cell>
          <cell r="X674">
            <v>0</v>
          </cell>
          <cell r="Y674" t="str">
            <v>USD</v>
          </cell>
          <cell r="Z674">
            <v>73</v>
          </cell>
          <cell r="AA674">
            <v>0</v>
          </cell>
          <cell r="AB674">
            <v>0</v>
          </cell>
          <cell r="AC674">
            <v>0</v>
          </cell>
          <cell r="AD674">
            <v>45703</v>
          </cell>
          <cell r="AE674">
            <v>20</v>
          </cell>
          <cell r="AF674">
            <v>46022</v>
          </cell>
          <cell r="AG674">
            <v>65</v>
          </cell>
          <cell r="AH674">
            <v>0</v>
          </cell>
          <cell r="AI674">
            <v>65</v>
          </cell>
          <cell r="AJ674">
            <v>73</v>
          </cell>
          <cell r="AK674">
            <v>0</v>
          </cell>
          <cell r="AL674">
            <v>0</v>
          </cell>
          <cell r="AM674">
            <v>8</v>
          </cell>
          <cell r="AN674">
            <v>0</v>
          </cell>
          <cell r="AO674">
            <v>8</v>
          </cell>
          <cell r="AP674">
            <v>0</v>
          </cell>
          <cell r="AQ674">
            <v>8</v>
          </cell>
          <cell r="AR674" t="str">
            <v>US_24349</v>
          </cell>
          <cell r="AS674">
            <v>0</v>
          </cell>
          <cell r="AT674">
            <v>152</v>
          </cell>
          <cell r="AU674">
            <v>152</v>
          </cell>
          <cell r="AV674">
            <v>0</v>
          </cell>
          <cell r="AW674">
            <v>1216</v>
          </cell>
          <cell r="AX674">
            <v>1203.8399999999999</v>
          </cell>
          <cell r="AY674">
            <v>1216</v>
          </cell>
          <cell r="AZ674">
            <v>83.333333333333343</v>
          </cell>
          <cell r="BA674">
            <v>12.8</v>
          </cell>
          <cell r="BB674">
            <v>1945.6000000000001</v>
          </cell>
          <cell r="BF674">
            <v>1203.8399999999999</v>
          </cell>
          <cell r="BG674">
            <v>11096</v>
          </cell>
          <cell r="BH674">
            <v>11096</v>
          </cell>
          <cell r="BI674">
            <v>9880</v>
          </cell>
          <cell r="BJ674">
            <v>0</v>
          </cell>
          <cell r="BK674">
            <v>0</v>
          </cell>
          <cell r="BL674">
            <v>0</v>
          </cell>
          <cell r="BM674">
            <v>9880</v>
          </cell>
          <cell r="BN674">
            <v>0</v>
          </cell>
          <cell r="BO674">
            <v>1216</v>
          </cell>
          <cell r="BP674" t="str">
            <v>Y</v>
          </cell>
          <cell r="BQ674">
            <v>1</v>
          </cell>
          <cell r="BR674" t="str">
            <v>Y</v>
          </cell>
          <cell r="BS674">
            <v>1945.6000000000001</v>
          </cell>
          <cell r="BT674" t="str">
            <v>Done</v>
          </cell>
          <cell r="BU674">
            <v>152</v>
          </cell>
          <cell r="BV674">
            <v>2025</v>
          </cell>
        </row>
        <row r="675">
          <cell r="A675" t="str">
            <v>Lucknow</v>
          </cell>
          <cell r="B675" t="str">
            <v>Mavericks</v>
          </cell>
          <cell r="C675" t="str">
            <v>Mid Level</v>
          </cell>
          <cell r="D675" t="str">
            <v>Rohit Gupta</v>
          </cell>
          <cell r="E675" t="str">
            <v>-</v>
          </cell>
          <cell r="H675" t="str">
            <v>Akhilesh Gupta</v>
          </cell>
          <cell r="J675" t="str">
            <v>ACH</v>
          </cell>
          <cell r="L675" t="str">
            <v>New</v>
          </cell>
          <cell r="M675">
            <v>45691</v>
          </cell>
          <cell r="N675">
            <v>1</v>
          </cell>
          <cell r="O675">
            <v>355</v>
          </cell>
          <cell r="P675">
            <v>45838</v>
          </cell>
          <cell r="Q675">
            <v>46056</v>
          </cell>
          <cell r="R675" t="str">
            <v>PLC-4104</v>
          </cell>
          <cell r="S675" t="str">
            <v>Vamshi Krishna Bandaru</v>
          </cell>
          <cell r="T675" t="str">
            <v>Individual</v>
          </cell>
          <cell r="U675" t="str">
            <v>C2C</v>
          </cell>
          <cell r="V675" t="str">
            <v>Coforge</v>
          </cell>
          <cell r="W675">
            <v>65</v>
          </cell>
          <cell r="X675">
            <v>0</v>
          </cell>
          <cell r="Y675" t="str">
            <v>USD</v>
          </cell>
          <cell r="Z675">
            <v>73</v>
          </cell>
          <cell r="AA675">
            <v>0</v>
          </cell>
          <cell r="AB675">
            <v>0</v>
          </cell>
          <cell r="AC675">
            <v>0</v>
          </cell>
          <cell r="AD675">
            <v>45731</v>
          </cell>
          <cell r="AE675">
            <v>21</v>
          </cell>
          <cell r="AF675">
            <v>46022</v>
          </cell>
          <cell r="AG675">
            <v>65</v>
          </cell>
          <cell r="AH675">
            <v>0</v>
          </cell>
          <cell r="AI675">
            <v>65</v>
          </cell>
          <cell r="AJ675">
            <v>73</v>
          </cell>
          <cell r="AK675">
            <v>0</v>
          </cell>
          <cell r="AL675">
            <v>0</v>
          </cell>
          <cell r="AM675">
            <v>8</v>
          </cell>
          <cell r="AN675">
            <v>0</v>
          </cell>
          <cell r="AO675">
            <v>8</v>
          </cell>
          <cell r="AP675">
            <v>0</v>
          </cell>
          <cell r="AQ675">
            <v>8</v>
          </cell>
          <cell r="AR675" t="str">
            <v>US_24546</v>
          </cell>
          <cell r="AS675">
            <v>0</v>
          </cell>
          <cell r="AT675">
            <v>168</v>
          </cell>
          <cell r="AU675">
            <v>168</v>
          </cell>
          <cell r="AV675">
            <v>0</v>
          </cell>
          <cell r="AW675">
            <v>1344</v>
          </cell>
          <cell r="AX675">
            <v>1330.56</v>
          </cell>
          <cell r="AY675">
            <v>1344</v>
          </cell>
          <cell r="AZ675">
            <v>83.333333333333343</v>
          </cell>
          <cell r="BA675">
            <v>12.8</v>
          </cell>
          <cell r="BB675">
            <v>2150.4</v>
          </cell>
          <cell r="BF675">
            <v>1330.56</v>
          </cell>
          <cell r="BG675">
            <v>12264</v>
          </cell>
          <cell r="BH675">
            <v>12264</v>
          </cell>
          <cell r="BI675">
            <v>10920</v>
          </cell>
          <cell r="BJ675">
            <v>0</v>
          </cell>
          <cell r="BK675">
            <v>0</v>
          </cell>
          <cell r="BL675">
            <v>0</v>
          </cell>
          <cell r="BM675">
            <v>10920</v>
          </cell>
          <cell r="BN675">
            <v>0</v>
          </cell>
          <cell r="BO675">
            <v>1344</v>
          </cell>
          <cell r="BP675" t="str">
            <v>Y</v>
          </cell>
          <cell r="BQ675">
            <v>1</v>
          </cell>
          <cell r="BR675" t="str">
            <v>Y</v>
          </cell>
          <cell r="BS675">
            <v>2150.4</v>
          </cell>
          <cell r="BT675" t="str">
            <v>Done</v>
          </cell>
          <cell r="BU675">
            <v>168</v>
          </cell>
          <cell r="BV675">
            <v>2025</v>
          </cell>
        </row>
        <row r="676">
          <cell r="A676" t="str">
            <v>Lucknow</v>
          </cell>
          <cell r="B676" t="str">
            <v>Mavericks</v>
          </cell>
          <cell r="C676" t="str">
            <v>Mid Level</v>
          </cell>
          <cell r="D676" t="str">
            <v>Rohit Gupta</v>
          </cell>
          <cell r="E676" t="str">
            <v>-</v>
          </cell>
          <cell r="H676" t="str">
            <v>Akhilesh Gupta</v>
          </cell>
          <cell r="J676" t="str">
            <v>ACH</v>
          </cell>
          <cell r="L676" t="str">
            <v>New</v>
          </cell>
          <cell r="M676">
            <v>45691</v>
          </cell>
          <cell r="N676">
            <v>1</v>
          </cell>
          <cell r="O676">
            <v>355</v>
          </cell>
          <cell r="P676">
            <v>45838</v>
          </cell>
          <cell r="Q676">
            <v>46056</v>
          </cell>
          <cell r="R676" t="str">
            <v>PLC-4104</v>
          </cell>
          <cell r="S676" t="str">
            <v>Vamshi Krishna Bandaru</v>
          </cell>
          <cell r="T676" t="str">
            <v>Individual</v>
          </cell>
          <cell r="U676" t="str">
            <v>C2C</v>
          </cell>
          <cell r="V676" t="str">
            <v>Coforge</v>
          </cell>
          <cell r="W676">
            <v>65</v>
          </cell>
          <cell r="X676">
            <v>0</v>
          </cell>
          <cell r="Y676" t="str">
            <v>USD</v>
          </cell>
          <cell r="Z676">
            <v>73</v>
          </cell>
          <cell r="AA676">
            <v>0</v>
          </cell>
          <cell r="AB676">
            <v>0</v>
          </cell>
          <cell r="AC676">
            <v>0</v>
          </cell>
          <cell r="AD676">
            <v>45762</v>
          </cell>
          <cell r="AE676">
            <v>22</v>
          </cell>
          <cell r="AF676">
            <v>46022</v>
          </cell>
          <cell r="AG676">
            <v>65</v>
          </cell>
          <cell r="AH676">
            <v>0</v>
          </cell>
          <cell r="AI676">
            <v>65</v>
          </cell>
          <cell r="AJ676">
            <v>73</v>
          </cell>
          <cell r="AK676">
            <v>0</v>
          </cell>
          <cell r="AL676">
            <v>0</v>
          </cell>
          <cell r="AM676">
            <v>8</v>
          </cell>
          <cell r="AN676">
            <v>0</v>
          </cell>
          <cell r="AO676">
            <v>8</v>
          </cell>
          <cell r="AP676">
            <v>0</v>
          </cell>
          <cell r="AQ676">
            <v>8</v>
          </cell>
          <cell r="AR676" t="str">
            <v>US_24764</v>
          </cell>
          <cell r="AS676">
            <v>0</v>
          </cell>
          <cell r="AT676">
            <v>168</v>
          </cell>
          <cell r="AU676">
            <v>168</v>
          </cell>
          <cell r="AV676">
            <v>0</v>
          </cell>
          <cell r="AW676">
            <v>1344</v>
          </cell>
          <cell r="AX676">
            <v>1330.56</v>
          </cell>
          <cell r="AY676">
            <v>1344</v>
          </cell>
          <cell r="AZ676">
            <v>83.333333333333343</v>
          </cell>
          <cell r="BA676">
            <v>12.8</v>
          </cell>
          <cell r="BB676">
            <v>2150.4</v>
          </cell>
          <cell r="BF676">
            <v>1330.56</v>
          </cell>
          <cell r="BG676">
            <v>12264</v>
          </cell>
          <cell r="BH676">
            <v>12264</v>
          </cell>
          <cell r="BI676">
            <v>10920</v>
          </cell>
          <cell r="BJ676">
            <v>0</v>
          </cell>
          <cell r="BK676">
            <v>0</v>
          </cell>
          <cell r="BL676">
            <v>0</v>
          </cell>
          <cell r="BM676">
            <v>10920</v>
          </cell>
          <cell r="BN676">
            <v>0</v>
          </cell>
          <cell r="BO676">
            <v>1344</v>
          </cell>
          <cell r="BP676" t="str">
            <v>Y</v>
          </cell>
          <cell r="BQ676">
            <v>2</v>
          </cell>
          <cell r="BR676" t="str">
            <v>N</v>
          </cell>
          <cell r="BS676">
            <v>2150.4</v>
          </cell>
          <cell r="BT676" t="str">
            <v>Done</v>
          </cell>
          <cell r="BU676">
            <v>168</v>
          </cell>
          <cell r="BV676">
            <v>2025</v>
          </cell>
        </row>
        <row r="677">
          <cell r="A677" t="str">
            <v>Lucknow</v>
          </cell>
          <cell r="B677" t="str">
            <v>Trust</v>
          </cell>
          <cell r="C677" t="str">
            <v>Mid Level</v>
          </cell>
          <cell r="D677" t="str">
            <v>Bhanu Pratap Singh</v>
          </cell>
          <cell r="E677" t="str">
            <v>-</v>
          </cell>
          <cell r="H677" t="str">
            <v>Pass Through</v>
          </cell>
          <cell r="L677" t="str">
            <v>New</v>
          </cell>
          <cell r="M677">
            <v>45698</v>
          </cell>
          <cell r="N677">
            <v>1</v>
          </cell>
          <cell r="O677">
            <v>348</v>
          </cell>
          <cell r="P677">
            <v>45777</v>
          </cell>
          <cell r="Q677">
            <v>46063</v>
          </cell>
          <cell r="R677" t="str">
            <v>PLC-4084</v>
          </cell>
          <cell r="S677" t="str">
            <v>Vamshidhar Thallapalli</v>
          </cell>
          <cell r="T677" t="str">
            <v>Individual</v>
          </cell>
          <cell r="U677" t="str">
            <v>C2C</v>
          </cell>
          <cell r="V677" t="str">
            <v>Birlasoft</v>
          </cell>
          <cell r="W677">
            <v>72</v>
          </cell>
          <cell r="X677">
            <v>0</v>
          </cell>
          <cell r="Y677" t="str">
            <v>USD</v>
          </cell>
          <cell r="Z677">
            <v>75</v>
          </cell>
          <cell r="AA677">
            <v>0</v>
          </cell>
          <cell r="AB677">
            <v>0</v>
          </cell>
          <cell r="AC677">
            <v>0</v>
          </cell>
          <cell r="AD677">
            <v>45703</v>
          </cell>
          <cell r="AE677">
            <v>15</v>
          </cell>
          <cell r="AF677">
            <v>46022</v>
          </cell>
          <cell r="AG677">
            <v>72</v>
          </cell>
          <cell r="AH677">
            <v>0</v>
          </cell>
          <cell r="AI677">
            <v>72</v>
          </cell>
          <cell r="AJ677">
            <v>75</v>
          </cell>
          <cell r="AK677">
            <v>0</v>
          </cell>
          <cell r="AL677">
            <v>0</v>
          </cell>
          <cell r="AM677">
            <v>3</v>
          </cell>
          <cell r="AN677">
            <v>0</v>
          </cell>
          <cell r="AO677">
            <v>3</v>
          </cell>
          <cell r="AP677">
            <v>0</v>
          </cell>
          <cell r="AQ677">
            <v>3</v>
          </cell>
          <cell r="AR677" t="str">
            <v>US_24353</v>
          </cell>
          <cell r="AS677">
            <v>0</v>
          </cell>
          <cell r="AT677">
            <v>74</v>
          </cell>
          <cell r="AU677">
            <v>74</v>
          </cell>
          <cell r="AV677">
            <v>0</v>
          </cell>
          <cell r="AW677">
            <v>222</v>
          </cell>
          <cell r="AX677">
            <v>222</v>
          </cell>
          <cell r="AY677">
            <v>222</v>
          </cell>
          <cell r="AZ677">
            <v>0</v>
          </cell>
          <cell r="BA677">
            <v>0</v>
          </cell>
          <cell r="BB677">
            <v>0</v>
          </cell>
          <cell r="BF677">
            <v>222</v>
          </cell>
          <cell r="BG677">
            <v>5550</v>
          </cell>
          <cell r="BH677">
            <v>5550</v>
          </cell>
          <cell r="BI677">
            <v>5328</v>
          </cell>
          <cell r="BJ677">
            <v>0</v>
          </cell>
          <cell r="BK677">
            <v>0</v>
          </cell>
          <cell r="BL677">
            <v>0</v>
          </cell>
          <cell r="BM677">
            <v>5328</v>
          </cell>
          <cell r="BN677">
            <v>0</v>
          </cell>
          <cell r="BO677">
            <v>222</v>
          </cell>
          <cell r="BP677" t="str">
            <v>Y</v>
          </cell>
          <cell r="BQ677">
            <v>1</v>
          </cell>
          <cell r="BR677" t="str">
            <v>Y</v>
          </cell>
          <cell r="BS677">
            <v>0</v>
          </cell>
          <cell r="BT677" t="str">
            <v>Done</v>
          </cell>
          <cell r="BU677">
            <v>74</v>
          </cell>
          <cell r="BV677">
            <v>2025</v>
          </cell>
        </row>
        <row r="678">
          <cell r="A678" t="str">
            <v>Lucknow</v>
          </cell>
          <cell r="B678" t="str">
            <v>Trust</v>
          </cell>
          <cell r="C678" t="str">
            <v>Mid Level</v>
          </cell>
          <cell r="D678" t="str">
            <v>Bhanu Pratap Singh</v>
          </cell>
          <cell r="E678" t="str">
            <v>-</v>
          </cell>
          <cell r="H678" t="str">
            <v>Pass Through</v>
          </cell>
          <cell r="L678" t="str">
            <v>New</v>
          </cell>
          <cell r="M678">
            <v>45698</v>
          </cell>
          <cell r="N678">
            <v>1</v>
          </cell>
          <cell r="O678">
            <v>348</v>
          </cell>
          <cell r="P678">
            <v>45777</v>
          </cell>
          <cell r="Q678">
            <v>46063</v>
          </cell>
          <cell r="R678" t="str">
            <v>PLC-4084</v>
          </cell>
          <cell r="S678" t="str">
            <v>Vamshidhar Thallapalli</v>
          </cell>
          <cell r="T678" t="str">
            <v>Individual</v>
          </cell>
          <cell r="U678" t="str">
            <v>C2C</v>
          </cell>
          <cell r="V678" t="str">
            <v>Birlasoft</v>
          </cell>
          <cell r="W678">
            <v>72</v>
          </cell>
          <cell r="X678">
            <v>0</v>
          </cell>
          <cell r="Y678" t="str">
            <v>USD</v>
          </cell>
          <cell r="Z678">
            <v>75</v>
          </cell>
          <cell r="AA678">
            <v>0</v>
          </cell>
          <cell r="AB678">
            <v>0</v>
          </cell>
          <cell r="AC678">
            <v>0</v>
          </cell>
          <cell r="AD678">
            <v>45731</v>
          </cell>
          <cell r="AE678">
            <v>21</v>
          </cell>
          <cell r="AF678">
            <v>46022</v>
          </cell>
          <cell r="AG678">
            <v>72</v>
          </cell>
          <cell r="AH678">
            <v>0</v>
          </cell>
          <cell r="AI678">
            <v>72</v>
          </cell>
          <cell r="AJ678">
            <v>75</v>
          </cell>
          <cell r="AK678">
            <v>0</v>
          </cell>
          <cell r="AL678">
            <v>0</v>
          </cell>
          <cell r="AM678">
            <v>3</v>
          </cell>
          <cell r="AN678">
            <v>0</v>
          </cell>
          <cell r="AO678">
            <v>3</v>
          </cell>
          <cell r="AP678">
            <v>0</v>
          </cell>
          <cell r="AQ678">
            <v>3</v>
          </cell>
          <cell r="AR678" t="str">
            <v>US_24550</v>
          </cell>
          <cell r="AS678">
            <v>0</v>
          </cell>
          <cell r="AT678">
            <v>71</v>
          </cell>
          <cell r="AU678">
            <v>71</v>
          </cell>
          <cell r="AV678">
            <v>0</v>
          </cell>
          <cell r="AW678">
            <v>213</v>
          </cell>
          <cell r="AX678">
            <v>213</v>
          </cell>
          <cell r="AY678">
            <v>213</v>
          </cell>
          <cell r="AZ678">
            <v>0</v>
          </cell>
          <cell r="BA678">
            <v>0</v>
          </cell>
          <cell r="BB678">
            <v>0</v>
          </cell>
          <cell r="BF678">
            <v>213</v>
          </cell>
          <cell r="BG678">
            <v>5325</v>
          </cell>
          <cell r="BH678">
            <v>5325</v>
          </cell>
          <cell r="BI678">
            <v>5112</v>
          </cell>
          <cell r="BJ678">
            <v>0</v>
          </cell>
          <cell r="BK678">
            <v>0</v>
          </cell>
          <cell r="BL678">
            <v>0</v>
          </cell>
          <cell r="BM678">
            <v>5112</v>
          </cell>
          <cell r="BN678">
            <v>0</v>
          </cell>
          <cell r="BO678">
            <v>213</v>
          </cell>
          <cell r="BP678" t="str">
            <v>Y</v>
          </cell>
          <cell r="BQ678">
            <v>1</v>
          </cell>
          <cell r="BR678" t="str">
            <v>Y</v>
          </cell>
          <cell r="BS678">
            <v>0</v>
          </cell>
          <cell r="BT678" t="str">
            <v>Done</v>
          </cell>
          <cell r="BU678">
            <v>71</v>
          </cell>
          <cell r="BV678">
            <v>2025</v>
          </cell>
        </row>
        <row r="679">
          <cell r="A679" t="str">
            <v>Lucknow</v>
          </cell>
          <cell r="B679" t="str">
            <v>Trust</v>
          </cell>
          <cell r="C679" t="str">
            <v>Mid Level</v>
          </cell>
          <cell r="D679" t="str">
            <v>Bhanu Pratap Singh</v>
          </cell>
          <cell r="E679" t="str">
            <v>-</v>
          </cell>
          <cell r="H679" t="str">
            <v>Pass Through</v>
          </cell>
          <cell r="L679" t="str">
            <v>New</v>
          </cell>
          <cell r="M679">
            <v>45698</v>
          </cell>
          <cell r="N679">
            <v>1</v>
          </cell>
          <cell r="O679">
            <v>348</v>
          </cell>
          <cell r="P679">
            <v>45777</v>
          </cell>
          <cell r="Q679">
            <v>46063</v>
          </cell>
          <cell r="R679" t="str">
            <v>PLC-4084</v>
          </cell>
          <cell r="S679" t="str">
            <v>Vamshidhar Thallapalli</v>
          </cell>
          <cell r="T679" t="str">
            <v>Individual</v>
          </cell>
          <cell r="U679" t="str">
            <v>C2C</v>
          </cell>
          <cell r="V679" t="str">
            <v>Birlasoft</v>
          </cell>
          <cell r="W679">
            <v>72</v>
          </cell>
          <cell r="X679">
            <v>0</v>
          </cell>
          <cell r="Y679" t="str">
            <v>USD</v>
          </cell>
          <cell r="Z679">
            <v>75</v>
          </cell>
          <cell r="AA679">
            <v>0</v>
          </cell>
          <cell r="AB679">
            <v>0</v>
          </cell>
          <cell r="AC679">
            <v>0</v>
          </cell>
          <cell r="AD679">
            <v>45762</v>
          </cell>
          <cell r="AE679">
            <v>22</v>
          </cell>
          <cell r="AF679">
            <v>46022</v>
          </cell>
          <cell r="AG679">
            <v>72</v>
          </cell>
          <cell r="AH679">
            <v>0</v>
          </cell>
          <cell r="AI679">
            <v>72</v>
          </cell>
          <cell r="AJ679">
            <v>75</v>
          </cell>
          <cell r="AK679">
            <v>0</v>
          </cell>
          <cell r="AL679">
            <v>0</v>
          </cell>
          <cell r="AM679">
            <v>3</v>
          </cell>
          <cell r="AN679">
            <v>0</v>
          </cell>
          <cell r="AO679">
            <v>3</v>
          </cell>
          <cell r="AP679">
            <v>0</v>
          </cell>
          <cell r="AQ679">
            <v>3</v>
          </cell>
          <cell r="AR679" t="str">
            <v>US_24767</v>
          </cell>
          <cell r="AS679">
            <v>0</v>
          </cell>
          <cell r="AT679">
            <v>42</v>
          </cell>
          <cell r="AU679">
            <v>42</v>
          </cell>
          <cell r="AV679">
            <v>0</v>
          </cell>
          <cell r="AW679">
            <v>126</v>
          </cell>
          <cell r="AX679">
            <v>126</v>
          </cell>
          <cell r="AY679">
            <v>126</v>
          </cell>
          <cell r="AZ679">
            <v>0</v>
          </cell>
          <cell r="BA679">
            <v>0</v>
          </cell>
          <cell r="BB679">
            <v>0</v>
          </cell>
          <cell r="BF679">
            <v>126</v>
          </cell>
          <cell r="BG679">
            <v>3150</v>
          </cell>
          <cell r="BH679">
            <v>3150</v>
          </cell>
          <cell r="BI679">
            <v>3024</v>
          </cell>
          <cell r="BJ679">
            <v>0</v>
          </cell>
          <cell r="BK679">
            <v>0</v>
          </cell>
          <cell r="BL679">
            <v>0</v>
          </cell>
          <cell r="BM679">
            <v>3024</v>
          </cell>
          <cell r="BN679">
            <v>0</v>
          </cell>
          <cell r="BO679">
            <v>126</v>
          </cell>
          <cell r="BP679" t="str">
            <v>Y</v>
          </cell>
          <cell r="BQ679">
            <v>2</v>
          </cell>
          <cell r="BR679" t="str">
            <v>Y</v>
          </cell>
          <cell r="BS679">
            <v>0</v>
          </cell>
          <cell r="BT679" t="str">
            <v>Done</v>
          </cell>
          <cell r="BU679">
            <v>42</v>
          </cell>
          <cell r="BV679">
            <v>2025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Rohit Gupta</v>
          </cell>
          <cell r="E680" t="str">
            <v>Vivek Yadav</v>
          </cell>
          <cell r="H680" t="str">
            <v>Ekta Singh</v>
          </cell>
          <cell r="K680">
            <v>0</v>
          </cell>
          <cell r="L680" t="str">
            <v>Old</v>
          </cell>
          <cell r="M680">
            <v>45425</v>
          </cell>
          <cell r="N680">
            <v>2</v>
          </cell>
          <cell r="O680">
            <v>621</v>
          </cell>
          <cell r="P680" t="str">
            <v>-</v>
          </cell>
          <cell r="Q680">
            <v>45790</v>
          </cell>
          <cell r="R680" t="str">
            <v>PLC-3733</v>
          </cell>
          <cell r="S680" t="str">
            <v>Veera Venkata Gadam</v>
          </cell>
          <cell r="T680" t="str">
            <v>Individual</v>
          </cell>
          <cell r="U680" t="str">
            <v>C2C</v>
          </cell>
          <cell r="V680" t="str">
            <v>Coforge</v>
          </cell>
          <cell r="W680">
            <v>92</v>
          </cell>
          <cell r="X680">
            <v>0</v>
          </cell>
          <cell r="Y680" t="str">
            <v>USD</v>
          </cell>
          <cell r="Z680">
            <v>98</v>
          </cell>
          <cell r="AA680">
            <v>0</v>
          </cell>
          <cell r="AB680">
            <v>0</v>
          </cell>
          <cell r="AC680">
            <v>0</v>
          </cell>
          <cell r="AD680">
            <v>45672</v>
          </cell>
          <cell r="AE680">
            <v>23</v>
          </cell>
          <cell r="AF680">
            <v>46022</v>
          </cell>
          <cell r="AG680">
            <v>92</v>
          </cell>
          <cell r="AH680">
            <v>0</v>
          </cell>
          <cell r="AI680">
            <v>92</v>
          </cell>
          <cell r="AJ680">
            <v>98</v>
          </cell>
          <cell r="AK680">
            <v>0</v>
          </cell>
          <cell r="AL680">
            <v>0</v>
          </cell>
          <cell r="AM680">
            <v>6</v>
          </cell>
          <cell r="AN680">
            <v>0</v>
          </cell>
          <cell r="AO680">
            <v>6</v>
          </cell>
          <cell r="AP680">
            <v>0</v>
          </cell>
          <cell r="AQ680">
            <v>6</v>
          </cell>
          <cell r="AR680" t="str">
            <v>US_24232</v>
          </cell>
          <cell r="AS680">
            <v>0</v>
          </cell>
          <cell r="AT680">
            <v>152</v>
          </cell>
          <cell r="AU680">
            <v>152</v>
          </cell>
          <cell r="AV680">
            <v>0</v>
          </cell>
          <cell r="AW680">
            <v>912</v>
          </cell>
          <cell r="AX680">
            <v>912</v>
          </cell>
          <cell r="AY680">
            <v>912</v>
          </cell>
          <cell r="AZ680">
            <v>50</v>
          </cell>
          <cell r="BA680">
            <v>9.6</v>
          </cell>
          <cell r="BB680">
            <v>1459.2</v>
          </cell>
          <cell r="BC680">
            <v>38.28125</v>
          </cell>
          <cell r="BD680">
            <v>912</v>
          </cell>
          <cell r="BE680">
            <v>729.6</v>
          </cell>
          <cell r="BF680">
            <v>912</v>
          </cell>
          <cell r="BG680">
            <v>14896</v>
          </cell>
          <cell r="BH680">
            <v>14896</v>
          </cell>
          <cell r="BI680">
            <v>13984</v>
          </cell>
          <cell r="BJ680">
            <v>0</v>
          </cell>
          <cell r="BK680">
            <v>0</v>
          </cell>
          <cell r="BL680">
            <v>0</v>
          </cell>
          <cell r="BM680">
            <v>13984</v>
          </cell>
          <cell r="BN680">
            <v>0</v>
          </cell>
          <cell r="BO680">
            <v>912</v>
          </cell>
          <cell r="BP680" t="str">
            <v>Y</v>
          </cell>
          <cell r="BQ680">
            <v>1</v>
          </cell>
          <cell r="BR680" t="str">
            <v>Y</v>
          </cell>
          <cell r="BS680">
            <v>1459.2</v>
          </cell>
          <cell r="BT680" t="str">
            <v>Done</v>
          </cell>
          <cell r="BU680">
            <v>152</v>
          </cell>
          <cell r="BV680">
            <v>2024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Rohit Gupta</v>
          </cell>
          <cell r="E681" t="str">
            <v>Vivek Yadav</v>
          </cell>
          <cell r="H681" t="str">
            <v>Ekta Singh</v>
          </cell>
          <cell r="K681">
            <v>0</v>
          </cell>
          <cell r="L681" t="str">
            <v>Old</v>
          </cell>
          <cell r="M681">
            <v>45425</v>
          </cell>
          <cell r="N681">
            <v>2</v>
          </cell>
          <cell r="O681">
            <v>621</v>
          </cell>
          <cell r="P681" t="str">
            <v>-</v>
          </cell>
          <cell r="Q681">
            <v>45790</v>
          </cell>
          <cell r="R681" t="str">
            <v>PLC-3733</v>
          </cell>
          <cell r="S681" t="str">
            <v>Veera Venkata Gadam</v>
          </cell>
          <cell r="T681" t="str">
            <v>Individual</v>
          </cell>
          <cell r="U681" t="str">
            <v>C2C</v>
          </cell>
          <cell r="V681" t="str">
            <v>Coforge</v>
          </cell>
          <cell r="W681">
            <v>92</v>
          </cell>
          <cell r="X681">
            <v>0</v>
          </cell>
          <cell r="Y681" t="str">
            <v>USD</v>
          </cell>
          <cell r="Z681">
            <v>98</v>
          </cell>
          <cell r="AA681">
            <v>0</v>
          </cell>
          <cell r="AB681">
            <v>0</v>
          </cell>
          <cell r="AC681">
            <v>0</v>
          </cell>
          <cell r="AD681">
            <v>45703</v>
          </cell>
          <cell r="AE681">
            <v>20</v>
          </cell>
          <cell r="AF681">
            <v>46022</v>
          </cell>
          <cell r="AG681">
            <v>92</v>
          </cell>
          <cell r="AH681">
            <v>0</v>
          </cell>
          <cell r="AI681">
            <v>92</v>
          </cell>
          <cell r="AJ681">
            <v>98</v>
          </cell>
          <cell r="AK681">
            <v>0</v>
          </cell>
          <cell r="AL681">
            <v>0</v>
          </cell>
          <cell r="AM681">
            <v>6</v>
          </cell>
          <cell r="AN681">
            <v>0</v>
          </cell>
          <cell r="AO681">
            <v>6</v>
          </cell>
          <cell r="AP681">
            <v>0</v>
          </cell>
          <cell r="AQ681">
            <v>6</v>
          </cell>
          <cell r="AR681" t="str">
            <v>US_24438</v>
          </cell>
          <cell r="AS681">
            <v>0</v>
          </cell>
          <cell r="AT681">
            <v>152</v>
          </cell>
          <cell r="AU681">
            <v>152</v>
          </cell>
          <cell r="AV681">
            <v>0</v>
          </cell>
          <cell r="AW681">
            <v>912</v>
          </cell>
          <cell r="AX681">
            <v>912</v>
          </cell>
          <cell r="AY681">
            <v>912</v>
          </cell>
          <cell r="AZ681">
            <v>50</v>
          </cell>
          <cell r="BA681">
            <v>9.6</v>
          </cell>
          <cell r="BB681">
            <v>1459.2</v>
          </cell>
          <cell r="BC681">
            <v>38.28125</v>
          </cell>
          <cell r="BD681">
            <v>912</v>
          </cell>
          <cell r="BE681">
            <v>729.6</v>
          </cell>
          <cell r="BF681">
            <v>912</v>
          </cell>
          <cell r="BG681">
            <v>14896</v>
          </cell>
          <cell r="BH681">
            <v>14896</v>
          </cell>
          <cell r="BI681">
            <v>13984</v>
          </cell>
          <cell r="BJ681">
            <v>0</v>
          </cell>
          <cell r="BK681">
            <v>0</v>
          </cell>
          <cell r="BL681">
            <v>0</v>
          </cell>
          <cell r="BM681">
            <v>13984</v>
          </cell>
          <cell r="BN681">
            <v>0</v>
          </cell>
          <cell r="BO681">
            <v>912</v>
          </cell>
          <cell r="BP681" t="str">
            <v>Y</v>
          </cell>
          <cell r="BQ681">
            <v>1</v>
          </cell>
          <cell r="BR681" t="str">
            <v>Y</v>
          </cell>
          <cell r="BS681">
            <v>1459.2</v>
          </cell>
          <cell r="BT681" t="str">
            <v>Done</v>
          </cell>
          <cell r="BU681">
            <v>152</v>
          </cell>
          <cell r="BV681">
            <v>2024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Rohit Gupta</v>
          </cell>
          <cell r="E682" t="str">
            <v>Vivek Yadav</v>
          </cell>
          <cell r="H682" t="str">
            <v>Ekta Singh</v>
          </cell>
          <cell r="K682">
            <v>0</v>
          </cell>
          <cell r="L682" t="str">
            <v>Old</v>
          </cell>
          <cell r="M682">
            <v>45425</v>
          </cell>
          <cell r="N682">
            <v>2</v>
          </cell>
          <cell r="O682">
            <v>621</v>
          </cell>
          <cell r="P682" t="str">
            <v>-</v>
          </cell>
          <cell r="Q682">
            <v>45790</v>
          </cell>
          <cell r="R682" t="str">
            <v>PLC-3733</v>
          </cell>
          <cell r="S682" t="str">
            <v>Veera Venkata Gadam</v>
          </cell>
          <cell r="T682" t="str">
            <v>Individual</v>
          </cell>
          <cell r="U682" t="str">
            <v>C2C</v>
          </cell>
          <cell r="V682" t="str">
            <v>Coforge</v>
          </cell>
          <cell r="W682">
            <v>92</v>
          </cell>
          <cell r="X682">
            <v>0</v>
          </cell>
          <cell r="Y682" t="str">
            <v>USD</v>
          </cell>
          <cell r="Z682">
            <v>98</v>
          </cell>
          <cell r="AA682">
            <v>0</v>
          </cell>
          <cell r="AB682">
            <v>0</v>
          </cell>
          <cell r="AC682">
            <v>0</v>
          </cell>
          <cell r="AD682">
            <v>45731</v>
          </cell>
          <cell r="AE682">
            <v>21</v>
          </cell>
          <cell r="AF682">
            <v>46022</v>
          </cell>
          <cell r="AG682">
            <v>92</v>
          </cell>
          <cell r="AH682">
            <v>0</v>
          </cell>
          <cell r="AI682">
            <v>92</v>
          </cell>
          <cell r="AJ682">
            <v>98</v>
          </cell>
          <cell r="AK682">
            <v>0</v>
          </cell>
          <cell r="AL682">
            <v>0</v>
          </cell>
          <cell r="AM682">
            <v>6</v>
          </cell>
          <cell r="AN682">
            <v>0</v>
          </cell>
          <cell r="AO682">
            <v>6</v>
          </cell>
          <cell r="AP682">
            <v>0</v>
          </cell>
          <cell r="AQ682">
            <v>6</v>
          </cell>
          <cell r="AR682" t="str">
            <v>US_24628</v>
          </cell>
          <cell r="AS682">
            <v>0</v>
          </cell>
          <cell r="AT682">
            <v>168</v>
          </cell>
          <cell r="AU682">
            <v>168</v>
          </cell>
          <cell r="AV682">
            <v>0</v>
          </cell>
          <cell r="AW682">
            <v>1008</v>
          </cell>
          <cell r="AX682">
            <v>1008</v>
          </cell>
          <cell r="AY682">
            <v>1008</v>
          </cell>
          <cell r="AZ682">
            <v>50</v>
          </cell>
          <cell r="BA682">
            <v>9.6</v>
          </cell>
          <cell r="BB682">
            <v>1612.8</v>
          </cell>
          <cell r="BC682">
            <v>38.28125</v>
          </cell>
          <cell r="BD682">
            <v>1008</v>
          </cell>
          <cell r="BE682">
            <v>806.4</v>
          </cell>
          <cell r="BF682">
            <v>1008</v>
          </cell>
          <cell r="BG682">
            <v>16464</v>
          </cell>
          <cell r="BH682">
            <v>16464</v>
          </cell>
          <cell r="BI682">
            <v>15456</v>
          </cell>
          <cell r="BJ682">
            <v>0</v>
          </cell>
          <cell r="BK682">
            <v>0</v>
          </cell>
          <cell r="BL682">
            <v>0</v>
          </cell>
          <cell r="BM682">
            <v>15456</v>
          </cell>
          <cell r="BN682">
            <v>0</v>
          </cell>
          <cell r="BO682">
            <v>1008</v>
          </cell>
          <cell r="BP682" t="str">
            <v>Y</v>
          </cell>
          <cell r="BQ682">
            <v>1</v>
          </cell>
          <cell r="BR682" t="str">
            <v>Y</v>
          </cell>
          <cell r="BS682">
            <v>1612.8</v>
          </cell>
          <cell r="BT682" t="str">
            <v>Done</v>
          </cell>
          <cell r="BU682">
            <v>168</v>
          </cell>
          <cell r="BV682">
            <v>2024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Rohit Gupta</v>
          </cell>
          <cell r="E683" t="str">
            <v>Vivek Yadav</v>
          </cell>
          <cell r="H683" t="str">
            <v>Ekta Singh</v>
          </cell>
          <cell r="K683">
            <v>0</v>
          </cell>
          <cell r="L683" t="str">
            <v>Old</v>
          </cell>
          <cell r="M683">
            <v>45425</v>
          </cell>
          <cell r="N683">
            <v>2</v>
          </cell>
          <cell r="O683">
            <v>621</v>
          </cell>
          <cell r="P683" t="str">
            <v>-</v>
          </cell>
          <cell r="Q683">
            <v>45790</v>
          </cell>
          <cell r="R683" t="str">
            <v>PLC-3733</v>
          </cell>
          <cell r="S683" t="str">
            <v>Veera Venkata Gadam</v>
          </cell>
          <cell r="T683" t="str">
            <v>Individual</v>
          </cell>
          <cell r="U683" t="str">
            <v>C2C</v>
          </cell>
          <cell r="V683" t="str">
            <v>Coforge</v>
          </cell>
          <cell r="W683">
            <v>92</v>
          </cell>
          <cell r="X683">
            <v>0</v>
          </cell>
          <cell r="Y683" t="str">
            <v>USD</v>
          </cell>
          <cell r="Z683">
            <v>98</v>
          </cell>
          <cell r="AA683">
            <v>0</v>
          </cell>
          <cell r="AB683">
            <v>0</v>
          </cell>
          <cell r="AC683">
            <v>0</v>
          </cell>
          <cell r="AD683">
            <v>45762</v>
          </cell>
          <cell r="AE683">
            <v>22</v>
          </cell>
          <cell r="AF683">
            <v>46022</v>
          </cell>
          <cell r="AG683">
            <v>92</v>
          </cell>
          <cell r="AH683">
            <v>0</v>
          </cell>
          <cell r="AI683">
            <v>92</v>
          </cell>
          <cell r="AJ683">
            <v>98</v>
          </cell>
          <cell r="AK683">
            <v>0</v>
          </cell>
          <cell r="AL683">
            <v>0</v>
          </cell>
          <cell r="AM683">
            <v>6</v>
          </cell>
          <cell r="AN683">
            <v>0</v>
          </cell>
          <cell r="AO683">
            <v>6</v>
          </cell>
          <cell r="AP683">
            <v>0</v>
          </cell>
          <cell r="AQ683">
            <v>6</v>
          </cell>
          <cell r="AR683" t="str">
            <v>US_24836</v>
          </cell>
          <cell r="AS683">
            <v>0</v>
          </cell>
          <cell r="AT683">
            <v>168</v>
          </cell>
          <cell r="AU683">
            <v>168</v>
          </cell>
          <cell r="AV683">
            <v>0</v>
          </cell>
          <cell r="AW683">
            <v>1008</v>
          </cell>
          <cell r="AX683">
            <v>1008</v>
          </cell>
          <cell r="AY683">
            <v>1008</v>
          </cell>
          <cell r="AZ683">
            <v>50</v>
          </cell>
          <cell r="BA683">
            <v>9.6</v>
          </cell>
          <cell r="BB683">
            <v>1612.8</v>
          </cell>
          <cell r="BC683">
            <v>38.28125</v>
          </cell>
          <cell r="BD683">
            <v>1008</v>
          </cell>
          <cell r="BE683">
            <v>806.4</v>
          </cell>
          <cell r="BF683">
            <v>1008</v>
          </cell>
          <cell r="BG683">
            <v>16464</v>
          </cell>
          <cell r="BH683">
            <v>16464</v>
          </cell>
          <cell r="BI683">
            <v>15456</v>
          </cell>
          <cell r="BJ683">
            <v>0</v>
          </cell>
          <cell r="BK683">
            <v>0</v>
          </cell>
          <cell r="BL683">
            <v>0</v>
          </cell>
          <cell r="BM683">
            <v>15456</v>
          </cell>
          <cell r="BN683">
            <v>0</v>
          </cell>
          <cell r="BO683">
            <v>1008</v>
          </cell>
          <cell r="BP683" t="str">
            <v>Y</v>
          </cell>
          <cell r="BQ683">
            <v>2</v>
          </cell>
          <cell r="BR683" t="str">
            <v>N</v>
          </cell>
          <cell r="BS683">
            <v>1612.8</v>
          </cell>
          <cell r="BT683" t="str">
            <v>Done</v>
          </cell>
          <cell r="BU683">
            <v>168</v>
          </cell>
          <cell r="BV683">
            <v>2024</v>
          </cell>
        </row>
        <row r="684">
          <cell r="A684" t="str">
            <v>Chennai</v>
          </cell>
          <cell r="B684" t="str">
            <v>Chennai</v>
          </cell>
          <cell r="C684" t="str">
            <v>Mid Level</v>
          </cell>
          <cell r="D684" t="str">
            <v>Vinoth L</v>
          </cell>
          <cell r="E684" t="str">
            <v>-</v>
          </cell>
          <cell r="H684" t="str">
            <v>Pass Through</v>
          </cell>
          <cell r="K684">
            <v>0</v>
          </cell>
          <cell r="L684" t="str">
            <v>Old</v>
          </cell>
          <cell r="M684">
            <v>45582</v>
          </cell>
          <cell r="N684">
            <v>4</v>
          </cell>
          <cell r="O684">
            <v>464</v>
          </cell>
          <cell r="P684" t="str">
            <v>-</v>
          </cell>
          <cell r="Q684">
            <v>45947</v>
          </cell>
          <cell r="R684" t="str">
            <v>PLC-4022</v>
          </cell>
          <cell r="S684" t="str">
            <v>Venkata Kiran Kumar Guedela</v>
          </cell>
          <cell r="T684" t="str">
            <v>Individual</v>
          </cell>
          <cell r="U684" t="str">
            <v>C2C</v>
          </cell>
          <cell r="V684" t="str">
            <v>Citius Tech</v>
          </cell>
          <cell r="W684">
            <v>80</v>
          </cell>
          <cell r="X684">
            <v>0</v>
          </cell>
          <cell r="Y684" t="str">
            <v>USD</v>
          </cell>
          <cell r="Z684">
            <v>82</v>
          </cell>
          <cell r="AA684">
            <v>0</v>
          </cell>
          <cell r="AB684">
            <v>0</v>
          </cell>
          <cell r="AC684">
            <v>0</v>
          </cell>
          <cell r="AD684">
            <v>45672</v>
          </cell>
          <cell r="AE684">
            <v>23</v>
          </cell>
          <cell r="AF684">
            <v>46022</v>
          </cell>
          <cell r="AG684">
            <v>80</v>
          </cell>
          <cell r="AH684">
            <v>0</v>
          </cell>
          <cell r="AI684">
            <v>80</v>
          </cell>
          <cell r="AJ684">
            <v>82</v>
          </cell>
          <cell r="AK684">
            <v>0</v>
          </cell>
          <cell r="AL684">
            <v>0</v>
          </cell>
          <cell r="AM684">
            <v>2</v>
          </cell>
          <cell r="AN684">
            <v>0</v>
          </cell>
          <cell r="AO684">
            <v>2</v>
          </cell>
          <cell r="AP684">
            <v>0</v>
          </cell>
          <cell r="AQ684">
            <v>2</v>
          </cell>
          <cell r="AR684" t="str">
            <v>US_24287</v>
          </cell>
          <cell r="AS684">
            <v>0</v>
          </cell>
          <cell r="AT684">
            <v>176</v>
          </cell>
          <cell r="AU684">
            <v>176</v>
          </cell>
          <cell r="AV684">
            <v>0</v>
          </cell>
          <cell r="AW684">
            <v>352</v>
          </cell>
          <cell r="AX684">
            <v>352</v>
          </cell>
          <cell r="AY684">
            <v>352</v>
          </cell>
          <cell r="AZ684">
            <v>0</v>
          </cell>
          <cell r="BA684">
            <v>0</v>
          </cell>
          <cell r="BB684">
            <v>0</v>
          </cell>
          <cell r="BC684">
            <v>53.225806451612897</v>
          </cell>
          <cell r="BD684">
            <v>352</v>
          </cell>
          <cell r="BE684">
            <v>281.60000000000002</v>
          </cell>
          <cell r="BF684">
            <v>352</v>
          </cell>
          <cell r="BG684">
            <v>14432</v>
          </cell>
          <cell r="BH684">
            <v>14432</v>
          </cell>
          <cell r="BI684">
            <v>14080</v>
          </cell>
          <cell r="BJ684">
            <v>0</v>
          </cell>
          <cell r="BK684">
            <v>0</v>
          </cell>
          <cell r="BL684">
            <v>0</v>
          </cell>
          <cell r="BM684">
            <v>14080</v>
          </cell>
          <cell r="BN684">
            <v>0</v>
          </cell>
          <cell r="BO684">
            <v>352</v>
          </cell>
          <cell r="BP684" t="str">
            <v>Y</v>
          </cell>
          <cell r="BQ684">
            <v>1</v>
          </cell>
          <cell r="BR684" t="str">
            <v>Y</v>
          </cell>
          <cell r="BS684">
            <v>0</v>
          </cell>
          <cell r="BT684" t="str">
            <v>Done</v>
          </cell>
          <cell r="BU684">
            <v>176</v>
          </cell>
          <cell r="BV684">
            <v>2024</v>
          </cell>
        </row>
        <row r="685">
          <cell r="A685" t="str">
            <v>Chennai</v>
          </cell>
          <cell r="B685" t="str">
            <v>Chennai</v>
          </cell>
          <cell r="C685" t="str">
            <v>Mid Level</v>
          </cell>
          <cell r="D685" t="str">
            <v>Vinoth L</v>
          </cell>
          <cell r="E685" t="str">
            <v>-</v>
          </cell>
          <cell r="H685" t="str">
            <v>Pass Through</v>
          </cell>
          <cell r="K685">
            <v>0</v>
          </cell>
          <cell r="L685" t="str">
            <v>Old</v>
          </cell>
          <cell r="M685">
            <v>45582</v>
          </cell>
          <cell r="N685">
            <v>4</v>
          </cell>
          <cell r="O685">
            <v>464</v>
          </cell>
          <cell r="P685" t="str">
            <v>-</v>
          </cell>
          <cell r="Q685">
            <v>45947</v>
          </cell>
          <cell r="R685" t="str">
            <v>PLC-4022</v>
          </cell>
          <cell r="S685" t="str">
            <v>Venkata Kiran Kumar Guedela</v>
          </cell>
          <cell r="T685" t="str">
            <v>Individual</v>
          </cell>
          <cell r="U685" t="str">
            <v>C2C</v>
          </cell>
          <cell r="V685" t="str">
            <v>Citius Tech</v>
          </cell>
          <cell r="W685">
            <v>60</v>
          </cell>
          <cell r="X685">
            <v>0</v>
          </cell>
          <cell r="Y685" t="str">
            <v>USD</v>
          </cell>
          <cell r="Z685">
            <v>82</v>
          </cell>
          <cell r="AA685">
            <v>0</v>
          </cell>
          <cell r="AB685">
            <v>0</v>
          </cell>
          <cell r="AC685">
            <v>0</v>
          </cell>
          <cell r="AD685">
            <v>45703</v>
          </cell>
          <cell r="AE685">
            <v>20</v>
          </cell>
          <cell r="AF685">
            <v>46022</v>
          </cell>
          <cell r="AG685">
            <v>60</v>
          </cell>
          <cell r="AH685">
            <v>0</v>
          </cell>
          <cell r="AI685">
            <v>60</v>
          </cell>
          <cell r="AJ685">
            <v>82</v>
          </cell>
          <cell r="AK685">
            <v>0</v>
          </cell>
          <cell r="AL685">
            <v>0</v>
          </cell>
          <cell r="AM685">
            <v>22</v>
          </cell>
          <cell r="AN685">
            <v>0</v>
          </cell>
          <cell r="AO685">
            <v>22</v>
          </cell>
          <cell r="AP685">
            <v>0</v>
          </cell>
          <cell r="AQ685">
            <v>20</v>
          </cell>
          <cell r="AR685" t="str">
            <v>US_24487</v>
          </cell>
          <cell r="AS685">
            <v>0</v>
          </cell>
          <cell r="AT685">
            <v>160</v>
          </cell>
          <cell r="AU685">
            <v>160</v>
          </cell>
          <cell r="AV685">
            <v>0</v>
          </cell>
          <cell r="AW685">
            <v>3520</v>
          </cell>
          <cell r="AX685">
            <v>3520</v>
          </cell>
          <cell r="AY685">
            <v>3520</v>
          </cell>
          <cell r="AZ685">
            <v>0</v>
          </cell>
          <cell r="BA685">
            <v>0</v>
          </cell>
          <cell r="BB685">
            <v>0</v>
          </cell>
          <cell r="BC685">
            <v>53.225806451612897</v>
          </cell>
          <cell r="BD685">
            <v>3520</v>
          </cell>
          <cell r="BE685">
            <v>2816</v>
          </cell>
          <cell r="BF685">
            <v>3520</v>
          </cell>
          <cell r="BG685">
            <v>13120</v>
          </cell>
          <cell r="BH685">
            <v>13120</v>
          </cell>
          <cell r="BI685">
            <v>9600</v>
          </cell>
          <cell r="BJ685">
            <v>0</v>
          </cell>
          <cell r="BK685">
            <v>0</v>
          </cell>
          <cell r="BL685">
            <v>0</v>
          </cell>
          <cell r="BM685">
            <v>9600</v>
          </cell>
          <cell r="BN685">
            <v>0</v>
          </cell>
          <cell r="BO685">
            <v>3520</v>
          </cell>
          <cell r="BP685" t="str">
            <v>Y</v>
          </cell>
          <cell r="BQ685">
            <v>1</v>
          </cell>
          <cell r="BR685" t="str">
            <v>Y</v>
          </cell>
          <cell r="BS685">
            <v>0</v>
          </cell>
          <cell r="BT685" t="str">
            <v>Done</v>
          </cell>
          <cell r="BU685">
            <v>160</v>
          </cell>
          <cell r="BV685">
            <v>2024</v>
          </cell>
        </row>
        <row r="686">
          <cell r="A686" t="str">
            <v>Chennai</v>
          </cell>
          <cell r="B686" t="str">
            <v>Chennai</v>
          </cell>
          <cell r="C686" t="str">
            <v>Mid Level</v>
          </cell>
          <cell r="D686" t="str">
            <v>Vinoth L</v>
          </cell>
          <cell r="E686" t="str">
            <v>-</v>
          </cell>
          <cell r="H686" t="str">
            <v>Pass Through</v>
          </cell>
          <cell r="K686">
            <v>0</v>
          </cell>
          <cell r="L686" t="str">
            <v>Old</v>
          </cell>
          <cell r="M686">
            <v>45582</v>
          </cell>
          <cell r="N686">
            <v>4</v>
          </cell>
          <cell r="O686">
            <v>464</v>
          </cell>
          <cell r="P686" t="str">
            <v>-</v>
          </cell>
          <cell r="Q686">
            <v>45947</v>
          </cell>
          <cell r="R686" t="str">
            <v>PLC-4022</v>
          </cell>
          <cell r="S686" t="str">
            <v>Venkata Kiran Kumar Guedela</v>
          </cell>
          <cell r="T686" t="str">
            <v>Individual</v>
          </cell>
          <cell r="U686" t="str">
            <v>C2C</v>
          </cell>
          <cell r="V686" t="str">
            <v>Citius Tech</v>
          </cell>
          <cell r="W686">
            <v>60</v>
          </cell>
          <cell r="X686">
            <v>0</v>
          </cell>
          <cell r="Y686" t="str">
            <v>USD</v>
          </cell>
          <cell r="Z686">
            <v>82</v>
          </cell>
          <cell r="AA686">
            <v>0</v>
          </cell>
          <cell r="AB686">
            <v>0</v>
          </cell>
          <cell r="AC686">
            <v>0</v>
          </cell>
          <cell r="AD686">
            <v>45731</v>
          </cell>
          <cell r="AE686">
            <v>21</v>
          </cell>
          <cell r="AF686">
            <v>46022</v>
          </cell>
          <cell r="AG686">
            <v>60</v>
          </cell>
          <cell r="AH686">
            <v>0</v>
          </cell>
          <cell r="AI686">
            <v>60</v>
          </cell>
          <cell r="AJ686">
            <v>82</v>
          </cell>
          <cell r="AK686">
            <v>0</v>
          </cell>
          <cell r="AL686">
            <v>0</v>
          </cell>
          <cell r="AM686">
            <v>22</v>
          </cell>
          <cell r="AN686">
            <v>0</v>
          </cell>
          <cell r="AO686">
            <v>22</v>
          </cell>
          <cell r="AP686">
            <v>0</v>
          </cell>
          <cell r="AQ686">
            <v>20</v>
          </cell>
          <cell r="AR686" t="str">
            <v>US_24673</v>
          </cell>
          <cell r="AS686">
            <v>0</v>
          </cell>
          <cell r="AT686">
            <v>160</v>
          </cell>
          <cell r="AU686">
            <v>160</v>
          </cell>
          <cell r="AV686">
            <v>0</v>
          </cell>
          <cell r="AW686">
            <v>3520</v>
          </cell>
          <cell r="AX686">
            <v>3520</v>
          </cell>
          <cell r="AY686">
            <v>3520</v>
          </cell>
          <cell r="AZ686">
            <v>0</v>
          </cell>
          <cell r="BA686">
            <v>0</v>
          </cell>
          <cell r="BB686">
            <v>0</v>
          </cell>
          <cell r="BC686">
            <v>53.225806451612897</v>
          </cell>
          <cell r="BD686">
            <v>3520</v>
          </cell>
          <cell r="BE686">
            <v>2816</v>
          </cell>
          <cell r="BF686">
            <v>3520</v>
          </cell>
          <cell r="BG686">
            <v>13120</v>
          </cell>
          <cell r="BH686">
            <v>13120</v>
          </cell>
          <cell r="BI686">
            <v>9600</v>
          </cell>
          <cell r="BJ686">
            <v>0</v>
          </cell>
          <cell r="BK686">
            <v>0</v>
          </cell>
          <cell r="BL686">
            <v>0</v>
          </cell>
          <cell r="BM686">
            <v>9600</v>
          </cell>
          <cell r="BN686">
            <v>0</v>
          </cell>
          <cell r="BO686">
            <v>3520</v>
          </cell>
          <cell r="BP686" t="str">
            <v>Y</v>
          </cell>
          <cell r="BQ686">
            <v>1</v>
          </cell>
          <cell r="BR686" t="str">
            <v>Y</v>
          </cell>
          <cell r="BS686">
            <v>0</v>
          </cell>
          <cell r="BT686" t="str">
            <v>Done</v>
          </cell>
          <cell r="BU686">
            <v>160</v>
          </cell>
          <cell r="BV686">
            <v>2024</v>
          </cell>
        </row>
        <row r="687">
          <cell r="A687" t="str">
            <v>Chennai</v>
          </cell>
          <cell r="B687" t="str">
            <v>Chennai</v>
          </cell>
          <cell r="C687" t="str">
            <v>Mid Level</v>
          </cell>
          <cell r="D687" t="str">
            <v>Vinoth L</v>
          </cell>
          <cell r="E687" t="str">
            <v>-</v>
          </cell>
          <cell r="H687" t="str">
            <v>Pass Through</v>
          </cell>
          <cell r="K687">
            <v>0</v>
          </cell>
          <cell r="L687" t="str">
            <v>Old</v>
          </cell>
          <cell r="M687">
            <v>45582</v>
          </cell>
          <cell r="N687">
            <v>4</v>
          </cell>
          <cell r="O687">
            <v>464</v>
          </cell>
          <cell r="P687" t="str">
            <v>-</v>
          </cell>
          <cell r="Q687">
            <v>45947</v>
          </cell>
          <cell r="R687" t="str">
            <v>PLC-4022</v>
          </cell>
          <cell r="S687" t="str">
            <v>Venkata Kiran Kumar Guedela</v>
          </cell>
          <cell r="T687" t="str">
            <v>Individual</v>
          </cell>
          <cell r="U687" t="str">
            <v>C2C</v>
          </cell>
          <cell r="V687" t="str">
            <v>Citius Tech</v>
          </cell>
          <cell r="W687">
            <v>60</v>
          </cell>
          <cell r="X687">
            <v>0</v>
          </cell>
          <cell r="Y687" t="str">
            <v>USD</v>
          </cell>
          <cell r="Z687">
            <v>82</v>
          </cell>
          <cell r="AA687">
            <v>0</v>
          </cell>
          <cell r="AB687">
            <v>0</v>
          </cell>
          <cell r="AC687">
            <v>0</v>
          </cell>
          <cell r="AD687">
            <v>45762</v>
          </cell>
          <cell r="AE687">
            <v>22</v>
          </cell>
          <cell r="AF687">
            <v>46022</v>
          </cell>
          <cell r="AG687">
            <v>60</v>
          </cell>
          <cell r="AH687">
            <v>0</v>
          </cell>
          <cell r="AI687">
            <v>60</v>
          </cell>
          <cell r="AJ687">
            <v>82</v>
          </cell>
          <cell r="AK687">
            <v>0</v>
          </cell>
          <cell r="AL687">
            <v>0</v>
          </cell>
          <cell r="AM687">
            <v>22</v>
          </cell>
          <cell r="AN687">
            <v>0</v>
          </cell>
          <cell r="AO687">
            <v>22</v>
          </cell>
          <cell r="AP687">
            <v>0</v>
          </cell>
          <cell r="AQ687">
            <v>20</v>
          </cell>
          <cell r="AR687" t="str">
            <v>US_24878</v>
          </cell>
          <cell r="AS687">
            <v>0</v>
          </cell>
          <cell r="AT687">
            <v>160</v>
          </cell>
          <cell r="AU687">
            <v>160</v>
          </cell>
          <cell r="AV687">
            <v>0</v>
          </cell>
          <cell r="AW687">
            <v>3520</v>
          </cell>
          <cell r="AX687">
            <v>3520</v>
          </cell>
          <cell r="AY687">
            <v>3520</v>
          </cell>
          <cell r="AZ687">
            <v>0</v>
          </cell>
          <cell r="BA687">
            <v>0</v>
          </cell>
          <cell r="BB687">
            <v>0</v>
          </cell>
          <cell r="BC687">
            <v>53.225806451612897</v>
          </cell>
          <cell r="BD687">
            <v>3520</v>
          </cell>
          <cell r="BE687">
            <v>2816</v>
          </cell>
          <cell r="BF687">
            <v>3520</v>
          </cell>
          <cell r="BG687">
            <v>13120</v>
          </cell>
          <cell r="BH687">
            <v>13120</v>
          </cell>
          <cell r="BI687">
            <v>9600</v>
          </cell>
          <cell r="BJ687">
            <v>0</v>
          </cell>
          <cell r="BK687">
            <v>0</v>
          </cell>
          <cell r="BL687">
            <v>0</v>
          </cell>
          <cell r="BM687">
            <v>9600</v>
          </cell>
          <cell r="BN687">
            <v>0</v>
          </cell>
          <cell r="BO687">
            <v>3520</v>
          </cell>
          <cell r="BP687" t="str">
            <v>Y</v>
          </cell>
          <cell r="BQ687">
            <v>2</v>
          </cell>
          <cell r="BR687" t="str">
            <v>Y</v>
          </cell>
          <cell r="BS687">
            <v>0</v>
          </cell>
          <cell r="BT687" t="str">
            <v>Done</v>
          </cell>
          <cell r="BU687">
            <v>160</v>
          </cell>
          <cell r="BV687">
            <v>2024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Vivek Yadav</v>
          </cell>
          <cell r="H688" t="str">
            <v>Akash Raj Srivastava</v>
          </cell>
          <cell r="K688">
            <v>0</v>
          </cell>
          <cell r="L688" t="str">
            <v>Old</v>
          </cell>
          <cell r="M688">
            <v>45596</v>
          </cell>
          <cell r="N688">
            <v>4</v>
          </cell>
          <cell r="O688">
            <v>450</v>
          </cell>
          <cell r="P688" t="str">
            <v>-</v>
          </cell>
          <cell r="Q688">
            <v>45961</v>
          </cell>
          <cell r="R688" t="str">
            <v>PLC-4017</v>
          </cell>
          <cell r="S688" t="str">
            <v>Venkata Pothireddy</v>
          </cell>
          <cell r="T688" t="str">
            <v>Individual</v>
          </cell>
          <cell r="U688" t="str">
            <v>C2C</v>
          </cell>
          <cell r="V688" t="str">
            <v>Coforge</v>
          </cell>
          <cell r="W688">
            <v>73</v>
          </cell>
          <cell r="X688">
            <v>0</v>
          </cell>
          <cell r="Y688" t="str">
            <v>USD</v>
          </cell>
          <cell r="Z688">
            <v>81</v>
          </cell>
          <cell r="AA688">
            <v>0</v>
          </cell>
          <cell r="AB688">
            <v>0</v>
          </cell>
          <cell r="AC688">
            <v>0</v>
          </cell>
          <cell r="AD688">
            <v>45672</v>
          </cell>
          <cell r="AE688">
            <v>23</v>
          </cell>
          <cell r="AF688">
            <v>46022</v>
          </cell>
          <cell r="AG688">
            <v>73</v>
          </cell>
          <cell r="AH688">
            <v>0</v>
          </cell>
          <cell r="AI688">
            <v>73</v>
          </cell>
          <cell r="AJ688">
            <v>81</v>
          </cell>
          <cell r="AK688">
            <v>0</v>
          </cell>
          <cell r="AL688">
            <v>0</v>
          </cell>
          <cell r="AM688">
            <v>8</v>
          </cell>
          <cell r="AN688">
            <v>0</v>
          </cell>
          <cell r="AO688">
            <v>8</v>
          </cell>
          <cell r="AP688">
            <v>0</v>
          </cell>
          <cell r="AQ688">
            <v>8</v>
          </cell>
          <cell r="AR688" t="str">
            <v>US_24296</v>
          </cell>
          <cell r="AS688">
            <v>0</v>
          </cell>
          <cell r="AT688">
            <v>160</v>
          </cell>
          <cell r="AU688">
            <v>160</v>
          </cell>
          <cell r="AV688">
            <v>0</v>
          </cell>
          <cell r="AW688">
            <v>1280</v>
          </cell>
          <cell r="AX688">
            <v>1280</v>
          </cell>
          <cell r="AY688">
            <v>1280</v>
          </cell>
          <cell r="AZ688">
            <v>71.428571428571431</v>
          </cell>
          <cell r="BA688">
            <v>22.4</v>
          </cell>
          <cell r="BB688">
            <v>3584</v>
          </cell>
          <cell r="BC688">
            <v>38.28125</v>
          </cell>
          <cell r="BD688">
            <v>1280</v>
          </cell>
          <cell r="BE688">
            <v>1024</v>
          </cell>
          <cell r="BF688">
            <v>1280</v>
          </cell>
          <cell r="BG688">
            <v>12960</v>
          </cell>
          <cell r="BH688">
            <v>12960</v>
          </cell>
          <cell r="BI688">
            <v>11680</v>
          </cell>
          <cell r="BJ688">
            <v>0</v>
          </cell>
          <cell r="BK688">
            <v>0</v>
          </cell>
          <cell r="BL688">
            <v>0</v>
          </cell>
          <cell r="BM688">
            <v>11680</v>
          </cell>
          <cell r="BN688">
            <v>0</v>
          </cell>
          <cell r="BO688">
            <v>1280</v>
          </cell>
          <cell r="BP688" t="str">
            <v>Y</v>
          </cell>
          <cell r="BQ688">
            <v>1</v>
          </cell>
          <cell r="BR688" t="str">
            <v>N</v>
          </cell>
          <cell r="BS688">
            <v>3584</v>
          </cell>
          <cell r="BT688" t="str">
            <v>Done</v>
          </cell>
          <cell r="BU688">
            <v>160</v>
          </cell>
          <cell r="BV688">
            <v>2024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Rohit Gupta</v>
          </cell>
          <cell r="E689" t="str">
            <v>Vivek Yadav</v>
          </cell>
          <cell r="H689" t="str">
            <v>Akash Raj Srivastava</v>
          </cell>
          <cell r="K689">
            <v>0</v>
          </cell>
          <cell r="L689" t="str">
            <v>Old</v>
          </cell>
          <cell r="M689">
            <v>45596</v>
          </cell>
          <cell r="N689">
            <v>4</v>
          </cell>
          <cell r="O689">
            <v>450</v>
          </cell>
          <cell r="P689" t="str">
            <v>-</v>
          </cell>
          <cell r="Q689">
            <v>45961</v>
          </cell>
          <cell r="R689" t="str">
            <v>PLC-4017</v>
          </cell>
          <cell r="S689" t="str">
            <v>Venkata Pothireddy</v>
          </cell>
          <cell r="T689" t="str">
            <v>Individual</v>
          </cell>
          <cell r="U689" t="str">
            <v>C2C</v>
          </cell>
          <cell r="V689" t="str">
            <v>Coforge</v>
          </cell>
          <cell r="W689">
            <v>73</v>
          </cell>
          <cell r="X689">
            <v>0</v>
          </cell>
          <cell r="Y689" t="str">
            <v>USD</v>
          </cell>
          <cell r="Z689">
            <v>81</v>
          </cell>
          <cell r="AA689">
            <v>0</v>
          </cell>
          <cell r="AB689">
            <v>0</v>
          </cell>
          <cell r="AC689">
            <v>0</v>
          </cell>
          <cell r="AD689">
            <v>45703</v>
          </cell>
          <cell r="AE689">
            <v>20</v>
          </cell>
          <cell r="AF689">
            <v>46022</v>
          </cell>
          <cell r="AG689">
            <v>73</v>
          </cell>
          <cell r="AH689">
            <v>0</v>
          </cell>
          <cell r="AI689">
            <v>73</v>
          </cell>
          <cell r="AJ689">
            <v>81</v>
          </cell>
          <cell r="AK689">
            <v>0</v>
          </cell>
          <cell r="AL689">
            <v>0</v>
          </cell>
          <cell r="AM689">
            <v>8</v>
          </cell>
          <cell r="AN689">
            <v>0</v>
          </cell>
          <cell r="AO689">
            <v>8</v>
          </cell>
          <cell r="AP689">
            <v>0</v>
          </cell>
          <cell r="AQ689">
            <v>8</v>
          </cell>
          <cell r="AR689" t="str">
            <v>US_24495</v>
          </cell>
          <cell r="AS689">
            <v>0</v>
          </cell>
          <cell r="AT689">
            <v>152</v>
          </cell>
          <cell r="AU689">
            <v>152</v>
          </cell>
          <cell r="AV689">
            <v>0</v>
          </cell>
          <cell r="AW689">
            <v>1216</v>
          </cell>
          <cell r="AX689">
            <v>1216</v>
          </cell>
          <cell r="AY689">
            <v>1216</v>
          </cell>
          <cell r="AZ689">
            <v>71.428571428571431</v>
          </cell>
          <cell r="BA689">
            <v>22.4</v>
          </cell>
          <cell r="BB689">
            <v>3404.7999999999997</v>
          </cell>
          <cell r="BC689">
            <v>38.28125</v>
          </cell>
          <cell r="BD689">
            <v>1216</v>
          </cell>
          <cell r="BE689">
            <v>972.8</v>
          </cell>
          <cell r="BF689">
            <v>1216</v>
          </cell>
          <cell r="BG689">
            <v>12312</v>
          </cell>
          <cell r="BH689">
            <v>12312</v>
          </cell>
          <cell r="BI689">
            <v>11096</v>
          </cell>
          <cell r="BJ689">
            <v>0</v>
          </cell>
          <cell r="BK689">
            <v>0</v>
          </cell>
          <cell r="BL689">
            <v>0</v>
          </cell>
          <cell r="BM689">
            <v>11096</v>
          </cell>
          <cell r="BN689">
            <v>0</v>
          </cell>
          <cell r="BO689">
            <v>1216</v>
          </cell>
          <cell r="BP689" t="str">
            <v>Y</v>
          </cell>
          <cell r="BQ689">
            <v>1</v>
          </cell>
          <cell r="BR689" t="str">
            <v>N</v>
          </cell>
          <cell r="BS689">
            <v>3404.7999999999997</v>
          </cell>
          <cell r="BT689" t="str">
            <v>Done</v>
          </cell>
          <cell r="BU689">
            <v>152</v>
          </cell>
          <cell r="BV689">
            <v>2024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Rohit Gupta</v>
          </cell>
          <cell r="E690" t="str">
            <v>Vivek Yadav</v>
          </cell>
          <cell r="H690" t="str">
            <v>Akash Raj Srivastava</v>
          </cell>
          <cell r="K690">
            <v>0</v>
          </cell>
          <cell r="L690" t="str">
            <v>Old</v>
          </cell>
          <cell r="M690">
            <v>45596</v>
          </cell>
          <cell r="N690">
            <v>4</v>
          </cell>
          <cell r="O690">
            <v>450</v>
          </cell>
          <cell r="P690" t="str">
            <v>-</v>
          </cell>
          <cell r="Q690">
            <v>45961</v>
          </cell>
          <cell r="R690" t="str">
            <v>PLC-4017</v>
          </cell>
          <cell r="S690" t="str">
            <v>Venkata Pothireddy</v>
          </cell>
          <cell r="T690" t="str">
            <v>Individual</v>
          </cell>
          <cell r="U690" t="str">
            <v>C2C</v>
          </cell>
          <cell r="V690" t="str">
            <v>Coforge</v>
          </cell>
          <cell r="W690">
            <v>73</v>
          </cell>
          <cell r="X690">
            <v>0</v>
          </cell>
          <cell r="Y690" t="str">
            <v>USD</v>
          </cell>
          <cell r="Z690">
            <v>81</v>
          </cell>
          <cell r="AA690">
            <v>0</v>
          </cell>
          <cell r="AB690">
            <v>0</v>
          </cell>
          <cell r="AC690">
            <v>0</v>
          </cell>
          <cell r="AD690">
            <v>45731</v>
          </cell>
          <cell r="AE690">
            <v>21</v>
          </cell>
          <cell r="AF690">
            <v>46022</v>
          </cell>
          <cell r="AG690">
            <v>73</v>
          </cell>
          <cell r="AH690">
            <v>0</v>
          </cell>
          <cell r="AI690">
            <v>73</v>
          </cell>
          <cell r="AJ690">
            <v>81</v>
          </cell>
          <cell r="AK690">
            <v>0</v>
          </cell>
          <cell r="AL690">
            <v>0</v>
          </cell>
          <cell r="AM690">
            <v>8</v>
          </cell>
          <cell r="AN690">
            <v>0</v>
          </cell>
          <cell r="AO690">
            <v>8</v>
          </cell>
          <cell r="AP690">
            <v>0</v>
          </cell>
          <cell r="AQ690">
            <v>8</v>
          </cell>
          <cell r="AR690" t="str">
            <v>US_24680</v>
          </cell>
          <cell r="AS690">
            <v>0</v>
          </cell>
          <cell r="AT690">
            <v>168</v>
          </cell>
          <cell r="AU690">
            <v>168</v>
          </cell>
          <cell r="AV690">
            <v>0</v>
          </cell>
          <cell r="AW690">
            <v>1344</v>
          </cell>
          <cell r="AX690">
            <v>1344</v>
          </cell>
          <cell r="AY690">
            <v>1344</v>
          </cell>
          <cell r="AZ690">
            <v>71.428571428571431</v>
          </cell>
          <cell r="BA690">
            <v>22.4</v>
          </cell>
          <cell r="BB690">
            <v>3763.2</v>
          </cell>
          <cell r="BC690">
            <v>38.28125</v>
          </cell>
          <cell r="BD690">
            <v>1344</v>
          </cell>
          <cell r="BE690">
            <v>1075.2</v>
          </cell>
          <cell r="BF690">
            <v>1344</v>
          </cell>
          <cell r="BG690">
            <v>13608</v>
          </cell>
          <cell r="BH690">
            <v>13608</v>
          </cell>
          <cell r="BI690">
            <v>12264</v>
          </cell>
          <cell r="BJ690">
            <v>0</v>
          </cell>
          <cell r="BK690">
            <v>0</v>
          </cell>
          <cell r="BL690">
            <v>0</v>
          </cell>
          <cell r="BM690">
            <v>12264</v>
          </cell>
          <cell r="BN690">
            <v>0</v>
          </cell>
          <cell r="BO690">
            <v>1344</v>
          </cell>
          <cell r="BP690" t="str">
            <v>Y</v>
          </cell>
          <cell r="BQ690">
            <v>1</v>
          </cell>
          <cell r="BR690" t="str">
            <v>N</v>
          </cell>
          <cell r="BS690">
            <v>3763.2</v>
          </cell>
          <cell r="BT690" t="str">
            <v>Done</v>
          </cell>
          <cell r="BU690">
            <v>168</v>
          </cell>
          <cell r="BV690">
            <v>2024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Rohit Gupta</v>
          </cell>
          <cell r="E691" t="str">
            <v>Vivek Yadav</v>
          </cell>
          <cell r="H691" t="str">
            <v>Akash Raj Srivastava</v>
          </cell>
          <cell r="K691">
            <v>0</v>
          </cell>
          <cell r="L691" t="str">
            <v>Old</v>
          </cell>
          <cell r="M691">
            <v>45596</v>
          </cell>
          <cell r="N691">
            <v>4</v>
          </cell>
          <cell r="O691">
            <v>450</v>
          </cell>
          <cell r="P691" t="str">
            <v>-</v>
          </cell>
          <cell r="Q691">
            <v>45961</v>
          </cell>
          <cell r="R691" t="str">
            <v>PLC-4017</v>
          </cell>
          <cell r="S691" t="str">
            <v>Venkata Pothireddy</v>
          </cell>
          <cell r="T691" t="str">
            <v>Individual</v>
          </cell>
          <cell r="U691" t="str">
            <v>C2C</v>
          </cell>
          <cell r="V691" t="str">
            <v>Coforge</v>
          </cell>
          <cell r="W691">
            <v>73</v>
          </cell>
          <cell r="X691">
            <v>0</v>
          </cell>
          <cell r="Y691" t="str">
            <v>USD</v>
          </cell>
          <cell r="Z691">
            <v>81</v>
          </cell>
          <cell r="AA691">
            <v>0</v>
          </cell>
          <cell r="AB691">
            <v>0</v>
          </cell>
          <cell r="AC691">
            <v>0</v>
          </cell>
          <cell r="AD691">
            <v>45762</v>
          </cell>
          <cell r="AE691">
            <v>22</v>
          </cell>
          <cell r="AF691">
            <v>46022</v>
          </cell>
          <cell r="AG691">
            <v>73</v>
          </cell>
          <cell r="AH691">
            <v>0</v>
          </cell>
          <cell r="AI691">
            <v>73</v>
          </cell>
          <cell r="AJ691">
            <v>81</v>
          </cell>
          <cell r="AK691">
            <v>0</v>
          </cell>
          <cell r="AL691">
            <v>0</v>
          </cell>
          <cell r="AM691">
            <v>8</v>
          </cell>
          <cell r="AN691">
            <v>0</v>
          </cell>
          <cell r="AO691">
            <v>8</v>
          </cell>
          <cell r="AP691">
            <v>0</v>
          </cell>
          <cell r="AQ691">
            <v>8</v>
          </cell>
          <cell r="AR691" t="str">
            <v>US_24884</v>
          </cell>
          <cell r="AS691">
            <v>0</v>
          </cell>
          <cell r="AT691">
            <v>176</v>
          </cell>
          <cell r="AU691">
            <v>176</v>
          </cell>
          <cell r="AV691">
            <v>0</v>
          </cell>
          <cell r="AW691">
            <v>1408</v>
          </cell>
          <cell r="AX691">
            <v>1408</v>
          </cell>
          <cell r="AY691">
            <v>1408</v>
          </cell>
          <cell r="AZ691">
            <v>71.428571428571431</v>
          </cell>
          <cell r="BA691">
            <v>22.4</v>
          </cell>
          <cell r="BB691">
            <v>3942.3999999999996</v>
          </cell>
          <cell r="BC691">
            <v>38.28125</v>
          </cell>
          <cell r="BD691">
            <v>1408</v>
          </cell>
          <cell r="BE691">
            <v>1126.4000000000001</v>
          </cell>
          <cell r="BF691">
            <v>1408</v>
          </cell>
          <cell r="BG691">
            <v>14256</v>
          </cell>
          <cell r="BH691">
            <v>14256</v>
          </cell>
          <cell r="BI691">
            <v>12848</v>
          </cell>
          <cell r="BJ691">
            <v>0</v>
          </cell>
          <cell r="BK691">
            <v>0</v>
          </cell>
          <cell r="BL691">
            <v>0</v>
          </cell>
          <cell r="BM691">
            <v>12848</v>
          </cell>
          <cell r="BN691">
            <v>0</v>
          </cell>
          <cell r="BO691">
            <v>1408</v>
          </cell>
          <cell r="BP691" t="str">
            <v>Y</v>
          </cell>
          <cell r="BQ691">
            <v>2</v>
          </cell>
          <cell r="BR691" t="str">
            <v>N</v>
          </cell>
          <cell r="BS691">
            <v>3942.3999999999996</v>
          </cell>
          <cell r="BT691" t="str">
            <v>Done</v>
          </cell>
          <cell r="BU691">
            <v>176</v>
          </cell>
          <cell r="BV691">
            <v>2024</v>
          </cell>
        </row>
        <row r="692">
          <cell r="A692" t="str">
            <v>Lucknow</v>
          </cell>
          <cell r="B692" t="str">
            <v>Titans</v>
          </cell>
          <cell r="C692" t="str">
            <v>Mid Level</v>
          </cell>
          <cell r="D692" t="str">
            <v>Abhishek Yadav</v>
          </cell>
          <cell r="E692" t="str">
            <v>-</v>
          </cell>
          <cell r="H692" t="str">
            <v>Manish Kumar Dhiman</v>
          </cell>
          <cell r="L692" t="str">
            <v>New</v>
          </cell>
          <cell r="M692">
            <v>45672</v>
          </cell>
          <cell r="N692">
            <v>1</v>
          </cell>
          <cell r="O692">
            <v>374</v>
          </cell>
          <cell r="P692" t="str">
            <v>-</v>
          </cell>
          <cell r="Q692">
            <v>46037</v>
          </cell>
          <cell r="R692" t="str">
            <v>PLC-4081</v>
          </cell>
          <cell r="S692" t="str">
            <v>Venkata Pramod Varma Yarakaraju</v>
          </cell>
          <cell r="T692" t="str">
            <v>Individual</v>
          </cell>
          <cell r="U692" t="str">
            <v>C2C</v>
          </cell>
          <cell r="V692" t="str">
            <v>Genpact</v>
          </cell>
          <cell r="W692">
            <v>55</v>
          </cell>
          <cell r="X692">
            <v>0</v>
          </cell>
          <cell r="Y692" t="str">
            <v>CAD</v>
          </cell>
          <cell r="Z692">
            <v>69</v>
          </cell>
          <cell r="AA692">
            <v>0</v>
          </cell>
          <cell r="AB692">
            <v>0</v>
          </cell>
          <cell r="AC692">
            <v>0</v>
          </cell>
          <cell r="AD692">
            <v>45672</v>
          </cell>
          <cell r="AE692">
            <v>13</v>
          </cell>
          <cell r="AF692">
            <v>46022</v>
          </cell>
          <cell r="AG692">
            <v>39.049999999999997</v>
          </cell>
          <cell r="AH692">
            <v>0</v>
          </cell>
          <cell r="AI692">
            <v>39.049999999999997</v>
          </cell>
          <cell r="AJ692">
            <v>48.989999999999995</v>
          </cell>
          <cell r="AK692">
            <v>0</v>
          </cell>
          <cell r="AL692">
            <v>0</v>
          </cell>
          <cell r="AM692">
            <v>9.9399999999999977</v>
          </cell>
          <cell r="AN692">
            <v>0</v>
          </cell>
          <cell r="AO692">
            <v>9.9399999999999977</v>
          </cell>
          <cell r="AP692">
            <v>0</v>
          </cell>
          <cell r="AQ692">
            <v>9.9399999999999977</v>
          </cell>
          <cell r="AR692" t="str">
            <v>CAD_1419</v>
          </cell>
          <cell r="AS692">
            <v>0</v>
          </cell>
          <cell r="AT692">
            <v>104</v>
          </cell>
          <cell r="AU692">
            <v>104</v>
          </cell>
          <cell r="AV692">
            <v>0</v>
          </cell>
          <cell r="AW692">
            <v>1033.7599999999998</v>
          </cell>
          <cell r="AX692">
            <v>1033.7599999999998</v>
          </cell>
          <cell r="AY692">
            <v>1033.7599999999998</v>
          </cell>
          <cell r="AZ692">
            <v>87.5</v>
          </cell>
          <cell r="BA692">
            <v>15.903999999999996</v>
          </cell>
          <cell r="BB692">
            <v>1654.0159999999996</v>
          </cell>
          <cell r="BC692">
            <v>102</v>
          </cell>
          <cell r="BD692">
            <v>1033.7599999999998</v>
          </cell>
          <cell r="BE692">
            <v>1654.0159999999998</v>
          </cell>
          <cell r="BF692">
            <v>1033.7599999999998</v>
          </cell>
          <cell r="BG692">
            <v>7176</v>
          </cell>
          <cell r="BH692">
            <v>5094.9599999999991</v>
          </cell>
          <cell r="BI692">
            <v>4237.9480000000003</v>
          </cell>
          <cell r="BJ692">
            <v>0</v>
          </cell>
          <cell r="BK692">
            <v>0</v>
          </cell>
          <cell r="BL692">
            <v>0</v>
          </cell>
          <cell r="BM692">
            <v>4237.9480000000003</v>
          </cell>
          <cell r="BN692">
            <v>0</v>
          </cell>
          <cell r="BO692">
            <v>857.01199999999881</v>
          </cell>
          <cell r="BP692" t="str">
            <v>Y</v>
          </cell>
          <cell r="BQ692">
            <v>1</v>
          </cell>
          <cell r="BR692" t="str">
            <v>Y</v>
          </cell>
          <cell r="BS692">
            <v>1654.0159999999996</v>
          </cell>
          <cell r="BT692" t="str">
            <v>Done</v>
          </cell>
          <cell r="BU692">
            <v>104</v>
          </cell>
          <cell r="BV692">
            <v>2025</v>
          </cell>
        </row>
        <row r="693">
          <cell r="A693" t="str">
            <v>Lucknow</v>
          </cell>
          <cell r="B693" t="str">
            <v>Titans</v>
          </cell>
          <cell r="C693" t="str">
            <v>Mid Level</v>
          </cell>
          <cell r="D693" t="str">
            <v>Abhishek Yadav</v>
          </cell>
          <cell r="E693" t="str">
            <v>-</v>
          </cell>
          <cell r="H693" t="str">
            <v>Manish Kumar Dhiman</v>
          </cell>
          <cell r="L693" t="str">
            <v>New</v>
          </cell>
          <cell r="M693">
            <v>45672</v>
          </cell>
          <cell r="N693">
            <v>1</v>
          </cell>
          <cell r="O693">
            <v>374</v>
          </cell>
          <cell r="P693" t="str">
            <v>-</v>
          </cell>
          <cell r="Q693">
            <v>46037</v>
          </cell>
          <cell r="R693" t="str">
            <v>PLC-4081</v>
          </cell>
          <cell r="S693" t="str">
            <v>Venkata Pramod Varma Yarakaraju</v>
          </cell>
          <cell r="T693" t="str">
            <v>Individual</v>
          </cell>
          <cell r="U693" t="str">
            <v>C2C</v>
          </cell>
          <cell r="V693" t="str">
            <v>Genpact</v>
          </cell>
          <cell r="W693">
            <v>55</v>
          </cell>
          <cell r="X693">
            <v>0</v>
          </cell>
          <cell r="Y693" t="str">
            <v>CAD</v>
          </cell>
          <cell r="Z693">
            <v>69</v>
          </cell>
          <cell r="AA693">
            <v>0</v>
          </cell>
          <cell r="AB693">
            <v>0</v>
          </cell>
          <cell r="AC693">
            <v>0</v>
          </cell>
          <cell r="AD693">
            <v>45703</v>
          </cell>
          <cell r="AE693">
            <v>20</v>
          </cell>
          <cell r="AF693">
            <v>46022</v>
          </cell>
          <cell r="AG693">
            <v>39.049999999999997</v>
          </cell>
          <cell r="AH693">
            <v>0</v>
          </cell>
          <cell r="AI693">
            <v>39.049999999999997</v>
          </cell>
          <cell r="AJ693">
            <v>48.989999999999995</v>
          </cell>
          <cell r="AK693">
            <v>0</v>
          </cell>
          <cell r="AL693">
            <v>0</v>
          </cell>
          <cell r="AM693">
            <v>9.9399999999999977</v>
          </cell>
          <cell r="AN693">
            <v>0</v>
          </cell>
          <cell r="AO693">
            <v>9.9399999999999977</v>
          </cell>
          <cell r="AP693">
            <v>0</v>
          </cell>
          <cell r="AQ693">
            <v>9.9399999999999977</v>
          </cell>
          <cell r="AR693" t="str">
            <v>CAD_1443</v>
          </cell>
          <cell r="AS693">
            <v>0</v>
          </cell>
          <cell r="AT693">
            <v>152</v>
          </cell>
          <cell r="AU693">
            <v>152</v>
          </cell>
          <cell r="AV693">
            <v>0</v>
          </cell>
          <cell r="AW693">
            <v>1510.8799999999997</v>
          </cell>
          <cell r="AX693">
            <v>1510.8799999999997</v>
          </cell>
          <cell r="AY693">
            <v>1510.8799999999997</v>
          </cell>
          <cell r="AZ693">
            <v>87.5</v>
          </cell>
          <cell r="BA693">
            <v>15.903999999999996</v>
          </cell>
          <cell r="BB693">
            <v>2417.4079999999994</v>
          </cell>
          <cell r="BC693">
            <v>102</v>
          </cell>
          <cell r="BD693">
            <v>1510.8799999999997</v>
          </cell>
          <cell r="BE693">
            <v>2417.4079999999994</v>
          </cell>
          <cell r="BF693">
            <v>1510.8799999999997</v>
          </cell>
          <cell r="BG693">
            <v>10488</v>
          </cell>
          <cell r="BH693">
            <v>7446.48</v>
          </cell>
          <cell r="BI693">
            <v>6193.924</v>
          </cell>
          <cell r="BJ693">
            <v>0</v>
          </cell>
          <cell r="BK693">
            <v>0</v>
          </cell>
          <cell r="BL693">
            <v>0</v>
          </cell>
          <cell r="BM693">
            <v>6193.924</v>
          </cell>
          <cell r="BN693">
            <v>0</v>
          </cell>
          <cell r="BO693">
            <v>1252.5559999999996</v>
          </cell>
          <cell r="BP693" t="str">
            <v>Y</v>
          </cell>
          <cell r="BQ693">
            <v>1</v>
          </cell>
          <cell r="BR693" t="str">
            <v>Y</v>
          </cell>
          <cell r="BS693">
            <v>2417.4079999999994</v>
          </cell>
          <cell r="BT693" t="str">
            <v>Done</v>
          </cell>
          <cell r="BU693">
            <v>152</v>
          </cell>
          <cell r="BV693">
            <v>2025</v>
          </cell>
        </row>
        <row r="694">
          <cell r="A694" t="str">
            <v>Lucknow</v>
          </cell>
          <cell r="B694" t="str">
            <v>Titans</v>
          </cell>
          <cell r="C694" t="str">
            <v>Mid Level</v>
          </cell>
          <cell r="D694" t="str">
            <v>Abhishek Yadav</v>
          </cell>
          <cell r="E694" t="str">
            <v>-</v>
          </cell>
          <cell r="H694" t="str">
            <v>Manish Kumar Dhiman</v>
          </cell>
          <cell r="L694" t="str">
            <v>New</v>
          </cell>
          <cell r="M694">
            <v>45672</v>
          </cell>
          <cell r="N694">
            <v>1</v>
          </cell>
          <cell r="O694">
            <v>374</v>
          </cell>
          <cell r="P694" t="str">
            <v>-</v>
          </cell>
          <cell r="Q694">
            <v>46037</v>
          </cell>
          <cell r="R694" t="str">
            <v>PLC-4081</v>
          </cell>
          <cell r="S694" t="str">
            <v>Venkata Pramod Varma Yarakaraju</v>
          </cell>
          <cell r="T694" t="str">
            <v>Individual</v>
          </cell>
          <cell r="U694" t="str">
            <v>C2C</v>
          </cell>
          <cell r="V694" t="str">
            <v>Genpact</v>
          </cell>
          <cell r="W694">
            <v>55</v>
          </cell>
          <cell r="X694">
            <v>0</v>
          </cell>
          <cell r="Y694" t="str">
            <v>CAD</v>
          </cell>
          <cell r="Z694">
            <v>69</v>
          </cell>
          <cell r="AA694">
            <v>0</v>
          </cell>
          <cell r="AB694">
            <v>0</v>
          </cell>
          <cell r="AC694">
            <v>0</v>
          </cell>
          <cell r="AD694">
            <v>45731</v>
          </cell>
          <cell r="AE694">
            <v>21</v>
          </cell>
          <cell r="AF694">
            <v>46022</v>
          </cell>
          <cell r="AG694">
            <v>39.049999999999997</v>
          </cell>
          <cell r="AH694">
            <v>0</v>
          </cell>
          <cell r="AI694">
            <v>39.049999999999997</v>
          </cell>
          <cell r="AJ694">
            <v>48.989999999999995</v>
          </cell>
          <cell r="AK694">
            <v>0</v>
          </cell>
          <cell r="AL694">
            <v>0</v>
          </cell>
          <cell r="AM694">
            <v>9.9399999999999977</v>
          </cell>
          <cell r="AN694">
            <v>0</v>
          </cell>
          <cell r="AO694">
            <v>9.9399999999999977</v>
          </cell>
          <cell r="AP694">
            <v>0</v>
          </cell>
          <cell r="AQ694">
            <v>9.9399999999999977</v>
          </cell>
          <cell r="AR694" t="str">
            <v>CAD_1468</v>
          </cell>
          <cell r="AS694">
            <v>0</v>
          </cell>
          <cell r="AT694">
            <v>160</v>
          </cell>
          <cell r="AU694">
            <v>160</v>
          </cell>
          <cell r="AV694">
            <v>0</v>
          </cell>
          <cell r="AW694">
            <v>1590.3999999999996</v>
          </cell>
          <cell r="AX694">
            <v>1590.3999999999996</v>
          </cell>
          <cell r="AY694">
            <v>1590.3999999999996</v>
          </cell>
          <cell r="AZ694">
            <v>87.5</v>
          </cell>
          <cell r="BA694">
            <v>15.903999999999996</v>
          </cell>
          <cell r="BB694">
            <v>2544.6399999999994</v>
          </cell>
          <cell r="BC694">
            <v>102</v>
          </cell>
          <cell r="BD694">
            <v>1590.3999999999996</v>
          </cell>
          <cell r="BE694">
            <v>2544.6399999999994</v>
          </cell>
          <cell r="BF694">
            <v>1590.3999999999996</v>
          </cell>
          <cell r="BG694">
            <v>11040</v>
          </cell>
          <cell r="BH694">
            <v>7838.4</v>
          </cell>
          <cell r="BI694">
            <v>6519.92</v>
          </cell>
          <cell r="BJ694">
            <v>0</v>
          </cell>
          <cell r="BK694">
            <v>0</v>
          </cell>
          <cell r="BL694">
            <v>0</v>
          </cell>
          <cell r="BM694">
            <v>6519.92</v>
          </cell>
          <cell r="BN694">
            <v>0</v>
          </cell>
          <cell r="BO694">
            <v>1318.4799999999996</v>
          </cell>
          <cell r="BP694" t="str">
            <v>Y</v>
          </cell>
          <cell r="BQ694">
            <v>1</v>
          </cell>
          <cell r="BR694" t="str">
            <v>Y</v>
          </cell>
          <cell r="BS694">
            <v>2544.6399999999994</v>
          </cell>
          <cell r="BT694" t="str">
            <v>Done</v>
          </cell>
          <cell r="BU694">
            <v>160</v>
          </cell>
          <cell r="BV694">
            <v>2025</v>
          </cell>
        </row>
        <row r="695">
          <cell r="A695" t="str">
            <v>Lucknow</v>
          </cell>
          <cell r="B695" t="str">
            <v>Titans</v>
          </cell>
          <cell r="C695" t="str">
            <v>Mid Level</v>
          </cell>
          <cell r="D695" t="str">
            <v>Abhishek Yadav</v>
          </cell>
          <cell r="E695" t="str">
            <v>-</v>
          </cell>
          <cell r="H695" t="str">
            <v>Manish Kumar Dhiman</v>
          </cell>
          <cell r="L695" t="str">
            <v>New</v>
          </cell>
          <cell r="M695">
            <v>45672</v>
          </cell>
          <cell r="N695">
            <v>1</v>
          </cell>
          <cell r="O695">
            <v>374</v>
          </cell>
          <cell r="P695" t="str">
            <v>-</v>
          </cell>
          <cell r="Q695">
            <v>46037</v>
          </cell>
          <cell r="R695" t="str">
            <v>PLC-4081</v>
          </cell>
          <cell r="S695" t="str">
            <v>Venkata Pramod Varma Yarakaraju</v>
          </cell>
          <cell r="T695" t="str">
            <v>Individual</v>
          </cell>
          <cell r="U695" t="str">
            <v>C2C</v>
          </cell>
          <cell r="V695" t="str">
            <v>Genpact</v>
          </cell>
          <cell r="W695">
            <v>55</v>
          </cell>
          <cell r="X695">
            <v>0</v>
          </cell>
          <cell r="Y695" t="str">
            <v>CAD</v>
          </cell>
          <cell r="Z695">
            <v>69</v>
          </cell>
          <cell r="AA695">
            <v>0</v>
          </cell>
          <cell r="AB695">
            <v>0</v>
          </cell>
          <cell r="AC695">
            <v>0</v>
          </cell>
          <cell r="AD695">
            <v>45762</v>
          </cell>
          <cell r="AE695">
            <v>22</v>
          </cell>
          <cell r="AF695">
            <v>46022</v>
          </cell>
          <cell r="AG695">
            <v>39.049999999999997</v>
          </cell>
          <cell r="AH695">
            <v>0</v>
          </cell>
          <cell r="AI695">
            <v>39.049999999999997</v>
          </cell>
          <cell r="AJ695">
            <v>48.989999999999995</v>
          </cell>
          <cell r="AK695">
            <v>0</v>
          </cell>
          <cell r="AL695">
            <v>0</v>
          </cell>
          <cell r="AM695">
            <v>9.9399999999999977</v>
          </cell>
          <cell r="AN695">
            <v>0</v>
          </cell>
          <cell r="AO695">
            <v>9.9399999999999977</v>
          </cell>
          <cell r="AP695">
            <v>0</v>
          </cell>
          <cell r="AQ695">
            <v>9.9399999999999977</v>
          </cell>
          <cell r="AR695" t="str">
            <v>CAD_1491</v>
          </cell>
          <cell r="AS695">
            <v>0</v>
          </cell>
          <cell r="AT695">
            <v>144</v>
          </cell>
          <cell r="AU695">
            <v>144</v>
          </cell>
          <cell r="AV695">
            <v>0</v>
          </cell>
          <cell r="AW695">
            <v>1431.3599999999997</v>
          </cell>
          <cell r="AX695">
            <v>1431.3599999999997</v>
          </cell>
          <cell r="AY695">
            <v>1431.3599999999997</v>
          </cell>
          <cell r="AZ695">
            <v>87.5</v>
          </cell>
          <cell r="BA695">
            <v>15.903999999999996</v>
          </cell>
          <cell r="BB695">
            <v>2290.1759999999995</v>
          </cell>
          <cell r="BC695">
            <v>102</v>
          </cell>
          <cell r="BD695">
            <v>1431.3599999999997</v>
          </cell>
          <cell r="BE695">
            <v>2290.1759999999995</v>
          </cell>
          <cell r="BF695">
            <v>1431.3599999999997</v>
          </cell>
          <cell r="BG695">
            <v>9936</v>
          </cell>
          <cell r="BH695">
            <v>7054.5599999999995</v>
          </cell>
          <cell r="BI695">
            <v>5867.9279999999999</v>
          </cell>
          <cell r="BJ695">
            <v>0</v>
          </cell>
          <cell r="BK695">
            <v>0</v>
          </cell>
          <cell r="BL695">
            <v>0</v>
          </cell>
          <cell r="BM695">
            <v>5867.9279999999999</v>
          </cell>
          <cell r="BN695">
            <v>0</v>
          </cell>
          <cell r="BO695">
            <v>1186.6319999999996</v>
          </cell>
          <cell r="BP695" t="str">
            <v>Y</v>
          </cell>
          <cell r="BQ695">
            <v>2</v>
          </cell>
          <cell r="BR695" t="str">
            <v>Y</v>
          </cell>
          <cell r="BS695">
            <v>2290.1759999999995</v>
          </cell>
          <cell r="BT695" t="str">
            <v>Done</v>
          </cell>
          <cell r="BU695">
            <v>144</v>
          </cell>
          <cell r="BV695">
            <v>2025</v>
          </cell>
        </row>
        <row r="696">
          <cell r="A696" t="str">
            <v>Noida</v>
          </cell>
          <cell r="B696" t="str">
            <v>Noida IT</v>
          </cell>
          <cell r="C696" t="str">
            <v>Mid Level</v>
          </cell>
          <cell r="D696" t="str">
            <v>Abdul Rahman</v>
          </cell>
          <cell r="E696" t="str">
            <v>-</v>
          </cell>
          <cell r="H696" t="str">
            <v>Avinay Srinavastav</v>
          </cell>
          <cell r="K696">
            <v>0</v>
          </cell>
          <cell r="L696" t="str">
            <v>Old</v>
          </cell>
          <cell r="M696">
            <v>45484</v>
          </cell>
          <cell r="N696">
            <v>3</v>
          </cell>
          <cell r="O696">
            <v>562</v>
          </cell>
          <cell r="P696" t="str">
            <v>-</v>
          </cell>
          <cell r="Q696">
            <v>45849</v>
          </cell>
          <cell r="R696" t="str">
            <v>PLC-3858</v>
          </cell>
          <cell r="S696" t="str">
            <v>Venkata Santhosh P Kuppili</v>
          </cell>
          <cell r="T696" t="str">
            <v>Individual</v>
          </cell>
          <cell r="U696" t="str">
            <v>C2C</v>
          </cell>
          <cell r="V696" t="str">
            <v>Xebia</v>
          </cell>
          <cell r="W696">
            <v>58</v>
          </cell>
          <cell r="X696">
            <v>0</v>
          </cell>
          <cell r="Y696" t="str">
            <v>USD</v>
          </cell>
          <cell r="Z696">
            <v>72</v>
          </cell>
          <cell r="AA696">
            <v>0</v>
          </cell>
          <cell r="AB696">
            <v>0</v>
          </cell>
          <cell r="AC696">
            <v>4</v>
          </cell>
          <cell r="AD696">
            <v>45672</v>
          </cell>
          <cell r="AE696">
            <v>23</v>
          </cell>
          <cell r="AF696">
            <v>46022</v>
          </cell>
          <cell r="AG696">
            <v>58</v>
          </cell>
          <cell r="AH696">
            <v>0</v>
          </cell>
          <cell r="AI696">
            <v>62</v>
          </cell>
          <cell r="AJ696">
            <v>72</v>
          </cell>
          <cell r="AK696">
            <v>0</v>
          </cell>
          <cell r="AL696">
            <v>0</v>
          </cell>
          <cell r="AM696">
            <v>10</v>
          </cell>
          <cell r="AN696">
            <v>0</v>
          </cell>
          <cell r="AO696">
            <v>10</v>
          </cell>
          <cell r="AP696">
            <v>0</v>
          </cell>
          <cell r="AQ696">
            <v>10</v>
          </cell>
          <cell r="AR696" t="str">
            <v>US_24248</v>
          </cell>
          <cell r="AS696">
            <v>0</v>
          </cell>
          <cell r="AT696">
            <v>168</v>
          </cell>
          <cell r="AU696">
            <v>168</v>
          </cell>
          <cell r="AV696">
            <v>0</v>
          </cell>
          <cell r="AW696">
            <v>1680</v>
          </cell>
          <cell r="AX696">
            <v>1680</v>
          </cell>
          <cell r="AY696">
            <v>1680</v>
          </cell>
          <cell r="AZ696">
            <v>40</v>
          </cell>
          <cell r="BA696">
            <v>16</v>
          </cell>
          <cell r="BB696">
            <v>2688</v>
          </cell>
          <cell r="BD696">
            <v>1680</v>
          </cell>
          <cell r="BF696">
            <v>1680</v>
          </cell>
          <cell r="BG696">
            <v>12096</v>
          </cell>
          <cell r="BH696">
            <v>12096</v>
          </cell>
          <cell r="BI696">
            <v>9744</v>
          </cell>
          <cell r="BJ696">
            <v>0</v>
          </cell>
          <cell r="BK696">
            <v>672</v>
          </cell>
          <cell r="BL696">
            <v>0</v>
          </cell>
          <cell r="BM696">
            <v>10416</v>
          </cell>
          <cell r="BN696">
            <v>4</v>
          </cell>
          <cell r="BO696">
            <v>1680</v>
          </cell>
          <cell r="BP696" t="str">
            <v>Y</v>
          </cell>
          <cell r="BQ696">
            <v>1</v>
          </cell>
          <cell r="BR696" t="str">
            <v>N</v>
          </cell>
          <cell r="BS696">
            <v>2688</v>
          </cell>
          <cell r="BT696" t="str">
            <v>Done</v>
          </cell>
          <cell r="BU696">
            <v>168</v>
          </cell>
          <cell r="BV696">
            <v>2024</v>
          </cell>
        </row>
        <row r="697">
          <cell r="A697" t="str">
            <v>Noida</v>
          </cell>
          <cell r="B697" t="str">
            <v>Noida IT</v>
          </cell>
          <cell r="C697" t="str">
            <v>Mid Level</v>
          </cell>
          <cell r="D697" t="str">
            <v>Abdul Rahman</v>
          </cell>
          <cell r="E697" t="str">
            <v>-</v>
          </cell>
          <cell r="H697" t="str">
            <v>Avinay Srinavastav</v>
          </cell>
          <cell r="K697">
            <v>0</v>
          </cell>
          <cell r="L697" t="str">
            <v>Old</v>
          </cell>
          <cell r="M697">
            <v>45484</v>
          </cell>
          <cell r="N697">
            <v>3</v>
          </cell>
          <cell r="O697">
            <v>562</v>
          </cell>
          <cell r="P697" t="str">
            <v>-</v>
          </cell>
          <cell r="Q697">
            <v>45849</v>
          </cell>
          <cell r="R697" t="str">
            <v>PLC-3858</v>
          </cell>
          <cell r="S697" t="str">
            <v>Venkata Santhosh P Kuppili</v>
          </cell>
          <cell r="T697" t="str">
            <v>Individual</v>
          </cell>
          <cell r="U697" t="str">
            <v>C2C</v>
          </cell>
          <cell r="V697" t="str">
            <v>Xebia</v>
          </cell>
          <cell r="W697">
            <v>60</v>
          </cell>
          <cell r="X697">
            <v>0</v>
          </cell>
          <cell r="Y697" t="str">
            <v>USD</v>
          </cell>
          <cell r="Z697">
            <v>72</v>
          </cell>
          <cell r="AA697">
            <v>0</v>
          </cell>
          <cell r="AB697">
            <v>0</v>
          </cell>
          <cell r="AC697">
            <v>4</v>
          </cell>
          <cell r="AD697">
            <v>45703</v>
          </cell>
          <cell r="AE697">
            <v>20</v>
          </cell>
          <cell r="AF697">
            <v>46022</v>
          </cell>
          <cell r="AG697">
            <v>60</v>
          </cell>
          <cell r="AH697">
            <v>0</v>
          </cell>
          <cell r="AI697">
            <v>64</v>
          </cell>
          <cell r="AJ697">
            <v>72</v>
          </cell>
          <cell r="AK697">
            <v>0</v>
          </cell>
          <cell r="AL697">
            <v>0</v>
          </cell>
          <cell r="AM697">
            <v>8</v>
          </cell>
          <cell r="AN697">
            <v>0</v>
          </cell>
          <cell r="AO697">
            <v>8</v>
          </cell>
          <cell r="AP697">
            <v>0</v>
          </cell>
          <cell r="AQ697">
            <v>8</v>
          </cell>
          <cell r="AR697" t="str">
            <v>US_24453</v>
          </cell>
          <cell r="AS697">
            <v>0</v>
          </cell>
          <cell r="AT697">
            <v>160</v>
          </cell>
          <cell r="AU697">
            <v>160</v>
          </cell>
          <cell r="AV697">
            <v>0</v>
          </cell>
          <cell r="AW697">
            <v>1280</v>
          </cell>
          <cell r="AX697">
            <v>1280</v>
          </cell>
          <cell r="AY697">
            <v>1280</v>
          </cell>
          <cell r="AZ697">
            <v>40</v>
          </cell>
          <cell r="BA697">
            <v>12.8</v>
          </cell>
          <cell r="BB697">
            <v>2048</v>
          </cell>
          <cell r="BD697">
            <v>1280</v>
          </cell>
          <cell r="BF697">
            <v>1280</v>
          </cell>
          <cell r="BG697">
            <v>11520</v>
          </cell>
          <cell r="BH697">
            <v>11520</v>
          </cell>
          <cell r="BI697">
            <v>9600</v>
          </cell>
          <cell r="BJ697">
            <v>0</v>
          </cell>
          <cell r="BK697">
            <v>640</v>
          </cell>
          <cell r="BL697">
            <v>0</v>
          </cell>
          <cell r="BM697">
            <v>10240</v>
          </cell>
          <cell r="BN697">
            <v>4</v>
          </cell>
          <cell r="BO697">
            <v>1280</v>
          </cell>
          <cell r="BP697" t="str">
            <v>Y</v>
          </cell>
          <cell r="BQ697">
            <v>1</v>
          </cell>
          <cell r="BR697" t="str">
            <v>N</v>
          </cell>
          <cell r="BS697">
            <v>2048</v>
          </cell>
          <cell r="BT697" t="str">
            <v>Done</v>
          </cell>
          <cell r="BU697">
            <v>160</v>
          </cell>
          <cell r="BV697">
            <v>2024</v>
          </cell>
        </row>
        <row r="698">
          <cell r="A698" t="str">
            <v>Noida</v>
          </cell>
          <cell r="B698" t="str">
            <v>Noida IT</v>
          </cell>
          <cell r="C698" t="str">
            <v>Mid Level</v>
          </cell>
          <cell r="D698" t="str">
            <v>Abdul Rahman</v>
          </cell>
          <cell r="E698" t="str">
            <v>-</v>
          </cell>
          <cell r="H698" t="str">
            <v>Avinay Srinavastav</v>
          </cell>
          <cell r="K698">
            <v>0</v>
          </cell>
          <cell r="L698" t="str">
            <v>Old</v>
          </cell>
          <cell r="M698">
            <v>45484</v>
          </cell>
          <cell r="N698">
            <v>3</v>
          </cell>
          <cell r="O698">
            <v>562</v>
          </cell>
          <cell r="P698" t="str">
            <v>-</v>
          </cell>
          <cell r="Q698">
            <v>45849</v>
          </cell>
          <cell r="R698" t="str">
            <v>PLC-3858</v>
          </cell>
          <cell r="S698" t="str">
            <v>Venkata Santhosh P Kuppili</v>
          </cell>
          <cell r="T698" t="str">
            <v>Individual</v>
          </cell>
          <cell r="U698" t="str">
            <v>C2C</v>
          </cell>
          <cell r="V698" t="str">
            <v>Xebia</v>
          </cell>
          <cell r="W698">
            <v>60</v>
          </cell>
          <cell r="X698">
            <v>0</v>
          </cell>
          <cell r="Y698" t="str">
            <v>USD</v>
          </cell>
          <cell r="Z698">
            <v>72</v>
          </cell>
          <cell r="AA698">
            <v>0</v>
          </cell>
          <cell r="AB698">
            <v>0</v>
          </cell>
          <cell r="AC698">
            <v>4</v>
          </cell>
          <cell r="AD698">
            <v>45731</v>
          </cell>
          <cell r="AE698">
            <v>21</v>
          </cell>
          <cell r="AF698">
            <v>46022</v>
          </cell>
          <cell r="AG698">
            <v>60</v>
          </cell>
          <cell r="AH698">
            <v>0</v>
          </cell>
          <cell r="AI698">
            <v>64</v>
          </cell>
          <cell r="AJ698">
            <v>72</v>
          </cell>
          <cell r="AK698">
            <v>0</v>
          </cell>
          <cell r="AL698">
            <v>0</v>
          </cell>
          <cell r="AM698">
            <v>8</v>
          </cell>
          <cell r="AN698">
            <v>0</v>
          </cell>
          <cell r="AO698">
            <v>8</v>
          </cell>
          <cell r="AP698">
            <v>0</v>
          </cell>
          <cell r="AQ698">
            <v>8</v>
          </cell>
          <cell r="AR698" t="str">
            <v>US_24641</v>
          </cell>
          <cell r="AS698">
            <v>0</v>
          </cell>
          <cell r="AT698">
            <v>168</v>
          </cell>
          <cell r="AU698">
            <v>168</v>
          </cell>
          <cell r="AV698">
            <v>0</v>
          </cell>
          <cell r="AW698">
            <v>1344</v>
          </cell>
          <cell r="AX698">
            <v>1344</v>
          </cell>
          <cell r="AY698">
            <v>1344</v>
          </cell>
          <cell r="AZ698">
            <v>40</v>
          </cell>
          <cell r="BA698">
            <v>12.8</v>
          </cell>
          <cell r="BB698">
            <v>2150.4</v>
          </cell>
          <cell r="BD698">
            <v>1344</v>
          </cell>
          <cell r="BF698">
            <v>1344</v>
          </cell>
          <cell r="BG698">
            <v>12096</v>
          </cell>
          <cell r="BH698">
            <v>12096</v>
          </cell>
          <cell r="BI698">
            <v>10080</v>
          </cell>
          <cell r="BJ698">
            <v>0</v>
          </cell>
          <cell r="BK698">
            <v>672</v>
          </cell>
          <cell r="BL698">
            <v>0</v>
          </cell>
          <cell r="BM698">
            <v>10752</v>
          </cell>
          <cell r="BN698">
            <v>4</v>
          </cell>
          <cell r="BO698">
            <v>1344</v>
          </cell>
          <cell r="BP698" t="str">
            <v>Y</v>
          </cell>
          <cell r="BQ698">
            <v>1</v>
          </cell>
          <cell r="BR698" t="str">
            <v>N</v>
          </cell>
          <cell r="BS698">
            <v>2150.4</v>
          </cell>
          <cell r="BT698" t="str">
            <v>Done</v>
          </cell>
          <cell r="BU698">
            <v>168</v>
          </cell>
          <cell r="BV698">
            <v>2024</v>
          </cell>
        </row>
        <row r="699">
          <cell r="A699" t="str">
            <v>Noida</v>
          </cell>
          <cell r="B699" t="str">
            <v>Noida IT</v>
          </cell>
          <cell r="C699" t="str">
            <v>Mid Level</v>
          </cell>
          <cell r="D699" t="str">
            <v>Abdul Rahman</v>
          </cell>
          <cell r="E699" t="str">
            <v>-</v>
          </cell>
          <cell r="H699" t="str">
            <v>Avinay Srinavastav</v>
          </cell>
          <cell r="K699">
            <v>0</v>
          </cell>
          <cell r="L699" t="str">
            <v>Old</v>
          </cell>
          <cell r="M699">
            <v>45484</v>
          </cell>
          <cell r="N699">
            <v>3</v>
          </cell>
          <cell r="O699">
            <v>562</v>
          </cell>
          <cell r="P699" t="str">
            <v>-</v>
          </cell>
          <cell r="Q699">
            <v>45849</v>
          </cell>
          <cell r="R699" t="str">
            <v>PLC-3858</v>
          </cell>
          <cell r="S699" t="str">
            <v>Venkata Santhosh P Kuppili</v>
          </cell>
          <cell r="T699" t="str">
            <v>Individual</v>
          </cell>
          <cell r="U699" t="str">
            <v>C2C</v>
          </cell>
          <cell r="V699" t="str">
            <v>Xebia</v>
          </cell>
          <cell r="W699">
            <v>60</v>
          </cell>
          <cell r="X699">
            <v>0</v>
          </cell>
          <cell r="Y699" t="str">
            <v>USD</v>
          </cell>
          <cell r="Z699">
            <v>72</v>
          </cell>
          <cell r="AA699">
            <v>0</v>
          </cell>
          <cell r="AB699">
            <v>0</v>
          </cell>
          <cell r="AC699">
            <v>4</v>
          </cell>
          <cell r="AD699">
            <v>45762</v>
          </cell>
          <cell r="AE699">
            <v>22</v>
          </cell>
          <cell r="AF699">
            <v>46022</v>
          </cell>
          <cell r="AG699">
            <v>60</v>
          </cell>
          <cell r="AH699">
            <v>0</v>
          </cell>
          <cell r="AI699">
            <v>64</v>
          </cell>
          <cell r="AJ699">
            <v>72</v>
          </cell>
          <cell r="AK699">
            <v>0</v>
          </cell>
          <cell r="AL699">
            <v>0</v>
          </cell>
          <cell r="AM699">
            <v>8</v>
          </cell>
          <cell r="AN699">
            <v>0</v>
          </cell>
          <cell r="AO699">
            <v>8</v>
          </cell>
          <cell r="AP699">
            <v>0</v>
          </cell>
          <cell r="AQ699">
            <v>8</v>
          </cell>
          <cell r="AR699" t="str">
            <v>US_24848</v>
          </cell>
          <cell r="AS699">
            <v>0</v>
          </cell>
          <cell r="AT699">
            <v>176</v>
          </cell>
          <cell r="AU699">
            <v>176</v>
          </cell>
          <cell r="AV699">
            <v>0</v>
          </cell>
          <cell r="AW699">
            <v>1408</v>
          </cell>
          <cell r="AX699">
            <v>1408</v>
          </cell>
          <cell r="AY699">
            <v>1408</v>
          </cell>
          <cell r="AZ699">
            <v>40</v>
          </cell>
          <cell r="BA699">
            <v>12.8</v>
          </cell>
          <cell r="BB699">
            <v>2252.8000000000002</v>
          </cell>
          <cell r="BD699">
            <v>1408</v>
          </cell>
          <cell r="BF699">
            <v>1408</v>
          </cell>
          <cell r="BG699">
            <v>12672</v>
          </cell>
          <cell r="BH699">
            <v>12672</v>
          </cell>
          <cell r="BI699">
            <v>10560</v>
          </cell>
          <cell r="BJ699">
            <v>0</v>
          </cell>
          <cell r="BK699">
            <v>704</v>
          </cell>
          <cell r="BL699">
            <v>0</v>
          </cell>
          <cell r="BM699">
            <v>11264</v>
          </cell>
          <cell r="BN699">
            <v>4</v>
          </cell>
          <cell r="BO699">
            <v>1408</v>
          </cell>
          <cell r="BP699" t="str">
            <v>Y</v>
          </cell>
          <cell r="BQ699">
            <v>2</v>
          </cell>
          <cell r="BR699" t="str">
            <v>N</v>
          </cell>
          <cell r="BS699">
            <v>2252.8000000000002</v>
          </cell>
          <cell r="BT699" t="str">
            <v>Done</v>
          </cell>
          <cell r="BU699">
            <v>176</v>
          </cell>
          <cell r="BV699">
            <v>2024</v>
          </cell>
        </row>
        <row r="700">
          <cell r="A700" t="str">
            <v>Chennai</v>
          </cell>
          <cell r="B700" t="str">
            <v>Chennai</v>
          </cell>
          <cell r="C700" t="str">
            <v>Mid Level</v>
          </cell>
          <cell r="D700" t="str">
            <v>Akbar Ibrahim</v>
          </cell>
          <cell r="E700" t="str">
            <v>-</v>
          </cell>
          <cell r="H700" t="str">
            <v>Selvakumar Ravi</v>
          </cell>
          <cell r="K700">
            <v>0</v>
          </cell>
          <cell r="L700" t="str">
            <v>Old</v>
          </cell>
          <cell r="M700">
            <v>45498</v>
          </cell>
          <cell r="N700">
            <v>3</v>
          </cell>
          <cell r="O700">
            <v>548</v>
          </cell>
          <cell r="P700">
            <v>45954</v>
          </cell>
          <cell r="Q700">
            <v>45863</v>
          </cell>
          <cell r="R700" t="str">
            <v>PLC-3860</v>
          </cell>
          <cell r="S700" t="str">
            <v>Venugopal Veldandi</v>
          </cell>
          <cell r="T700" t="str">
            <v>Individual</v>
          </cell>
          <cell r="U700" t="str">
            <v>C2C</v>
          </cell>
          <cell r="V700" t="str">
            <v>LTIMindtree</v>
          </cell>
          <cell r="W700">
            <v>70</v>
          </cell>
          <cell r="X700">
            <v>0</v>
          </cell>
          <cell r="Y700" t="str">
            <v>USD</v>
          </cell>
          <cell r="Z700">
            <v>80</v>
          </cell>
          <cell r="AA700">
            <v>0</v>
          </cell>
          <cell r="AB700">
            <v>0</v>
          </cell>
          <cell r="AC700">
            <v>0</v>
          </cell>
          <cell r="AD700">
            <v>45672</v>
          </cell>
          <cell r="AE700">
            <v>23</v>
          </cell>
          <cell r="AF700">
            <v>46022</v>
          </cell>
          <cell r="AG700">
            <v>70</v>
          </cell>
          <cell r="AH700">
            <v>0</v>
          </cell>
          <cell r="AI700">
            <v>70</v>
          </cell>
          <cell r="AJ700">
            <v>77.599999999999994</v>
          </cell>
          <cell r="AK700">
            <v>0</v>
          </cell>
          <cell r="AL700">
            <v>0</v>
          </cell>
          <cell r="AM700">
            <v>7.5999999999999943</v>
          </cell>
          <cell r="AN700">
            <v>0</v>
          </cell>
          <cell r="AO700">
            <v>7.5999999999999943</v>
          </cell>
          <cell r="AP700">
            <v>0</v>
          </cell>
          <cell r="AQ700">
            <v>7.5999999999999943</v>
          </cell>
          <cell r="AR700" t="str">
            <v>US_24251</v>
          </cell>
          <cell r="AS700">
            <v>0</v>
          </cell>
          <cell r="AT700">
            <v>176</v>
          </cell>
          <cell r="AU700">
            <v>176</v>
          </cell>
          <cell r="AV700">
            <v>0</v>
          </cell>
          <cell r="AW700">
            <v>1337.599999999999</v>
          </cell>
          <cell r="AX700">
            <v>1337.599999999999</v>
          </cell>
          <cell r="AY700">
            <v>1337.599999999999</v>
          </cell>
          <cell r="AZ700">
            <v>50</v>
          </cell>
          <cell r="BA700">
            <v>12.159999999999991</v>
          </cell>
          <cell r="BB700">
            <v>2140.1599999999985</v>
          </cell>
          <cell r="BD700">
            <v>1337.599999999999</v>
          </cell>
          <cell r="BF700">
            <v>1337.599999999999</v>
          </cell>
          <cell r="BG700">
            <v>14080</v>
          </cell>
          <cell r="BH700">
            <v>13657.599999999999</v>
          </cell>
          <cell r="BI700">
            <v>12320</v>
          </cell>
          <cell r="BJ700">
            <v>0</v>
          </cell>
          <cell r="BK700">
            <v>0</v>
          </cell>
          <cell r="BL700">
            <v>0</v>
          </cell>
          <cell r="BM700">
            <v>12320</v>
          </cell>
          <cell r="BN700">
            <v>0</v>
          </cell>
          <cell r="BO700">
            <v>1337.5999999999985</v>
          </cell>
          <cell r="BP700" t="str">
            <v>Y</v>
          </cell>
          <cell r="BQ700">
            <v>1</v>
          </cell>
          <cell r="BR700" t="str">
            <v>N</v>
          </cell>
          <cell r="BS700">
            <v>2140.1599999999985</v>
          </cell>
          <cell r="BT700" t="str">
            <v>Done</v>
          </cell>
          <cell r="BU700">
            <v>176</v>
          </cell>
          <cell r="BV700">
            <v>2024</v>
          </cell>
        </row>
        <row r="701">
          <cell r="A701" t="str">
            <v>Chennai</v>
          </cell>
          <cell r="B701" t="str">
            <v>Chennai</v>
          </cell>
          <cell r="C701" t="str">
            <v>Mid Level</v>
          </cell>
          <cell r="D701" t="str">
            <v>Akbar Ibrahim</v>
          </cell>
          <cell r="E701" t="str">
            <v>-</v>
          </cell>
          <cell r="H701" t="str">
            <v>Selvakumar Ravi</v>
          </cell>
          <cell r="K701">
            <v>0</v>
          </cell>
          <cell r="L701" t="str">
            <v>Old</v>
          </cell>
          <cell r="M701">
            <v>45498</v>
          </cell>
          <cell r="N701">
            <v>3</v>
          </cell>
          <cell r="O701">
            <v>548</v>
          </cell>
          <cell r="P701">
            <v>45954</v>
          </cell>
          <cell r="Q701">
            <v>45863</v>
          </cell>
          <cell r="R701" t="str">
            <v>PLC-3860</v>
          </cell>
          <cell r="S701" t="str">
            <v>Venugopal Veldandi</v>
          </cell>
          <cell r="T701" t="str">
            <v>Individual</v>
          </cell>
          <cell r="U701" t="str">
            <v>C2C</v>
          </cell>
          <cell r="V701" t="str">
            <v>LTIMindtree</v>
          </cell>
          <cell r="W701">
            <v>70</v>
          </cell>
          <cell r="X701">
            <v>0</v>
          </cell>
          <cell r="Y701" t="str">
            <v>USD</v>
          </cell>
          <cell r="Z701">
            <v>80</v>
          </cell>
          <cell r="AA701">
            <v>0</v>
          </cell>
          <cell r="AB701">
            <v>0</v>
          </cell>
          <cell r="AC701">
            <v>0</v>
          </cell>
          <cell r="AD701">
            <v>45703</v>
          </cell>
          <cell r="AE701">
            <v>20</v>
          </cell>
          <cell r="AF701">
            <v>46022</v>
          </cell>
          <cell r="AG701">
            <v>70</v>
          </cell>
          <cell r="AH701">
            <v>0</v>
          </cell>
          <cell r="AI701">
            <v>70</v>
          </cell>
          <cell r="AJ701">
            <v>77.599999999999994</v>
          </cell>
          <cell r="AK701">
            <v>0</v>
          </cell>
          <cell r="AL701">
            <v>0</v>
          </cell>
          <cell r="AM701">
            <v>7.5999999999999943</v>
          </cell>
          <cell r="AN701">
            <v>0</v>
          </cell>
          <cell r="AO701">
            <v>7.5999999999999943</v>
          </cell>
          <cell r="AP701">
            <v>0</v>
          </cell>
          <cell r="AQ701">
            <v>7.5999999999999943</v>
          </cell>
          <cell r="AR701" t="str">
            <v>US_24456</v>
          </cell>
          <cell r="AS701">
            <v>0</v>
          </cell>
          <cell r="AT701">
            <v>160</v>
          </cell>
          <cell r="AU701">
            <v>160</v>
          </cell>
          <cell r="AV701">
            <v>0</v>
          </cell>
          <cell r="AW701">
            <v>1215.9999999999991</v>
          </cell>
          <cell r="AX701">
            <v>1215.9999999999991</v>
          </cell>
          <cell r="AY701">
            <v>1215.9999999999991</v>
          </cell>
          <cell r="AZ701">
            <v>50</v>
          </cell>
          <cell r="BA701">
            <v>12.159999999999991</v>
          </cell>
          <cell r="BB701">
            <v>1945.5999999999985</v>
          </cell>
          <cell r="BD701">
            <v>1215.9999999999991</v>
          </cell>
          <cell r="BF701">
            <v>1215.9999999999991</v>
          </cell>
          <cell r="BG701">
            <v>12800</v>
          </cell>
          <cell r="BH701">
            <v>12416</v>
          </cell>
          <cell r="BI701">
            <v>11200</v>
          </cell>
          <cell r="BJ701">
            <v>0</v>
          </cell>
          <cell r="BK701">
            <v>0</v>
          </cell>
          <cell r="BL701">
            <v>0</v>
          </cell>
          <cell r="BM701">
            <v>11200</v>
          </cell>
          <cell r="BN701">
            <v>0</v>
          </cell>
          <cell r="BO701">
            <v>1216</v>
          </cell>
          <cell r="BP701" t="str">
            <v>Y</v>
          </cell>
          <cell r="BQ701">
            <v>1</v>
          </cell>
          <cell r="BR701" t="str">
            <v>N</v>
          </cell>
          <cell r="BS701">
            <v>1945.5999999999985</v>
          </cell>
          <cell r="BT701" t="str">
            <v>Done</v>
          </cell>
          <cell r="BU701">
            <v>160</v>
          </cell>
          <cell r="BV701">
            <v>2024</v>
          </cell>
        </row>
        <row r="702">
          <cell r="A702" t="str">
            <v>Chennai</v>
          </cell>
          <cell r="B702" t="str">
            <v>Chennai</v>
          </cell>
          <cell r="C702" t="str">
            <v>Mid Level</v>
          </cell>
          <cell r="D702" t="str">
            <v>Akbar Ibrahim</v>
          </cell>
          <cell r="E702" t="str">
            <v>-</v>
          </cell>
          <cell r="H702" t="str">
            <v>Selvakumar Ravi</v>
          </cell>
          <cell r="K702">
            <v>0</v>
          </cell>
          <cell r="L702" t="str">
            <v>Old</v>
          </cell>
          <cell r="M702">
            <v>45498</v>
          </cell>
          <cell r="N702">
            <v>3</v>
          </cell>
          <cell r="O702">
            <v>548</v>
          </cell>
          <cell r="P702">
            <v>45954</v>
          </cell>
          <cell r="Q702">
            <v>45863</v>
          </cell>
          <cell r="R702" t="str">
            <v>PLC-3860</v>
          </cell>
          <cell r="S702" t="str">
            <v>Venugopal Veldandi</v>
          </cell>
          <cell r="T702" t="str">
            <v>Individual</v>
          </cell>
          <cell r="U702" t="str">
            <v>C2C</v>
          </cell>
          <cell r="V702" t="str">
            <v>LTIMindtree</v>
          </cell>
          <cell r="W702">
            <v>70</v>
          </cell>
          <cell r="X702">
            <v>0</v>
          </cell>
          <cell r="Y702" t="str">
            <v>USD</v>
          </cell>
          <cell r="Z702">
            <v>80</v>
          </cell>
          <cell r="AA702">
            <v>0</v>
          </cell>
          <cell r="AB702">
            <v>0</v>
          </cell>
          <cell r="AC702">
            <v>0</v>
          </cell>
          <cell r="AD702">
            <v>45731</v>
          </cell>
          <cell r="AE702">
            <v>21</v>
          </cell>
          <cell r="AF702">
            <v>46022</v>
          </cell>
          <cell r="AG702">
            <v>70</v>
          </cell>
          <cell r="AH702">
            <v>0</v>
          </cell>
          <cell r="AI702">
            <v>70</v>
          </cell>
          <cell r="AJ702">
            <v>77.599999999999994</v>
          </cell>
          <cell r="AK702">
            <v>0</v>
          </cell>
          <cell r="AL702">
            <v>0</v>
          </cell>
          <cell r="AM702">
            <v>7.5999999999999943</v>
          </cell>
          <cell r="AN702">
            <v>0</v>
          </cell>
          <cell r="AO702">
            <v>7.5999999999999943</v>
          </cell>
          <cell r="AP702">
            <v>0</v>
          </cell>
          <cell r="AQ702">
            <v>7.5999999999999943</v>
          </cell>
          <cell r="AR702" t="str">
            <v>US_24644</v>
          </cell>
          <cell r="AS702">
            <v>0</v>
          </cell>
          <cell r="AT702">
            <v>168</v>
          </cell>
          <cell r="AU702">
            <v>168</v>
          </cell>
          <cell r="AV702">
            <v>0</v>
          </cell>
          <cell r="AW702">
            <v>1276.799999999999</v>
          </cell>
          <cell r="AX702">
            <v>1276.799999999999</v>
          </cell>
          <cell r="AY702">
            <v>1276.799999999999</v>
          </cell>
          <cell r="AZ702">
            <v>50</v>
          </cell>
          <cell r="BA702">
            <v>12.159999999999991</v>
          </cell>
          <cell r="BB702">
            <v>2042.8799999999985</v>
          </cell>
          <cell r="BD702">
            <v>1276.799999999999</v>
          </cell>
          <cell r="BF702">
            <v>1276.799999999999</v>
          </cell>
          <cell r="BG702">
            <v>13440</v>
          </cell>
          <cell r="BH702">
            <v>13036.8</v>
          </cell>
          <cell r="BI702">
            <v>11760</v>
          </cell>
          <cell r="BJ702">
            <v>0</v>
          </cell>
          <cell r="BK702">
            <v>0</v>
          </cell>
          <cell r="BL702">
            <v>0</v>
          </cell>
          <cell r="BM702">
            <v>11760</v>
          </cell>
          <cell r="BN702">
            <v>0</v>
          </cell>
          <cell r="BO702">
            <v>1276.7999999999993</v>
          </cell>
          <cell r="BP702" t="str">
            <v>Y</v>
          </cell>
          <cell r="BQ702">
            <v>1</v>
          </cell>
          <cell r="BR702" t="str">
            <v>N</v>
          </cell>
          <cell r="BS702">
            <v>2042.8799999999985</v>
          </cell>
          <cell r="BT702" t="str">
            <v>Done</v>
          </cell>
          <cell r="BU702">
            <v>168</v>
          </cell>
          <cell r="BV702">
            <v>2024</v>
          </cell>
        </row>
        <row r="703">
          <cell r="A703" t="str">
            <v>Chennai</v>
          </cell>
          <cell r="B703" t="str">
            <v>Chennai</v>
          </cell>
          <cell r="C703" t="str">
            <v>Mid Level</v>
          </cell>
          <cell r="D703" t="str">
            <v>Akbar Ibrahim</v>
          </cell>
          <cell r="E703" t="str">
            <v>-</v>
          </cell>
          <cell r="H703" t="str">
            <v>Selvakumar Ravi</v>
          </cell>
          <cell r="K703">
            <v>0</v>
          </cell>
          <cell r="L703" t="str">
            <v>Old</v>
          </cell>
          <cell r="M703">
            <v>45498</v>
          </cell>
          <cell r="N703">
            <v>3</v>
          </cell>
          <cell r="O703">
            <v>548</v>
          </cell>
          <cell r="P703">
            <v>45954</v>
          </cell>
          <cell r="Q703">
            <v>45863</v>
          </cell>
          <cell r="R703" t="str">
            <v>PLC-3860</v>
          </cell>
          <cell r="S703" t="str">
            <v>Venugopal Veldandi</v>
          </cell>
          <cell r="T703" t="str">
            <v>Individual</v>
          </cell>
          <cell r="U703" t="str">
            <v>C2C</v>
          </cell>
          <cell r="V703" t="str">
            <v>LTIMindtree</v>
          </cell>
          <cell r="W703">
            <v>70</v>
          </cell>
          <cell r="X703">
            <v>0</v>
          </cell>
          <cell r="Y703" t="str">
            <v>USD</v>
          </cell>
          <cell r="Z703">
            <v>80</v>
          </cell>
          <cell r="AA703">
            <v>0</v>
          </cell>
          <cell r="AB703">
            <v>0</v>
          </cell>
          <cell r="AC703">
            <v>0</v>
          </cell>
          <cell r="AD703">
            <v>45762</v>
          </cell>
          <cell r="AE703">
            <v>22</v>
          </cell>
          <cell r="AF703">
            <v>46022</v>
          </cell>
          <cell r="AG703">
            <v>70</v>
          </cell>
          <cell r="AH703">
            <v>0</v>
          </cell>
          <cell r="AI703">
            <v>70</v>
          </cell>
          <cell r="AJ703">
            <v>77.599999999999994</v>
          </cell>
          <cell r="AK703">
            <v>0</v>
          </cell>
          <cell r="AL703">
            <v>0</v>
          </cell>
          <cell r="AM703">
            <v>7.5999999999999943</v>
          </cell>
          <cell r="AN703">
            <v>0</v>
          </cell>
          <cell r="AO703">
            <v>7.5999999999999943</v>
          </cell>
          <cell r="AP703">
            <v>0</v>
          </cell>
          <cell r="AQ703">
            <v>7.5999999999999943</v>
          </cell>
          <cell r="AR703" t="str">
            <v>US_24851</v>
          </cell>
          <cell r="AS703">
            <v>0</v>
          </cell>
          <cell r="AT703">
            <v>176</v>
          </cell>
          <cell r="AU703">
            <v>176</v>
          </cell>
          <cell r="AV703">
            <v>0</v>
          </cell>
          <cell r="AW703">
            <v>1337.599999999999</v>
          </cell>
          <cell r="AX703">
            <v>1337.599999999999</v>
          </cell>
          <cell r="AY703">
            <v>1337.599999999999</v>
          </cell>
          <cell r="AZ703">
            <v>50</v>
          </cell>
          <cell r="BA703">
            <v>12.159999999999991</v>
          </cell>
          <cell r="BB703">
            <v>2140.1599999999985</v>
          </cell>
          <cell r="BD703">
            <v>1337.599999999999</v>
          </cell>
          <cell r="BF703">
            <v>1337.599999999999</v>
          </cell>
          <cell r="BG703">
            <v>14080</v>
          </cell>
          <cell r="BH703">
            <v>13657.599999999999</v>
          </cell>
          <cell r="BI703">
            <v>12320</v>
          </cell>
          <cell r="BJ703">
            <v>0</v>
          </cell>
          <cell r="BK703">
            <v>0</v>
          </cell>
          <cell r="BL703">
            <v>0</v>
          </cell>
          <cell r="BM703">
            <v>12320</v>
          </cell>
          <cell r="BN703">
            <v>0</v>
          </cell>
          <cell r="BO703">
            <v>1337.5999999999985</v>
          </cell>
          <cell r="BP703" t="str">
            <v>Y</v>
          </cell>
          <cell r="BQ703">
            <v>2</v>
          </cell>
          <cell r="BR703" t="str">
            <v>N</v>
          </cell>
          <cell r="BS703">
            <v>2140.1599999999985</v>
          </cell>
          <cell r="BT703" t="str">
            <v>Done</v>
          </cell>
          <cell r="BU703">
            <v>176</v>
          </cell>
          <cell r="BV703">
            <v>2024</v>
          </cell>
        </row>
        <row r="704">
          <cell r="A704" t="str">
            <v>Noida</v>
          </cell>
          <cell r="B704" t="str">
            <v>Noida IT</v>
          </cell>
          <cell r="C704" t="str">
            <v>Mid Level</v>
          </cell>
          <cell r="D704" t="str">
            <v>Abdul Rahman</v>
          </cell>
          <cell r="E704" t="str">
            <v>-</v>
          </cell>
          <cell r="H704" t="str">
            <v>Hemant Kumar</v>
          </cell>
          <cell r="L704" t="str">
            <v>New</v>
          </cell>
          <cell r="M704">
            <v>45706</v>
          </cell>
          <cell r="N704">
            <v>1</v>
          </cell>
          <cell r="O704">
            <v>340</v>
          </cell>
          <cell r="P704">
            <v>45841</v>
          </cell>
          <cell r="Q704">
            <v>46071</v>
          </cell>
          <cell r="R704" t="str">
            <v>PLC-4142</v>
          </cell>
          <cell r="S704" t="str">
            <v>Victor Hugo Garcia Gamez</v>
          </cell>
          <cell r="T704" t="str">
            <v>Split</v>
          </cell>
          <cell r="U704" t="str">
            <v>C2C</v>
          </cell>
          <cell r="V704" t="str">
            <v>Xebia</v>
          </cell>
          <cell r="W704">
            <v>64</v>
          </cell>
          <cell r="X704">
            <v>0</v>
          </cell>
          <cell r="Y704" t="str">
            <v>USD</v>
          </cell>
          <cell r="Z704">
            <v>75</v>
          </cell>
          <cell r="AA704">
            <v>0</v>
          </cell>
          <cell r="AB704">
            <v>0</v>
          </cell>
          <cell r="AC704">
            <v>2</v>
          </cell>
          <cell r="AD704">
            <v>45703</v>
          </cell>
          <cell r="AE704">
            <v>9</v>
          </cell>
          <cell r="AF704">
            <v>46022</v>
          </cell>
          <cell r="AG704">
            <v>64</v>
          </cell>
          <cell r="AH704">
            <v>0</v>
          </cell>
          <cell r="AI704">
            <v>66</v>
          </cell>
          <cell r="AJ704">
            <v>75</v>
          </cell>
          <cell r="AK704">
            <v>0</v>
          </cell>
          <cell r="AL704">
            <v>0</v>
          </cell>
          <cell r="AM704">
            <v>9</v>
          </cell>
          <cell r="AN704">
            <v>0</v>
          </cell>
          <cell r="AO704">
            <v>4.5</v>
          </cell>
          <cell r="AP704">
            <v>0</v>
          </cell>
          <cell r="AQ704">
            <v>4.5</v>
          </cell>
          <cell r="AR704" t="str">
            <v>US_24535</v>
          </cell>
          <cell r="AS704">
            <v>0</v>
          </cell>
          <cell r="AT704">
            <v>72</v>
          </cell>
          <cell r="AU704">
            <v>72</v>
          </cell>
          <cell r="AV704">
            <v>0</v>
          </cell>
          <cell r="AW704">
            <v>324</v>
          </cell>
          <cell r="AX704">
            <v>324</v>
          </cell>
          <cell r="AY704">
            <v>324</v>
          </cell>
          <cell r="AZ704">
            <v>100</v>
          </cell>
          <cell r="BA704">
            <v>7.2</v>
          </cell>
          <cell r="BB704">
            <v>518.4</v>
          </cell>
          <cell r="BC704">
            <v>48</v>
          </cell>
          <cell r="BD704">
            <v>324</v>
          </cell>
          <cell r="BE704">
            <v>259.2</v>
          </cell>
          <cell r="BF704">
            <v>324</v>
          </cell>
          <cell r="BG704">
            <v>2700</v>
          </cell>
          <cell r="BH704">
            <v>2700</v>
          </cell>
          <cell r="BI704">
            <v>2304</v>
          </cell>
          <cell r="BJ704">
            <v>0</v>
          </cell>
          <cell r="BK704">
            <v>72</v>
          </cell>
          <cell r="BL704">
            <v>0</v>
          </cell>
          <cell r="BM704">
            <v>2376</v>
          </cell>
          <cell r="BN704">
            <v>2</v>
          </cell>
          <cell r="BO704">
            <v>324</v>
          </cell>
          <cell r="BP704" t="str">
            <v>Y</v>
          </cell>
          <cell r="BQ704">
            <v>1</v>
          </cell>
          <cell r="BR704" t="str">
            <v>Y</v>
          </cell>
          <cell r="BS704">
            <v>518.4</v>
          </cell>
          <cell r="BT704" t="str">
            <v>Done</v>
          </cell>
          <cell r="BU704">
            <v>72</v>
          </cell>
          <cell r="BV704">
            <v>2025</v>
          </cell>
        </row>
        <row r="705">
          <cell r="A705" t="str">
            <v>Noida</v>
          </cell>
          <cell r="B705" t="str">
            <v>Noida IT</v>
          </cell>
          <cell r="C705" t="str">
            <v>Mid Level</v>
          </cell>
          <cell r="D705" t="str">
            <v>Akash Saxena</v>
          </cell>
          <cell r="E705" t="str">
            <v>-</v>
          </cell>
          <cell r="H705" t="str">
            <v>Hemant Kumar</v>
          </cell>
          <cell r="L705" t="str">
            <v>New</v>
          </cell>
          <cell r="M705">
            <v>45706</v>
          </cell>
          <cell r="N705">
            <v>1</v>
          </cell>
          <cell r="O705">
            <v>340</v>
          </cell>
          <cell r="P705">
            <v>45841</v>
          </cell>
          <cell r="Q705">
            <v>46071</v>
          </cell>
          <cell r="R705" t="str">
            <v>PLC-4142</v>
          </cell>
          <cell r="S705" t="str">
            <v>Victor Hugo Garcia Gamez</v>
          </cell>
          <cell r="T705" t="str">
            <v>Split</v>
          </cell>
          <cell r="U705" t="str">
            <v>C2C</v>
          </cell>
          <cell r="V705" t="str">
            <v>Xebia</v>
          </cell>
          <cell r="W705">
            <v>64</v>
          </cell>
          <cell r="X705">
            <v>0</v>
          </cell>
          <cell r="Y705" t="str">
            <v>USD</v>
          </cell>
          <cell r="Z705">
            <v>75</v>
          </cell>
          <cell r="AA705">
            <v>0</v>
          </cell>
          <cell r="AB705">
            <v>0</v>
          </cell>
          <cell r="AC705">
            <v>2</v>
          </cell>
          <cell r="AD705">
            <v>45703</v>
          </cell>
          <cell r="AE705">
            <v>9</v>
          </cell>
          <cell r="AF705">
            <v>46022</v>
          </cell>
          <cell r="AG705">
            <v>64</v>
          </cell>
          <cell r="AH705">
            <v>0</v>
          </cell>
          <cell r="AI705">
            <v>66</v>
          </cell>
          <cell r="AJ705">
            <v>75</v>
          </cell>
          <cell r="AK705">
            <v>0</v>
          </cell>
          <cell r="AL705">
            <v>0</v>
          </cell>
          <cell r="AM705">
            <v>9</v>
          </cell>
          <cell r="AN705">
            <v>0</v>
          </cell>
          <cell r="AO705">
            <v>4.5</v>
          </cell>
          <cell r="AP705">
            <v>0</v>
          </cell>
          <cell r="AQ705">
            <v>4.5</v>
          </cell>
          <cell r="AR705" t="str">
            <v>US_24535</v>
          </cell>
          <cell r="AS705">
            <v>0</v>
          </cell>
          <cell r="AT705">
            <v>72</v>
          </cell>
          <cell r="AU705">
            <v>72</v>
          </cell>
          <cell r="AV705">
            <v>0</v>
          </cell>
          <cell r="AW705">
            <v>324</v>
          </cell>
          <cell r="AX705">
            <v>324</v>
          </cell>
          <cell r="AY705">
            <v>324</v>
          </cell>
          <cell r="AZ705">
            <v>100</v>
          </cell>
          <cell r="BA705">
            <v>7.2</v>
          </cell>
          <cell r="BB705">
            <v>518.4</v>
          </cell>
          <cell r="BC705">
            <v>49</v>
          </cell>
          <cell r="BD705">
            <v>324</v>
          </cell>
          <cell r="BE705">
            <v>259.2</v>
          </cell>
          <cell r="BF705">
            <v>324</v>
          </cell>
          <cell r="BG705">
            <v>2700</v>
          </cell>
          <cell r="BH705">
            <v>2700</v>
          </cell>
          <cell r="BI705">
            <v>2304</v>
          </cell>
          <cell r="BJ705">
            <v>0</v>
          </cell>
          <cell r="BK705">
            <v>72</v>
          </cell>
          <cell r="BL705">
            <v>0</v>
          </cell>
          <cell r="BM705">
            <v>2376</v>
          </cell>
          <cell r="BN705">
            <v>2</v>
          </cell>
          <cell r="BO705">
            <v>324</v>
          </cell>
          <cell r="BP705" t="str">
            <v>Y</v>
          </cell>
          <cell r="BQ705">
            <v>1</v>
          </cell>
          <cell r="BR705" t="str">
            <v>Y</v>
          </cell>
          <cell r="BS705">
            <v>518.4</v>
          </cell>
          <cell r="BT705" t="str">
            <v>Done</v>
          </cell>
          <cell r="BU705">
            <v>72</v>
          </cell>
          <cell r="BV705">
            <v>2025</v>
          </cell>
        </row>
        <row r="706">
          <cell r="A706" t="str">
            <v>Noida</v>
          </cell>
          <cell r="B706" t="str">
            <v>Noida IT</v>
          </cell>
          <cell r="C706" t="str">
            <v>Mid Level</v>
          </cell>
          <cell r="D706" t="str">
            <v>Abdul Rahman</v>
          </cell>
          <cell r="E706" t="str">
            <v>-</v>
          </cell>
          <cell r="H706" t="str">
            <v>Hemant Kumar</v>
          </cell>
          <cell r="L706" t="str">
            <v>New</v>
          </cell>
          <cell r="M706">
            <v>45706</v>
          </cell>
          <cell r="N706">
            <v>1</v>
          </cell>
          <cell r="O706">
            <v>340</v>
          </cell>
          <cell r="P706">
            <v>45841</v>
          </cell>
          <cell r="Q706">
            <v>46071</v>
          </cell>
          <cell r="R706" t="str">
            <v>PLC-4142</v>
          </cell>
          <cell r="S706" t="str">
            <v>Victor Hugo Garcia Gamez</v>
          </cell>
          <cell r="T706" t="str">
            <v>Split</v>
          </cell>
          <cell r="U706" t="str">
            <v>C2C</v>
          </cell>
          <cell r="V706" t="str">
            <v>Xebia</v>
          </cell>
          <cell r="W706">
            <v>64</v>
          </cell>
          <cell r="X706">
            <v>0</v>
          </cell>
          <cell r="Y706" t="str">
            <v>USD</v>
          </cell>
          <cell r="Z706">
            <v>75</v>
          </cell>
          <cell r="AA706">
            <v>0</v>
          </cell>
          <cell r="AB706">
            <v>0</v>
          </cell>
          <cell r="AC706">
            <v>2</v>
          </cell>
          <cell r="AD706">
            <v>45731</v>
          </cell>
          <cell r="AE706">
            <v>21</v>
          </cell>
          <cell r="AF706">
            <v>46022</v>
          </cell>
          <cell r="AG706">
            <v>64</v>
          </cell>
          <cell r="AH706">
            <v>0</v>
          </cell>
          <cell r="AI706">
            <v>66</v>
          </cell>
          <cell r="AJ706">
            <v>75</v>
          </cell>
          <cell r="AK706">
            <v>0</v>
          </cell>
          <cell r="AL706">
            <v>0</v>
          </cell>
          <cell r="AM706">
            <v>9</v>
          </cell>
          <cell r="AN706">
            <v>0</v>
          </cell>
          <cell r="AO706">
            <v>4.5</v>
          </cell>
          <cell r="AP706">
            <v>0</v>
          </cell>
          <cell r="AQ706">
            <v>4.5</v>
          </cell>
          <cell r="AR706" t="str">
            <v>US_24702</v>
          </cell>
          <cell r="AS706">
            <v>0</v>
          </cell>
          <cell r="AT706">
            <v>168</v>
          </cell>
          <cell r="AU706">
            <v>168</v>
          </cell>
          <cell r="AV706">
            <v>0</v>
          </cell>
          <cell r="AW706">
            <v>756</v>
          </cell>
          <cell r="AX706">
            <v>756</v>
          </cell>
          <cell r="AY706">
            <v>756</v>
          </cell>
          <cell r="AZ706">
            <v>100</v>
          </cell>
          <cell r="BA706">
            <v>7.2</v>
          </cell>
          <cell r="BB706">
            <v>1209.6000000000001</v>
          </cell>
          <cell r="BC706">
            <v>48</v>
          </cell>
          <cell r="BD706">
            <v>756</v>
          </cell>
          <cell r="BE706">
            <v>604.79999999999995</v>
          </cell>
          <cell r="BF706">
            <v>756</v>
          </cell>
          <cell r="BG706">
            <v>6300</v>
          </cell>
          <cell r="BH706">
            <v>6300</v>
          </cell>
          <cell r="BI706">
            <v>5376</v>
          </cell>
          <cell r="BJ706">
            <v>0</v>
          </cell>
          <cell r="BK706">
            <v>168</v>
          </cell>
          <cell r="BL706">
            <v>0</v>
          </cell>
          <cell r="BM706">
            <v>5544</v>
          </cell>
          <cell r="BN706">
            <v>2</v>
          </cell>
          <cell r="BO706">
            <v>756</v>
          </cell>
          <cell r="BP706" t="str">
            <v>Y</v>
          </cell>
          <cell r="BQ706">
            <v>1</v>
          </cell>
          <cell r="BR706" t="str">
            <v>Y</v>
          </cell>
          <cell r="BS706">
            <v>1209.6000000000001</v>
          </cell>
          <cell r="BT706" t="str">
            <v>Done</v>
          </cell>
          <cell r="BU706">
            <v>168</v>
          </cell>
          <cell r="BV706">
            <v>2025</v>
          </cell>
        </row>
        <row r="707">
          <cell r="A707" t="str">
            <v>Noida</v>
          </cell>
          <cell r="B707" t="str">
            <v>Noida IT</v>
          </cell>
          <cell r="C707" t="str">
            <v>Mid Level</v>
          </cell>
          <cell r="D707" t="str">
            <v>Akash Saxena</v>
          </cell>
          <cell r="E707" t="str">
            <v>-</v>
          </cell>
          <cell r="H707" t="str">
            <v>Hemant Kumar</v>
          </cell>
          <cell r="L707" t="str">
            <v>New</v>
          </cell>
          <cell r="M707">
            <v>45706</v>
          </cell>
          <cell r="N707">
            <v>1</v>
          </cell>
          <cell r="O707">
            <v>340</v>
          </cell>
          <cell r="P707">
            <v>45841</v>
          </cell>
          <cell r="Q707">
            <v>46071</v>
          </cell>
          <cell r="R707" t="str">
            <v>PLC-4142</v>
          </cell>
          <cell r="S707" t="str">
            <v>Victor Hugo Garcia Gamez</v>
          </cell>
          <cell r="T707" t="str">
            <v>Split</v>
          </cell>
          <cell r="U707" t="str">
            <v>C2C</v>
          </cell>
          <cell r="V707" t="str">
            <v>Xebia</v>
          </cell>
          <cell r="W707">
            <v>64</v>
          </cell>
          <cell r="X707">
            <v>0</v>
          </cell>
          <cell r="Y707" t="str">
            <v>USD</v>
          </cell>
          <cell r="Z707">
            <v>75</v>
          </cell>
          <cell r="AA707">
            <v>0</v>
          </cell>
          <cell r="AB707">
            <v>0</v>
          </cell>
          <cell r="AC707">
            <v>2</v>
          </cell>
          <cell r="AD707">
            <v>45731</v>
          </cell>
          <cell r="AE707">
            <v>21</v>
          </cell>
          <cell r="AF707">
            <v>46022</v>
          </cell>
          <cell r="AG707">
            <v>64</v>
          </cell>
          <cell r="AH707">
            <v>0</v>
          </cell>
          <cell r="AI707">
            <v>66</v>
          </cell>
          <cell r="AJ707">
            <v>75</v>
          </cell>
          <cell r="AK707">
            <v>0</v>
          </cell>
          <cell r="AL707">
            <v>0</v>
          </cell>
          <cell r="AM707">
            <v>9</v>
          </cell>
          <cell r="AN707">
            <v>0</v>
          </cell>
          <cell r="AO707">
            <v>4.5</v>
          </cell>
          <cell r="AP707">
            <v>0</v>
          </cell>
          <cell r="AQ707">
            <v>4.5</v>
          </cell>
          <cell r="AR707" t="str">
            <v>US_24702</v>
          </cell>
          <cell r="AS707">
            <v>0</v>
          </cell>
          <cell r="AT707">
            <v>168</v>
          </cell>
          <cell r="AU707">
            <v>168</v>
          </cell>
          <cell r="AV707">
            <v>0</v>
          </cell>
          <cell r="AW707">
            <v>756</v>
          </cell>
          <cell r="AX707">
            <v>756</v>
          </cell>
          <cell r="AY707">
            <v>756</v>
          </cell>
          <cell r="AZ707">
            <v>100</v>
          </cell>
          <cell r="BA707">
            <v>7.2</v>
          </cell>
          <cell r="BB707">
            <v>1209.6000000000001</v>
          </cell>
          <cell r="BC707">
            <v>49</v>
          </cell>
          <cell r="BD707">
            <v>756</v>
          </cell>
          <cell r="BE707">
            <v>604.79999999999995</v>
          </cell>
          <cell r="BF707">
            <v>756</v>
          </cell>
          <cell r="BG707">
            <v>6300</v>
          </cell>
          <cell r="BH707">
            <v>6300</v>
          </cell>
          <cell r="BI707">
            <v>5376</v>
          </cell>
          <cell r="BJ707">
            <v>0</v>
          </cell>
          <cell r="BK707">
            <v>168</v>
          </cell>
          <cell r="BL707">
            <v>0</v>
          </cell>
          <cell r="BM707">
            <v>5544</v>
          </cell>
          <cell r="BN707">
            <v>2</v>
          </cell>
          <cell r="BO707">
            <v>756</v>
          </cell>
          <cell r="BP707" t="str">
            <v>Y</v>
          </cell>
          <cell r="BQ707">
            <v>1</v>
          </cell>
          <cell r="BR707" t="str">
            <v>Y</v>
          </cell>
          <cell r="BS707">
            <v>1209.6000000000001</v>
          </cell>
          <cell r="BT707" t="str">
            <v>Done</v>
          </cell>
          <cell r="BU707">
            <v>168</v>
          </cell>
          <cell r="BV707">
            <v>2025</v>
          </cell>
        </row>
        <row r="708">
          <cell r="A708" t="str">
            <v>Noida</v>
          </cell>
          <cell r="B708" t="str">
            <v>Noida IT</v>
          </cell>
          <cell r="C708" t="str">
            <v>Mid Level</v>
          </cell>
          <cell r="D708" t="str">
            <v>Abdul Rahman</v>
          </cell>
          <cell r="E708" t="str">
            <v>-</v>
          </cell>
          <cell r="H708" t="str">
            <v>Hemant Kumar</v>
          </cell>
          <cell r="L708" t="str">
            <v>New</v>
          </cell>
          <cell r="M708">
            <v>45706</v>
          </cell>
          <cell r="N708">
            <v>1</v>
          </cell>
          <cell r="O708">
            <v>340</v>
          </cell>
          <cell r="P708">
            <v>45841</v>
          </cell>
          <cell r="Q708">
            <v>46071</v>
          </cell>
          <cell r="R708" t="str">
            <v>PLC-4142</v>
          </cell>
          <cell r="S708" t="str">
            <v>Victor Hugo Garcia Gamez</v>
          </cell>
          <cell r="T708" t="str">
            <v>Split</v>
          </cell>
          <cell r="U708" t="str">
            <v>C2C</v>
          </cell>
          <cell r="V708" t="str">
            <v>Xebia</v>
          </cell>
          <cell r="W708">
            <v>64</v>
          </cell>
          <cell r="X708">
            <v>0</v>
          </cell>
          <cell r="Y708" t="str">
            <v>USD</v>
          </cell>
          <cell r="Z708">
            <v>75</v>
          </cell>
          <cell r="AA708">
            <v>0</v>
          </cell>
          <cell r="AB708">
            <v>0</v>
          </cell>
          <cell r="AC708">
            <v>2</v>
          </cell>
          <cell r="AD708">
            <v>45762</v>
          </cell>
          <cell r="AE708">
            <v>22</v>
          </cell>
          <cell r="AF708">
            <v>46022</v>
          </cell>
          <cell r="AG708">
            <v>64</v>
          </cell>
          <cell r="AH708">
            <v>0</v>
          </cell>
          <cell r="AI708">
            <v>66</v>
          </cell>
          <cell r="AJ708">
            <v>75</v>
          </cell>
          <cell r="AK708">
            <v>0</v>
          </cell>
          <cell r="AL708">
            <v>0</v>
          </cell>
          <cell r="AM708">
            <v>9</v>
          </cell>
          <cell r="AN708">
            <v>0</v>
          </cell>
          <cell r="AO708">
            <v>4.5</v>
          </cell>
          <cell r="AP708">
            <v>0</v>
          </cell>
          <cell r="AQ708">
            <v>4.5</v>
          </cell>
          <cell r="AR708" t="str">
            <v>US_24902</v>
          </cell>
          <cell r="AS708">
            <v>0</v>
          </cell>
          <cell r="AT708">
            <v>176</v>
          </cell>
          <cell r="AU708">
            <v>176</v>
          </cell>
          <cell r="AV708">
            <v>0</v>
          </cell>
          <cell r="AW708">
            <v>792</v>
          </cell>
          <cell r="AX708">
            <v>792</v>
          </cell>
          <cell r="AY708">
            <v>792</v>
          </cell>
          <cell r="AZ708">
            <v>100</v>
          </cell>
          <cell r="BA708">
            <v>7.2</v>
          </cell>
          <cell r="BB708">
            <v>1267.2</v>
          </cell>
          <cell r="BC708">
            <v>48</v>
          </cell>
          <cell r="BD708">
            <v>792</v>
          </cell>
          <cell r="BE708">
            <v>633.6</v>
          </cell>
          <cell r="BF708">
            <v>792</v>
          </cell>
          <cell r="BG708">
            <v>6600</v>
          </cell>
          <cell r="BH708">
            <v>6600</v>
          </cell>
          <cell r="BI708">
            <v>5632</v>
          </cell>
          <cell r="BJ708">
            <v>0</v>
          </cell>
          <cell r="BK708">
            <v>176</v>
          </cell>
          <cell r="BL708">
            <v>0</v>
          </cell>
          <cell r="BM708">
            <v>5808</v>
          </cell>
          <cell r="BN708">
            <v>2</v>
          </cell>
          <cell r="BO708">
            <v>792</v>
          </cell>
          <cell r="BP708" t="str">
            <v>Y</v>
          </cell>
          <cell r="BQ708">
            <v>2</v>
          </cell>
          <cell r="BR708" t="str">
            <v>Y</v>
          </cell>
          <cell r="BS708">
            <v>1267.2</v>
          </cell>
          <cell r="BT708" t="str">
            <v>Done</v>
          </cell>
          <cell r="BU708">
            <v>176</v>
          </cell>
          <cell r="BV708">
            <v>2025</v>
          </cell>
        </row>
        <row r="709">
          <cell r="A709" t="str">
            <v>Noida</v>
          </cell>
          <cell r="B709" t="str">
            <v>Noida IT</v>
          </cell>
          <cell r="C709" t="str">
            <v>Mid Level</v>
          </cell>
          <cell r="D709" t="str">
            <v>Akash Saxena</v>
          </cell>
          <cell r="E709" t="str">
            <v>-</v>
          </cell>
          <cell r="H709" t="str">
            <v>Hemant Kumar</v>
          </cell>
          <cell r="L709" t="str">
            <v>New</v>
          </cell>
          <cell r="M709">
            <v>45706</v>
          </cell>
          <cell r="N709">
            <v>1</v>
          </cell>
          <cell r="O709">
            <v>340</v>
          </cell>
          <cell r="P709">
            <v>45841</v>
          </cell>
          <cell r="Q709">
            <v>46071</v>
          </cell>
          <cell r="R709" t="str">
            <v>PLC-4142</v>
          </cell>
          <cell r="S709" t="str">
            <v>Victor Hugo Garcia Gamez</v>
          </cell>
          <cell r="T709" t="str">
            <v>Split</v>
          </cell>
          <cell r="U709" t="str">
            <v>C2C</v>
          </cell>
          <cell r="V709" t="str">
            <v>Xebia</v>
          </cell>
          <cell r="W709">
            <v>64</v>
          </cell>
          <cell r="X709">
            <v>0</v>
          </cell>
          <cell r="Y709" t="str">
            <v>USD</v>
          </cell>
          <cell r="Z709">
            <v>75</v>
          </cell>
          <cell r="AA709">
            <v>0</v>
          </cell>
          <cell r="AB709">
            <v>0</v>
          </cell>
          <cell r="AC709">
            <v>2</v>
          </cell>
          <cell r="AD709">
            <v>45762</v>
          </cell>
          <cell r="AE709">
            <v>22</v>
          </cell>
          <cell r="AF709">
            <v>46022</v>
          </cell>
          <cell r="AG709">
            <v>64</v>
          </cell>
          <cell r="AH709">
            <v>0</v>
          </cell>
          <cell r="AI709">
            <v>66</v>
          </cell>
          <cell r="AJ709">
            <v>75</v>
          </cell>
          <cell r="AK709">
            <v>0</v>
          </cell>
          <cell r="AL709">
            <v>0</v>
          </cell>
          <cell r="AM709">
            <v>9</v>
          </cell>
          <cell r="AN709">
            <v>0</v>
          </cell>
          <cell r="AO709">
            <v>4.5</v>
          </cell>
          <cell r="AP709">
            <v>0</v>
          </cell>
          <cell r="AQ709">
            <v>4.5</v>
          </cell>
          <cell r="AR709" t="str">
            <v>US_24902</v>
          </cell>
          <cell r="AS709">
            <v>0</v>
          </cell>
          <cell r="AT709">
            <v>176</v>
          </cell>
          <cell r="AU709">
            <v>176</v>
          </cell>
          <cell r="AV709">
            <v>0</v>
          </cell>
          <cell r="AW709">
            <v>792</v>
          </cell>
          <cell r="AX709">
            <v>792</v>
          </cell>
          <cell r="AY709">
            <v>792</v>
          </cell>
          <cell r="AZ709">
            <v>100</v>
          </cell>
          <cell r="BA709">
            <v>7.2</v>
          </cell>
          <cell r="BB709">
            <v>1267.2</v>
          </cell>
          <cell r="BC709">
            <v>49</v>
          </cell>
          <cell r="BD709">
            <v>792</v>
          </cell>
          <cell r="BE709">
            <v>633.6</v>
          </cell>
          <cell r="BF709">
            <v>792</v>
          </cell>
          <cell r="BG709">
            <v>6600</v>
          </cell>
          <cell r="BH709">
            <v>6600</v>
          </cell>
          <cell r="BI709">
            <v>5632</v>
          </cell>
          <cell r="BJ709">
            <v>0</v>
          </cell>
          <cell r="BK709">
            <v>176</v>
          </cell>
          <cell r="BL709">
            <v>0</v>
          </cell>
          <cell r="BM709">
            <v>5808</v>
          </cell>
          <cell r="BN709">
            <v>2</v>
          </cell>
          <cell r="BO709">
            <v>792</v>
          </cell>
          <cell r="BP709" t="str">
            <v>Y</v>
          </cell>
          <cell r="BQ709">
            <v>2</v>
          </cell>
          <cell r="BR709" t="str">
            <v>Y</v>
          </cell>
          <cell r="BS709">
            <v>1267.2</v>
          </cell>
          <cell r="BT709" t="str">
            <v>Done</v>
          </cell>
          <cell r="BU709">
            <v>176</v>
          </cell>
          <cell r="BV709">
            <v>2025</v>
          </cell>
        </row>
        <row r="710">
          <cell r="A710" t="str">
            <v>Lucknow</v>
          </cell>
          <cell r="B710" t="str">
            <v>Titans</v>
          </cell>
          <cell r="C710" t="str">
            <v>Mid Level</v>
          </cell>
          <cell r="D710" t="str">
            <v>Nitin Saxena</v>
          </cell>
          <cell r="E710" t="str">
            <v>-</v>
          </cell>
          <cell r="H710" t="str">
            <v>Nitin Saxena</v>
          </cell>
          <cell r="K710">
            <v>0</v>
          </cell>
          <cell r="L710" t="str">
            <v>Old</v>
          </cell>
          <cell r="M710">
            <v>45392</v>
          </cell>
          <cell r="N710">
            <v>2</v>
          </cell>
          <cell r="O710">
            <v>654</v>
          </cell>
          <cell r="P710" t="str">
            <v>-</v>
          </cell>
          <cell r="Q710">
            <v>45757</v>
          </cell>
          <cell r="R710" t="str">
            <v>PLC-3722</v>
          </cell>
          <cell r="S710" t="str">
            <v>Victor Jegan John Rose</v>
          </cell>
          <cell r="T710" t="str">
            <v>Individual</v>
          </cell>
          <cell r="U710" t="str">
            <v>C2C</v>
          </cell>
          <cell r="V710" t="str">
            <v>Genpact</v>
          </cell>
          <cell r="W710">
            <v>52</v>
          </cell>
          <cell r="X710">
            <v>0</v>
          </cell>
          <cell r="Y710" t="str">
            <v>USD</v>
          </cell>
          <cell r="Z710">
            <v>55.5</v>
          </cell>
          <cell r="AA710">
            <v>0</v>
          </cell>
          <cell r="AB710">
            <v>0</v>
          </cell>
          <cell r="AC710">
            <v>0</v>
          </cell>
          <cell r="AD710">
            <v>45672</v>
          </cell>
          <cell r="AE710">
            <v>23</v>
          </cell>
          <cell r="AF710">
            <v>46022</v>
          </cell>
          <cell r="AG710">
            <v>52</v>
          </cell>
          <cell r="AH710">
            <v>0</v>
          </cell>
          <cell r="AI710">
            <v>52</v>
          </cell>
          <cell r="AJ710">
            <v>55.5</v>
          </cell>
          <cell r="AK710">
            <v>0</v>
          </cell>
          <cell r="AL710">
            <v>0</v>
          </cell>
          <cell r="AM710">
            <v>3.5</v>
          </cell>
          <cell r="AN710">
            <v>0</v>
          </cell>
          <cell r="AO710">
            <v>3.5</v>
          </cell>
          <cell r="AP710">
            <v>0</v>
          </cell>
          <cell r="AQ710">
            <v>3.5</v>
          </cell>
          <cell r="AR710" t="str">
            <v>US_24225</v>
          </cell>
          <cell r="AS710">
            <v>0</v>
          </cell>
          <cell r="AT710">
            <v>176</v>
          </cell>
          <cell r="AU710">
            <v>176</v>
          </cell>
          <cell r="AV710">
            <v>0</v>
          </cell>
          <cell r="AW710">
            <v>616</v>
          </cell>
          <cell r="AX710">
            <v>616</v>
          </cell>
          <cell r="AY710">
            <v>616</v>
          </cell>
          <cell r="AZ710">
            <v>0</v>
          </cell>
          <cell r="BA710">
            <v>0</v>
          </cell>
          <cell r="BB710">
            <v>0</v>
          </cell>
          <cell r="BC710">
            <v>63</v>
          </cell>
          <cell r="BD710">
            <v>616</v>
          </cell>
          <cell r="BE710">
            <v>739.2</v>
          </cell>
          <cell r="BF710">
            <v>616</v>
          </cell>
          <cell r="BG710">
            <v>9768</v>
          </cell>
          <cell r="BH710">
            <v>9768</v>
          </cell>
          <cell r="BI710">
            <v>9152</v>
          </cell>
          <cell r="BJ710">
            <v>0</v>
          </cell>
          <cell r="BK710">
            <v>0</v>
          </cell>
          <cell r="BL710">
            <v>0</v>
          </cell>
          <cell r="BM710">
            <v>9152</v>
          </cell>
          <cell r="BN710">
            <v>0</v>
          </cell>
          <cell r="BO710">
            <v>616</v>
          </cell>
          <cell r="BP710" t="str">
            <v>Y</v>
          </cell>
          <cell r="BQ710">
            <v>1</v>
          </cell>
          <cell r="BR710" t="str">
            <v>N</v>
          </cell>
          <cell r="BS710">
            <v>0</v>
          </cell>
          <cell r="BT710" t="str">
            <v>Done</v>
          </cell>
          <cell r="BU710">
            <v>176</v>
          </cell>
          <cell r="BV710">
            <v>2024</v>
          </cell>
        </row>
        <row r="711">
          <cell r="A711" t="str">
            <v>Lucknow</v>
          </cell>
          <cell r="B711" t="str">
            <v>Titans</v>
          </cell>
          <cell r="C711" t="str">
            <v>Mid Level</v>
          </cell>
          <cell r="D711" t="str">
            <v>Nitin Saxena</v>
          </cell>
          <cell r="E711" t="str">
            <v>-</v>
          </cell>
          <cell r="H711" t="str">
            <v>Nitin Saxena</v>
          </cell>
          <cell r="K711">
            <v>0</v>
          </cell>
          <cell r="L711" t="str">
            <v>Old</v>
          </cell>
          <cell r="M711">
            <v>45392</v>
          </cell>
          <cell r="N711">
            <v>2</v>
          </cell>
          <cell r="O711">
            <v>654</v>
          </cell>
          <cell r="P711" t="str">
            <v>-</v>
          </cell>
          <cell r="Q711">
            <v>45757</v>
          </cell>
          <cell r="R711" t="str">
            <v>PLC-3722</v>
          </cell>
          <cell r="S711" t="str">
            <v>Victor Jegan John Rose</v>
          </cell>
          <cell r="T711" t="str">
            <v>Individual</v>
          </cell>
          <cell r="U711" t="str">
            <v>C2C</v>
          </cell>
          <cell r="V711" t="str">
            <v>Genpact</v>
          </cell>
          <cell r="W711">
            <v>52</v>
          </cell>
          <cell r="X711">
            <v>0</v>
          </cell>
          <cell r="Y711" t="str">
            <v>USD</v>
          </cell>
          <cell r="Z711">
            <v>55.5</v>
          </cell>
          <cell r="AA711">
            <v>0</v>
          </cell>
          <cell r="AB711">
            <v>0</v>
          </cell>
          <cell r="AC711">
            <v>0</v>
          </cell>
          <cell r="AD711">
            <v>45703</v>
          </cell>
          <cell r="AE711">
            <v>20</v>
          </cell>
          <cell r="AF711">
            <v>46022</v>
          </cell>
          <cell r="AG711">
            <v>52</v>
          </cell>
          <cell r="AH711">
            <v>0</v>
          </cell>
          <cell r="AI711">
            <v>52</v>
          </cell>
          <cell r="AJ711">
            <v>55.5</v>
          </cell>
          <cell r="AK711">
            <v>0</v>
          </cell>
          <cell r="AL711">
            <v>0</v>
          </cell>
          <cell r="AM711">
            <v>3.5</v>
          </cell>
          <cell r="AN711">
            <v>0</v>
          </cell>
          <cell r="AO711">
            <v>3.5</v>
          </cell>
          <cell r="AP711">
            <v>0</v>
          </cell>
          <cell r="AQ711">
            <v>3.5</v>
          </cell>
          <cell r="AR711" t="str">
            <v>US_24432</v>
          </cell>
          <cell r="AS711">
            <v>0</v>
          </cell>
          <cell r="AT711">
            <v>152</v>
          </cell>
          <cell r="AU711">
            <v>152</v>
          </cell>
          <cell r="AV711">
            <v>0</v>
          </cell>
          <cell r="AW711">
            <v>532</v>
          </cell>
          <cell r="AX711">
            <v>532</v>
          </cell>
          <cell r="AY711">
            <v>532</v>
          </cell>
          <cell r="AZ711">
            <v>0</v>
          </cell>
          <cell r="BA711">
            <v>0</v>
          </cell>
          <cell r="BB711">
            <v>0</v>
          </cell>
          <cell r="BC711">
            <v>63</v>
          </cell>
          <cell r="BD711">
            <v>532</v>
          </cell>
          <cell r="BE711">
            <v>638.4</v>
          </cell>
          <cell r="BF711">
            <v>532</v>
          </cell>
          <cell r="BG711">
            <v>8436</v>
          </cell>
          <cell r="BH711">
            <v>8436</v>
          </cell>
          <cell r="BI711">
            <v>7904</v>
          </cell>
          <cell r="BJ711">
            <v>0</v>
          </cell>
          <cell r="BK711">
            <v>0</v>
          </cell>
          <cell r="BL711">
            <v>0</v>
          </cell>
          <cell r="BM711">
            <v>7904</v>
          </cell>
          <cell r="BN711">
            <v>0</v>
          </cell>
          <cell r="BO711">
            <v>532</v>
          </cell>
          <cell r="BP711" t="str">
            <v>Y</v>
          </cell>
          <cell r="BQ711">
            <v>1</v>
          </cell>
          <cell r="BR711" t="str">
            <v>N</v>
          </cell>
          <cell r="BS711">
            <v>0</v>
          </cell>
          <cell r="BT711" t="str">
            <v>Done</v>
          </cell>
          <cell r="BU711">
            <v>152</v>
          </cell>
          <cell r="BV711">
            <v>2024</v>
          </cell>
        </row>
        <row r="712">
          <cell r="A712" t="str">
            <v>Lucknow</v>
          </cell>
          <cell r="B712" t="str">
            <v>Titans</v>
          </cell>
          <cell r="C712" t="str">
            <v>Mid Level</v>
          </cell>
          <cell r="D712" t="str">
            <v>Nitin Saxena</v>
          </cell>
          <cell r="E712" t="str">
            <v>-</v>
          </cell>
          <cell r="H712" t="str">
            <v>Nitin Saxena</v>
          </cell>
          <cell r="K712">
            <v>0</v>
          </cell>
          <cell r="L712" t="str">
            <v>Old</v>
          </cell>
          <cell r="M712">
            <v>45392</v>
          </cell>
          <cell r="N712">
            <v>2</v>
          </cell>
          <cell r="O712">
            <v>654</v>
          </cell>
          <cell r="P712" t="str">
            <v>-</v>
          </cell>
          <cell r="Q712">
            <v>45757</v>
          </cell>
          <cell r="R712" t="str">
            <v>PLC-3722</v>
          </cell>
          <cell r="S712" t="str">
            <v>Victor Jegan John Rose</v>
          </cell>
          <cell r="T712" t="str">
            <v>Individual</v>
          </cell>
          <cell r="U712" t="str">
            <v>C2C</v>
          </cell>
          <cell r="V712" t="str">
            <v>Genpact</v>
          </cell>
          <cell r="W712">
            <v>52</v>
          </cell>
          <cell r="X712">
            <v>0</v>
          </cell>
          <cell r="Y712" t="str">
            <v>USD</v>
          </cell>
          <cell r="Z712">
            <v>55.5</v>
          </cell>
          <cell r="AA712">
            <v>0</v>
          </cell>
          <cell r="AB712">
            <v>0</v>
          </cell>
          <cell r="AC712">
            <v>0</v>
          </cell>
          <cell r="AD712">
            <v>45731</v>
          </cell>
          <cell r="AE712">
            <v>21</v>
          </cell>
          <cell r="AF712">
            <v>46022</v>
          </cell>
          <cell r="AG712">
            <v>52</v>
          </cell>
          <cell r="AH712">
            <v>0</v>
          </cell>
          <cell r="AI712">
            <v>52</v>
          </cell>
          <cell r="AJ712">
            <v>55.5</v>
          </cell>
          <cell r="AK712">
            <v>0</v>
          </cell>
          <cell r="AL712">
            <v>0</v>
          </cell>
          <cell r="AM712">
            <v>3.5</v>
          </cell>
          <cell r="AN712">
            <v>0</v>
          </cell>
          <cell r="AO712">
            <v>3.5</v>
          </cell>
          <cell r="AP712">
            <v>0</v>
          </cell>
          <cell r="AQ712">
            <v>3.5</v>
          </cell>
          <cell r="AR712" t="str">
            <v>US_24624</v>
          </cell>
          <cell r="AS712">
            <v>0</v>
          </cell>
          <cell r="AT712">
            <v>168</v>
          </cell>
          <cell r="AU712">
            <v>168</v>
          </cell>
          <cell r="AV712">
            <v>0</v>
          </cell>
          <cell r="AW712">
            <v>588</v>
          </cell>
          <cell r="AX712">
            <v>588</v>
          </cell>
          <cell r="AY712">
            <v>588</v>
          </cell>
          <cell r="AZ712">
            <v>0</v>
          </cell>
          <cell r="BA712">
            <v>0</v>
          </cell>
          <cell r="BB712">
            <v>0</v>
          </cell>
          <cell r="BC712">
            <v>63</v>
          </cell>
          <cell r="BD712">
            <v>588</v>
          </cell>
          <cell r="BE712">
            <v>705.6</v>
          </cell>
          <cell r="BF712">
            <v>588</v>
          </cell>
          <cell r="BG712">
            <v>9324</v>
          </cell>
          <cell r="BH712">
            <v>9324</v>
          </cell>
          <cell r="BI712">
            <v>8736</v>
          </cell>
          <cell r="BJ712">
            <v>0</v>
          </cell>
          <cell r="BK712">
            <v>0</v>
          </cell>
          <cell r="BL712">
            <v>0</v>
          </cell>
          <cell r="BM712">
            <v>8736</v>
          </cell>
          <cell r="BN712">
            <v>0</v>
          </cell>
          <cell r="BO712">
            <v>588</v>
          </cell>
          <cell r="BP712" t="str">
            <v>Y</v>
          </cell>
          <cell r="BQ712">
            <v>1</v>
          </cell>
          <cell r="BR712" t="str">
            <v>N</v>
          </cell>
          <cell r="BS712">
            <v>0</v>
          </cell>
          <cell r="BT712" t="str">
            <v>Done</v>
          </cell>
          <cell r="BU712">
            <v>168</v>
          </cell>
          <cell r="BV712">
            <v>2024</v>
          </cell>
        </row>
        <row r="713">
          <cell r="A713" t="str">
            <v>Lucknow</v>
          </cell>
          <cell r="B713" t="str">
            <v>Titans</v>
          </cell>
          <cell r="C713" t="str">
            <v>Mid Level</v>
          </cell>
          <cell r="D713" t="str">
            <v>Nitin Saxena</v>
          </cell>
          <cell r="E713" t="str">
            <v>-</v>
          </cell>
          <cell r="H713" t="str">
            <v>Nitin Saxena</v>
          </cell>
          <cell r="K713">
            <v>0</v>
          </cell>
          <cell r="L713" t="str">
            <v>Old</v>
          </cell>
          <cell r="M713">
            <v>45392</v>
          </cell>
          <cell r="N713">
            <v>2</v>
          </cell>
          <cell r="O713">
            <v>654</v>
          </cell>
          <cell r="P713" t="str">
            <v>-</v>
          </cell>
          <cell r="Q713">
            <v>45757</v>
          </cell>
          <cell r="R713" t="str">
            <v>PLC-3722</v>
          </cell>
          <cell r="S713" t="str">
            <v>Victor Jegan John Rose</v>
          </cell>
          <cell r="T713" t="str">
            <v>Individual</v>
          </cell>
          <cell r="U713" t="str">
            <v>C2C</v>
          </cell>
          <cell r="V713" t="str">
            <v>Genpact</v>
          </cell>
          <cell r="W713">
            <v>52</v>
          </cell>
          <cell r="X713">
            <v>0</v>
          </cell>
          <cell r="Y713" t="str">
            <v>USD</v>
          </cell>
          <cell r="Z713">
            <v>55.5</v>
          </cell>
          <cell r="AA713">
            <v>0</v>
          </cell>
          <cell r="AB713">
            <v>0</v>
          </cell>
          <cell r="AC713">
            <v>0</v>
          </cell>
          <cell r="AD713">
            <v>45762</v>
          </cell>
          <cell r="AE713">
            <v>22</v>
          </cell>
          <cell r="AF713">
            <v>46022</v>
          </cell>
          <cell r="AG713">
            <v>52</v>
          </cell>
          <cell r="AH713">
            <v>0</v>
          </cell>
          <cell r="AI713">
            <v>52</v>
          </cell>
          <cell r="AJ713">
            <v>55.5</v>
          </cell>
          <cell r="AK713">
            <v>0</v>
          </cell>
          <cell r="AL713">
            <v>0</v>
          </cell>
          <cell r="AM713">
            <v>3.5</v>
          </cell>
          <cell r="AN713">
            <v>0</v>
          </cell>
          <cell r="AO713">
            <v>3.5</v>
          </cell>
          <cell r="AP713">
            <v>0</v>
          </cell>
          <cell r="AQ713">
            <v>3.5</v>
          </cell>
          <cell r="AR713" t="str">
            <v>US_24833</v>
          </cell>
          <cell r="AS713">
            <v>0</v>
          </cell>
          <cell r="AT713">
            <v>176</v>
          </cell>
          <cell r="AU713">
            <v>176</v>
          </cell>
          <cell r="AV713">
            <v>0</v>
          </cell>
          <cell r="AW713">
            <v>616</v>
          </cell>
          <cell r="AX713">
            <v>616</v>
          </cell>
          <cell r="AY713">
            <v>616</v>
          </cell>
          <cell r="AZ713">
            <v>0</v>
          </cell>
          <cell r="BA713">
            <v>0</v>
          </cell>
          <cell r="BB713">
            <v>0</v>
          </cell>
          <cell r="BC713">
            <v>63</v>
          </cell>
          <cell r="BD713">
            <v>0</v>
          </cell>
          <cell r="BE713">
            <v>0</v>
          </cell>
          <cell r="BF713">
            <v>0</v>
          </cell>
          <cell r="BG713">
            <v>9768</v>
          </cell>
          <cell r="BH713">
            <v>9768</v>
          </cell>
          <cell r="BI713">
            <v>9152</v>
          </cell>
          <cell r="BJ713">
            <v>0</v>
          </cell>
          <cell r="BK713">
            <v>0</v>
          </cell>
          <cell r="BL713">
            <v>0</v>
          </cell>
          <cell r="BM713">
            <v>9152</v>
          </cell>
          <cell r="BN713">
            <v>0</v>
          </cell>
          <cell r="BO713">
            <v>616</v>
          </cell>
          <cell r="BP713" t="str">
            <v>Y</v>
          </cell>
          <cell r="BQ713">
            <v>2</v>
          </cell>
          <cell r="BR713" t="str">
            <v>N</v>
          </cell>
          <cell r="BS713">
            <v>0</v>
          </cell>
          <cell r="BT713" t="str">
            <v>Done</v>
          </cell>
          <cell r="BU713">
            <v>176</v>
          </cell>
          <cell r="BV713">
            <v>2024</v>
          </cell>
        </row>
        <row r="714">
          <cell r="A714" t="str">
            <v>Lucknow</v>
          </cell>
          <cell r="B714" t="str">
            <v>Trust</v>
          </cell>
          <cell r="C714" t="str">
            <v>Mid Level</v>
          </cell>
          <cell r="D714" t="str">
            <v>Shashank Yadav</v>
          </cell>
          <cell r="E714" t="str">
            <v>Shashank Yadav</v>
          </cell>
          <cell r="H714" t="str">
            <v>Vivek Mani Upadhyay</v>
          </cell>
          <cell r="K714">
            <v>0</v>
          </cell>
          <cell r="L714" t="str">
            <v>Old</v>
          </cell>
          <cell r="M714">
            <v>45502</v>
          </cell>
          <cell r="N714">
            <v>3</v>
          </cell>
          <cell r="O714">
            <v>544</v>
          </cell>
          <cell r="P714" t="str">
            <v>-</v>
          </cell>
          <cell r="Q714">
            <v>45867</v>
          </cell>
          <cell r="R714" t="str">
            <v>PLC-3870</v>
          </cell>
          <cell r="S714" t="str">
            <v>Wanika Blair</v>
          </cell>
          <cell r="T714" t="str">
            <v>Individual</v>
          </cell>
          <cell r="U714" t="str">
            <v>W2</v>
          </cell>
          <cell r="V714" t="str">
            <v>HII-NNS</v>
          </cell>
          <cell r="W714">
            <v>30.88</v>
          </cell>
          <cell r="X714">
            <v>46.32</v>
          </cell>
          <cell r="Y714" t="str">
            <v>USD</v>
          </cell>
          <cell r="Z714">
            <v>38.630000000000003</v>
          </cell>
          <cell r="AA714">
            <v>57.9</v>
          </cell>
          <cell r="AB714">
            <v>0</v>
          </cell>
          <cell r="AC714">
            <v>0</v>
          </cell>
          <cell r="AD714">
            <v>45672</v>
          </cell>
          <cell r="AE714">
            <v>23</v>
          </cell>
          <cell r="AF714">
            <v>46022</v>
          </cell>
          <cell r="AG714">
            <v>35.511999999999993</v>
          </cell>
          <cell r="AH714">
            <v>53.267999999999994</v>
          </cell>
          <cell r="AI714">
            <v>35.511999999999993</v>
          </cell>
          <cell r="AJ714">
            <v>38.630000000000003</v>
          </cell>
          <cell r="AK714">
            <v>57.9</v>
          </cell>
          <cell r="AL714">
            <v>4.632000000000005</v>
          </cell>
          <cell r="AM714">
            <v>3.1180000000000092</v>
          </cell>
          <cell r="AN714">
            <v>4.632000000000005</v>
          </cell>
          <cell r="AO714">
            <v>3.1180000000000092</v>
          </cell>
          <cell r="AP714">
            <v>4.632000000000005</v>
          </cell>
          <cell r="AQ714">
            <v>3.1180000000000092</v>
          </cell>
          <cell r="AR714" t="str">
            <v>HI145</v>
          </cell>
          <cell r="AS714">
            <v>0</v>
          </cell>
          <cell r="AT714">
            <v>69</v>
          </cell>
          <cell r="AU714">
            <v>69</v>
          </cell>
          <cell r="AV714">
            <v>0</v>
          </cell>
          <cell r="AW714">
            <v>215.14200000000062</v>
          </cell>
          <cell r="AX714">
            <v>215.14200000000062</v>
          </cell>
          <cell r="AY714">
            <v>215.14200000000062</v>
          </cell>
          <cell r="AZ714">
            <v>50</v>
          </cell>
          <cell r="BA714">
            <v>4.9888000000000146</v>
          </cell>
          <cell r="BB714">
            <v>344.22720000000101</v>
          </cell>
          <cell r="BD714">
            <v>215.14200000000062</v>
          </cell>
          <cell r="BF714">
            <v>215.14200000000062</v>
          </cell>
          <cell r="BG714">
            <v>2665.4700000000003</v>
          </cell>
          <cell r="BH714">
            <v>2665.4700000000003</v>
          </cell>
          <cell r="BI714">
            <v>2130.7199999999998</v>
          </cell>
          <cell r="BJ714">
            <v>4.6319999999999997</v>
          </cell>
          <cell r="BK714">
            <v>0</v>
          </cell>
          <cell r="BL714">
            <v>319.608</v>
          </cell>
          <cell r="BM714">
            <v>2450.328</v>
          </cell>
          <cell r="BN714">
            <v>4.6319999999999997</v>
          </cell>
          <cell r="BO714">
            <v>215.14200000000045</v>
          </cell>
          <cell r="BP714" t="str">
            <v>Y</v>
          </cell>
          <cell r="BQ714">
            <v>1</v>
          </cell>
          <cell r="BR714" t="str">
            <v>N</v>
          </cell>
          <cell r="BS714">
            <v>344.22720000000101</v>
          </cell>
          <cell r="BT714" t="str">
            <v>Done</v>
          </cell>
          <cell r="BU714">
            <v>69</v>
          </cell>
          <cell r="BV714">
            <v>2024</v>
          </cell>
        </row>
        <row r="715">
          <cell r="A715" t="str">
            <v>Lucknow</v>
          </cell>
          <cell r="B715" t="str">
            <v>Trust</v>
          </cell>
          <cell r="C715" t="str">
            <v>Mid Level</v>
          </cell>
          <cell r="D715" t="str">
            <v>Shashank Yadav</v>
          </cell>
          <cell r="E715" t="str">
            <v>Shashank Yadav</v>
          </cell>
          <cell r="H715" t="str">
            <v>Vivek Mani Upadhyay</v>
          </cell>
          <cell r="K715">
            <v>0</v>
          </cell>
          <cell r="L715" t="str">
            <v>Old</v>
          </cell>
          <cell r="M715">
            <v>45502</v>
          </cell>
          <cell r="N715">
            <v>3</v>
          </cell>
          <cell r="O715">
            <v>544</v>
          </cell>
          <cell r="P715" t="str">
            <v>-</v>
          </cell>
          <cell r="Q715">
            <v>45867</v>
          </cell>
          <cell r="R715" t="str">
            <v>PLC-3870</v>
          </cell>
          <cell r="S715" t="str">
            <v>Wanika Blair</v>
          </cell>
          <cell r="T715" t="str">
            <v>Individual</v>
          </cell>
          <cell r="U715" t="str">
            <v>W2</v>
          </cell>
          <cell r="V715" t="str">
            <v>HII-NNS</v>
          </cell>
          <cell r="W715">
            <v>30.88</v>
          </cell>
          <cell r="X715">
            <v>46.32</v>
          </cell>
          <cell r="Y715" t="str">
            <v>USD</v>
          </cell>
          <cell r="Z715">
            <v>38.630000000000003</v>
          </cell>
          <cell r="AA715">
            <v>57.9</v>
          </cell>
          <cell r="AB715">
            <v>0</v>
          </cell>
          <cell r="AC715">
            <v>0</v>
          </cell>
          <cell r="AD715">
            <v>45703</v>
          </cell>
          <cell r="AE715">
            <v>20</v>
          </cell>
          <cell r="AF715">
            <v>46022</v>
          </cell>
          <cell r="AG715">
            <v>35.511999999999993</v>
          </cell>
          <cell r="AH715">
            <v>53.267999999999994</v>
          </cell>
          <cell r="AI715">
            <v>35.511999999999993</v>
          </cell>
          <cell r="AJ715">
            <v>38.630000000000003</v>
          </cell>
          <cell r="AK715">
            <v>57.9</v>
          </cell>
          <cell r="AL715">
            <v>4.632000000000005</v>
          </cell>
          <cell r="AM715">
            <v>3.1180000000000092</v>
          </cell>
          <cell r="AN715">
            <v>4.632000000000005</v>
          </cell>
          <cell r="AO715">
            <v>3.1180000000000092</v>
          </cell>
          <cell r="AP715">
            <v>4.632000000000005</v>
          </cell>
          <cell r="AQ715">
            <v>3.1180000000000092</v>
          </cell>
          <cell r="AR715" t="str">
            <v>HI146</v>
          </cell>
          <cell r="AS715">
            <v>0</v>
          </cell>
          <cell r="AT715">
            <v>80</v>
          </cell>
          <cell r="AU715">
            <v>80</v>
          </cell>
          <cell r="AV715">
            <v>0</v>
          </cell>
          <cell r="AW715">
            <v>249.44000000000074</v>
          </cell>
          <cell r="AX715">
            <v>249.44000000000074</v>
          </cell>
          <cell r="AY715">
            <v>249.44000000000074</v>
          </cell>
          <cell r="AZ715">
            <v>50</v>
          </cell>
          <cell r="BA715">
            <v>4.9888000000000146</v>
          </cell>
          <cell r="BB715">
            <v>399.10400000000118</v>
          </cell>
          <cell r="BD715">
            <v>249.44000000000074</v>
          </cell>
          <cell r="BF715">
            <v>249.44000000000074</v>
          </cell>
          <cell r="BG715">
            <v>3090.4</v>
          </cell>
          <cell r="BH715">
            <v>3090.4</v>
          </cell>
          <cell r="BI715">
            <v>2470.4</v>
          </cell>
          <cell r="BJ715">
            <v>4.6319999999999997</v>
          </cell>
          <cell r="BK715">
            <v>0</v>
          </cell>
          <cell r="BL715">
            <v>370.55999999999995</v>
          </cell>
          <cell r="BM715">
            <v>2840.96</v>
          </cell>
          <cell r="BN715">
            <v>4.6319999999999997</v>
          </cell>
          <cell r="BO715">
            <v>249.44000000000005</v>
          </cell>
          <cell r="BP715" t="str">
            <v>Y</v>
          </cell>
          <cell r="BQ715">
            <v>1</v>
          </cell>
          <cell r="BR715" t="str">
            <v>N</v>
          </cell>
          <cell r="BS715">
            <v>399.10400000000118</v>
          </cell>
          <cell r="BT715" t="str">
            <v>Done</v>
          </cell>
          <cell r="BU715">
            <v>80</v>
          </cell>
          <cell r="BV715">
            <v>2024</v>
          </cell>
        </row>
        <row r="716">
          <cell r="A716" t="str">
            <v>Lucknow</v>
          </cell>
          <cell r="B716" t="str">
            <v>Trust</v>
          </cell>
          <cell r="C716" t="str">
            <v>Mid Level</v>
          </cell>
          <cell r="D716" t="str">
            <v>Shashank Yadav</v>
          </cell>
          <cell r="E716" t="str">
            <v>Shashank Yadav</v>
          </cell>
          <cell r="H716" t="str">
            <v>Vivek Mani Upadhyay</v>
          </cell>
          <cell r="K716">
            <v>0</v>
          </cell>
          <cell r="L716" t="str">
            <v>Old</v>
          </cell>
          <cell r="M716">
            <v>45502</v>
          </cell>
          <cell r="N716">
            <v>3</v>
          </cell>
          <cell r="O716">
            <v>544</v>
          </cell>
          <cell r="P716" t="str">
            <v>-</v>
          </cell>
          <cell r="Q716">
            <v>45867</v>
          </cell>
          <cell r="R716" t="str">
            <v>PLC-3870</v>
          </cell>
          <cell r="S716" t="str">
            <v>Wanika Blair</v>
          </cell>
          <cell r="T716" t="str">
            <v>Individual</v>
          </cell>
          <cell r="U716" t="str">
            <v>W2</v>
          </cell>
          <cell r="V716" t="str">
            <v>HII-NNS</v>
          </cell>
          <cell r="W716">
            <v>30.88</v>
          </cell>
          <cell r="X716">
            <v>46.32</v>
          </cell>
          <cell r="Y716" t="str">
            <v>USD</v>
          </cell>
          <cell r="Z716">
            <v>38.630000000000003</v>
          </cell>
          <cell r="AA716">
            <v>57.9</v>
          </cell>
          <cell r="AB716">
            <v>0</v>
          </cell>
          <cell r="AC716">
            <v>0</v>
          </cell>
          <cell r="AD716">
            <v>45731</v>
          </cell>
          <cell r="AE716">
            <v>21</v>
          </cell>
          <cell r="AF716">
            <v>46022</v>
          </cell>
          <cell r="AG716">
            <v>35.511999999999993</v>
          </cell>
          <cell r="AH716">
            <v>53.267999999999994</v>
          </cell>
          <cell r="AI716">
            <v>35.511999999999993</v>
          </cell>
          <cell r="AJ716">
            <v>38.630000000000003</v>
          </cell>
          <cell r="AK716">
            <v>57.9</v>
          </cell>
          <cell r="AL716">
            <v>4.632000000000005</v>
          </cell>
          <cell r="AM716">
            <v>3.1180000000000092</v>
          </cell>
          <cell r="AN716">
            <v>4.632000000000005</v>
          </cell>
          <cell r="AO716">
            <v>3.1180000000000092</v>
          </cell>
          <cell r="AP716">
            <v>4.632000000000005</v>
          </cell>
          <cell r="AQ716">
            <v>3.1180000000000092</v>
          </cell>
          <cell r="AR716" t="str">
            <v>HI147</v>
          </cell>
          <cell r="AS716">
            <v>0</v>
          </cell>
          <cell r="AT716">
            <v>184</v>
          </cell>
          <cell r="AU716">
            <v>184</v>
          </cell>
          <cell r="AV716">
            <v>0</v>
          </cell>
          <cell r="AW716">
            <v>573.71200000000169</v>
          </cell>
          <cell r="AX716">
            <v>573.71200000000169</v>
          </cell>
          <cell r="AY716">
            <v>573.71200000000169</v>
          </cell>
          <cell r="AZ716">
            <v>50</v>
          </cell>
          <cell r="BA716">
            <v>4.9888000000000146</v>
          </cell>
          <cell r="BB716">
            <v>917.93920000000264</v>
          </cell>
          <cell r="BD716">
            <v>573.71200000000169</v>
          </cell>
          <cell r="BF716">
            <v>573.71200000000169</v>
          </cell>
          <cell r="BG716">
            <v>7107.92</v>
          </cell>
          <cell r="BH716">
            <v>7107.92</v>
          </cell>
          <cell r="BI716">
            <v>5681.92</v>
          </cell>
          <cell r="BJ716">
            <v>4.6319999999999997</v>
          </cell>
          <cell r="BK716">
            <v>0</v>
          </cell>
          <cell r="BL716">
            <v>852.2879999999999</v>
          </cell>
          <cell r="BM716">
            <v>6534.2079999999996</v>
          </cell>
          <cell r="BN716">
            <v>4.6319999999999997</v>
          </cell>
          <cell r="BO716">
            <v>573.7120000000001</v>
          </cell>
          <cell r="BP716" t="str">
            <v>Y</v>
          </cell>
          <cell r="BQ716">
            <v>1</v>
          </cell>
          <cell r="BR716" t="str">
            <v>N</v>
          </cell>
          <cell r="BS716">
            <v>917.93920000000264</v>
          </cell>
          <cell r="BT716" t="str">
            <v>Done</v>
          </cell>
          <cell r="BU716">
            <v>184</v>
          </cell>
          <cell r="BV716">
            <v>2024</v>
          </cell>
        </row>
        <row r="717">
          <cell r="A717" t="str">
            <v>Lucknow</v>
          </cell>
          <cell r="B717" t="str">
            <v>Trust</v>
          </cell>
          <cell r="C717" t="str">
            <v>Mid Level</v>
          </cell>
          <cell r="D717" t="str">
            <v>Shashank Yadav</v>
          </cell>
          <cell r="E717" t="str">
            <v>Shashank Yadav</v>
          </cell>
          <cell r="H717" t="str">
            <v>Vivek Mani Upadhyay</v>
          </cell>
          <cell r="K717">
            <v>0</v>
          </cell>
          <cell r="L717" t="str">
            <v>Old</v>
          </cell>
          <cell r="M717">
            <v>45502</v>
          </cell>
          <cell r="N717">
            <v>3</v>
          </cell>
          <cell r="O717">
            <v>544</v>
          </cell>
          <cell r="P717" t="str">
            <v>-</v>
          </cell>
          <cell r="Q717">
            <v>45867</v>
          </cell>
          <cell r="R717" t="str">
            <v>PLC-3870</v>
          </cell>
          <cell r="S717" t="str">
            <v>Wanika Blair</v>
          </cell>
          <cell r="T717" t="str">
            <v>Individual</v>
          </cell>
          <cell r="U717" t="str">
            <v>W2</v>
          </cell>
          <cell r="V717" t="str">
            <v>HII-NNS</v>
          </cell>
          <cell r="W717">
            <v>30.88</v>
          </cell>
          <cell r="X717">
            <v>46.32</v>
          </cell>
          <cell r="Y717" t="str">
            <v>USD</v>
          </cell>
          <cell r="Z717">
            <v>38.630000000000003</v>
          </cell>
          <cell r="AA717">
            <v>57.9</v>
          </cell>
          <cell r="AB717">
            <v>0</v>
          </cell>
          <cell r="AC717">
            <v>0</v>
          </cell>
          <cell r="AD717">
            <v>45762</v>
          </cell>
          <cell r="AE717">
            <v>22</v>
          </cell>
          <cell r="AF717">
            <v>46022</v>
          </cell>
          <cell r="AG717">
            <v>35.511999999999993</v>
          </cell>
          <cell r="AH717">
            <v>53.267999999999994</v>
          </cell>
          <cell r="AI717">
            <v>35.511999999999993</v>
          </cell>
          <cell r="AJ717">
            <v>38.630000000000003</v>
          </cell>
          <cell r="AK717">
            <v>57.9</v>
          </cell>
          <cell r="AL717">
            <v>4.632000000000005</v>
          </cell>
          <cell r="AM717">
            <v>3.1180000000000092</v>
          </cell>
          <cell r="AN717">
            <v>4.632000000000005</v>
          </cell>
          <cell r="AO717">
            <v>3.1180000000000092</v>
          </cell>
          <cell r="AP717">
            <v>4.632000000000005</v>
          </cell>
          <cell r="AQ717">
            <v>3.1180000000000092</v>
          </cell>
          <cell r="AR717" t="str">
            <v>HI148</v>
          </cell>
          <cell r="AS717">
            <v>0</v>
          </cell>
          <cell r="AT717">
            <v>144</v>
          </cell>
          <cell r="AU717">
            <v>144</v>
          </cell>
          <cell r="AV717">
            <v>0</v>
          </cell>
          <cell r="AW717">
            <v>448.99200000000133</v>
          </cell>
          <cell r="AX717">
            <v>448.99200000000133</v>
          </cell>
          <cell r="AY717">
            <v>448.99200000000133</v>
          </cell>
          <cell r="AZ717">
            <v>50</v>
          </cell>
          <cell r="BA717">
            <v>4.9888000000000146</v>
          </cell>
          <cell r="BB717">
            <v>718.38720000000205</v>
          </cell>
          <cell r="BD717">
            <v>448.99200000000133</v>
          </cell>
          <cell r="BF717">
            <v>448.99200000000133</v>
          </cell>
          <cell r="BG717">
            <v>5562.72</v>
          </cell>
          <cell r="BH717">
            <v>5562.72</v>
          </cell>
          <cell r="BI717">
            <v>4446.72</v>
          </cell>
          <cell r="BJ717">
            <v>4.6319999999999997</v>
          </cell>
          <cell r="BK717">
            <v>0</v>
          </cell>
          <cell r="BL717">
            <v>667.00799999999992</v>
          </cell>
          <cell r="BM717">
            <v>5113.7280000000001</v>
          </cell>
          <cell r="BN717">
            <v>4.6319999999999997</v>
          </cell>
          <cell r="BO717">
            <v>448.99200000000008</v>
          </cell>
          <cell r="BP717" t="str">
            <v>Y</v>
          </cell>
          <cell r="BQ717">
            <v>2</v>
          </cell>
          <cell r="BR717" t="str">
            <v>N</v>
          </cell>
          <cell r="BS717">
            <v>718.38720000000205</v>
          </cell>
          <cell r="BT717" t="str">
            <v>Done</v>
          </cell>
          <cell r="BU717">
            <v>144</v>
          </cell>
          <cell r="BV717">
            <v>2024</v>
          </cell>
        </row>
        <row r="718">
          <cell r="A718" t="str">
            <v>Lucknow</v>
          </cell>
          <cell r="B718" t="str">
            <v>Trust</v>
          </cell>
          <cell r="C718" t="str">
            <v>Mid Level</v>
          </cell>
          <cell r="D718" t="str">
            <v>Harsh Agarwal</v>
          </cell>
          <cell r="E718" t="str">
            <v>-</v>
          </cell>
          <cell r="H718" t="str">
            <v>Ashish Saxena</v>
          </cell>
          <cell r="L718" t="str">
            <v>New</v>
          </cell>
          <cell r="M718">
            <v>45701</v>
          </cell>
          <cell r="N718">
            <v>1</v>
          </cell>
          <cell r="O718">
            <v>345</v>
          </cell>
          <cell r="P718">
            <v>45786</v>
          </cell>
          <cell r="Q718">
            <v>46066</v>
          </cell>
          <cell r="R718" t="str">
            <v>PLC-4110</v>
          </cell>
          <cell r="S718" t="str">
            <v>Wisdom Agbangba Primus</v>
          </cell>
          <cell r="T718" t="str">
            <v>Individual</v>
          </cell>
          <cell r="U718" t="str">
            <v>W2</v>
          </cell>
          <cell r="V718" t="str">
            <v>Global Logic</v>
          </cell>
          <cell r="W718">
            <v>78</v>
          </cell>
          <cell r="X718">
            <v>0</v>
          </cell>
          <cell r="Y718" t="str">
            <v>USD</v>
          </cell>
          <cell r="Z718">
            <v>100</v>
          </cell>
          <cell r="AA718">
            <v>0</v>
          </cell>
          <cell r="AB718">
            <v>0</v>
          </cell>
          <cell r="AC718">
            <v>0</v>
          </cell>
          <cell r="AD718">
            <v>45703</v>
          </cell>
          <cell r="AE718">
            <v>12</v>
          </cell>
          <cell r="AF718">
            <v>46022</v>
          </cell>
          <cell r="AG718">
            <v>89.699999999999989</v>
          </cell>
          <cell r="AH718">
            <v>0</v>
          </cell>
          <cell r="AI718">
            <v>89.699999999999989</v>
          </cell>
          <cell r="AJ718">
            <v>100</v>
          </cell>
          <cell r="AK718">
            <v>0</v>
          </cell>
          <cell r="AL718">
            <v>0</v>
          </cell>
          <cell r="AM718">
            <v>10.300000000000011</v>
          </cell>
          <cell r="AN718">
            <v>0</v>
          </cell>
          <cell r="AO718">
            <v>10.300000000000011</v>
          </cell>
          <cell r="AP718">
            <v>0</v>
          </cell>
          <cell r="AQ718">
            <v>10.300000000000011</v>
          </cell>
          <cell r="AR718" t="str">
            <v>US_24354</v>
          </cell>
          <cell r="AS718">
            <v>0</v>
          </cell>
          <cell r="AT718">
            <v>88</v>
          </cell>
          <cell r="AU718">
            <v>88</v>
          </cell>
          <cell r="AV718">
            <v>0</v>
          </cell>
          <cell r="AW718">
            <v>906.400000000001</v>
          </cell>
          <cell r="AX718">
            <v>906.400000000001</v>
          </cell>
          <cell r="AY718">
            <v>906.400000000001</v>
          </cell>
          <cell r="AZ718">
            <v>50</v>
          </cell>
          <cell r="BA718">
            <v>12.360000000000014</v>
          </cell>
          <cell r="BB718">
            <v>1087.6800000000012</v>
          </cell>
          <cell r="BC718">
            <v>42</v>
          </cell>
          <cell r="BD718">
            <v>906.400000000001</v>
          </cell>
          <cell r="BE718">
            <v>725.12000000000091</v>
          </cell>
          <cell r="BF718">
            <v>906.400000000001</v>
          </cell>
          <cell r="BG718">
            <v>8800</v>
          </cell>
          <cell r="BH718">
            <v>8800</v>
          </cell>
          <cell r="BI718">
            <v>6864</v>
          </cell>
          <cell r="BJ718">
            <v>11.7</v>
          </cell>
          <cell r="BK718">
            <v>0</v>
          </cell>
          <cell r="BL718">
            <v>1029.5999999999999</v>
          </cell>
          <cell r="BM718">
            <v>7893.6</v>
          </cell>
          <cell r="BN718">
            <v>11.7</v>
          </cell>
          <cell r="BO718">
            <v>906.40000000000009</v>
          </cell>
          <cell r="BP718" t="str">
            <v>Y</v>
          </cell>
          <cell r="BQ718">
            <v>1</v>
          </cell>
          <cell r="BR718" t="str">
            <v>Y</v>
          </cell>
          <cell r="BS718">
            <v>1087.6800000000012</v>
          </cell>
          <cell r="BT718" t="str">
            <v>Done</v>
          </cell>
          <cell r="BU718">
            <v>88</v>
          </cell>
          <cell r="BV718">
            <v>2025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H719" t="str">
            <v>Ashish Saxena</v>
          </cell>
          <cell r="L719" t="str">
            <v>New</v>
          </cell>
          <cell r="M719">
            <v>45701</v>
          </cell>
          <cell r="N719">
            <v>1</v>
          </cell>
          <cell r="O719">
            <v>345</v>
          </cell>
          <cell r="P719">
            <v>45786</v>
          </cell>
          <cell r="Q719">
            <v>46066</v>
          </cell>
          <cell r="R719" t="str">
            <v>PLC-4110</v>
          </cell>
          <cell r="S719" t="str">
            <v>Wisdom Agbangba Primus</v>
          </cell>
          <cell r="T719" t="str">
            <v>Individual</v>
          </cell>
          <cell r="U719" t="str">
            <v>W2</v>
          </cell>
          <cell r="V719" t="str">
            <v>Global Logic</v>
          </cell>
          <cell r="W719">
            <v>78</v>
          </cell>
          <cell r="X719">
            <v>0</v>
          </cell>
          <cell r="Y719" t="str">
            <v>USD</v>
          </cell>
          <cell r="Z719">
            <v>100</v>
          </cell>
          <cell r="AA719">
            <v>0</v>
          </cell>
          <cell r="AB719">
            <v>0</v>
          </cell>
          <cell r="AC719">
            <v>0</v>
          </cell>
          <cell r="AD719">
            <v>45731</v>
          </cell>
          <cell r="AE719">
            <v>21</v>
          </cell>
          <cell r="AF719">
            <v>46022</v>
          </cell>
          <cell r="AG719">
            <v>89.699999999999989</v>
          </cell>
          <cell r="AH719">
            <v>0</v>
          </cell>
          <cell r="AI719">
            <v>89.699999999999989</v>
          </cell>
          <cell r="AJ719">
            <v>100</v>
          </cell>
          <cell r="AK719">
            <v>0</v>
          </cell>
          <cell r="AL719">
            <v>0</v>
          </cell>
          <cell r="AM719">
            <v>10.300000000000011</v>
          </cell>
          <cell r="AN719">
            <v>0</v>
          </cell>
          <cell r="AO719">
            <v>10.300000000000011</v>
          </cell>
          <cell r="AP719">
            <v>0</v>
          </cell>
          <cell r="AQ719">
            <v>10.300000000000011</v>
          </cell>
          <cell r="AR719" t="str">
            <v>US_24551</v>
          </cell>
          <cell r="AS719">
            <v>0</v>
          </cell>
          <cell r="AT719">
            <v>160</v>
          </cell>
          <cell r="AU719">
            <v>160</v>
          </cell>
          <cell r="AV719">
            <v>0</v>
          </cell>
          <cell r="AW719">
            <v>1648.0000000000018</v>
          </cell>
          <cell r="AX719">
            <v>1648.0000000000018</v>
          </cell>
          <cell r="AY719">
            <v>1648.0000000000018</v>
          </cell>
          <cell r="AZ719">
            <v>50</v>
          </cell>
          <cell r="BA719">
            <v>12.360000000000014</v>
          </cell>
          <cell r="BB719">
            <v>1977.6000000000022</v>
          </cell>
          <cell r="BC719">
            <v>42</v>
          </cell>
          <cell r="BD719">
            <v>1648.0000000000018</v>
          </cell>
          <cell r="BE719">
            <v>1318.4000000000015</v>
          </cell>
          <cell r="BF719">
            <v>1648.0000000000018</v>
          </cell>
          <cell r="BG719">
            <v>16000</v>
          </cell>
          <cell r="BH719">
            <v>16000</v>
          </cell>
          <cell r="BI719">
            <v>12480</v>
          </cell>
          <cell r="BJ719">
            <v>11.7</v>
          </cell>
          <cell r="BK719">
            <v>0</v>
          </cell>
          <cell r="BL719">
            <v>1872</v>
          </cell>
          <cell r="BM719">
            <v>14352</v>
          </cell>
          <cell r="BN719">
            <v>11.7</v>
          </cell>
          <cell r="BO719">
            <v>1648</v>
          </cell>
          <cell r="BP719" t="str">
            <v>Y</v>
          </cell>
          <cell r="BQ719">
            <v>1</v>
          </cell>
          <cell r="BR719" t="str">
            <v>Y</v>
          </cell>
          <cell r="BS719">
            <v>1977.6000000000022</v>
          </cell>
          <cell r="BT719" t="str">
            <v>Done</v>
          </cell>
          <cell r="BU719">
            <v>160</v>
          </cell>
          <cell r="BV719">
            <v>2025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H720" t="str">
            <v>Ashish Saxena</v>
          </cell>
          <cell r="L720" t="str">
            <v>New</v>
          </cell>
          <cell r="M720">
            <v>45701</v>
          </cell>
          <cell r="N720">
            <v>1</v>
          </cell>
          <cell r="O720">
            <v>345</v>
          </cell>
          <cell r="P720">
            <v>45786</v>
          </cell>
          <cell r="Q720">
            <v>46066</v>
          </cell>
          <cell r="R720" t="str">
            <v>PLC-4110</v>
          </cell>
          <cell r="S720" t="str">
            <v>Wisdom Agbangba Primus</v>
          </cell>
          <cell r="T720" t="str">
            <v>Individual</v>
          </cell>
          <cell r="U720" t="str">
            <v>W2</v>
          </cell>
          <cell r="V720" t="str">
            <v>Global Logic</v>
          </cell>
          <cell r="W720">
            <v>78</v>
          </cell>
          <cell r="X720">
            <v>0</v>
          </cell>
          <cell r="Y720" t="str">
            <v>USD</v>
          </cell>
          <cell r="Z720">
            <v>100</v>
          </cell>
          <cell r="AA720">
            <v>0</v>
          </cell>
          <cell r="AB720">
            <v>0</v>
          </cell>
          <cell r="AC720">
            <v>0</v>
          </cell>
          <cell r="AD720">
            <v>45762</v>
          </cell>
          <cell r="AE720">
            <v>22</v>
          </cell>
          <cell r="AF720">
            <v>46022</v>
          </cell>
          <cell r="AG720">
            <v>89.699999999999989</v>
          </cell>
          <cell r="AH720">
            <v>0</v>
          </cell>
          <cell r="AI720">
            <v>89.699999999999989</v>
          </cell>
          <cell r="AJ720">
            <v>100</v>
          </cell>
          <cell r="AK720">
            <v>0</v>
          </cell>
          <cell r="AL720">
            <v>0</v>
          </cell>
          <cell r="AM720">
            <v>10.300000000000011</v>
          </cell>
          <cell r="AN720">
            <v>0</v>
          </cell>
          <cell r="AO720">
            <v>10.300000000000011</v>
          </cell>
          <cell r="AP720">
            <v>0</v>
          </cell>
          <cell r="AQ720">
            <v>10.300000000000011</v>
          </cell>
          <cell r="AR720" t="str">
            <v>US_24768</v>
          </cell>
          <cell r="AS720">
            <v>0</v>
          </cell>
          <cell r="AT720">
            <v>169</v>
          </cell>
          <cell r="AU720">
            <v>169</v>
          </cell>
          <cell r="AV720">
            <v>0</v>
          </cell>
          <cell r="AW720">
            <v>1740.7000000000019</v>
          </cell>
          <cell r="AX720">
            <v>1740.7000000000019</v>
          </cell>
          <cell r="AY720">
            <v>1740.7000000000019</v>
          </cell>
          <cell r="AZ720">
            <v>50</v>
          </cell>
          <cell r="BA720">
            <v>12.360000000000014</v>
          </cell>
          <cell r="BB720">
            <v>2088.8400000000024</v>
          </cell>
          <cell r="BC720">
            <v>42</v>
          </cell>
          <cell r="BD720">
            <v>1740.7000000000019</v>
          </cell>
          <cell r="BE720">
            <v>1392.5600000000015</v>
          </cell>
          <cell r="BF720">
            <v>1740.7000000000019</v>
          </cell>
          <cell r="BG720">
            <v>16900</v>
          </cell>
          <cell r="BH720">
            <v>16900</v>
          </cell>
          <cell r="BI720">
            <v>13182</v>
          </cell>
          <cell r="BJ720">
            <v>11.7</v>
          </cell>
          <cell r="BK720">
            <v>0</v>
          </cell>
          <cell r="BL720">
            <v>1977.3</v>
          </cell>
          <cell r="BM720">
            <v>15159.3</v>
          </cell>
          <cell r="BN720">
            <v>11.7</v>
          </cell>
          <cell r="BO720">
            <v>1740.7</v>
          </cell>
          <cell r="BP720" t="str">
            <v>Y</v>
          </cell>
          <cell r="BQ720">
            <v>2</v>
          </cell>
          <cell r="BR720" t="str">
            <v>Y</v>
          </cell>
          <cell r="BS720">
            <v>2088.8400000000024</v>
          </cell>
          <cell r="BT720" t="str">
            <v>Done</v>
          </cell>
          <cell r="BU720">
            <v>169</v>
          </cell>
          <cell r="BV720">
            <v>2025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Shashank Yadav</v>
          </cell>
          <cell r="E721" t="str">
            <v>-</v>
          </cell>
          <cell r="H721" t="str">
            <v>Abhishek Verma</v>
          </cell>
          <cell r="L721" t="str">
            <v>New</v>
          </cell>
          <cell r="M721">
            <v>45664</v>
          </cell>
          <cell r="N721">
            <v>1</v>
          </cell>
          <cell r="O721">
            <v>382</v>
          </cell>
          <cell r="P721">
            <v>45756</v>
          </cell>
          <cell r="Q721">
            <v>46029</v>
          </cell>
          <cell r="R721" t="str">
            <v>PLC-4094</v>
          </cell>
          <cell r="S721" t="str">
            <v>Yamel Wong</v>
          </cell>
          <cell r="T721" t="str">
            <v>Individual</v>
          </cell>
          <cell r="U721" t="str">
            <v>Referral</v>
          </cell>
          <cell r="V721" t="str">
            <v>Reflik</v>
          </cell>
          <cell r="W721">
            <v>0</v>
          </cell>
          <cell r="X721">
            <v>0</v>
          </cell>
          <cell r="Y721" t="str">
            <v>USD</v>
          </cell>
          <cell r="Z721">
            <v>2.23</v>
          </cell>
          <cell r="AA721">
            <v>0</v>
          </cell>
          <cell r="AB721">
            <v>0</v>
          </cell>
          <cell r="AC721">
            <v>0</v>
          </cell>
          <cell r="AD721">
            <v>45672</v>
          </cell>
          <cell r="AE721">
            <v>19</v>
          </cell>
          <cell r="AF721">
            <v>46022</v>
          </cell>
          <cell r="AG721">
            <v>0</v>
          </cell>
          <cell r="AH721">
            <v>0</v>
          </cell>
          <cell r="AI721">
            <v>0</v>
          </cell>
          <cell r="AJ721">
            <v>2.23</v>
          </cell>
          <cell r="AK721">
            <v>0</v>
          </cell>
          <cell r="AL721">
            <v>0</v>
          </cell>
          <cell r="AM721">
            <v>2.23</v>
          </cell>
          <cell r="AN721">
            <v>0</v>
          </cell>
          <cell r="AO721">
            <v>2.23</v>
          </cell>
          <cell r="AP721">
            <v>0</v>
          </cell>
          <cell r="AQ721">
            <v>2.23</v>
          </cell>
          <cell r="AR721" t="str">
            <v>US_24336</v>
          </cell>
          <cell r="AS721">
            <v>0</v>
          </cell>
          <cell r="AT721">
            <v>129</v>
          </cell>
          <cell r="AU721">
            <v>129</v>
          </cell>
          <cell r="AV721">
            <v>0</v>
          </cell>
          <cell r="AW721">
            <v>287.67</v>
          </cell>
          <cell r="AX721">
            <v>287.67</v>
          </cell>
          <cell r="AY721">
            <v>287.67</v>
          </cell>
          <cell r="AZ721">
            <v>141.66666666666669</v>
          </cell>
          <cell r="BA721">
            <v>3.5680000000000001</v>
          </cell>
          <cell r="BB721">
            <v>460.27199999999999</v>
          </cell>
          <cell r="BC721">
            <v>32</v>
          </cell>
          <cell r="BD721">
            <v>287.67</v>
          </cell>
          <cell r="BE721">
            <v>230.13600000000002</v>
          </cell>
          <cell r="BF721">
            <v>287.67</v>
          </cell>
          <cell r="BG721">
            <v>287.67</v>
          </cell>
          <cell r="BH721">
            <v>287.67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287.67</v>
          </cell>
          <cell r="BP721" t="str">
            <v>Y</v>
          </cell>
          <cell r="BQ721">
            <v>1</v>
          </cell>
          <cell r="BR721" t="str">
            <v>Y</v>
          </cell>
          <cell r="BS721">
            <v>460.27199999999999</v>
          </cell>
          <cell r="BT721" t="str">
            <v>Done</v>
          </cell>
          <cell r="BU721">
            <v>129</v>
          </cell>
          <cell r="BV721">
            <v>2025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Shashank Yadav</v>
          </cell>
          <cell r="E722" t="str">
            <v>-</v>
          </cell>
          <cell r="H722" t="str">
            <v>Abhishek Verma</v>
          </cell>
          <cell r="L722" t="str">
            <v>New</v>
          </cell>
          <cell r="M722">
            <v>45664</v>
          </cell>
          <cell r="N722">
            <v>1</v>
          </cell>
          <cell r="O722">
            <v>382</v>
          </cell>
          <cell r="P722">
            <v>45756</v>
          </cell>
          <cell r="Q722">
            <v>46029</v>
          </cell>
          <cell r="R722" t="str">
            <v>PLC-4094</v>
          </cell>
          <cell r="S722" t="str">
            <v>Yamel Wong</v>
          </cell>
          <cell r="T722" t="str">
            <v>Individual</v>
          </cell>
          <cell r="U722" t="str">
            <v>Referral</v>
          </cell>
          <cell r="V722" t="str">
            <v>Reflik</v>
          </cell>
          <cell r="W722">
            <v>0</v>
          </cell>
          <cell r="X722">
            <v>0</v>
          </cell>
          <cell r="Y722" t="str">
            <v>USD</v>
          </cell>
          <cell r="Z722">
            <v>2.23</v>
          </cell>
          <cell r="AA722">
            <v>0</v>
          </cell>
          <cell r="AB722">
            <v>0</v>
          </cell>
          <cell r="AC722">
            <v>0</v>
          </cell>
          <cell r="AD722">
            <v>45703</v>
          </cell>
          <cell r="AE722">
            <v>20</v>
          </cell>
          <cell r="AF722">
            <v>46022</v>
          </cell>
          <cell r="AG722">
            <v>0</v>
          </cell>
          <cell r="AH722">
            <v>0</v>
          </cell>
          <cell r="AI722">
            <v>0</v>
          </cell>
          <cell r="AJ722">
            <v>2.23</v>
          </cell>
          <cell r="AK722">
            <v>0</v>
          </cell>
          <cell r="AL722">
            <v>0</v>
          </cell>
          <cell r="AM722">
            <v>2.23</v>
          </cell>
          <cell r="AN722">
            <v>0</v>
          </cell>
          <cell r="AO722">
            <v>2.23</v>
          </cell>
          <cell r="AP722">
            <v>0</v>
          </cell>
          <cell r="AQ722">
            <v>2.23</v>
          </cell>
          <cell r="AR722" t="str">
            <v>US_24525</v>
          </cell>
          <cell r="AS722">
            <v>1</v>
          </cell>
          <cell r="AT722">
            <v>153</v>
          </cell>
          <cell r="AU722">
            <v>153</v>
          </cell>
          <cell r="AV722">
            <v>0</v>
          </cell>
          <cell r="AW722">
            <v>341.19</v>
          </cell>
          <cell r="AX722">
            <v>341.19</v>
          </cell>
          <cell r="AY722">
            <v>341.19</v>
          </cell>
          <cell r="AZ722">
            <v>141.66666666666669</v>
          </cell>
          <cell r="BA722">
            <v>3.5680000000000001</v>
          </cell>
          <cell r="BB722">
            <v>545.904</v>
          </cell>
          <cell r="BC722">
            <v>32</v>
          </cell>
          <cell r="BD722">
            <v>341.19</v>
          </cell>
          <cell r="BE722">
            <v>272.952</v>
          </cell>
          <cell r="BF722">
            <v>341.19</v>
          </cell>
          <cell r="BG722">
            <v>341.19</v>
          </cell>
          <cell r="BH722">
            <v>341.19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341.19</v>
          </cell>
          <cell r="BP722" t="str">
            <v>Y</v>
          </cell>
          <cell r="BQ722">
            <v>1</v>
          </cell>
          <cell r="BR722" t="str">
            <v>Y</v>
          </cell>
          <cell r="BS722">
            <v>545.904</v>
          </cell>
          <cell r="BT722" t="str">
            <v>Done</v>
          </cell>
          <cell r="BU722">
            <v>153</v>
          </cell>
          <cell r="BV722">
            <v>2025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Shashank Yadav</v>
          </cell>
          <cell r="E723" t="str">
            <v>-</v>
          </cell>
          <cell r="H723" t="str">
            <v>Abhishek Verma</v>
          </cell>
          <cell r="L723" t="str">
            <v>New</v>
          </cell>
          <cell r="M723">
            <v>45664</v>
          </cell>
          <cell r="N723">
            <v>1</v>
          </cell>
          <cell r="O723">
            <v>382</v>
          </cell>
          <cell r="P723">
            <v>45756</v>
          </cell>
          <cell r="Q723">
            <v>46029</v>
          </cell>
          <cell r="R723" t="str">
            <v>PLC-4094</v>
          </cell>
          <cell r="S723" t="str">
            <v>Yamel Wong</v>
          </cell>
          <cell r="T723" t="str">
            <v>Individual</v>
          </cell>
          <cell r="U723" t="str">
            <v>Referral</v>
          </cell>
          <cell r="V723" t="str">
            <v>Reflik</v>
          </cell>
          <cell r="W723">
            <v>0</v>
          </cell>
          <cell r="X723">
            <v>0</v>
          </cell>
          <cell r="Y723" t="str">
            <v>USD</v>
          </cell>
          <cell r="Z723">
            <v>2.23</v>
          </cell>
          <cell r="AA723">
            <v>0</v>
          </cell>
          <cell r="AB723">
            <v>0</v>
          </cell>
          <cell r="AC723">
            <v>0</v>
          </cell>
          <cell r="AD723">
            <v>45731</v>
          </cell>
          <cell r="AE723">
            <v>21</v>
          </cell>
          <cell r="AF723">
            <v>46022</v>
          </cell>
          <cell r="AG723">
            <v>0</v>
          </cell>
          <cell r="AH723">
            <v>0</v>
          </cell>
          <cell r="AI723">
            <v>0</v>
          </cell>
          <cell r="AJ723">
            <v>2.23</v>
          </cell>
          <cell r="AK723">
            <v>0</v>
          </cell>
          <cell r="AL723">
            <v>0</v>
          </cell>
          <cell r="AM723">
            <v>2.23</v>
          </cell>
          <cell r="AN723">
            <v>0</v>
          </cell>
          <cell r="AO723">
            <v>2.23</v>
          </cell>
          <cell r="AP723">
            <v>0</v>
          </cell>
          <cell r="AQ723">
            <v>2.23</v>
          </cell>
          <cell r="AR723" t="str">
            <v>US_24701</v>
          </cell>
          <cell r="AS723">
            <v>0</v>
          </cell>
          <cell r="AT723">
            <v>167.5</v>
          </cell>
          <cell r="AU723">
            <v>167.5</v>
          </cell>
          <cell r="AV723">
            <v>0</v>
          </cell>
          <cell r="AW723">
            <v>373.52499999999998</v>
          </cell>
          <cell r="AX723">
            <v>373.52499999999998</v>
          </cell>
          <cell r="AY723">
            <v>373.52499999999998</v>
          </cell>
          <cell r="AZ723">
            <v>141.66666666666669</v>
          </cell>
          <cell r="BA723">
            <v>3.5680000000000001</v>
          </cell>
          <cell r="BB723">
            <v>597.64</v>
          </cell>
          <cell r="BC723">
            <v>32</v>
          </cell>
          <cell r="BD723">
            <v>373.52499999999998</v>
          </cell>
          <cell r="BE723">
            <v>298.82</v>
          </cell>
          <cell r="BF723">
            <v>373.52499999999998</v>
          </cell>
          <cell r="BG723">
            <v>373.52499999999998</v>
          </cell>
          <cell r="BH723">
            <v>373.52499999999998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373.52499999999998</v>
          </cell>
          <cell r="BP723" t="str">
            <v>Y</v>
          </cell>
          <cell r="BQ723">
            <v>1</v>
          </cell>
          <cell r="BR723" t="str">
            <v>Y</v>
          </cell>
          <cell r="BS723">
            <v>597.64</v>
          </cell>
          <cell r="BT723" t="str">
            <v>Done</v>
          </cell>
          <cell r="BU723">
            <v>167.5</v>
          </cell>
          <cell r="BV723">
            <v>2025</v>
          </cell>
        </row>
        <row r="724">
          <cell r="A724" t="str">
            <v>Lucknow</v>
          </cell>
          <cell r="B724" t="str">
            <v>Trust</v>
          </cell>
          <cell r="C724" t="str">
            <v>Mid Level</v>
          </cell>
          <cell r="D724" t="str">
            <v>Shashank Yadav</v>
          </cell>
          <cell r="E724" t="str">
            <v>-</v>
          </cell>
          <cell r="H724" t="str">
            <v>Abhishek Verma</v>
          </cell>
          <cell r="L724" t="str">
            <v>New</v>
          </cell>
          <cell r="M724">
            <v>45664</v>
          </cell>
          <cell r="N724">
            <v>1</v>
          </cell>
          <cell r="O724">
            <v>382</v>
          </cell>
          <cell r="P724">
            <v>45756</v>
          </cell>
          <cell r="Q724">
            <v>46029</v>
          </cell>
          <cell r="R724" t="str">
            <v>PLC-4094</v>
          </cell>
          <cell r="S724" t="str">
            <v>Yamel Wong</v>
          </cell>
          <cell r="T724" t="str">
            <v>Individual</v>
          </cell>
          <cell r="U724" t="str">
            <v>Referral</v>
          </cell>
          <cell r="V724" t="str">
            <v>Reflik</v>
          </cell>
          <cell r="W724">
            <v>0</v>
          </cell>
          <cell r="X724">
            <v>0</v>
          </cell>
          <cell r="Y724" t="str">
            <v>USD</v>
          </cell>
          <cell r="Z724">
            <v>2.23</v>
          </cell>
          <cell r="AA724">
            <v>0</v>
          </cell>
          <cell r="AB724">
            <v>0</v>
          </cell>
          <cell r="AC724">
            <v>0</v>
          </cell>
          <cell r="AD724">
            <v>45762</v>
          </cell>
          <cell r="AE724">
            <v>7</v>
          </cell>
          <cell r="AF724">
            <v>46022</v>
          </cell>
          <cell r="AG724">
            <v>0</v>
          </cell>
          <cell r="AH724">
            <v>0</v>
          </cell>
          <cell r="AI724">
            <v>0</v>
          </cell>
          <cell r="AJ724">
            <v>2.23</v>
          </cell>
          <cell r="AK724">
            <v>0</v>
          </cell>
          <cell r="AL724">
            <v>0</v>
          </cell>
          <cell r="AM724">
            <v>2.23</v>
          </cell>
          <cell r="AN724">
            <v>0</v>
          </cell>
          <cell r="AO724">
            <v>2.23</v>
          </cell>
          <cell r="AP724">
            <v>0</v>
          </cell>
          <cell r="AQ724">
            <v>2.23</v>
          </cell>
          <cell r="AR724" t="str">
            <v>US_24901</v>
          </cell>
          <cell r="AS724">
            <v>0</v>
          </cell>
          <cell r="AT724">
            <v>48</v>
          </cell>
          <cell r="AU724">
            <v>48</v>
          </cell>
          <cell r="AV724">
            <v>0</v>
          </cell>
          <cell r="AW724">
            <v>107.03999999999999</v>
          </cell>
          <cell r="AX724">
            <v>107.03999999999999</v>
          </cell>
          <cell r="AY724">
            <v>107.03999999999999</v>
          </cell>
          <cell r="AZ724">
            <v>141.66666666666669</v>
          </cell>
          <cell r="BA724">
            <v>3.5680000000000001</v>
          </cell>
          <cell r="BB724">
            <v>171.26400000000001</v>
          </cell>
          <cell r="BC724">
            <v>32</v>
          </cell>
          <cell r="BD724">
            <v>107.03999999999999</v>
          </cell>
          <cell r="BE724">
            <v>85.631999999999991</v>
          </cell>
          <cell r="BF724">
            <v>107.03999999999999</v>
          </cell>
          <cell r="BG724">
            <v>107.03999999999999</v>
          </cell>
          <cell r="BH724">
            <v>107.03999999999999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107.03999999999999</v>
          </cell>
          <cell r="BP724" t="str">
            <v>Y</v>
          </cell>
          <cell r="BQ724">
            <v>2</v>
          </cell>
          <cell r="BR724" t="str">
            <v>Y</v>
          </cell>
          <cell r="BS724">
            <v>171.26400000000001</v>
          </cell>
          <cell r="BT724" t="str">
            <v>Done</v>
          </cell>
          <cell r="BU724">
            <v>48</v>
          </cell>
          <cell r="BV724">
            <v>2025</v>
          </cell>
        </row>
        <row r="725">
          <cell r="A725" t="str">
            <v>Chennai</v>
          </cell>
          <cell r="B725" t="str">
            <v>Chennai</v>
          </cell>
          <cell r="C725" t="str">
            <v>Mid Level</v>
          </cell>
          <cell r="D725" t="str">
            <v>Vinoth L</v>
          </cell>
          <cell r="E725" t="str">
            <v>-</v>
          </cell>
          <cell r="H725" t="str">
            <v>M Harinath</v>
          </cell>
          <cell r="L725" t="str">
            <v>New</v>
          </cell>
          <cell r="M725">
            <v>45726</v>
          </cell>
          <cell r="N725">
            <v>1</v>
          </cell>
          <cell r="O725">
            <v>320</v>
          </cell>
          <cell r="P725" t="str">
            <v>-</v>
          </cell>
          <cell r="Q725">
            <v>46091</v>
          </cell>
          <cell r="R725" t="str">
            <v>PLC-4164</v>
          </cell>
          <cell r="S725" t="str">
            <v>Yogendra Gijare</v>
          </cell>
          <cell r="T725" t="str">
            <v>Split</v>
          </cell>
          <cell r="U725" t="str">
            <v>FTE</v>
          </cell>
          <cell r="V725" t="str">
            <v>Tredence</v>
          </cell>
          <cell r="W725">
            <v>0</v>
          </cell>
          <cell r="X725">
            <v>0</v>
          </cell>
          <cell r="Y725" t="str">
            <v>USD</v>
          </cell>
          <cell r="Z725">
            <v>13600</v>
          </cell>
          <cell r="AA725">
            <v>0</v>
          </cell>
          <cell r="AB725">
            <v>0</v>
          </cell>
          <cell r="AC725">
            <v>0</v>
          </cell>
          <cell r="AD725">
            <v>45731</v>
          </cell>
          <cell r="AE725">
            <v>1</v>
          </cell>
          <cell r="AF725">
            <v>46022</v>
          </cell>
          <cell r="AG725">
            <v>0</v>
          </cell>
          <cell r="AH725">
            <v>0</v>
          </cell>
          <cell r="AI725">
            <v>0</v>
          </cell>
          <cell r="AJ725">
            <v>13600</v>
          </cell>
          <cell r="AK725">
            <v>0</v>
          </cell>
          <cell r="AL725">
            <v>0</v>
          </cell>
          <cell r="AM725">
            <v>13600</v>
          </cell>
          <cell r="AN725">
            <v>0</v>
          </cell>
          <cell r="AO725">
            <v>6800</v>
          </cell>
          <cell r="AP725">
            <v>0</v>
          </cell>
          <cell r="AQ725">
            <v>6800</v>
          </cell>
          <cell r="AR725" t="str">
            <v>US_24719</v>
          </cell>
          <cell r="AS725">
            <v>0</v>
          </cell>
          <cell r="AT725">
            <v>1</v>
          </cell>
          <cell r="AU725">
            <v>1</v>
          </cell>
          <cell r="AV725">
            <v>0</v>
          </cell>
          <cell r="AW725">
            <v>6800</v>
          </cell>
          <cell r="AX725">
            <v>6800</v>
          </cell>
          <cell r="AY725">
            <v>6800</v>
          </cell>
          <cell r="AZ725">
            <v>150</v>
          </cell>
          <cell r="BA725">
            <v>10880</v>
          </cell>
          <cell r="BB725">
            <v>10880</v>
          </cell>
          <cell r="BC725">
            <v>67</v>
          </cell>
          <cell r="BD725">
            <v>6800</v>
          </cell>
          <cell r="BE725">
            <v>8160</v>
          </cell>
          <cell r="BF725">
            <v>6800</v>
          </cell>
          <cell r="BG725">
            <v>6800</v>
          </cell>
          <cell r="BH725">
            <v>6800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6800</v>
          </cell>
          <cell r="BP725" t="str">
            <v>Y</v>
          </cell>
          <cell r="BQ725">
            <v>1</v>
          </cell>
          <cell r="BR725" t="str">
            <v>Y</v>
          </cell>
          <cell r="BS725">
            <v>10880</v>
          </cell>
          <cell r="BT725" t="str">
            <v>Done</v>
          </cell>
          <cell r="BU725">
            <v>0</v>
          </cell>
          <cell r="BV725">
            <v>2025</v>
          </cell>
        </row>
        <row r="726">
          <cell r="A726" t="str">
            <v>Lucknow</v>
          </cell>
          <cell r="B726" t="str">
            <v>Vantedge</v>
          </cell>
          <cell r="C726" t="str">
            <v>Mid Level</v>
          </cell>
          <cell r="D726" t="str">
            <v>Mayank Saxena</v>
          </cell>
          <cell r="E726" t="str">
            <v>-</v>
          </cell>
          <cell r="H726" t="str">
            <v>M Harinath</v>
          </cell>
          <cell r="L726" t="str">
            <v>New</v>
          </cell>
          <cell r="M726">
            <v>45726</v>
          </cell>
          <cell r="N726">
            <v>1</v>
          </cell>
          <cell r="O726">
            <v>320</v>
          </cell>
          <cell r="P726" t="str">
            <v>-</v>
          </cell>
          <cell r="Q726">
            <v>46091</v>
          </cell>
          <cell r="R726" t="str">
            <v>PLC-4164</v>
          </cell>
          <cell r="S726" t="str">
            <v>Yogendra Gijare</v>
          </cell>
          <cell r="T726" t="str">
            <v>Split</v>
          </cell>
          <cell r="U726" t="str">
            <v>FTE</v>
          </cell>
          <cell r="V726" t="str">
            <v>Tredence</v>
          </cell>
          <cell r="W726">
            <v>0</v>
          </cell>
          <cell r="X726">
            <v>0</v>
          </cell>
          <cell r="Y726" t="str">
            <v>USD</v>
          </cell>
          <cell r="Z726">
            <v>13600</v>
          </cell>
          <cell r="AA726">
            <v>0</v>
          </cell>
          <cell r="AB726">
            <v>0</v>
          </cell>
          <cell r="AC726">
            <v>0</v>
          </cell>
          <cell r="AD726">
            <v>45731</v>
          </cell>
          <cell r="AE726">
            <v>1</v>
          </cell>
          <cell r="AF726">
            <v>46022</v>
          </cell>
          <cell r="AG726">
            <v>0</v>
          </cell>
          <cell r="AH726">
            <v>0</v>
          </cell>
          <cell r="AI726">
            <v>0</v>
          </cell>
          <cell r="AJ726">
            <v>13600</v>
          </cell>
          <cell r="AK726">
            <v>0</v>
          </cell>
          <cell r="AL726">
            <v>0</v>
          </cell>
          <cell r="AM726">
            <v>13600</v>
          </cell>
          <cell r="AN726">
            <v>0</v>
          </cell>
          <cell r="AO726">
            <v>6800</v>
          </cell>
          <cell r="AP726">
            <v>0</v>
          </cell>
          <cell r="AQ726">
            <v>6800</v>
          </cell>
          <cell r="AR726" t="str">
            <v>US_24719</v>
          </cell>
          <cell r="AS726">
            <v>0</v>
          </cell>
          <cell r="AT726">
            <v>1</v>
          </cell>
          <cell r="AU726">
            <v>1</v>
          </cell>
          <cell r="AV726">
            <v>0</v>
          </cell>
          <cell r="AW726">
            <v>6800</v>
          </cell>
          <cell r="AX726">
            <v>6800</v>
          </cell>
          <cell r="AY726">
            <v>6800</v>
          </cell>
          <cell r="AZ726">
            <v>150</v>
          </cell>
          <cell r="BA726">
            <v>10880</v>
          </cell>
          <cell r="BB726">
            <v>10880</v>
          </cell>
          <cell r="BC726">
            <v>82</v>
          </cell>
          <cell r="BD726">
            <v>6800</v>
          </cell>
          <cell r="BE726">
            <v>8160</v>
          </cell>
          <cell r="BF726">
            <v>6800</v>
          </cell>
          <cell r="BG726">
            <v>6800</v>
          </cell>
          <cell r="BH726">
            <v>6800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6800</v>
          </cell>
          <cell r="BP726" t="str">
            <v>Y</v>
          </cell>
          <cell r="BQ726">
            <v>1</v>
          </cell>
          <cell r="BR726" t="str">
            <v>Y</v>
          </cell>
          <cell r="BS726">
            <v>10880</v>
          </cell>
          <cell r="BT726" t="str">
            <v>Done</v>
          </cell>
          <cell r="BU726">
            <v>0</v>
          </cell>
          <cell r="BV726">
            <v>2025</v>
          </cell>
        </row>
        <row r="727">
          <cell r="A727" t="str">
            <v>Noida</v>
          </cell>
          <cell r="B727" t="str">
            <v>Healthcare</v>
          </cell>
          <cell r="C727" t="str">
            <v>Mid Level</v>
          </cell>
          <cell r="D727" t="str">
            <v>Shailesh Sharma</v>
          </cell>
          <cell r="E727" t="str">
            <v>-</v>
          </cell>
          <cell r="F727" t="str">
            <v>-</v>
          </cell>
          <cell r="G727" t="str">
            <v>-</v>
          </cell>
          <cell r="H727" t="str">
            <v>Mohini Chand</v>
          </cell>
          <cell r="J727" t="str">
            <v>ACH</v>
          </cell>
          <cell r="K727" t="str">
            <v>-</v>
          </cell>
          <cell r="L727" t="str">
            <v>New</v>
          </cell>
          <cell r="M727">
            <v>45754</v>
          </cell>
          <cell r="N727">
            <v>2</v>
          </cell>
          <cell r="O727">
            <v>292</v>
          </cell>
          <cell r="P727">
            <v>45834</v>
          </cell>
          <cell r="Q727">
            <v>46119</v>
          </cell>
          <cell r="S727" t="str">
            <v>Yolanda Berry</v>
          </cell>
          <cell r="T727" t="str">
            <v>Individual</v>
          </cell>
          <cell r="U727" t="str">
            <v>W2</v>
          </cell>
          <cell r="V727" t="str">
            <v>Hallmark</v>
          </cell>
          <cell r="W727">
            <v>60.15</v>
          </cell>
          <cell r="X727">
            <v>0</v>
          </cell>
          <cell r="Y727" t="str">
            <v>USD</v>
          </cell>
          <cell r="Z727">
            <v>79.5</v>
          </cell>
          <cell r="AA727">
            <v>0</v>
          </cell>
          <cell r="AB727">
            <v>0</v>
          </cell>
          <cell r="AC727">
            <v>0</v>
          </cell>
          <cell r="AD727">
            <v>45762</v>
          </cell>
          <cell r="AE727">
            <v>18</v>
          </cell>
          <cell r="AF727">
            <v>46022</v>
          </cell>
          <cell r="AG727">
            <v>69.172499999999999</v>
          </cell>
          <cell r="AH727">
            <v>0</v>
          </cell>
          <cell r="AI727">
            <v>69.172499999999999</v>
          </cell>
          <cell r="AJ727">
            <v>79.5</v>
          </cell>
          <cell r="AK727">
            <v>0</v>
          </cell>
          <cell r="AL727">
            <v>0</v>
          </cell>
          <cell r="AM727">
            <v>10.327500000000001</v>
          </cell>
          <cell r="AN727">
            <v>0</v>
          </cell>
          <cell r="AO727">
            <v>10.327500000000001</v>
          </cell>
          <cell r="AP727">
            <v>0</v>
          </cell>
          <cell r="AQ727">
            <v>10.327500000000001</v>
          </cell>
          <cell r="AU727">
            <v>144</v>
          </cell>
          <cell r="AY727">
            <v>1487.16</v>
          </cell>
          <cell r="AZ727">
            <v>0</v>
          </cell>
          <cell r="BA727">
            <v>0</v>
          </cell>
          <cell r="BH727">
            <v>11448</v>
          </cell>
          <cell r="BI727">
            <v>8661.6</v>
          </cell>
          <cell r="BJ727">
            <v>9.0224999999999991</v>
          </cell>
          <cell r="BK727">
            <v>0</v>
          </cell>
          <cell r="BL727">
            <v>1299.2399999999998</v>
          </cell>
          <cell r="BM727">
            <v>9960.84</v>
          </cell>
          <cell r="BN727">
            <v>9.0224999999999991</v>
          </cell>
          <cell r="BO727">
            <v>1487.1599999999999</v>
          </cell>
          <cell r="BQ727">
            <v>2</v>
          </cell>
          <cell r="BR727" t="str">
            <v>Y</v>
          </cell>
          <cell r="BS727">
            <v>0</v>
          </cell>
          <cell r="BT727" t="str">
            <v>Pending</v>
          </cell>
          <cell r="BU727">
            <v>0</v>
          </cell>
          <cell r="BV727">
            <v>2025</v>
          </cell>
        </row>
        <row r="728">
          <cell r="A728" t="str">
            <v>Lucknow</v>
          </cell>
          <cell r="B728" t="str">
            <v>Trust</v>
          </cell>
          <cell r="C728" t="str">
            <v>Mid Level</v>
          </cell>
          <cell r="D728" t="str">
            <v>Vivek Mishra</v>
          </cell>
          <cell r="E728" t="str">
            <v>Vivek Mishra</v>
          </cell>
          <cell r="H728" t="str">
            <v>Vivek Kumar</v>
          </cell>
          <cell r="K728">
            <v>0</v>
          </cell>
          <cell r="L728" t="str">
            <v>Old</v>
          </cell>
          <cell r="M728">
            <v>45439</v>
          </cell>
          <cell r="N728">
            <v>2</v>
          </cell>
          <cell r="O728">
            <v>607</v>
          </cell>
          <cell r="P728">
            <v>45747</v>
          </cell>
          <cell r="Q728">
            <v>45804</v>
          </cell>
          <cell r="R728" t="str">
            <v>PLC-3768</v>
          </cell>
          <cell r="S728" t="str">
            <v>Youri Branopolski</v>
          </cell>
          <cell r="T728" t="str">
            <v>Individual</v>
          </cell>
          <cell r="U728" t="str">
            <v>C2C</v>
          </cell>
          <cell r="V728" t="str">
            <v>Flextrack canada</v>
          </cell>
          <cell r="W728">
            <v>110</v>
          </cell>
          <cell r="X728">
            <v>0</v>
          </cell>
          <cell r="Y728" t="str">
            <v>CAD</v>
          </cell>
          <cell r="Z728">
            <v>131.03</v>
          </cell>
          <cell r="AA728">
            <v>0</v>
          </cell>
          <cell r="AB728">
            <v>0</v>
          </cell>
          <cell r="AC728">
            <v>0</v>
          </cell>
          <cell r="AD728">
            <v>45672</v>
          </cell>
          <cell r="AE728">
            <v>22</v>
          </cell>
          <cell r="AF728">
            <v>46022</v>
          </cell>
          <cell r="AG728">
            <v>78.099999999999994</v>
          </cell>
          <cell r="AH728">
            <v>0</v>
          </cell>
          <cell r="AI728">
            <v>78.099999999999994</v>
          </cell>
          <cell r="AJ728">
            <v>93.031300000000002</v>
          </cell>
          <cell r="AK728">
            <v>0</v>
          </cell>
          <cell r="AL728">
            <v>0</v>
          </cell>
          <cell r="AM728">
            <v>14.931300000000007</v>
          </cell>
          <cell r="AN728">
            <v>0</v>
          </cell>
          <cell r="AO728">
            <v>14.931300000000007</v>
          </cell>
          <cell r="AP728">
            <v>0</v>
          </cell>
          <cell r="AQ728">
            <v>14.931300000000007</v>
          </cell>
          <cell r="AR728" t="str">
            <v>CAD_1402</v>
          </cell>
          <cell r="AS728">
            <v>0</v>
          </cell>
          <cell r="AT728">
            <v>145</v>
          </cell>
          <cell r="AU728">
            <v>145</v>
          </cell>
          <cell r="AV728">
            <v>0</v>
          </cell>
          <cell r="AW728">
            <v>2165.038500000001</v>
          </cell>
          <cell r="AX728">
            <v>2165.038500000001</v>
          </cell>
          <cell r="AY728">
            <v>2165.038500000001</v>
          </cell>
          <cell r="AZ728">
            <v>50</v>
          </cell>
          <cell r="BA728">
            <v>23.890080000000012</v>
          </cell>
          <cell r="BB728">
            <v>3464.0616000000018</v>
          </cell>
          <cell r="BD728">
            <v>2165.038500000001</v>
          </cell>
          <cell r="BF728">
            <v>2165.038500000001</v>
          </cell>
          <cell r="BG728">
            <v>18999.349999999999</v>
          </cell>
          <cell r="BH728">
            <v>13489.538500000001</v>
          </cell>
          <cell r="BI728">
            <v>11817.355</v>
          </cell>
          <cell r="BJ728">
            <v>0</v>
          </cell>
          <cell r="BK728">
            <v>0</v>
          </cell>
          <cell r="BL728">
            <v>0</v>
          </cell>
          <cell r="BM728">
            <v>11817.355</v>
          </cell>
          <cell r="BN728">
            <v>0</v>
          </cell>
          <cell r="BO728">
            <v>1672.183500000001</v>
          </cell>
          <cell r="BP728" t="str">
            <v>Y</v>
          </cell>
          <cell r="BQ728">
            <v>1</v>
          </cell>
          <cell r="BR728" t="str">
            <v>N</v>
          </cell>
          <cell r="BS728">
            <v>3464.0616000000018</v>
          </cell>
          <cell r="BT728" t="str">
            <v>Done</v>
          </cell>
          <cell r="BU728">
            <v>145</v>
          </cell>
          <cell r="BV728">
            <v>2024</v>
          </cell>
        </row>
        <row r="729">
          <cell r="A729" t="str">
            <v>Lucknow</v>
          </cell>
          <cell r="B729" t="str">
            <v>Trust</v>
          </cell>
          <cell r="C729" t="str">
            <v>Mid Level</v>
          </cell>
          <cell r="D729" t="str">
            <v>Vivek Mishra</v>
          </cell>
          <cell r="E729" t="str">
            <v>Vivek Mishra</v>
          </cell>
          <cell r="H729" t="str">
            <v>Vivek Kumar</v>
          </cell>
          <cell r="K729">
            <v>0</v>
          </cell>
          <cell r="L729" t="str">
            <v>Old</v>
          </cell>
          <cell r="M729">
            <v>45439</v>
          </cell>
          <cell r="N729">
            <v>2</v>
          </cell>
          <cell r="O729">
            <v>607</v>
          </cell>
          <cell r="P729">
            <v>45747</v>
          </cell>
          <cell r="Q729">
            <v>45804</v>
          </cell>
          <cell r="R729" t="str">
            <v>PLC-3768</v>
          </cell>
          <cell r="S729" t="str">
            <v>Youri Branopolski</v>
          </cell>
          <cell r="T729" t="str">
            <v>Individual</v>
          </cell>
          <cell r="U729" t="str">
            <v>C2C</v>
          </cell>
          <cell r="V729" t="str">
            <v>Flextrack canada</v>
          </cell>
          <cell r="W729">
            <v>110</v>
          </cell>
          <cell r="X729">
            <v>0</v>
          </cell>
          <cell r="Y729" t="str">
            <v>CAD</v>
          </cell>
          <cell r="Z729">
            <v>131.03</v>
          </cell>
          <cell r="AA729">
            <v>0</v>
          </cell>
          <cell r="AB729">
            <v>0</v>
          </cell>
          <cell r="AC729">
            <v>0</v>
          </cell>
          <cell r="AD729">
            <v>45703</v>
          </cell>
          <cell r="AE729">
            <v>20</v>
          </cell>
          <cell r="AF729">
            <v>46022</v>
          </cell>
          <cell r="AG729">
            <v>78.099999999999994</v>
          </cell>
          <cell r="AH729">
            <v>0</v>
          </cell>
          <cell r="AI729">
            <v>78.099999999999994</v>
          </cell>
          <cell r="AJ729">
            <v>93.031300000000002</v>
          </cell>
          <cell r="AK729">
            <v>0</v>
          </cell>
          <cell r="AL729">
            <v>0</v>
          </cell>
          <cell r="AM729">
            <v>14.931300000000007</v>
          </cell>
          <cell r="AN729">
            <v>0</v>
          </cell>
          <cell r="AO729">
            <v>14.931300000000007</v>
          </cell>
          <cell r="AP729">
            <v>0</v>
          </cell>
          <cell r="AQ729">
            <v>14.931300000000007</v>
          </cell>
          <cell r="AR729" t="str">
            <v>CAD_1428</v>
          </cell>
          <cell r="AS729">
            <v>0</v>
          </cell>
          <cell r="AT729">
            <v>137.75</v>
          </cell>
          <cell r="AU729">
            <v>137.75</v>
          </cell>
          <cell r="AV729">
            <v>0</v>
          </cell>
          <cell r="AW729">
            <v>2056.786575000001</v>
          </cell>
          <cell r="AX729">
            <v>2056.786575000001</v>
          </cell>
          <cell r="AY729">
            <v>2056.786575000001</v>
          </cell>
          <cell r="AZ729">
            <v>50</v>
          </cell>
          <cell r="BA729">
            <v>23.890080000000012</v>
          </cell>
          <cell r="BB729">
            <v>3290.8585200000016</v>
          </cell>
          <cell r="BD729">
            <v>2056.786575000001</v>
          </cell>
          <cell r="BF729">
            <v>2056.786575000001</v>
          </cell>
          <cell r="BG729">
            <v>18049.3825</v>
          </cell>
          <cell r="BH729">
            <v>12815.061575</v>
          </cell>
          <cell r="BI729">
            <v>11226.48725</v>
          </cell>
          <cell r="BJ729">
            <v>0</v>
          </cell>
          <cell r="BK729">
            <v>0</v>
          </cell>
          <cell r="BL729">
            <v>0</v>
          </cell>
          <cell r="BM729">
            <v>11226.48725</v>
          </cell>
          <cell r="BN729">
            <v>0</v>
          </cell>
          <cell r="BO729">
            <v>1588.5743249999996</v>
          </cell>
          <cell r="BP729" t="str">
            <v>Y</v>
          </cell>
          <cell r="BQ729">
            <v>1</v>
          </cell>
          <cell r="BR729" t="str">
            <v>N</v>
          </cell>
          <cell r="BS729">
            <v>3290.8585200000016</v>
          </cell>
          <cell r="BT729" t="str">
            <v>Done</v>
          </cell>
          <cell r="BU729">
            <v>137.75</v>
          </cell>
          <cell r="BV729">
            <v>2024</v>
          </cell>
        </row>
        <row r="730">
          <cell r="A730" t="str">
            <v>Lucknow</v>
          </cell>
          <cell r="B730" t="str">
            <v>Trust</v>
          </cell>
          <cell r="C730" t="str">
            <v>Mid Level</v>
          </cell>
          <cell r="D730" t="str">
            <v>Vivek Mishra</v>
          </cell>
          <cell r="E730" t="str">
            <v>Vivek Mishra</v>
          </cell>
          <cell r="H730" t="str">
            <v>Vivek Kumar</v>
          </cell>
          <cell r="K730">
            <v>0</v>
          </cell>
          <cell r="L730" t="str">
            <v>Old</v>
          </cell>
          <cell r="M730">
            <v>45439</v>
          </cell>
          <cell r="N730">
            <v>2</v>
          </cell>
          <cell r="O730">
            <v>607</v>
          </cell>
          <cell r="P730">
            <v>45747</v>
          </cell>
          <cell r="Q730">
            <v>45804</v>
          </cell>
          <cell r="R730" t="str">
            <v>PLC-3768</v>
          </cell>
          <cell r="S730" t="str">
            <v>Youri Branopolski</v>
          </cell>
          <cell r="T730" t="str">
            <v>Individual</v>
          </cell>
          <cell r="U730" t="str">
            <v>C2C</v>
          </cell>
          <cell r="V730" t="str">
            <v>Flextrack canada</v>
          </cell>
          <cell r="W730">
            <v>110</v>
          </cell>
          <cell r="X730">
            <v>0</v>
          </cell>
          <cell r="Y730" t="str">
            <v>CAD</v>
          </cell>
          <cell r="Z730">
            <v>131.03</v>
          </cell>
          <cell r="AA730">
            <v>0</v>
          </cell>
          <cell r="AB730">
            <v>0</v>
          </cell>
          <cell r="AC730">
            <v>0</v>
          </cell>
          <cell r="AD730">
            <v>45731</v>
          </cell>
          <cell r="AE730">
            <v>21</v>
          </cell>
          <cell r="AF730">
            <v>46022</v>
          </cell>
          <cell r="AG730">
            <v>78.099999999999994</v>
          </cell>
          <cell r="AH730">
            <v>0</v>
          </cell>
          <cell r="AI730">
            <v>78.099999999999994</v>
          </cell>
          <cell r="AJ730">
            <v>93.031300000000002</v>
          </cell>
          <cell r="AK730">
            <v>0</v>
          </cell>
          <cell r="AL730">
            <v>0</v>
          </cell>
          <cell r="AM730">
            <v>14.931300000000007</v>
          </cell>
          <cell r="AN730">
            <v>0</v>
          </cell>
          <cell r="AO730">
            <v>14.931300000000007</v>
          </cell>
          <cell r="AP730">
            <v>0</v>
          </cell>
          <cell r="AQ730">
            <v>14.931300000000007</v>
          </cell>
          <cell r="AR730" t="str">
            <v>CAD_1453</v>
          </cell>
          <cell r="AS730">
            <v>0</v>
          </cell>
          <cell r="AT730">
            <v>152.25</v>
          </cell>
          <cell r="AU730">
            <v>152.25</v>
          </cell>
          <cell r="AV730">
            <v>0</v>
          </cell>
          <cell r="AW730">
            <v>2273.2904250000011</v>
          </cell>
          <cell r="AX730">
            <v>2273.2904250000011</v>
          </cell>
          <cell r="AY730">
            <v>2273.2904250000011</v>
          </cell>
          <cell r="AZ730">
            <v>50</v>
          </cell>
          <cell r="BA730">
            <v>23.890080000000012</v>
          </cell>
          <cell r="BB730">
            <v>3637.2646800000016</v>
          </cell>
          <cell r="BD730">
            <v>2273.2904250000011</v>
          </cell>
          <cell r="BF730">
            <v>2273.2904250000011</v>
          </cell>
          <cell r="BG730">
            <v>19949.317500000001</v>
          </cell>
          <cell r="BH730">
            <v>14164.015425</v>
          </cell>
          <cell r="BI730">
            <v>12408.222750000001</v>
          </cell>
          <cell r="BJ730">
            <v>0</v>
          </cell>
          <cell r="BK730">
            <v>0</v>
          </cell>
          <cell r="BL730">
            <v>0</v>
          </cell>
          <cell r="BM730">
            <v>12408.222750000001</v>
          </cell>
          <cell r="BN730">
            <v>0</v>
          </cell>
          <cell r="BO730">
            <v>1755.7926749999988</v>
          </cell>
          <cell r="BP730" t="str">
            <v>Y</v>
          </cell>
          <cell r="BQ730">
            <v>1</v>
          </cell>
          <cell r="BR730" t="str">
            <v>N</v>
          </cell>
          <cell r="BS730">
            <v>3637.2646800000016</v>
          </cell>
          <cell r="BT730" t="str">
            <v>Done</v>
          </cell>
          <cell r="BU730">
            <v>152.25</v>
          </cell>
          <cell r="BV730">
            <v>2024</v>
          </cell>
        </row>
        <row r="731">
          <cell r="A731" t="str">
            <v>Lucknow</v>
          </cell>
          <cell r="B731" t="str">
            <v>Titans</v>
          </cell>
          <cell r="C731" t="str">
            <v>Mid Level</v>
          </cell>
          <cell r="D731" t="str">
            <v>Nitin Saxena</v>
          </cell>
          <cell r="E731" t="str">
            <v>-</v>
          </cell>
          <cell r="H731" t="str">
            <v>Samad Quraishi</v>
          </cell>
          <cell r="K731" t="str">
            <v>-</v>
          </cell>
          <cell r="L731" t="str">
            <v>New</v>
          </cell>
          <cell r="M731">
            <v>45706</v>
          </cell>
          <cell r="N731">
            <v>1</v>
          </cell>
          <cell r="O731">
            <v>340</v>
          </cell>
          <cell r="P731" t="str">
            <v>-</v>
          </cell>
          <cell r="Q731">
            <v>46071</v>
          </cell>
          <cell r="R731" t="str">
            <v>PLC-4145</v>
          </cell>
          <cell r="S731" t="str">
            <v>Yuko Namiki</v>
          </cell>
          <cell r="T731" t="str">
            <v>Individual</v>
          </cell>
          <cell r="U731" t="str">
            <v>FTE</v>
          </cell>
          <cell r="V731" t="str">
            <v>Relevante</v>
          </cell>
          <cell r="W731">
            <v>0</v>
          </cell>
          <cell r="X731">
            <v>0</v>
          </cell>
          <cell r="Y731" t="str">
            <v>USD</v>
          </cell>
          <cell r="Z731">
            <v>5250</v>
          </cell>
          <cell r="AA731">
            <v>0</v>
          </cell>
          <cell r="AB731">
            <v>0</v>
          </cell>
          <cell r="AC731">
            <v>0</v>
          </cell>
          <cell r="AD731">
            <v>45703</v>
          </cell>
          <cell r="AE731">
            <v>1</v>
          </cell>
          <cell r="AF731">
            <v>46022</v>
          </cell>
          <cell r="AG731">
            <v>0</v>
          </cell>
          <cell r="AH731">
            <v>0</v>
          </cell>
          <cell r="AI731">
            <v>0</v>
          </cell>
          <cell r="AJ731">
            <v>5250</v>
          </cell>
          <cell r="AK731">
            <v>0</v>
          </cell>
          <cell r="AL731">
            <v>0</v>
          </cell>
          <cell r="AM731">
            <v>5250</v>
          </cell>
          <cell r="AN731">
            <v>0</v>
          </cell>
          <cell r="AO731">
            <v>5250</v>
          </cell>
          <cell r="AP731">
            <v>0</v>
          </cell>
          <cell r="AQ731">
            <v>5250</v>
          </cell>
          <cell r="AR731" t="str">
            <v>US_24343</v>
          </cell>
          <cell r="AS731">
            <v>0</v>
          </cell>
          <cell r="AT731">
            <v>1</v>
          </cell>
          <cell r="AU731">
            <v>1</v>
          </cell>
          <cell r="AV731">
            <v>0</v>
          </cell>
          <cell r="AW731">
            <v>5250</v>
          </cell>
          <cell r="AX731">
            <v>5250</v>
          </cell>
          <cell r="AY731">
            <v>5250</v>
          </cell>
          <cell r="AZ731">
            <v>125</v>
          </cell>
          <cell r="BA731">
            <v>8400</v>
          </cell>
          <cell r="BB731">
            <v>8400</v>
          </cell>
          <cell r="BC731">
            <v>46</v>
          </cell>
          <cell r="BD731">
            <v>5250</v>
          </cell>
          <cell r="BE731">
            <v>4200</v>
          </cell>
          <cell r="BF731">
            <v>5250</v>
          </cell>
          <cell r="BG731">
            <v>5250</v>
          </cell>
          <cell r="BH731">
            <v>5250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5250</v>
          </cell>
          <cell r="BP731" t="str">
            <v>Y</v>
          </cell>
          <cell r="BQ731">
            <v>1</v>
          </cell>
          <cell r="BR731" t="str">
            <v>Y</v>
          </cell>
          <cell r="BS731">
            <v>8400</v>
          </cell>
          <cell r="BT731" t="str">
            <v>Done</v>
          </cell>
          <cell r="BU731">
            <v>0</v>
          </cell>
          <cell r="BV731">
            <v>2025</v>
          </cell>
        </row>
        <row r="732">
          <cell r="A732" t="str">
            <v>Lucknow</v>
          </cell>
          <cell r="B732" t="str">
            <v>Titans</v>
          </cell>
          <cell r="C732" t="str">
            <v>Mid Level</v>
          </cell>
          <cell r="D732" t="str">
            <v>Nitin Saxena</v>
          </cell>
          <cell r="E732" t="str">
            <v>-</v>
          </cell>
          <cell r="F732" t="str">
            <v>-</v>
          </cell>
          <cell r="G732" t="str">
            <v>-</v>
          </cell>
          <cell r="H732" t="str">
            <v>Hamza Ali</v>
          </cell>
          <cell r="L732" t="str">
            <v>New</v>
          </cell>
          <cell r="M732">
            <v>45748</v>
          </cell>
          <cell r="N732">
            <v>2</v>
          </cell>
          <cell r="O732">
            <v>298</v>
          </cell>
          <cell r="P732" t="str">
            <v>-</v>
          </cell>
          <cell r="Q732">
            <v>46113</v>
          </cell>
          <cell r="R732" t="str">
            <v>PLC-4205</v>
          </cell>
          <cell r="S732" t="str">
            <v>Yuleisa Cordova</v>
          </cell>
          <cell r="T732" t="str">
            <v>Individual</v>
          </cell>
          <cell r="U732" t="str">
            <v>FTE</v>
          </cell>
          <cell r="V732" t="str">
            <v>WNS</v>
          </cell>
          <cell r="W732">
            <v>0</v>
          </cell>
          <cell r="X732">
            <v>0</v>
          </cell>
          <cell r="Y732" t="str">
            <v>USD</v>
          </cell>
          <cell r="Z732">
            <v>5200</v>
          </cell>
          <cell r="AA732">
            <v>0</v>
          </cell>
          <cell r="AB732">
            <v>0</v>
          </cell>
          <cell r="AC732">
            <v>0</v>
          </cell>
          <cell r="AD732">
            <v>45762</v>
          </cell>
          <cell r="AE732">
            <v>1</v>
          </cell>
          <cell r="AF732">
            <v>46022</v>
          </cell>
          <cell r="AG732">
            <v>0</v>
          </cell>
          <cell r="AH732">
            <v>0</v>
          </cell>
          <cell r="AI732">
            <v>0</v>
          </cell>
          <cell r="AJ732">
            <v>5200</v>
          </cell>
          <cell r="AK732">
            <v>0</v>
          </cell>
          <cell r="AL732">
            <v>0</v>
          </cell>
          <cell r="AM732">
            <v>5200</v>
          </cell>
          <cell r="AN732">
            <v>0</v>
          </cell>
          <cell r="AO732">
            <v>5200</v>
          </cell>
          <cell r="AP732">
            <v>0</v>
          </cell>
          <cell r="AQ732">
            <v>5200</v>
          </cell>
          <cell r="AR732" t="str">
            <v>US_24722</v>
          </cell>
          <cell r="AS732">
            <v>0</v>
          </cell>
          <cell r="AT732">
            <v>1</v>
          </cell>
          <cell r="AU732">
            <v>1</v>
          </cell>
          <cell r="AV732">
            <v>0</v>
          </cell>
          <cell r="AW732">
            <v>5200</v>
          </cell>
          <cell r="AX732">
            <v>5200</v>
          </cell>
          <cell r="AY732">
            <v>5200</v>
          </cell>
          <cell r="AZ732">
            <v>250</v>
          </cell>
          <cell r="BA732">
            <v>8320</v>
          </cell>
          <cell r="BB732">
            <v>8320</v>
          </cell>
          <cell r="BC732">
            <v>46</v>
          </cell>
          <cell r="BD732">
            <v>5200</v>
          </cell>
          <cell r="BE732">
            <v>4160</v>
          </cell>
          <cell r="BF732">
            <v>5200</v>
          </cell>
          <cell r="BG732">
            <v>5200</v>
          </cell>
          <cell r="BH732">
            <v>5200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5200</v>
          </cell>
          <cell r="BP732" t="str">
            <v>Y</v>
          </cell>
          <cell r="BQ732">
            <v>2</v>
          </cell>
          <cell r="BR732" t="str">
            <v>Y</v>
          </cell>
          <cell r="BS732">
            <v>8320</v>
          </cell>
          <cell r="BT732" t="str">
            <v>Done</v>
          </cell>
          <cell r="BU732">
            <v>0</v>
          </cell>
          <cell r="BV732">
            <v>2025</v>
          </cell>
        </row>
        <row r="740">
          <cell r="BC740">
            <v>35394</v>
          </cell>
        </row>
      </sheetData>
      <sheetData sheetId="32">
        <row r="3">
          <cell r="C3" t="str">
            <v>VB Code</v>
          </cell>
          <cell r="D3" t="str">
            <v>Employee Name</v>
          </cell>
          <cell r="E3" t="str">
            <v>Team Lead</v>
          </cell>
          <cell r="F3" t="str">
            <v>Email ID</v>
          </cell>
          <cell r="G3" t="str">
            <v>Target 2025</v>
          </cell>
          <cell r="H3" t="str">
            <v>Achieved 2025</v>
          </cell>
          <cell r="I3" t="str">
            <v>Target %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  <cell r="E4" t="str">
            <v>Nitin Saxena</v>
          </cell>
          <cell r="F4" t="str">
            <v>NitinS@Vbeyond.com</v>
          </cell>
          <cell r="G4" t="str">
            <v>-</v>
          </cell>
          <cell r="H4">
            <v>0</v>
          </cell>
          <cell r="I4" t="e">
            <v>#VALUE!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  <cell r="E5" t="str">
            <v>Nitin Saxena</v>
          </cell>
          <cell r="F5" t="str">
            <v>AviralS@Vbeyond.com</v>
          </cell>
          <cell r="G5">
            <v>8</v>
          </cell>
          <cell r="H5">
            <v>4</v>
          </cell>
          <cell r="I5">
            <v>0.5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  <cell r="E6" t="str">
            <v>Nitin Saxena</v>
          </cell>
          <cell r="F6" t="str">
            <v>SamadQ@vbeyond.com</v>
          </cell>
          <cell r="G6">
            <v>8</v>
          </cell>
          <cell r="H6">
            <v>10</v>
          </cell>
          <cell r="I6">
            <v>1.25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  <cell r="E7" t="str">
            <v>Nitin Saxena</v>
          </cell>
          <cell r="F7" t="str">
            <v>RatneshK@Vbeyond.com</v>
          </cell>
          <cell r="G7">
            <v>7</v>
          </cell>
          <cell r="H7">
            <v>1</v>
          </cell>
          <cell r="I7">
            <v>0.14285714285714285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  <cell r="E8" t="str">
            <v>Nitin Saxena</v>
          </cell>
          <cell r="F8" t="str">
            <v>Hamza@vbeyond.com</v>
          </cell>
          <cell r="G8">
            <v>8</v>
          </cell>
          <cell r="H8">
            <v>20</v>
          </cell>
          <cell r="I8">
            <v>2.5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  <cell r="E9" t="str">
            <v>Nitin Saxena</v>
          </cell>
          <cell r="F9" t="str">
            <v>AmanB@Vbeyond.com</v>
          </cell>
          <cell r="G9">
            <v>8</v>
          </cell>
          <cell r="H9">
            <v>4</v>
          </cell>
          <cell r="I9">
            <v>0.5</v>
          </cell>
        </row>
        <row r="10">
          <cell r="B10" t="str">
            <v>Titans</v>
          </cell>
          <cell r="C10" t="str">
            <v>VB2023</v>
          </cell>
          <cell r="D10" t="str">
            <v>Anshita Dwivedi</v>
          </cell>
          <cell r="E10" t="str">
            <v>Nitin Saxena</v>
          </cell>
          <cell r="F10" t="e">
            <v>#N/A</v>
          </cell>
          <cell r="G10">
            <v>5</v>
          </cell>
          <cell r="H10">
            <v>1</v>
          </cell>
          <cell r="I10">
            <v>0.2</v>
          </cell>
        </row>
        <row r="11">
          <cell r="B11" t="str">
            <v>Titans</v>
          </cell>
          <cell r="C11" t="str">
            <v>VB2100</v>
          </cell>
          <cell r="D11" t="str">
            <v>Shruti Kumari</v>
          </cell>
          <cell r="E11" t="str">
            <v>Nitin Saxena</v>
          </cell>
          <cell r="F11" t="str">
            <v>ShrutiK@Vbeyond.com</v>
          </cell>
          <cell r="G11">
            <v>4</v>
          </cell>
          <cell r="H11">
            <v>0</v>
          </cell>
          <cell r="I11">
            <v>0</v>
          </cell>
        </row>
        <row r="12">
          <cell r="B12" t="str">
            <v>Titans</v>
          </cell>
          <cell r="C12" t="str">
            <v>VB2210</v>
          </cell>
          <cell r="D12" t="str">
            <v>Ambresh Tripathi</v>
          </cell>
          <cell r="E12" t="str">
            <v>Nitin Saxena</v>
          </cell>
          <cell r="F12" t="str">
            <v>AmbreshT@Vbeyond.com</v>
          </cell>
          <cell r="G12">
            <v>2</v>
          </cell>
          <cell r="H12">
            <v>0</v>
          </cell>
          <cell r="I12">
            <v>0</v>
          </cell>
        </row>
        <row r="13">
          <cell r="B13" t="str">
            <v>Titans</v>
          </cell>
          <cell r="C13" t="str">
            <v>VB2221</v>
          </cell>
          <cell r="D13" t="str">
            <v>Anurag Mishra</v>
          </cell>
          <cell r="E13" t="str">
            <v>Nitin Saxena</v>
          </cell>
          <cell r="F13" t="str">
            <v>AnuragM@Vbeyond.com</v>
          </cell>
          <cell r="G13">
            <v>1</v>
          </cell>
          <cell r="H13">
            <v>1</v>
          </cell>
          <cell r="I13">
            <v>1</v>
          </cell>
        </row>
        <row r="14">
          <cell r="B14" t="str">
            <v>Titans</v>
          </cell>
          <cell r="C14" t="str">
            <v>VB2253</v>
          </cell>
          <cell r="D14" t="str">
            <v>Tanu Jaiswal</v>
          </cell>
          <cell r="E14" t="str">
            <v>Nitin Saxena</v>
          </cell>
          <cell r="F14" t="str">
            <v>TanuJ@Vbeyond.com</v>
          </cell>
          <cell r="G14">
            <v>1</v>
          </cell>
          <cell r="H14">
            <v>0</v>
          </cell>
          <cell r="I14">
            <v>0</v>
          </cell>
        </row>
        <row r="15">
          <cell r="B15" t="str">
            <v>Titans</v>
          </cell>
          <cell r="C15" t="str">
            <v>VB0243</v>
          </cell>
          <cell r="D15" t="str">
            <v>Aditya Yadav</v>
          </cell>
          <cell r="E15" t="str">
            <v>Aditya Yadav</v>
          </cell>
          <cell r="F15" t="str">
            <v>AdityaY@Vbeyond.com</v>
          </cell>
          <cell r="G15">
            <v>2</v>
          </cell>
          <cell r="H15">
            <v>4</v>
          </cell>
          <cell r="I15">
            <v>2</v>
          </cell>
        </row>
        <row r="16">
          <cell r="B16" t="str">
            <v>Titans</v>
          </cell>
          <cell r="C16" t="str">
            <v>VB0877</v>
          </cell>
          <cell r="D16" t="str">
            <v>Santosh Singh</v>
          </cell>
          <cell r="E16" t="str">
            <v>Aditya Yadav</v>
          </cell>
          <cell r="F16" t="str">
            <v>SantoshS1@vbeyond.com</v>
          </cell>
          <cell r="G16">
            <v>7</v>
          </cell>
          <cell r="H16">
            <v>4</v>
          </cell>
          <cell r="I16">
            <v>0.5714285714285714</v>
          </cell>
        </row>
        <row r="17">
          <cell r="B17" t="str">
            <v>Titans</v>
          </cell>
          <cell r="C17" t="str">
            <v>VB0973</v>
          </cell>
          <cell r="D17" t="str">
            <v>Aastha Tiwari</v>
          </cell>
          <cell r="E17" t="str">
            <v>Aditya Yadav</v>
          </cell>
          <cell r="F17" t="str">
            <v>AasthaT@vbeyond.com</v>
          </cell>
          <cell r="G17">
            <v>7</v>
          </cell>
          <cell r="H17">
            <v>6</v>
          </cell>
          <cell r="I17">
            <v>0.8571428571428571</v>
          </cell>
        </row>
        <row r="18">
          <cell r="B18" t="str">
            <v>Titans</v>
          </cell>
          <cell r="C18" t="str">
            <v>VB2095</v>
          </cell>
          <cell r="D18" t="str">
            <v>Shubham Yadav</v>
          </cell>
          <cell r="E18" t="str">
            <v>Aditya Yadav</v>
          </cell>
          <cell r="F18" t="str">
            <v>ShubhamY@Vbeyond.com</v>
          </cell>
          <cell r="G18">
            <v>4</v>
          </cell>
          <cell r="H18">
            <v>1</v>
          </cell>
          <cell r="I18">
            <v>0.25</v>
          </cell>
        </row>
        <row r="19">
          <cell r="B19" t="str">
            <v>Titans</v>
          </cell>
          <cell r="C19" t="str">
            <v>VB2249</v>
          </cell>
          <cell r="D19" t="str">
            <v>Rishabh Singh</v>
          </cell>
          <cell r="E19" t="str">
            <v>Aditya Yadav</v>
          </cell>
          <cell r="F19" t="str">
            <v>RishabhS3@vbeyond.com</v>
          </cell>
          <cell r="G19">
            <v>6</v>
          </cell>
          <cell r="H19">
            <v>4</v>
          </cell>
          <cell r="I19">
            <v>0.66666666666666663</v>
          </cell>
        </row>
        <row r="20">
          <cell r="B20" t="str">
            <v>Titans</v>
          </cell>
          <cell r="C20" t="str">
            <v>VB2139</v>
          </cell>
          <cell r="D20" t="str">
            <v>Shagun Jaiswal</v>
          </cell>
          <cell r="E20" t="str">
            <v>Aditya Yadav</v>
          </cell>
          <cell r="F20" t="str">
            <v>ShagunJ@Vbeyond.com</v>
          </cell>
          <cell r="G20">
            <v>2</v>
          </cell>
          <cell r="H20">
            <v>0</v>
          </cell>
          <cell r="I20">
            <v>0</v>
          </cell>
        </row>
        <row r="21">
          <cell r="B21" t="str">
            <v>Titans</v>
          </cell>
          <cell r="C21" t="str">
            <v>VB2220</v>
          </cell>
          <cell r="D21" t="str">
            <v>Shagun Tewari</v>
          </cell>
          <cell r="E21" t="str">
            <v>Aditya Yadav</v>
          </cell>
          <cell r="F21" t="str">
            <v>ShagunT@Vbeyond.com</v>
          </cell>
          <cell r="G21">
            <v>0</v>
          </cell>
          <cell r="H21">
            <v>0</v>
          </cell>
          <cell r="I21" t="e">
            <v>#DIV/0!</v>
          </cell>
        </row>
        <row r="22">
          <cell r="B22" t="str">
            <v>Titans</v>
          </cell>
          <cell r="C22" t="str">
            <v>VB0387</v>
          </cell>
          <cell r="D22" t="str">
            <v>Abhishek Yadav</v>
          </cell>
          <cell r="E22" t="str">
            <v>Abhishek Yadav</v>
          </cell>
          <cell r="F22" t="str">
            <v>AbhishekY@Vbeyond.com</v>
          </cell>
          <cell r="G22" t="str">
            <v>-</v>
          </cell>
          <cell r="H22">
            <v>1</v>
          </cell>
          <cell r="I22" t="e">
            <v>#VALUE!</v>
          </cell>
        </row>
        <row r="23">
          <cell r="B23" t="str">
            <v>Titans</v>
          </cell>
          <cell r="C23" t="str">
            <v>VB1658</v>
          </cell>
          <cell r="D23" t="str">
            <v>Manish Kumar Dhiman</v>
          </cell>
          <cell r="E23" t="str">
            <v>Abhishek Yadav</v>
          </cell>
          <cell r="F23" t="str">
            <v>ManishD@Vbeyond.com</v>
          </cell>
          <cell r="G23">
            <v>8</v>
          </cell>
          <cell r="H23">
            <v>7</v>
          </cell>
          <cell r="I23">
            <v>0.875</v>
          </cell>
        </row>
        <row r="24">
          <cell r="B24" t="str">
            <v>Titans</v>
          </cell>
          <cell r="C24" t="str">
            <v>VB1676</v>
          </cell>
          <cell r="D24" t="str">
            <v>Heena Akshay Pandey</v>
          </cell>
          <cell r="E24" t="str">
            <v>Abhishek Yadav</v>
          </cell>
          <cell r="F24" t="str">
            <v>HeenaP@Vbeyond.com</v>
          </cell>
          <cell r="G24">
            <v>8</v>
          </cell>
          <cell r="H24">
            <v>4</v>
          </cell>
          <cell r="I24">
            <v>0.5</v>
          </cell>
        </row>
        <row r="25">
          <cell r="B25" t="str">
            <v>Titans</v>
          </cell>
          <cell r="C25" t="str">
            <v>VB1825</v>
          </cell>
          <cell r="D25" t="str">
            <v>Priya Yadav</v>
          </cell>
          <cell r="E25" t="str">
            <v>Abhishek Yadav</v>
          </cell>
          <cell r="F25" t="str">
            <v>PriyaY@Vbeyond.com</v>
          </cell>
          <cell r="G25">
            <v>6</v>
          </cell>
          <cell r="H25">
            <v>7</v>
          </cell>
          <cell r="I25">
            <v>1.1666666666666667</v>
          </cell>
        </row>
        <row r="26">
          <cell r="B26" t="str">
            <v>Titans</v>
          </cell>
          <cell r="C26" t="str">
            <v>VB1841</v>
          </cell>
          <cell r="D26" t="str">
            <v>Shubham Tripathi</v>
          </cell>
          <cell r="E26" t="str">
            <v>Abhishek Yadav</v>
          </cell>
          <cell r="F26" t="str">
            <v>shubhamt@vbeyond.com</v>
          </cell>
          <cell r="G26">
            <v>5</v>
          </cell>
          <cell r="H26">
            <v>5</v>
          </cell>
          <cell r="I26">
            <v>1</v>
          </cell>
        </row>
        <row r="27">
          <cell r="B27" t="str">
            <v>Titans</v>
          </cell>
          <cell r="C27" t="str">
            <v>VB1972</v>
          </cell>
          <cell r="D27" t="str">
            <v>Shubham Srivastava</v>
          </cell>
          <cell r="E27" t="str">
            <v>Abhishek Yadav</v>
          </cell>
          <cell r="F27" t="str">
            <v>ShubhamS2@vbeyond.com</v>
          </cell>
          <cell r="G27">
            <v>8</v>
          </cell>
          <cell r="H27">
            <v>4</v>
          </cell>
          <cell r="I27">
            <v>0.5</v>
          </cell>
        </row>
        <row r="28">
          <cell r="B28" t="str">
            <v>Titans</v>
          </cell>
          <cell r="C28" t="str">
            <v>VB2115</v>
          </cell>
          <cell r="D28" t="str">
            <v>Satyam Pandey</v>
          </cell>
          <cell r="E28" t="str">
            <v>Abhishek Yadav</v>
          </cell>
          <cell r="F28" t="str">
            <v>SatyamP@Vbeyond.com</v>
          </cell>
          <cell r="G28">
            <v>4</v>
          </cell>
          <cell r="H28">
            <v>1</v>
          </cell>
          <cell r="I28">
            <v>0.25</v>
          </cell>
        </row>
        <row r="29">
          <cell r="B29" t="str">
            <v>Titans</v>
          </cell>
          <cell r="C29" t="str">
            <v>VB2118</v>
          </cell>
          <cell r="D29" t="str">
            <v>Dheeraj Verma</v>
          </cell>
          <cell r="E29" t="str">
            <v>Abhishek Yadav</v>
          </cell>
          <cell r="F29" t="str">
            <v>DheerajV@vbeyond.com</v>
          </cell>
          <cell r="G29">
            <v>5</v>
          </cell>
          <cell r="H29">
            <v>2</v>
          </cell>
          <cell r="I29">
            <v>0.4</v>
          </cell>
        </row>
        <row r="30">
          <cell r="B30" t="str">
            <v>Titans</v>
          </cell>
          <cell r="C30" t="str">
            <v xml:space="preserve">VB2089 </v>
          </cell>
          <cell r="D30" t="str">
            <v>Raj Chaudhary</v>
          </cell>
          <cell r="E30" t="str">
            <v>Abhishek Yadav</v>
          </cell>
          <cell r="F30" t="str">
            <v>RajC@vbeyond.com</v>
          </cell>
          <cell r="G30">
            <v>4</v>
          </cell>
          <cell r="H30">
            <v>1</v>
          </cell>
          <cell r="I30">
            <v>0.25</v>
          </cell>
        </row>
        <row r="31">
          <cell r="B31" t="str">
            <v>Mavericks</v>
          </cell>
          <cell r="C31" t="str">
            <v>VB0273</v>
          </cell>
          <cell r="D31" t="str">
            <v>Rohit Gupta</v>
          </cell>
          <cell r="E31" t="str">
            <v>Rohit Gupta</v>
          </cell>
          <cell r="F31" t="str">
            <v>RohitG@vbeyond.com</v>
          </cell>
          <cell r="G31">
            <v>0</v>
          </cell>
          <cell r="H31">
            <v>0</v>
          </cell>
          <cell r="I31" t="e">
            <v>#DIV/0!</v>
          </cell>
        </row>
        <row r="32">
          <cell r="B32" t="str">
            <v>Mavericks</v>
          </cell>
          <cell r="C32" t="str">
            <v>VB1372</v>
          </cell>
          <cell r="D32" t="str">
            <v>Ekta Singh</v>
          </cell>
          <cell r="E32" t="str">
            <v>Rohit Gupta</v>
          </cell>
          <cell r="F32" t="str">
            <v>EktaS@vbeyond.com</v>
          </cell>
          <cell r="G32">
            <v>5</v>
          </cell>
          <cell r="H32">
            <v>5</v>
          </cell>
          <cell r="I32">
            <v>1</v>
          </cell>
        </row>
        <row r="33">
          <cell r="B33" t="str">
            <v>Mavericks</v>
          </cell>
          <cell r="C33" t="str">
            <v>VB1144</v>
          </cell>
          <cell r="D33" t="str">
            <v>Akhilesh Gupta</v>
          </cell>
          <cell r="E33" t="str">
            <v>Rohit Gupta</v>
          </cell>
          <cell r="F33" t="str">
            <v>AkhileshG@vbeyond.com</v>
          </cell>
          <cell r="G33">
            <v>6</v>
          </cell>
          <cell r="H33">
            <v>5</v>
          </cell>
          <cell r="I33">
            <v>0.83333333333333337</v>
          </cell>
        </row>
        <row r="34">
          <cell r="B34" t="str">
            <v>Mavericks</v>
          </cell>
          <cell r="C34" t="str">
            <v>VB0631</v>
          </cell>
          <cell r="D34" t="str">
            <v>Saif Ahmad Ansari</v>
          </cell>
          <cell r="E34" t="str">
            <v>Rohit Gupta</v>
          </cell>
          <cell r="F34" t="str">
            <v>SaifA@vbeyond.com</v>
          </cell>
          <cell r="G34">
            <v>8</v>
          </cell>
          <cell r="H34">
            <v>1</v>
          </cell>
          <cell r="I34">
            <v>0.125</v>
          </cell>
        </row>
        <row r="35">
          <cell r="B35" t="str">
            <v>Mavericks</v>
          </cell>
          <cell r="C35" t="str">
            <v>VB1125</v>
          </cell>
          <cell r="D35" t="str">
            <v>Mohd Danish</v>
          </cell>
          <cell r="E35" t="str">
            <v>Rohit Gupta</v>
          </cell>
          <cell r="F35" t="str">
            <v>DanishR@vbeyond.com</v>
          </cell>
          <cell r="G35">
            <v>6</v>
          </cell>
          <cell r="H35">
            <v>1</v>
          </cell>
          <cell r="I35">
            <v>0.16666666666666666</v>
          </cell>
        </row>
        <row r="36">
          <cell r="B36" t="str">
            <v>Mavericks</v>
          </cell>
          <cell r="C36" t="str">
            <v>VB1199</v>
          </cell>
          <cell r="D36" t="str">
            <v>Nilesh Shahi</v>
          </cell>
          <cell r="E36" t="str">
            <v>Rohit Gupta</v>
          </cell>
          <cell r="F36" t="str">
            <v>NileshS@vbeyond.com</v>
          </cell>
          <cell r="G36">
            <v>5</v>
          </cell>
          <cell r="H36">
            <v>1</v>
          </cell>
          <cell r="I36">
            <v>0.2</v>
          </cell>
        </row>
        <row r="37">
          <cell r="B37" t="str">
            <v>Mavericks</v>
          </cell>
          <cell r="C37" t="str">
            <v>VB1466</v>
          </cell>
          <cell r="D37" t="str">
            <v>Himanshu Gupta Mavericks</v>
          </cell>
          <cell r="E37" t="str">
            <v>Rohit Gupta</v>
          </cell>
          <cell r="F37" t="str">
            <v>HimanshuG1@vbeyond.com</v>
          </cell>
          <cell r="G37">
            <v>7</v>
          </cell>
          <cell r="H37">
            <v>2</v>
          </cell>
          <cell r="I37">
            <v>0.2857142857142857</v>
          </cell>
        </row>
        <row r="38">
          <cell r="B38" t="str">
            <v>Mavericks</v>
          </cell>
          <cell r="C38" t="str">
            <v>VB0609</v>
          </cell>
          <cell r="D38" t="str">
            <v>Yogesh Bisht</v>
          </cell>
          <cell r="E38" t="str">
            <v>Rohit Gupta</v>
          </cell>
          <cell r="F38" t="str">
            <v>YogeshB@vbeyond.com</v>
          </cell>
          <cell r="G38">
            <v>8</v>
          </cell>
          <cell r="H38">
            <v>5</v>
          </cell>
          <cell r="I38">
            <v>0.625</v>
          </cell>
        </row>
        <row r="39">
          <cell r="B39" t="str">
            <v>Mavericks</v>
          </cell>
          <cell r="C39" t="str">
            <v>VB0562</v>
          </cell>
          <cell r="D39" t="str">
            <v>Vivek Yadav</v>
          </cell>
          <cell r="E39" t="str">
            <v>Vivek Yadav</v>
          </cell>
          <cell r="F39" t="str">
            <v>KumarY@vbeyond.com</v>
          </cell>
          <cell r="G39">
            <v>0</v>
          </cell>
          <cell r="H39">
            <v>1</v>
          </cell>
          <cell r="I39" t="e">
            <v>#DIV/0!</v>
          </cell>
        </row>
        <row r="40">
          <cell r="B40" t="str">
            <v>Mavericks</v>
          </cell>
          <cell r="C40" t="str">
            <v>VB1839</v>
          </cell>
          <cell r="D40" t="str">
            <v>Anuj Tewari</v>
          </cell>
          <cell r="E40" t="str">
            <v>Vivek Yadav</v>
          </cell>
          <cell r="F40" t="str">
            <v>AnujT@vbeyond.com</v>
          </cell>
          <cell r="G40">
            <v>6</v>
          </cell>
          <cell r="H40">
            <v>8</v>
          </cell>
          <cell r="I40">
            <v>1.3333333333333333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  <cell r="E41" t="str">
            <v>Vivek Yadav</v>
          </cell>
          <cell r="F41" t="str">
            <v>TauheedA@vbeyond.com</v>
          </cell>
          <cell r="G41">
            <v>3</v>
          </cell>
          <cell r="H41">
            <v>4</v>
          </cell>
          <cell r="I41">
            <v>1.3333333333333333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  <cell r="E42" t="str">
            <v>Vivek Yadav</v>
          </cell>
          <cell r="F42" t="str">
            <v>AbhishekM3@vbeyond.com</v>
          </cell>
          <cell r="G42">
            <v>8</v>
          </cell>
          <cell r="H42">
            <v>2</v>
          </cell>
          <cell r="I42">
            <v>0.25</v>
          </cell>
        </row>
        <row r="43">
          <cell r="B43" t="str">
            <v>Mavericks</v>
          </cell>
          <cell r="C43" t="str">
            <v>VB1677</v>
          </cell>
          <cell r="D43" t="str">
            <v>Arpit Yadav</v>
          </cell>
          <cell r="E43" t="str">
            <v>Vivek Yadav</v>
          </cell>
          <cell r="F43" t="str">
            <v>arpity@vbeyond.com</v>
          </cell>
          <cell r="G43">
            <v>6</v>
          </cell>
          <cell r="H43">
            <v>1</v>
          </cell>
          <cell r="I43">
            <v>0.16666666666666666</v>
          </cell>
        </row>
        <row r="44">
          <cell r="B44" t="str">
            <v>Mavericks</v>
          </cell>
          <cell r="C44" t="str">
            <v>VB2264</v>
          </cell>
          <cell r="D44" t="str">
            <v>Kamal Kant Verma</v>
          </cell>
          <cell r="E44" t="str">
            <v>Vivek Yadav</v>
          </cell>
          <cell r="F44" t="str">
            <v>KamalV@vbeyond.com</v>
          </cell>
          <cell r="G44">
            <v>0</v>
          </cell>
          <cell r="H44">
            <v>0</v>
          </cell>
          <cell r="I44">
            <v>0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  <cell r="E45" t="str">
            <v>Kashif Nabi</v>
          </cell>
          <cell r="F45" t="str">
            <v>KashifN@Vbeyond.com</v>
          </cell>
          <cell r="G45">
            <v>0</v>
          </cell>
          <cell r="H45">
            <v>0</v>
          </cell>
          <cell r="I45" t="e">
            <v>#DIV/0!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  <cell r="E46" t="str">
            <v>Kashif Nabi</v>
          </cell>
          <cell r="F46" t="str">
            <v>RitikA@vbeyond.com</v>
          </cell>
          <cell r="G46">
            <v>6</v>
          </cell>
          <cell r="H46">
            <v>4</v>
          </cell>
          <cell r="I46">
            <v>0.66666666666666663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  <cell r="E47" t="str">
            <v>Kashif Nabi</v>
          </cell>
          <cell r="F47" t="str">
            <v>PriyankaS@vbeyond.com</v>
          </cell>
          <cell r="G47">
            <v>6</v>
          </cell>
          <cell r="H47">
            <v>6</v>
          </cell>
          <cell r="I47">
            <v>1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  <cell r="E48" t="str">
            <v>Kashif Nabi</v>
          </cell>
          <cell r="F48" t="str">
            <v>HarshitaS1@vbeyond.com</v>
          </cell>
          <cell r="G48">
            <v>5</v>
          </cell>
          <cell r="H48">
            <v>5</v>
          </cell>
          <cell r="I48">
            <v>1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  <cell r="E49" t="str">
            <v>Kashif Nabi</v>
          </cell>
          <cell r="F49" t="str">
            <v>ubaidr@vbeyond.com</v>
          </cell>
          <cell r="G49">
            <v>7</v>
          </cell>
          <cell r="H49">
            <v>7</v>
          </cell>
          <cell r="I49">
            <v>1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  <cell r="E50" t="str">
            <v>Kashif Nabi</v>
          </cell>
          <cell r="F50" t="str">
            <v>MohammadA1@vbeyond.com</v>
          </cell>
          <cell r="G50">
            <v>0</v>
          </cell>
          <cell r="H50">
            <v>0</v>
          </cell>
          <cell r="I50">
            <v>0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  <cell r="E51" t="str">
            <v>Kashif Nabi</v>
          </cell>
          <cell r="F51" t="str">
            <v>ArpitG@vbeyond.com</v>
          </cell>
          <cell r="G51">
            <v>5</v>
          </cell>
          <cell r="H51">
            <v>3</v>
          </cell>
          <cell r="I51">
            <v>0.6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  <cell r="E52" t="str">
            <v>Kashif Nabi</v>
          </cell>
          <cell r="F52" t="str">
            <v>VaibhavK@vbeyond.com</v>
          </cell>
          <cell r="G52">
            <v>8</v>
          </cell>
          <cell r="H52">
            <v>3</v>
          </cell>
          <cell r="I52">
            <v>0.375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  <cell r="E53" t="str">
            <v>Kashif Nabi</v>
          </cell>
          <cell r="F53" t="str">
            <v>SatyajeetS@vbeyond.com</v>
          </cell>
          <cell r="G53">
            <v>6</v>
          </cell>
          <cell r="H53">
            <v>2</v>
          </cell>
          <cell r="I53">
            <v>0.33333333333333331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  <cell r="E54" t="str">
            <v>Mohammad Tariq</v>
          </cell>
          <cell r="F54" t="str">
            <v>MohammadT@vbeyond.com</v>
          </cell>
          <cell r="G54">
            <v>4</v>
          </cell>
          <cell r="H54">
            <v>3</v>
          </cell>
          <cell r="I54">
            <v>0.75</v>
          </cell>
        </row>
        <row r="55">
          <cell r="B55" t="str">
            <v>Mavericks</v>
          </cell>
          <cell r="C55" t="str">
            <v>VB2185</v>
          </cell>
          <cell r="D55" t="str">
            <v>Muskan Mishra</v>
          </cell>
          <cell r="E55" t="str">
            <v>Mohammad Tariq</v>
          </cell>
          <cell r="F55" t="str">
            <v>MuskanM@vbeyond.com</v>
          </cell>
          <cell r="G55">
            <v>0</v>
          </cell>
          <cell r="H55">
            <v>0</v>
          </cell>
          <cell r="I55">
            <v>0</v>
          </cell>
        </row>
        <row r="56">
          <cell r="B56" t="str">
            <v>Mavericks</v>
          </cell>
          <cell r="C56" t="str">
            <v>VB2172</v>
          </cell>
          <cell r="D56" t="str">
            <v>Ashish Kushwaha</v>
          </cell>
          <cell r="E56" t="str">
            <v>Mohammad Tariq</v>
          </cell>
          <cell r="F56" t="str">
            <v>AshishK@vbeyond.com</v>
          </cell>
          <cell r="G56">
            <v>4</v>
          </cell>
          <cell r="H56">
            <v>0</v>
          </cell>
          <cell r="I56">
            <v>0</v>
          </cell>
        </row>
        <row r="57">
          <cell r="B57" t="str">
            <v>Mavericks</v>
          </cell>
          <cell r="C57" t="str">
            <v>VB2102 </v>
          </cell>
          <cell r="D57" t="str">
            <v>Apurv Joshi</v>
          </cell>
          <cell r="E57" t="str">
            <v>Mohammad Tariq</v>
          </cell>
          <cell r="F57" t="str">
            <v>ApurvJ@vbeyond.com</v>
          </cell>
          <cell r="G57">
            <v>3</v>
          </cell>
          <cell r="H57">
            <v>0</v>
          </cell>
          <cell r="I57">
            <v>0</v>
          </cell>
        </row>
        <row r="58">
          <cell r="B58" t="str">
            <v>Mavericks</v>
          </cell>
          <cell r="C58" t="str">
            <v>VB2262</v>
          </cell>
          <cell r="D58" t="str">
            <v>Syed Ausaf Ali</v>
          </cell>
          <cell r="E58" t="str">
            <v>Mohammad Tariq</v>
          </cell>
          <cell r="F58" t="str">
            <v>SyedA1@vbeyond.com</v>
          </cell>
          <cell r="G58">
            <v>0</v>
          </cell>
          <cell r="H58">
            <v>0</v>
          </cell>
          <cell r="I58">
            <v>0</v>
          </cell>
        </row>
        <row r="59">
          <cell r="B59" t="str">
            <v>Mavericks</v>
          </cell>
          <cell r="C59" t="str">
            <v>VB0463</v>
          </cell>
          <cell r="D59" t="str">
            <v>Khatib Rahman</v>
          </cell>
          <cell r="E59" t="str">
            <v>Khatib Rahman</v>
          </cell>
          <cell r="F59" t="str">
            <v>KhatibR@vbeyond.com</v>
          </cell>
          <cell r="G59">
            <v>6</v>
          </cell>
          <cell r="H59">
            <v>5</v>
          </cell>
          <cell r="I59">
            <v>0.83333333333333337</v>
          </cell>
        </row>
        <row r="60">
          <cell r="B60" t="str">
            <v>Mavericks</v>
          </cell>
          <cell r="C60" t="str">
            <v>VB1932</v>
          </cell>
          <cell r="D60" t="str">
            <v>Vasudev Srivastava</v>
          </cell>
          <cell r="E60" t="str">
            <v>Khatib Rahman</v>
          </cell>
          <cell r="F60" t="str">
            <v>VasudevS@vbeyond.com</v>
          </cell>
          <cell r="G60">
            <v>4</v>
          </cell>
          <cell r="H60">
            <v>2</v>
          </cell>
          <cell r="I60">
            <v>0.5</v>
          </cell>
        </row>
        <row r="61">
          <cell r="B61" t="str">
            <v>Mavericks</v>
          </cell>
          <cell r="C61" t="str">
            <v>VB2242</v>
          </cell>
          <cell r="D61" t="str">
            <v>Shraddha Patel</v>
          </cell>
          <cell r="E61" t="str">
            <v>Khatib Rahman</v>
          </cell>
          <cell r="F61" t="str">
            <v>ShraddhaP@vbeyond.com</v>
          </cell>
          <cell r="G61">
            <v>0</v>
          </cell>
          <cell r="H61">
            <v>0</v>
          </cell>
          <cell r="I61">
            <v>0</v>
          </cell>
        </row>
        <row r="62">
          <cell r="B62" t="str">
            <v>Mavericks</v>
          </cell>
          <cell r="C62" t="str">
            <v>VB0183</v>
          </cell>
          <cell r="D62" t="str">
            <v>Saurabh Mishra</v>
          </cell>
          <cell r="E62" t="str">
            <v>Khatib Rahman</v>
          </cell>
          <cell r="F62" t="str">
            <v>SaurabhM@vbeyond.com</v>
          </cell>
          <cell r="G62">
            <v>8</v>
          </cell>
          <cell r="H62">
            <v>1</v>
          </cell>
          <cell r="I62">
            <v>0.125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  <cell r="E63" t="str">
            <v>Khatib Rahman</v>
          </cell>
          <cell r="F63" t="str">
            <v>VikasM@vbeyond.com</v>
          </cell>
          <cell r="G63">
            <v>0</v>
          </cell>
          <cell r="H63">
            <v>1</v>
          </cell>
          <cell r="I63" t="e">
            <v>#DIV/0!</v>
          </cell>
        </row>
        <row r="64">
          <cell r="B64" t="str">
            <v>Mavericks</v>
          </cell>
          <cell r="C64" t="str">
            <v>VB2132</v>
          </cell>
          <cell r="D64" t="str">
            <v>Durgesh Kumar Jha</v>
          </cell>
          <cell r="E64" t="str">
            <v>Khatib Rahman</v>
          </cell>
          <cell r="F64" t="str">
            <v>DurgeshJ@vbeyond.com</v>
          </cell>
          <cell r="G64">
            <v>0</v>
          </cell>
          <cell r="H64">
            <v>1</v>
          </cell>
          <cell r="I64" t="e">
            <v>#DIV/0!</v>
          </cell>
        </row>
        <row r="65">
          <cell r="B65" t="str">
            <v>Mavericks</v>
          </cell>
          <cell r="C65" t="str">
            <v>VB2133</v>
          </cell>
          <cell r="D65" t="str">
            <v>MD Rahmat Ali</v>
          </cell>
          <cell r="E65" t="str">
            <v>Khatib Rahman</v>
          </cell>
          <cell r="F65" t="str">
            <v>RahmatA@vbeyond.com</v>
          </cell>
          <cell r="G65">
            <v>0</v>
          </cell>
          <cell r="H65">
            <v>0</v>
          </cell>
          <cell r="I65" t="e">
            <v>#DIV/0!</v>
          </cell>
        </row>
        <row r="66">
          <cell r="B66" t="str">
            <v>Mavericks</v>
          </cell>
          <cell r="C66" t="str">
            <v>VB2244</v>
          </cell>
          <cell r="D66" t="str">
            <v>Roshan Chaturvedi</v>
          </cell>
          <cell r="E66" t="str">
            <v>Khatib Rahman</v>
          </cell>
          <cell r="F66" t="str">
            <v>RoshanC@vbeyond.com</v>
          </cell>
          <cell r="G66">
            <v>0</v>
          </cell>
          <cell r="H66">
            <v>0</v>
          </cell>
          <cell r="I66" t="e">
            <v>#DIV/0!</v>
          </cell>
        </row>
        <row r="67">
          <cell r="B67" t="str">
            <v>Mavericks</v>
          </cell>
          <cell r="C67" t="str">
            <v>VB2248</v>
          </cell>
          <cell r="D67" t="str">
            <v>Kajal Saini</v>
          </cell>
          <cell r="E67" t="str">
            <v>Khatib Rahman</v>
          </cell>
          <cell r="F67" t="str">
            <v>KajalS1@vbeyond.com</v>
          </cell>
          <cell r="G67">
            <v>0</v>
          </cell>
          <cell r="H67">
            <v>0</v>
          </cell>
          <cell r="I67" t="e">
            <v>#DIV/0!</v>
          </cell>
        </row>
        <row r="68">
          <cell r="B68" t="str">
            <v>Vantedge</v>
          </cell>
          <cell r="C68" t="str">
            <v>VB0422</v>
          </cell>
          <cell r="D68" t="str">
            <v>Umar Mujahid Husain</v>
          </cell>
          <cell r="E68" t="str">
            <v>Umar Mujahid Husain</v>
          </cell>
          <cell r="F68" t="str">
            <v>umarh@vantedgesearch.com</v>
          </cell>
          <cell r="G68">
            <v>100000</v>
          </cell>
          <cell r="H68">
            <v>122050</v>
          </cell>
          <cell r="I68">
            <v>1.2204999999999999</v>
          </cell>
        </row>
        <row r="69">
          <cell r="B69" t="str">
            <v>Vantedge</v>
          </cell>
          <cell r="C69" t="str">
            <v>VB1758</v>
          </cell>
          <cell r="D69" t="str">
            <v>Syed Ahrar Abbas Zaidi</v>
          </cell>
          <cell r="E69" t="str">
            <v>Umar Mujahid Husain</v>
          </cell>
          <cell r="F69" t="str">
            <v>syedz@vantedgesearch.com</v>
          </cell>
          <cell r="G69">
            <v>100000</v>
          </cell>
          <cell r="H69">
            <v>180150</v>
          </cell>
          <cell r="I69">
            <v>1.8015000000000001</v>
          </cell>
        </row>
        <row r="70">
          <cell r="B70" t="str">
            <v>Vantedge</v>
          </cell>
          <cell r="C70" t="str">
            <v>VB1858</v>
          </cell>
          <cell r="D70" t="str">
            <v>Abhay Pratap Singh</v>
          </cell>
          <cell r="E70" t="str">
            <v>Umar Mujahid Husain</v>
          </cell>
          <cell r="F70" t="str">
            <v>abhays@vantedgesearch.com</v>
          </cell>
          <cell r="G70">
            <v>75000</v>
          </cell>
          <cell r="H70">
            <v>68075</v>
          </cell>
          <cell r="I70">
            <v>0.90766666666666662</v>
          </cell>
        </row>
        <row r="71">
          <cell r="B71" t="str">
            <v>Vantedge</v>
          </cell>
          <cell r="C71" t="str">
            <v>VB2024</v>
          </cell>
          <cell r="D71" t="str">
            <v>Astha Srivastava</v>
          </cell>
          <cell r="E71" t="str">
            <v>Umar Mujahid Husain</v>
          </cell>
          <cell r="F71" t="str">
            <v>asthas2@vantedgesearch.com</v>
          </cell>
          <cell r="G71">
            <v>55000</v>
          </cell>
          <cell r="H71">
            <v>45000</v>
          </cell>
          <cell r="I71">
            <v>0.81818181818181823</v>
          </cell>
        </row>
        <row r="72">
          <cell r="B72" t="str">
            <v>Vantedge</v>
          </cell>
          <cell r="C72" t="str">
            <v>VB2269</v>
          </cell>
          <cell r="D72" t="str">
            <v>Shatakshi Sharma</v>
          </cell>
          <cell r="E72" t="str">
            <v>Umar Mujahid Husain</v>
          </cell>
          <cell r="F72" t="str">
            <v>shatakshis@vantedgesearch.com</v>
          </cell>
        </row>
        <row r="73">
          <cell r="B73" t="str">
            <v>Vantedge</v>
          </cell>
          <cell r="C73" t="str">
            <v>VB2270</v>
          </cell>
          <cell r="D73" t="str">
            <v>Kanchankshi Tripathi</v>
          </cell>
          <cell r="E73" t="str">
            <v>Umar Mujahid Husain</v>
          </cell>
          <cell r="F73" t="str">
            <v>kanchanakshit@vantedgesearch.com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  <cell r="E74" t="str">
            <v>Umar Mujahid Husain</v>
          </cell>
          <cell r="F74" t="str">
            <v>abbass@vantedgesearch.com</v>
          </cell>
          <cell r="G74">
            <v>5</v>
          </cell>
          <cell r="H74">
            <v>4</v>
          </cell>
          <cell r="I74">
            <v>0.8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  <cell r="E75" t="str">
            <v>Anshul Kumar</v>
          </cell>
          <cell r="F75" t="str">
            <v>AKumar@VantedgeSearch.com</v>
          </cell>
          <cell r="G75">
            <v>50000</v>
          </cell>
          <cell r="H75">
            <v>96100</v>
          </cell>
          <cell r="I75">
            <v>1.9219999999999999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  <cell r="E76" t="str">
            <v>Anshul Kumar</v>
          </cell>
          <cell r="F76" t="str">
            <v>AbhishekS3@VantedgeSearch.com</v>
          </cell>
          <cell r="G76">
            <v>60000</v>
          </cell>
          <cell r="H76">
            <v>0</v>
          </cell>
          <cell r="I76">
            <v>0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  <cell r="E77" t="str">
            <v>Anshul Kumar</v>
          </cell>
          <cell r="F77" t="str">
            <v>AnamikaD@VantedgeSearch.com</v>
          </cell>
          <cell r="G77">
            <v>30000</v>
          </cell>
          <cell r="H77">
            <v>25000</v>
          </cell>
          <cell r="I77">
            <v>0.83333333333333337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  <cell r="E78" t="str">
            <v>Anshul Kumar</v>
          </cell>
          <cell r="F78" t="str">
            <v>priyanshkhare@vantedgesearch.com</v>
          </cell>
          <cell r="G78">
            <v>100000</v>
          </cell>
          <cell r="H78">
            <v>42376</v>
          </cell>
          <cell r="I78">
            <v>0.42376000000000003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  <cell r="E79" t="str">
            <v>Anshul Kumar</v>
          </cell>
          <cell r="F79" t="str">
            <v>SmritiJ@VantedgeSearch.com</v>
          </cell>
          <cell r="G79">
            <v>30000</v>
          </cell>
          <cell r="H79">
            <v>0</v>
          </cell>
          <cell r="I79">
            <v>0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  <cell r="E80" t="str">
            <v>Anshul Kumar</v>
          </cell>
          <cell r="F80" t="str">
            <v>ShreyaS@VantedgeSearch.com</v>
          </cell>
          <cell r="G80">
            <v>100000</v>
          </cell>
          <cell r="H80">
            <v>86050</v>
          </cell>
          <cell r="I80">
            <v>0.86050000000000004</v>
          </cell>
        </row>
        <row r="81">
          <cell r="B81" t="str">
            <v>Vantedge</v>
          </cell>
          <cell r="C81" t="str">
            <v>VB0542</v>
          </cell>
          <cell r="D81" t="str">
            <v>Mayank Saxena</v>
          </cell>
          <cell r="E81" t="str">
            <v>Mayank Saxena</v>
          </cell>
          <cell r="F81" t="str">
            <v>MayankS@VantedgeSearch.com</v>
          </cell>
          <cell r="G81">
            <v>50000</v>
          </cell>
          <cell r="H81">
            <v>119050</v>
          </cell>
          <cell r="I81">
            <v>2.3809999999999998</v>
          </cell>
        </row>
        <row r="82">
          <cell r="B82" t="str">
            <v>Vantedge</v>
          </cell>
          <cell r="C82" t="str">
            <v>VB0956</v>
          </cell>
          <cell r="D82" t="str">
            <v>Govind Srivastava</v>
          </cell>
          <cell r="E82" t="str">
            <v>Mayank Saxena</v>
          </cell>
          <cell r="F82" t="str">
            <v>GovindS@VantedgeSearch.com</v>
          </cell>
          <cell r="G82">
            <v>120000</v>
          </cell>
          <cell r="H82">
            <v>152000</v>
          </cell>
          <cell r="I82">
            <v>1.2666666666666666</v>
          </cell>
        </row>
        <row r="83">
          <cell r="B83" t="str">
            <v>Vantedge</v>
          </cell>
          <cell r="C83" t="str">
            <v>VB1891</v>
          </cell>
          <cell r="D83" t="str">
            <v>Umang Srivastava</v>
          </cell>
          <cell r="E83" t="str">
            <v>Mayank Saxena</v>
          </cell>
          <cell r="F83" t="str">
            <v>UmangS@VantedgeSearch.com</v>
          </cell>
          <cell r="G83">
            <v>55000</v>
          </cell>
          <cell r="H83">
            <v>57500</v>
          </cell>
          <cell r="I83">
            <v>1.0454545454545454</v>
          </cell>
        </row>
        <row r="84">
          <cell r="B84" t="str">
            <v>Vantedge</v>
          </cell>
          <cell r="C84" t="str">
            <v>VB2254</v>
          </cell>
          <cell r="D84" t="str">
            <v>Tushar Kumar</v>
          </cell>
          <cell r="E84" t="str">
            <v>Mayank Saxena</v>
          </cell>
          <cell r="F84" t="str">
            <v>TusharK@Vantedgesearch.com</v>
          </cell>
        </row>
        <row r="85">
          <cell r="B85" t="str">
            <v>Vantedge</v>
          </cell>
          <cell r="C85" t="str">
            <v>VB0140</v>
          </cell>
          <cell r="D85" t="str">
            <v>Prachi Pandey</v>
          </cell>
          <cell r="E85" t="str">
            <v>Mayank Saxena</v>
          </cell>
          <cell r="F85" t="str">
            <v>PrachiP@VBeyondEurope.com</v>
          </cell>
          <cell r="G85">
            <v>80000</v>
          </cell>
          <cell r="H85">
            <v>8450</v>
          </cell>
          <cell r="I85">
            <v>0.105625</v>
          </cell>
        </row>
        <row r="86">
          <cell r="B86" t="str">
            <v>Vantedge</v>
          </cell>
          <cell r="C86" t="str">
            <v>VB2292</v>
          </cell>
          <cell r="D86" t="str">
            <v>Shahbaz Ahmad Khand</v>
          </cell>
          <cell r="E86" t="str">
            <v>Mayank Saxena</v>
          </cell>
          <cell r="F86" t="str">
            <v>Shahbazk@VantedgeSearch.com</v>
          </cell>
        </row>
        <row r="87">
          <cell r="B87" t="str">
            <v>Vantedge</v>
          </cell>
          <cell r="C87" t="str">
            <v>VB0312</v>
          </cell>
          <cell r="D87" t="str">
            <v>Raunak Tripathi</v>
          </cell>
          <cell r="E87" t="str">
            <v>Raunak Tripathi</v>
          </cell>
          <cell r="F87" t="str">
            <v>RaunakT@VantedgeSearch.com</v>
          </cell>
          <cell r="G87">
            <v>50000</v>
          </cell>
          <cell r="H87">
            <v>0</v>
          </cell>
          <cell r="I87">
            <v>0</v>
          </cell>
        </row>
        <row r="88">
          <cell r="B88" t="str">
            <v>Vantedge</v>
          </cell>
          <cell r="C88" t="str">
            <v>VB1748</v>
          </cell>
          <cell r="D88" t="str">
            <v>Devansh Mishra</v>
          </cell>
          <cell r="E88" t="str">
            <v>Raunak Tripathi</v>
          </cell>
          <cell r="F88" t="str">
            <v>devanshm@vantedgesearch.com</v>
          </cell>
          <cell r="G88">
            <v>55000</v>
          </cell>
          <cell r="H88">
            <v>67400</v>
          </cell>
          <cell r="I88">
            <v>1.2254545454545454</v>
          </cell>
        </row>
        <row r="89">
          <cell r="B89" t="str">
            <v>Vantedge</v>
          </cell>
          <cell r="C89" t="str">
            <v>VB1696</v>
          </cell>
          <cell r="D89" t="str">
            <v>Prithvi Singh</v>
          </cell>
          <cell r="E89" t="str">
            <v>Raunak Tripathi</v>
          </cell>
          <cell r="F89" t="str">
            <v>prithvis@vantedgesearch.com</v>
          </cell>
          <cell r="G89">
            <v>80000</v>
          </cell>
          <cell r="H89">
            <v>39000</v>
          </cell>
          <cell r="I89">
            <v>0.48749999999999999</v>
          </cell>
        </row>
        <row r="90">
          <cell r="B90" t="str">
            <v>Vantedge</v>
          </cell>
          <cell r="C90" t="str">
            <v>VB1945</v>
          </cell>
          <cell r="D90" t="str">
            <v>Pulkit prakash</v>
          </cell>
          <cell r="E90" t="str">
            <v>Raunak Tripathi</v>
          </cell>
          <cell r="F90" t="str">
            <v>pulkitp@vantedgesearch.com</v>
          </cell>
          <cell r="G90">
            <v>80000</v>
          </cell>
          <cell r="H90">
            <v>70894</v>
          </cell>
          <cell r="I90">
            <v>0.88617500000000005</v>
          </cell>
        </row>
        <row r="91">
          <cell r="B91" t="str">
            <v>Vantedge</v>
          </cell>
          <cell r="C91" t="str">
            <v>VB1902</v>
          </cell>
          <cell r="D91" t="str">
            <v>Ranjeet Kumar</v>
          </cell>
          <cell r="E91" t="str">
            <v>Raunak Tripathi</v>
          </cell>
          <cell r="F91" t="str">
            <v>RanjeetK@VantedgeSearch.com</v>
          </cell>
          <cell r="G91">
            <v>80000</v>
          </cell>
          <cell r="H91">
            <v>61350</v>
          </cell>
          <cell r="I91">
            <v>0.76687499999999997</v>
          </cell>
        </row>
        <row r="92">
          <cell r="B92" t="str">
            <v>Vantedge</v>
          </cell>
          <cell r="D92" t="str">
            <v>Rashmi Bhatnagar</v>
          </cell>
          <cell r="E92" t="str">
            <v>Rashmi Bhatnagar</v>
          </cell>
          <cell r="F92" t="str">
            <v>rashmib@vantedgesearch.com</v>
          </cell>
          <cell r="G92">
            <v>100000</v>
          </cell>
          <cell r="H92">
            <v>49804.84</v>
          </cell>
          <cell r="I92">
            <v>0.49804839999999995</v>
          </cell>
        </row>
        <row r="93">
          <cell r="B93" t="str">
            <v>Vantedge</v>
          </cell>
          <cell r="C93" t="str">
            <v>VB1860</v>
          </cell>
          <cell r="D93" t="str">
            <v>Shivanshu Mishra</v>
          </cell>
          <cell r="E93" t="str">
            <v>Rashmi Bhatnagar</v>
          </cell>
          <cell r="F93" t="str">
            <v>shivanshum@vantedgesearch.com</v>
          </cell>
          <cell r="G93">
            <v>75000</v>
          </cell>
          <cell r="H93">
            <v>0</v>
          </cell>
          <cell r="I93">
            <v>0</v>
          </cell>
        </row>
        <row r="94">
          <cell r="B94" t="str">
            <v>Vantedge</v>
          </cell>
          <cell r="C94" t="str">
            <v>VB1557</v>
          </cell>
          <cell r="D94" t="str">
            <v>Devashish Sinha</v>
          </cell>
          <cell r="E94" t="str">
            <v>Rohini Parihar</v>
          </cell>
          <cell r="F94" t="str">
            <v>devashishs@vantedgesearch.com</v>
          </cell>
          <cell r="G94">
            <v>4</v>
          </cell>
          <cell r="H94">
            <v>1</v>
          </cell>
          <cell r="I94">
            <v>0.25</v>
          </cell>
        </row>
        <row r="95">
          <cell r="B95" t="str">
            <v>Vantedge</v>
          </cell>
          <cell r="C95" t="str">
            <v>VB1736</v>
          </cell>
          <cell r="D95" t="str">
            <v>Anam Hasan</v>
          </cell>
          <cell r="E95" t="str">
            <v>Rohini Parihar</v>
          </cell>
          <cell r="F95" t="str">
            <v>anamh@vantedgesearch.com</v>
          </cell>
          <cell r="G95">
            <v>4</v>
          </cell>
          <cell r="H95">
            <v>1</v>
          </cell>
          <cell r="I95">
            <v>0.25</v>
          </cell>
        </row>
        <row r="96">
          <cell r="B96" t="str">
            <v>Vantedge</v>
          </cell>
          <cell r="C96" t="str">
            <v xml:space="preserve">VB1080 </v>
          </cell>
          <cell r="D96" t="str">
            <v>Tanya Mishra</v>
          </cell>
          <cell r="E96" t="str">
            <v>Rohini Parihar</v>
          </cell>
          <cell r="F96" t="str">
            <v>tanyam@vantedgesearch.com</v>
          </cell>
          <cell r="G96">
            <v>4</v>
          </cell>
          <cell r="H96">
            <v>5</v>
          </cell>
          <cell r="I96">
            <v>1.25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  <cell r="E97" t="str">
            <v>Rohini Parihar</v>
          </cell>
          <cell r="F97" t="str">
            <v>rohinip@vantedgesearch.com</v>
          </cell>
          <cell r="G97" t="str">
            <v>-</v>
          </cell>
          <cell r="H97">
            <v>2</v>
          </cell>
          <cell r="I97" t="e">
            <v>#VALUE!</v>
          </cell>
        </row>
        <row r="98">
          <cell r="B98" t="str">
            <v>Vantedge</v>
          </cell>
          <cell r="C98" t="str">
            <v>VB2059</v>
          </cell>
          <cell r="D98" t="str">
            <v>Kartikeya Singh</v>
          </cell>
          <cell r="E98" t="str">
            <v>Rohini Parihar</v>
          </cell>
          <cell r="F98" t="str">
            <v>kartikeyas@vantedgesearch.com</v>
          </cell>
        </row>
        <row r="99">
          <cell r="B99" t="str">
            <v>Vantedge</v>
          </cell>
          <cell r="C99" t="str">
            <v>VB2255</v>
          </cell>
          <cell r="D99" t="str">
            <v>Yamini</v>
          </cell>
          <cell r="E99" t="str">
            <v>Rohini Parihar</v>
          </cell>
          <cell r="F99" t="str">
            <v>yamini@vantedgesearch.com</v>
          </cell>
        </row>
        <row r="100">
          <cell r="B100" t="str">
            <v>CSK</v>
          </cell>
          <cell r="C100" t="str">
            <v>VB0479</v>
          </cell>
          <cell r="D100" t="str">
            <v>Vinoth L</v>
          </cell>
          <cell r="E100" t="str">
            <v>Vinoth L</v>
          </cell>
          <cell r="F100" t="str">
            <v>VinothL@vbeyond.com</v>
          </cell>
          <cell r="G100">
            <v>0</v>
          </cell>
          <cell r="H100">
            <v>0</v>
          </cell>
          <cell r="I100" t="e">
            <v>#DIV/0!</v>
          </cell>
        </row>
        <row r="101">
          <cell r="B101" t="str">
            <v>CSK</v>
          </cell>
          <cell r="C101" t="str">
            <v>VB0541</v>
          </cell>
          <cell r="D101" t="str">
            <v>M Harinath</v>
          </cell>
          <cell r="E101" t="str">
            <v>Vinoth L</v>
          </cell>
          <cell r="F101" t="str">
            <v>HarinathM@vbeyond.com</v>
          </cell>
          <cell r="G101">
            <v>6</v>
          </cell>
          <cell r="H101">
            <v>9</v>
          </cell>
          <cell r="I101">
            <v>1.5</v>
          </cell>
        </row>
        <row r="102">
          <cell r="B102" t="str">
            <v>CSK</v>
          </cell>
          <cell r="C102" t="str">
            <v>VB1525</v>
          </cell>
          <cell r="D102" t="str">
            <v>R Richardson</v>
          </cell>
          <cell r="E102" t="str">
            <v>Vinoth L</v>
          </cell>
          <cell r="F102" t="str">
            <v>Richardson@vbeyond.com</v>
          </cell>
          <cell r="G102">
            <v>4</v>
          </cell>
          <cell r="H102">
            <v>2</v>
          </cell>
          <cell r="I102">
            <v>0.5</v>
          </cell>
        </row>
        <row r="103">
          <cell r="B103" t="str">
            <v>CSK</v>
          </cell>
          <cell r="C103" t="str">
            <v>VB2019</v>
          </cell>
          <cell r="D103" t="str">
            <v>Lokesh R</v>
          </cell>
          <cell r="E103" t="str">
            <v>Vinoth L</v>
          </cell>
          <cell r="F103" t="str">
            <v>LokeshR@vbeyond.com</v>
          </cell>
          <cell r="G103">
            <v>4</v>
          </cell>
          <cell r="H103">
            <v>1</v>
          </cell>
          <cell r="I103">
            <v>0.25</v>
          </cell>
        </row>
        <row r="104">
          <cell r="B104" t="str">
            <v>CSK</v>
          </cell>
          <cell r="C104" t="str">
            <v>VB2171</v>
          </cell>
          <cell r="D104" t="str">
            <v>Jagan Prabhu Vedhagiri</v>
          </cell>
          <cell r="E104" t="str">
            <v>Vinoth L</v>
          </cell>
          <cell r="F104" t="str">
            <v>JaganV@vbeyond.com</v>
          </cell>
          <cell r="G104">
            <v>3</v>
          </cell>
          <cell r="H104">
            <v>1</v>
          </cell>
          <cell r="I104">
            <v>0.33333333333333331</v>
          </cell>
        </row>
        <row r="105">
          <cell r="B105" t="str">
            <v>CSK</v>
          </cell>
          <cell r="C105" t="str">
            <v>VB1069</v>
          </cell>
          <cell r="D105" t="str">
            <v>Dinesh Kumar Veluchamy</v>
          </cell>
          <cell r="E105" t="str">
            <v>Vinoth L</v>
          </cell>
          <cell r="F105" t="str">
            <v>DineshV@vbeyond.com</v>
          </cell>
          <cell r="G105">
            <v>5</v>
          </cell>
          <cell r="H105">
            <v>6</v>
          </cell>
          <cell r="I105">
            <v>1.2</v>
          </cell>
        </row>
        <row r="106">
          <cell r="B106" t="str">
            <v>CSK</v>
          </cell>
          <cell r="C106" t="str">
            <v>VB2278</v>
          </cell>
          <cell r="D106" t="str">
            <v>Vishnukanth</v>
          </cell>
          <cell r="E106" t="str">
            <v>Vinoth L</v>
          </cell>
          <cell r="F106" t="str">
            <v>VishnukanthR@vbeyond.com</v>
          </cell>
          <cell r="G106">
            <v>0</v>
          </cell>
          <cell r="H106">
            <v>0</v>
          </cell>
          <cell r="I106" t="e">
            <v>#DIV/0!</v>
          </cell>
        </row>
        <row r="107">
          <cell r="B107" t="str">
            <v>CSK</v>
          </cell>
          <cell r="C107" t="str">
            <v>VB1298</v>
          </cell>
          <cell r="D107" t="str">
            <v>Gayathri.J</v>
          </cell>
          <cell r="E107" t="str">
            <v>Vinoth L</v>
          </cell>
          <cell r="F107" t="str">
            <v>GayathriJ@vbeyond.com</v>
          </cell>
          <cell r="G107">
            <v>5</v>
          </cell>
          <cell r="H107">
            <v>3</v>
          </cell>
          <cell r="I107">
            <v>0.6</v>
          </cell>
        </row>
        <row r="108">
          <cell r="B108" t="str">
            <v>CSK</v>
          </cell>
          <cell r="C108" t="str">
            <v>VB2126</v>
          </cell>
          <cell r="D108" t="str">
            <v>Thomas J</v>
          </cell>
          <cell r="E108" t="str">
            <v>Vinoth L</v>
          </cell>
          <cell r="F108" t="str">
            <v>ThomasJ@vbeyond.com</v>
          </cell>
          <cell r="G108">
            <v>2</v>
          </cell>
          <cell r="H108">
            <v>0</v>
          </cell>
          <cell r="I108">
            <v>0</v>
          </cell>
        </row>
        <row r="109">
          <cell r="B109" t="str">
            <v>CSK</v>
          </cell>
          <cell r="C109" t="str">
            <v>VB0411</v>
          </cell>
          <cell r="D109" t="str">
            <v>Akbar Ibrahim</v>
          </cell>
          <cell r="E109" t="str">
            <v>Akbar Ibrahim</v>
          </cell>
          <cell r="F109" t="str">
            <v>AkbarI@Vbeyond.com</v>
          </cell>
          <cell r="G109" t="str">
            <v>-</v>
          </cell>
          <cell r="H109">
            <v>0</v>
          </cell>
          <cell r="I109" t="e">
            <v>#VALUE!</v>
          </cell>
        </row>
        <row r="110">
          <cell r="B110" t="str">
            <v>CSK</v>
          </cell>
          <cell r="C110" t="str">
            <v>VB1068</v>
          </cell>
          <cell r="D110" t="str">
            <v>Ajithkumar G</v>
          </cell>
          <cell r="E110" t="str">
            <v>Akbar Ibrahim</v>
          </cell>
          <cell r="F110" t="str">
            <v>ajithg@vbeyond.com</v>
          </cell>
          <cell r="G110">
            <v>6</v>
          </cell>
          <cell r="H110">
            <v>6</v>
          </cell>
          <cell r="I110">
            <v>1</v>
          </cell>
        </row>
        <row r="111">
          <cell r="B111" t="str">
            <v>CSK</v>
          </cell>
          <cell r="C111" t="str">
            <v>VB1862</v>
          </cell>
          <cell r="D111" t="str">
            <v>Kishore Gopi</v>
          </cell>
          <cell r="E111" t="str">
            <v>Akbar Ibrahim</v>
          </cell>
          <cell r="F111" t="str">
            <v>KishoreG@vbeyond.com</v>
          </cell>
          <cell r="G111">
            <v>5</v>
          </cell>
          <cell r="H111">
            <v>1</v>
          </cell>
          <cell r="I111">
            <v>0.2</v>
          </cell>
        </row>
        <row r="112">
          <cell r="B112" t="str">
            <v>CSK</v>
          </cell>
          <cell r="C112" t="str">
            <v>VB2234</v>
          </cell>
          <cell r="D112" t="str">
            <v>Dhivakar B</v>
          </cell>
          <cell r="E112" t="str">
            <v>Akbar Ibrahim</v>
          </cell>
          <cell r="F112" t="str">
            <v>DhivakarB@vbeyond.com</v>
          </cell>
          <cell r="G112">
            <v>3</v>
          </cell>
          <cell r="H112">
            <v>1</v>
          </cell>
          <cell r="I112">
            <v>0.33333333333333331</v>
          </cell>
        </row>
        <row r="113">
          <cell r="B113" t="str">
            <v>CSK</v>
          </cell>
          <cell r="C113" t="str">
            <v>VB1064</v>
          </cell>
          <cell r="D113" t="str">
            <v>Priyanga S</v>
          </cell>
          <cell r="E113" t="str">
            <v>Akbar Ibrahim</v>
          </cell>
          <cell r="F113" t="str">
            <v>PriyangaS@vbeyond.com</v>
          </cell>
          <cell r="G113">
            <v>6</v>
          </cell>
          <cell r="H113">
            <v>0</v>
          </cell>
          <cell r="I113">
            <v>0</v>
          </cell>
        </row>
        <row r="114">
          <cell r="B114" t="str">
            <v>CSK</v>
          </cell>
          <cell r="C114" t="str">
            <v>VB2067</v>
          </cell>
          <cell r="D114" t="str">
            <v>Rubini Mohan</v>
          </cell>
          <cell r="E114" t="str">
            <v>Akbar Ibrahim</v>
          </cell>
          <cell r="F114" t="str">
            <v>RubiniM@vbeyond.com</v>
          </cell>
          <cell r="G114">
            <v>4</v>
          </cell>
          <cell r="H114">
            <v>1</v>
          </cell>
          <cell r="I114">
            <v>0.25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  <cell r="E115" t="str">
            <v>Akbar Ibrahim</v>
          </cell>
          <cell r="F115" t="str">
            <v>RamananK@vbeyond.com</v>
          </cell>
          <cell r="G115">
            <v>4</v>
          </cell>
          <cell r="H115">
            <v>0</v>
          </cell>
          <cell r="I115">
            <v>0</v>
          </cell>
        </row>
        <row r="116">
          <cell r="B116" t="str">
            <v>CSK</v>
          </cell>
          <cell r="C116" t="str">
            <v>VB2162</v>
          </cell>
          <cell r="D116" t="str">
            <v>Dasive Prakash S</v>
          </cell>
          <cell r="E116" t="str">
            <v>Akbar Ibrahim</v>
          </cell>
          <cell r="F116" t="str">
            <v>DasiveS@vbeyond.com</v>
          </cell>
          <cell r="G116">
            <v>3</v>
          </cell>
          <cell r="H116">
            <v>1</v>
          </cell>
          <cell r="I116">
            <v>0.33333333333333331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  <cell r="E117" t="str">
            <v>Akbar Ibrahim</v>
          </cell>
          <cell r="F117" t="str">
            <v>RohiniL@vbeyond.com</v>
          </cell>
          <cell r="G117">
            <v>2</v>
          </cell>
          <cell r="H117">
            <v>0</v>
          </cell>
          <cell r="I117">
            <v>0</v>
          </cell>
        </row>
        <row r="118">
          <cell r="B118" t="str">
            <v>CSK</v>
          </cell>
          <cell r="C118" t="str">
            <v>VB2160</v>
          </cell>
          <cell r="D118" t="str">
            <v>Sophia R</v>
          </cell>
          <cell r="E118" t="str">
            <v>Akbar Ibrahim</v>
          </cell>
          <cell r="F118" t="str">
            <v>SophiaR@vbeyond.com</v>
          </cell>
          <cell r="G118">
            <v>2</v>
          </cell>
          <cell r="H118">
            <v>0</v>
          </cell>
          <cell r="I118">
            <v>0</v>
          </cell>
        </row>
        <row r="119">
          <cell r="B119" t="str">
            <v>Pioneer</v>
          </cell>
          <cell r="C119" t="str">
            <v>VB0678</v>
          </cell>
          <cell r="D119" t="str">
            <v>Lucky Jain</v>
          </cell>
          <cell r="E119" t="str">
            <v>Lucky Jain</v>
          </cell>
          <cell r="F119" t="str">
            <v>LuckyJ@Vbeyond.com</v>
          </cell>
          <cell r="G119" t="str">
            <v>-</v>
          </cell>
          <cell r="H119">
            <v>0</v>
          </cell>
          <cell r="I119" t="e">
            <v>#VALUE!</v>
          </cell>
        </row>
        <row r="120">
          <cell r="B120" t="str">
            <v>Pioneer</v>
          </cell>
          <cell r="C120" t="str">
            <v>VB0914</v>
          </cell>
          <cell r="D120" t="str">
            <v>Abhishek Rajpoot</v>
          </cell>
          <cell r="E120" t="str">
            <v>Lucky Jain</v>
          </cell>
          <cell r="F120" t="str">
            <v>AbhishekR1@vbeyond.com</v>
          </cell>
          <cell r="G120">
            <v>6</v>
          </cell>
          <cell r="H120">
            <v>4</v>
          </cell>
          <cell r="I120">
            <v>0.66666666666666663</v>
          </cell>
        </row>
        <row r="121">
          <cell r="B121" t="str">
            <v>Pioneer</v>
          </cell>
          <cell r="C121" t="str">
            <v>VB2046</v>
          </cell>
          <cell r="D121" t="str">
            <v>Ansh Singh Rathore</v>
          </cell>
          <cell r="E121" t="str">
            <v>Lucky Jain</v>
          </cell>
          <cell r="F121" t="str">
            <v>AnshR@vbeyond.com</v>
          </cell>
          <cell r="G121">
            <v>3</v>
          </cell>
          <cell r="H121">
            <v>2</v>
          </cell>
          <cell r="I121">
            <v>0.66666666666666663</v>
          </cell>
        </row>
        <row r="122">
          <cell r="B122" t="str">
            <v>Pioneer</v>
          </cell>
          <cell r="C122" t="str">
            <v>VB2240</v>
          </cell>
          <cell r="D122" t="str">
            <v>Vinay Kumar Pandey</v>
          </cell>
          <cell r="E122" t="str">
            <v>Lucky Jain</v>
          </cell>
          <cell r="F122" t="str">
            <v>VinayP@vbeyond.com</v>
          </cell>
          <cell r="G122">
            <v>6</v>
          </cell>
          <cell r="H122">
            <v>0</v>
          </cell>
          <cell r="I122">
            <v>0</v>
          </cell>
        </row>
        <row r="123">
          <cell r="B123" t="str">
            <v>Pioneer</v>
          </cell>
          <cell r="C123" t="str">
            <v>VB1837</v>
          </cell>
          <cell r="D123" t="str">
            <v>Prachi Verma</v>
          </cell>
          <cell r="E123" t="str">
            <v>Lucky Jain</v>
          </cell>
          <cell r="F123" t="str">
            <v>PrachiV@vbeyond.com</v>
          </cell>
          <cell r="G123">
            <v>5</v>
          </cell>
          <cell r="H123">
            <v>1</v>
          </cell>
          <cell r="I123">
            <v>0.2</v>
          </cell>
        </row>
        <row r="124">
          <cell r="B124" t="str">
            <v>Pioneer</v>
          </cell>
          <cell r="C124" t="str">
            <v>VB1276</v>
          </cell>
          <cell r="D124" t="str">
            <v>Pragati Mishra</v>
          </cell>
          <cell r="E124" t="str">
            <v>Lucky Jain</v>
          </cell>
          <cell r="F124" t="str">
            <v>PragatiM@vbeyond.com</v>
          </cell>
          <cell r="G124">
            <v>5</v>
          </cell>
          <cell r="H124">
            <v>1</v>
          </cell>
          <cell r="I124">
            <v>0.2</v>
          </cell>
        </row>
        <row r="125">
          <cell r="B125" t="str">
            <v>Pioneer</v>
          </cell>
          <cell r="C125" t="str">
            <v>VB1240</v>
          </cell>
          <cell r="D125" t="str">
            <v>Rishabh Singh</v>
          </cell>
          <cell r="E125" t="str">
            <v>Lucky Jain</v>
          </cell>
          <cell r="F125" t="str">
            <v>RishabhS1@vbeyond.com</v>
          </cell>
          <cell r="G125">
            <v>6</v>
          </cell>
          <cell r="H125">
            <v>4</v>
          </cell>
          <cell r="I125">
            <v>0.66666666666666663</v>
          </cell>
        </row>
        <row r="126">
          <cell r="B126" t="str">
            <v>RPO</v>
          </cell>
          <cell r="C126" t="str">
            <v>VB0626</v>
          </cell>
          <cell r="D126" t="str">
            <v>Shubham Rastogi</v>
          </cell>
          <cell r="E126" t="str">
            <v>Ankit Pandey</v>
          </cell>
          <cell r="F126" t="str">
            <v>ShubhamR@Vbeyond.com</v>
          </cell>
          <cell r="G126">
            <v>8</v>
          </cell>
          <cell r="H126">
            <v>8.3000000000000007</v>
          </cell>
          <cell r="I126">
            <v>1.0375000000000001</v>
          </cell>
        </row>
        <row r="127">
          <cell r="B127" t="str">
            <v>RPO</v>
          </cell>
          <cell r="C127" t="str">
            <v>VB1342</v>
          </cell>
          <cell r="D127" t="str">
            <v>Sagar Chandani</v>
          </cell>
          <cell r="E127" t="str">
            <v>Ankit Pandey</v>
          </cell>
          <cell r="F127" t="str">
            <v>SagarC@vbeyond.com</v>
          </cell>
          <cell r="G127">
            <v>10</v>
          </cell>
          <cell r="H127">
            <v>11.63</v>
          </cell>
          <cell r="I127">
            <v>1.163</v>
          </cell>
        </row>
        <row r="128">
          <cell r="B128" t="str">
            <v>RPO</v>
          </cell>
          <cell r="C128" t="str">
            <v>VB0989</v>
          </cell>
          <cell r="D128" t="str">
            <v>Priyanka Mishra</v>
          </cell>
          <cell r="E128" t="str">
            <v>Ankit Pandey</v>
          </cell>
          <cell r="F128" t="str">
            <v>PriyankaM@vbeyond.com</v>
          </cell>
          <cell r="G128">
            <v>10</v>
          </cell>
          <cell r="H128">
            <v>2.9800000000000004</v>
          </cell>
          <cell r="I128">
            <v>0.29800000000000004</v>
          </cell>
        </row>
        <row r="129">
          <cell r="B129" t="str">
            <v>RPO</v>
          </cell>
          <cell r="C129" t="str">
            <v>VB0972</v>
          </cell>
          <cell r="D129" t="str">
            <v>Vanshika Srivastava</v>
          </cell>
          <cell r="E129" t="str">
            <v>Ankit Pandey</v>
          </cell>
          <cell r="F129" t="str">
            <v>VanshikaS@Vbeyond.com</v>
          </cell>
          <cell r="G129">
            <v>8</v>
          </cell>
          <cell r="H129">
            <v>1</v>
          </cell>
          <cell r="I129">
            <v>0.125</v>
          </cell>
        </row>
        <row r="130">
          <cell r="B130" t="str">
            <v>RPO</v>
          </cell>
          <cell r="C130" t="str">
            <v>VB2082</v>
          </cell>
          <cell r="D130" t="str">
            <v>Aman Ayubi</v>
          </cell>
          <cell r="E130" t="str">
            <v>Ankit Pandey</v>
          </cell>
          <cell r="F130" t="str">
            <v>AmanA@vbeyond.com</v>
          </cell>
          <cell r="G130">
            <v>6</v>
          </cell>
          <cell r="H130">
            <v>1</v>
          </cell>
          <cell r="I130">
            <v>0.16666666666666666</v>
          </cell>
        </row>
        <row r="131">
          <cell r="B131" t="str">
            <v>RPO</v>
          </cell>
          <cell r="C131" t="str">
            <v>VB1809</v>
          </cell>
          <cell r="D131" t="str">
            <v>Rishabh Singh 2</v>
          </cell>
          <cell r="E131" t="str">
            <v>Ankit Pandey</v>
          </cell>
          <cell r="F131" t="str">
            <v>RishabhS2@Vbeyond.com</v>
          </cell>
          <cell r="G131">
            <v>5</v>
          </cell>
          <cell r="H131">
            <v>0</v>
          </cell>
          <cell r="I131">
            <v>0</v>
          </cell>
        </row>
        <row r="132">
          <cell r="B132" t="str">
            <v>RPO</v>
          </cell>
          <cell r="C132" t="str">
            <v>VB0518</v>
          </cell>
          <cell r="D132" t="str">
            <v>Ankit Pandey</v>
          </cell>
          <cell r="E132" t="str">
            <v>Ankit Pandey</v>
          </cell>
          <cell r="F132" t="str">
            <v>AnkitP@Vbeyond.com</v>
          </cell>
          <cell r="G132">
            <v>12</v>
          </cell>
          <cell r="H132">
            <v>8.31</v>
          </cell>
          <cell r="I132">
            <v>0.6925</v>
          </cell>
        </row>
        <row r="133">
          <cell r="B133" t="str">
            <v>Trust</v>
          </cell>
          <cell r="C133" t="str">
            <v>VB0916</v>
          </cell>
          <cell r="D133" t="str">
            <v>Harsh Agarwal</v>
          </cell>
          <cell r="E133" t="str">
            <v>Harsh Agarwal</v>
          </cell>
          <cell r="F133" t="str">
            <v>HarshA@Vbeyond.com</v>
          </cell>
          <cell r="G133">
            <v>0</v>
          </cell>
          <cell r="H133">
            <v>0</v>
          </cell>
          <cell r="I133" t="e">
            <v>#DIV/0!</v>
          </cell>
        </row>
        <row r="134">
          <cell r="B134" t="str">
            <v>Trust</v>
          </cell>
          <cell r="C134" t="str">
            <v>VB0957</v>
          </cell>
          <cell r="D134" t="str">
            <v>Rajat Arora</v>
          </cell>
          <cell r="E134" t="str">
            <v>Harsh Agarwal</v>
          </cell>
          <cell r="F134" t="str">
            <v>RajatA@Vbeyond.com</v>
          </cell>
          <cell r="G134">
            <v>6</v>
          </cell>
          <cell r="H134">
            <v>2</v>
          </cell>
          <cell r="I134">
            <v>0.33333333333333331</v>
          </cell>
        </row>
        <row r="135">
          <cell r="B135" t="str">
            <v>Trust</v>
          </cell>
          <cell r="C135" t="str">
            <v>VB0964</v>
          </cell>
          <cell r="D135" t="str">
            <v>Pushpendra Kumar</v>
          </cell>
          <cell r="E135" t="str">
            <v>Harsh Agarwal</v>
          </cell>
          <cell r="F135" t="str">
            <v>PushpendraK@Vbeyond.com</v>
          </cell>
          <cell r="G135">
            <v>6</v>
          </cell>
          <cell r="H135">
            <v>4</v>
          </cell>
          <cell r="I135">
            <v>0.66666666666666663</v>
          </cell>
        </row>
        <row r="136">
          <cell r="B136" t="str">
            <v>Trust</v>
          </cell>
          <cell r="C136" t="str">
            <v>VB1782</v>
          </cell>
          <cell r="D136" t="str">
            <v>Sana Zohra</v>
          </cell>
          <cell r="E136" t="str">
            <v>Harsh Agarwal</v>
          </cell>
          <cell r="F136" t="str">
            <v>SanaZ@vbeyond.com</v>
          </cell>
          <cell r="G136">
            <v>6</v>
          </cell>
          <cell r="H136">
            <v>3.5</v>
          </cell>
          <cell r="I136">
            <v>0.58333333333333337</v>
          </cell>
        </row>
        <row r="137">
          <cell r="B137" t="str">
            <v>Trust</v>
          </cell>
          <cell r="C137" t="str">
            <v>VB0694</v>
          </cell>
          <cell r="D137" t="str">
            <v>Harsh Shukla</v>
          </cell>
          <cell r="E137" t="str">
            <v>Harsh Agarwal</v>
          </cell>
          <cell r="F137" t="str">
            <v>HarshS1@vbeyond.com</v>
          </cell>
          <cell r="G137">
            <v>6</v>
          </cell>
          <cell r="H137">
            <v>5</v>
          </cell>
          <cell r="I137">
            <v>0.83333333333333337</v>
          </cell>
        </row>
        <row r="138">
          <cell r="B138" t="str">
            <v>Trust</v>
          </cell>
          <cell r="C138" t="str">
            <v>VB1791</v>
          </cell>
          <cell r="D138" t="str">
            <v>Harsh Patel</v>
          </cell>
          <cell r="E138" t="str">
            <v>Harsh Agarwal</v>
          </cell>
          <cell r="F138" t="str">
            <v>HarshP@Vbeyond.com</v>
          </cell>
          <cell r="G138">
            <v>5</v>
          </cell>
          <cell r="H138">
            <v>2</v>
          </cell>
          <cell r="I138">
            <v>0.4</v>
          </cell>
        </row>
        <row r="139">
          <cell r="B139" t="str">
            <v>Trust</v>
          </cell>
          <cell r="C139" t="str">
            <v>VB1948</v>
          </cell>
          <cell r="D139" t="str">
            <v>Virendra Vikram Singh</v>
          </cell>
          <cell r="E139" t="str">
            <v>Harsh Agarwal</v>
          </cell>
          <cell r="F139" t="str">
            <v>VirendraS@vbeyond.com</v>
          </cell>
          <cell r="G139">
            <v>7</v>
          </cell>
          <cell r="H139">
            <v>6</v>
          </cell>
          <cell r="I139">
            <v>0.8571428571428571</v>
          </cell>
        </row>
        <row r="140">
          <cell r="B140" t="str">
            <v>Trust</v>
          </cell>
          <cell r="C140" t="str">
            <v>VB1956</v>
          </cell>
          <cell r="D140" t="str">
            <v>Rishabh Kapoor</v>
          </cell>
          <cell r="E140" t="str">
            <v>Harsh Agarwal</v>
          </cell>
          <cell r="F140" t="str">
            <v>RishabhK1@vbeyond.com</v>
          </cell>
          <cell r="G140">
            <v>7</v>
          </cell>
          <cell r="H140">
            <v>2</v>
          </cell>
          <cell r="I140">
            <v>0.2857142857142857</v>
          </cell>
        </row>
        <row r="141">
          <cell r="B141" t="str">
            <v>Trust</v>
          </cell>
          <cell r="C141" t="str">
            <v>VB1261</v>
          </cell>
          <cell r="D141" t="str">
            <v>Aarzoo Khan</v>
          </cell>
          <cell r="E141" t="str">
            <v>Harsh Agarwal</v>
          </cell>
          <cell r="F141" t="str">
            <v>AarzooK@vbeyond.com</v>
          </cell>
          <cell r="G141">
            <v>6</v>
          </cell>
          <cell r="H141">
            <v>3</v>
          </cell>
          <cell r="I141">
            <v>0.5</v>
          </cell>
        </row>
        <row r="142">
          <cell r="B142" t="str">
            <v>Trust</v>
          </cell>
          <cell r="C142" t="str">
            <v>VB1914</v>
          </cell>
          <cell r="D142" t="str">
            <v>Neelendra Dhar Dwivedi</v>
          </cell>
          <cell r="E142" t="str">
            <v>Harsh Agarwal</v>
          </cell>
          <cell r="F142" t="str">
            <v>NeelendraD@Vbeyond.com</v>
          </cell>
          <cell r="G142">
            <v>6</v>
          </cell>
          <cell r="H142">
            <v>4</v>
          </cell>
          <cell r="I142">
            <v>0.66666666666666663</v>
          </cell>
        </row>
        <row r="143">
          <cell r="B143" t="str">
            <v>Trust</v>
          </cell>
          <cell r="C143" t="str">
            <v>VB1511</v>
          </cell>
          <cell r="D143" t="str">
            <v>Ashish Saxena</v>
          </cell>
          <cell r="E143" t="str">
            <v>Harsh Agarwal</v>
          </cell>
          <cell r="F143" t="str">
            <v>AshishS@vbeyond.com</v>
          </cell>
          <cell r="G143">
            <v>6</v>
          </cell>
          <cell r="H143">
            <v>3</v>
          </cell>
          <cell r="I143">
            <v>0.5</v>
          </cell>
        </row>
        <row r="144">
          <cell r="B144" t="str">
            <v>Trust</v>
          </cell>
          <cell r="C144" t="str">
            <v>VB2232</v>
          </cell>
          <cell r="D144" t="str">
            <v>Risha Singh</v>
          </cell>
          <cell r="E144" t="str">
            <v>Harsh Agarwal</v>
          </cell>
          <cell r="F144" t="str">
            <v>RishaS@vbeyond.com</v>
          </cell>
          <cell r="G144">
            <v>0</v>
          </cell>
          <cell r="H144">
            <v>0</v>
          </cell>
          <cell r="I144" t="e">
            <v>#DIV/0!</v>
          </cell>
        </row>
        <row r="145">
          <cell r="B145" t="str">
            <v>Trust</v>
          </cell>
          <cell r="C145" t="str">
            <v>VB2231</v>
          </cell>
          <cell r="D145" t="str">
            <v>Alisha Iqbal</v>
          </cell>
          <cell r="E145" t="str">
            <v>Harsh Agarwal</v>
          </cell>
          <cell r="F145" t="str">
            <v>AlishaI@vbeyond.com</v>
          </cell>
          <cell r="G145">
            <v>0</v>
          </cell>
          <cell r="H145">
            <v>0</v>
          </cell>
          <cell r="I145" t="e">
            <v>#DIV/0!</v>
          </cell>
        </row>
        <row r="146">
          <cell r="B146" t="str">
            <v>Trust</v>
          </cell>
          <cell r="C146" t="str">
            <v>VB2170</v>
          </cell>
          <cell r="D146" t="str">
            <v>Gufran Ali</v>
          </cell>
          <cell r="E146" t="str">
            <v>Harsh Agarwal</v>
          </cell>
          <cell r="F146" t="str">
            <v>GufranA@Vbeyond.com</v>
          </cell>
          <cell r="G146">
            <v>4</v>
          </cell>
          <cell r="H146">
            <v>1</v>
          </cell>
          <cell r="I146">
            <v>0.25</v>
          </cell>
        </row>
        <row r="147">
          <cell r="B147" t="str">
            <v>Trust</v>
          </cell>
          <cell r="C147" t="str">
            <v>VB2189</v>
          </cell>
          <cell r="D147" t="str">
            <v>Abhishek Singh</v>
          </cell>
          <cell r="E147" t="str">
            <v>Harsh Agarwal</v>
          </cell>
          <cell r="F147" t="str">
            <v>AbhishekS4@vbeyond.com</v>
          </cell>
          <cell r="G147">
            <v>3</v>
          </cell>
          <cell r="H147">
            <v>0</v>
          </cell>
          <cell r="I147">
            <v>0</v>
          </cell>
        </row>
        <row r="148">
          <cell r="B148" t="str">
            <v>Trust</v>
          </cell>
          <cell r="C148" t="str">
            <v>VB1619</v>
          </cell>
          <cell r="D148" t="str">
            <v>Sudhir Kumar</v>
          </cell>
          <cell r="E148" t="str">
            <v>Harsh Agarwal</v>
          </cell>
          <cell r="F148" t="str">
            <v>SudhirK@vbeyond.com</v>
          </cell>
          <cell r="G148">
            <v>7</v>
          </cell>
          <cell r="H148">
            <v>2</v>
          </cell>
          <cell r="I148">
            <v>0.2857142857142857</v>
          </cell>
        </row>
        <row r="149">
          <cell r="B149" t="str">
            <v>Trust</v>
          </cell>
          <cell r="C149" t="str">
            <v>VB2286</v>
          </cell>
          <cell r="D149" t="str">
            <v>Anurag Srivastava</v>
          </cell>
          <cell r="E149" t="str">
            <v>Harsh Agarwal</v>
          </cell>
          <cell r="F149" t="str">
            <v>AnuragS2@vbeyond.com</v>
          </cell>
          <cell r="G149">
            <v>0</v>
          </cell>
          <cell r="H149">
            <v>0</v>
          </cell>
          <cell r="I149" t="e">
            <v>#DIV/0!</v>
          </cell>
        </row>
        <row r="150">
          <cell r="B150" t="str">
            <v>Trust</v>
          </cell>
          <cell r="C150" t="str">
            <v>VB0458</v>
          </cell>
          <cell r="D150" t="str">
            <v>Shashank Yadav</v>
          </cell>
          <cell r="E150" t="str">
            <v>Shashank Yadav</v>
          </cell>
          <cell r="F150" t="str">
            <v>ShashankY@vbeyond.com</v>
          </cell>
          <cell r="G150" t="str">
            <v>-</v>
          </cell>
          <cell r="H150">
            <v>0</v>
          </cell>
          <cell r="I150" t="e">
            <v>#VALUE!</v>
          </cell>
        </row>
        <row r="151">
          <cell r="B151" t="str">
            <v>Trust</v>
          </cell>
          <cell r="C151" t="str">
            <v>VB0498</v>
          </cell>
          <cell r="D151" t="str">
            <v>Abhishek Verma</v>
          </cell>
          <cell r="E151" t="str">
            <v>Shashank Yadav</v>
          </cell>
          <cell r="F151" t="str">
            <v>AbhishekV@vbeyond.com</v>
          </cell>
          <cell r="G151">
            <v>6</v>
          </cell>
          <cell r="H151">
            <v>8.5</v>
          </cell>
          <cell r="I151">
            <v>1.4166666666666667</v>
          </cell>
        </row>
        <row r="152">
          <cell r="B152" t="str">
            <v>Trust</v>
          </cell>
          <cell r="C152" t="str">
            <v>VB0520</v>
          </cell>
          <cell r="D152" t="str">
            <v>Shivanshu Rastogi</v>
          </cell>
          <cell r="E152" t="str">
            <v>Shashank Yadav</v>
          </cell>
          <cell r="F152" t="str">
            <v>ShivanshuR@Vbeyond.com</v>
          </cell>
          <cell r="G152">
            <v>6</v>
          </cell>
          <cell r="H152">
            <v>3</v>
          </cell>
          <cell r="I152">
            <v>0.5</v>
          </cell>
        </row>
        <row r="153">
          <cell r="B153" t="str">
            <v>Trust</v>
          </cell>
          <cell r="C153" t="str">
            <v>VB0863</v>
          </cell>
          <cell r="D153" t="str">
            <v>Astha Sharma</v>
          </cell>
          <cell r="E153" t="str">
            <v>Shashank Yadav</v>
          </cell>
          <cell r="F153" t="str">
            <v>AsthaS1@vbeyond.com</v>
          </cell>
          <cell r="G153">
            <v>7</v>
          </cell>
          <cell r="H153">
            <v>3</v>
          </cell>
          <cell r="I153">
            <v>0.42857142857142855</v>
          </cell>
        </row>
        <row r="154">
          <cell r="B154" t="str">
            <v>Trust</v>
          </cell>
          <cell r="C154" t="str">
            <v>VB1645</v>
          </cell>
          <cell r="D154" t="str">
            <v>Vivek Mani Upadhyay</v>
          </cell>
          <cell r="E154" t="str">
            <v>Shashank Yadav</v>
          </cell>
          <cell r="F154" t="str">
            <v>VivekU@vbeyond.com</v>
          </cell>
          <cell r="G154">
            <v>7</v>
          </cell>
          <cell r="H154">
            <v>3</v>
          </cell>
          <cell r="I154">
            <v>0.42857142857142855</v>
          </cell>
        </row>
        <row r="155">
          <cell r="B155" t="str">
            <v>Trust</v>
          </cell>
          <cell r="C155" t="str">
            <v>VB2123</v>
          </cell>
          <cell r="D155" t="str">
            <v>Shubham Patel</v>
          </cell>
          <cell r="E155" t="str">
            <v>Shashank Yadav</v>
          </cell>
          <cell r="F155" t="str">
            <v>ShubhamP@vbeyond.com</v>
          </cell>
          <cell r="G155">
            <v>4</v>
          </cell>
          <cell r="H155">
            <v>2</v>
          </cell>
          <cell r="I155">
            <v>0.5</v>
          </cell>
        </row>
        <row r="156">
          <cell r="B156" t="str">
            <v>Trust</v>
          </cell>
          <cell r="C156" t="str">
            <v>VB2173</v>
          </cell>
          <cell r="D156" t="str">
            <v>Sachendra Singh Pal</v>
          </cell>
          <cell r="E156" t="str">
            <v>Shashank Yadav</v>
          </cell>
          <cell r="F156" t="str">
            <v>SachendraP@vbeyond.com</v>
          </cell>
          <cell r="G156">
            <v>4</v>
          </cell>
          <cell r="H156">
            <v>2</v>
          </cell>
          <cell r="I156">
            <v>0.5</v>
          </cell>
        </row>
        <row r="157">
          <cell r="B157" t="str">
            <v>Trust</v>
          </cell>
          <cell r="C157" t="str">
            <v>VB2243</v>
          </cell>
          <cell r="D157" t="str">
            <v>Vishwajeet Tiwari</v>
          </cell>
          <cell r="E157" t="str">
            <v>Shashank Yadav</v>
          </cell>
          <cell r="F157" t="str">
            <v>VishwajeetT@vbeyond.com</v>
          </cell>
          <cell r="G157">
            <v>0</v>
          </cell>
          <cell r="H157">
            <v>0</v>
          </cell>
          <cell r="I157" t="e">
            <v>#DIV/0!</v>
          </cell>
        </row>
        <row r="158">
          <cell r="B158" t="str">
            <v>Trust</v>
          </cell>
          <cell r="C158" t="str">
            <v>VB2154</v>
          </cell>
          <cell r="D158" t="str">
            <v>Mohd Akbar</v>
          </cell>
          <cell r="E158" t="str">
            <v>Shashank Yadav</v>
          </cell>
          <cell r="F158" t="str">
            <v>MohdA4@vbeyond.com</v>
          </cell>
          <cell r="G158">
            <v>2</v>
          </cell>
          <cell r="H158">
            <v>0</v>
          </cell>
          <cell r="I158">
            <v>0</v>
          </cell>
        </row>
        <row r="159">
          <cell r="B159" t="str">
            <v>Trust</v>
          </cell>
          <cell r="C159" t="str">
            <v>VB2199</v>
          </cell>
          <cell r="D159" t="str">
            <v>Aditi Singh</v>
          </cell>
          <cell r="E159" t="str">
            <v>Shashank Yadav</v>
          </cell>
          <cell r="F159" t="str">
            <v>AditiS1@vbeyond.com</v>
          </cell>
          <cell r="G159">
            <v>2</v>
          </cell>
          <cell r="H159">
            <v>2</v>
          </cell>
          <cell r="I159">
            <v>1</v>
          </cell>
        </row>
        <row r="160">
          <cell r="B160" t="str">
            <v>Trust</v>
          </cell>
          <cell r="C160" t="str">
            <v>VB2279</v>
          </cell>
          <cell r="D160" t="str">
            <v>Ritika Mishra</v>
          </cell>
          <cell r="E160" t="str">
            <v>Shashank Yadav</v>
          </cell>
          <cell r="F160" t="str">
            <v>RitikaM@vbeyond.com</v>
          </cell>
          <cell r="G160">
            <v>0</v>
          </cell>
          <cell r="H160">
            <v>0</v>
          </cell>
          <cell r="I160" t="e">
            <v>#DIV/0!</v>
          </cell>
        </row>
        <row r="161">
          <cell r="B161" t="str">
            <v>Trust</v>
          </cell>
          <cell r="C161" t="str">
            <v>VB2302</v>
          </cell>
          <cell r="D161" t="str">
            <v>Ganesh Pandey</v>
          </cell>
          <cell r="E161" t="str">
            <v>Shashank Yadav</v>
          </cell>
          <cell r="F161" t="str">
            <v>GaneshP@Vbeyond.com</v>
          </cell>
          <cell r="G161">
            <v>0</v>
          </cell>
          <cell r="H161">
            <v>0</v>
          </cell>
          <cell r="I161" t="e">
            <v>#DIV/0!</v>
          </cell>
        </row>
        <row r="162">
          <cell r="B162" t="str">
            <v>Trust</v>
          </cell>
          <cell r="C162" t="str">
            <v>VB2275</v>
          </cell>
          <cell r="D162" t="str">
            <v>Abhinay Singh</v>
          </cell>
          <cell r="E162" t="str">
            <v>Abhinay Singh</v>
          </cell>
          <cell r="F162" t="str">
            <v>AbhinayS@vbeyond.com</v>
          </cell>
          <cell r="G162">
            <v>0</v>
          </cell>
          <cell r="H162">
            <v>0</v>
          </cell>
          <cell r="I162" t="e">
            <v>#DIV/0!</v>
          </cell>
        </row>
        <row r="163">
          <cell r="B163" t="str">
            <v>Trust</v>
          </cell>
          <cell r="C163" t="str">
            <v>VB2116</v>
          </cell>
          <cell r="D163" t="str">
            <v>Shubham Saini</v>
          </cell>
          <cell r="E163" t="str">
            <v>Abhinay Singh</v>
          </cell>
          <cell r="F163" t="str">
            <v>ShubhamS3@vbeyond.com</v>
          </cell>
          <cell r="G163">
            <v>4</v>
          </cell>
          <cell r="H163">
            <v>1</v>
          </cell>
          <cell r="I163">
            <v>0.25</v>
          </cell>
        </row>
        <row r="164">
          <cell r="B164" t="str">
            <v>Trust</v>
          </cell>
          <cell r="C164" t="str">
            <v>VB1869</v>
          </cell>
          <cell r="D164" t="str">
            <v>Rahul Srivastava</v>
          </cell>
          <cell r="E164" t="str">
            <v>Abhinay Singh</v>
          </cell>
          <cell r="F164" t="str">
            <v>RahulS@vbeyond.com</v>
          </cell>
          <cell r="G164">
            <v>4</v>
          </cell>
          <cell r="H164">
            <v>1</v>
          </cell>
          <cell r="I164">
            <v>0.25</v>
          </cell>
        </row>
        <row r="165">
          <cell r="B165" t="str">
            <v>Trust</v>
          </cell>
          <cell r="C165" t="str">
            <v>VB2280</v>
          </cell>
          <cell r="D165" t="str">
            <v>Sameer Dev</v>
          </cell>
          <cell r="E165" t="str">
            <v>Abhinay Singh</v>
          </cell>
          <cell r="F165" t="str">
            <v>SameerD@vbeyond.com</v>
          </cell>
          <cell r="G165">
            <v>0</v>
          </cell>
          <cell r="H165">
            <v>0</v>
          </cell>
          <cell r="I165" t="e">
            <v>#DIV/0!</v>
          </cell>
        </row>
        <row r="166">
          <cell r="B166" t="str">
            <v>WWT</v>
          </cell>
          <cell r="C166" t="str">
            <v>VB0805</v>
          </cell>
          <cell r="D166" t="str">
            <v>Akash Saxena</v>
          </cell>
          <cell r="E166" t="str">
            <v>Akash Saxena</v>
          </cell>
          <cell r="F166" t="str">
            <v>AkashS@Vbeyond.com</v>
          </cell>
          <cell r="G166" t="str">
            <v>-</v>
          </cell>
          <cell r="H166">
            <v>0</v>
          </cell>
          <cell r="I166" t="e">
            <v>#VALUE!</v>
          </cell>
        </row>
        <row r="167">
          <cell r="B167" t="str">
            <v>WWT</v>
          </cell>
          <cell r="C167" t="str">
            <v>VB1217</v>
          </cell>
          <cell r="D167" t="str">
            <v>Prashant Pal</v>
          </cell>
          <cell r="E167" t="str">
            <v>Akash Saxena</v>
          </cell>
          <cell r="F167" t="str">
            <v>PrashantP@vbeyond.com</v>
          </cell>
          <cell r="G167">
            <v>5</v>
          </cell>
          <cell r="H167">
            <v>2</v>
          </cell>
          <cell r="I167">
            <v>0.4</v>
          </cell>
        </row>
        <row r="168">
          <cell r="B168" t="str">
            <v>WWT</v>
          </cell>
          <cell r="C168" t="str">
            <v>VB2245</v>
          </cell>
          <cell r="D168" t="str">
            <v>Hema</v>
          </cell>
          <cell r="E168" t="str">
            <v>Akash Saxena</v>
          </cell>
          <cell r="F168" t="str">
            <v>Hema@vbeyond.com</v>
          </cell>
          <cell r="G168">
            <v>0</v>
          </cell>
          <cell r="H168">
            <v>0</v>
          </cell>
          <cell r="I168" t="e">
            <v>#DIV/0!</v>
          </cell>
        </row>
        <row r="169">
          <cell r="B169" t="str">
            <v>WWT</v>
          </cell>
          <cell r="C169" t="e">
            <v>#N/A</v>
          </cell>
          <cell r="D169" t="str">
            <v>Shaneha Kumari</v>
          </cell>
          <cell r="E169" t="str">
            <v>Akash Saxena</v>
          </cell>
          <cell r="F169" t="e">
            <v>#N/A</v>
          </cell>
          <cell r="G169">
            <v>3</v>
          </cell>
          <cell r="H169">
            <v>2</v>
          </cell>
          <cell r="I169">
            <v>0.66666666666666663</v>
          </cell>
        </row>
        <row r="170">
          <cell r="B170" t="str">
            <v>WWT</v>
          </cell>
          <cell r="C170" t="str">
            <v>VB2293</v>
          </cell>
          <cell r="D170" t="str">
            <v>Yashika Duggal</v>
          </cell>
          <cell r="E170" t="str">
            <v>Akash Saxena</v>
          </cell>
          <cell r="F170" t="str">
            <v>YashikaD@vbeyond.com</v>
          </cell>
          <cell r="G170">
            <v>0</v>
          </cell>
          <cell r="H170">
            <v>0</v>
          </cell>
          <cell r="I170" t="e">
            <v>#DIV/0!</v>
          </cell>
        </row>
        <row r="171">
          <cell r="B171" t="str">
            <v>WWT</v>
          </cell>
          <cell r="C171" t="str">
            <v>VB1271</v>
          </cell>
          <cell r="D171" t="str">
            <v>Hemant Kumar</v>
          </cell>
          <cell r="E171" t="str">
            <v>Akash Saxena</v>
          </cell>
          <cell r="F171" t="str">
            <v>HemantK@vbeyond.com</v>
          </cell>
          <cell r="G171">
            <v>6</v>
          </cell>
          <cell r="H171">
            <v>6</v>
          </cell>
          <cell r="I171">
            <v>1</v>
          </cell>
        </row>
        <row r="172">
          <cell r="B172" t="str">
            <v>WWT</v>
          </cell>
          <cell r="C172" t="str">
            <v>VB1939</v>
          </cell>
          <cell r="D172" t="str">
            <v>Kartik Parashar</v>
          </cell>
          <cell r="E172" t="str">
            <v>Akash Saxena</v>
          </cell>
          <cell r="F172" t="str">
            <v>KartikP@vbeyond.com</v>
          </cell>
          <cell r="G172">
            <v>5</v>
          </cell>
          <cell r="H172">
            <v>3</v>
          </cell>
          <cell r="I172">
            <v>0.6</v>
          </cell>
        </row>
        <row r="173">
          <cell r="B173" t="str">
            <v>WWT</v>
          </cell>
          <cell r="C173" t="str">
            <v>VB2304</v>
          </cell>
          <cell r="D173" t="str">
            <v>Satyam Sharma</v>
          </cell>
          <cell r="E173" t="str">
            <v>Akash Saxena</v>
          </cell>
          <cell r="F173" t="str">
            <v>satyams1@vbeyond.com</v>
          </cell>
          <cell r="G173">
            <v>0</v>
          </cell>
          <cell r="H173">
            <v>0</v>
          </cell>
          <cell r="I173" t="e">
            <v>#DIV/0!</v>
          </cell>
        </row>
        <row r="174">
          <cell r="B174" t="str">
            <v>WWT</v>
          </cell>
          <cell r="C174" t="str">
            <v>VB0749</v>
          </cell>
          <cell r="D174" t="str">
            <v>Abdul Rahman</v>
          </cell>
          <cell r="E174" t="str">
            <v>Abdul Rahman</v>
          </cell>
          <cell r="F174" t="str">
            <v>AbdulR@VBeyond.com</v>
          </cell>
          <cell r="G174" t="str">
            <v>-</v>
          </cell>
          <cell r="H174">
            <v>0</v>
          </cell>
          <cell r="I174" t="e">
            <v>#VALUE!</v>
          </cell>
        </row>
        <row r="175">
          <cell r="B175" t="str">
            <v>WWT</v>
          </cell>
          <cell r="C175" t="str">
            <v>VB1699</v>
          </cell>
          <cell r="D175" t="str">
            <v>Mohd Ateeq</v>
          </cell>
          <cell r="E175" t="str">
            <v>Abdul Rahman</v>
          </cell>
          <cell r="F175" t="str">
            <v>MohdA@vbeyond.com</v>
          </cell>
          <cell r="G175">
            <v>5</v>
          </cell>
          <cell r="H175">
            <v>3</v>
          </cell>
          <cell r="I175">
            <v>0.6</v>
          </cell>
        </row>
        <row r="176">
          <cell r="B176" t="str">
            <v>WWT</v>
          </cell>
          <cell r="C176" t="str">
            <v>VB2138</v>
          </cell>
          <cell r="D176" t="str">
            <v>Suraj Suman</v>
          </cell>
          <cell r="E176" t="str">
            <v>Abdul Rahman</v>
          </cell>
          <cell r="F176" t="str">
            <v>SurajS@vbeyond.com</v>
          </cell>
          <cell r="G176">
            <v>3</v>
          </cell>
          <cell r="H176">
            <v>0</v>
          </cell>
          <cell r="I176">
            <v>0</v>
          </cell>
        </row>
        <row r="177">
          <cell r="B177" t="str">
            <v>WWT</v>
          </cell>
          <cell r="C177" t="str">
            <v>VB2285</v>
          </cell>
          <cell r="D177" t="str">
            <v>Mohd Junaid</v>
          </cell>
          <cell r="E177" t="str">
            <v>Abdul Rahman</v>
          </cell>
          <cell r="F177" t="str">
            <v>Junaid@vbeyond.com</v>
          </cell>
          <cell r="G177">
            <v>0</v>
          </cell>
          <cell r="H177">
            <v>0</v>
          </cell>
          <cell r="I177" t="e">
            <v>#DIV/0!</v>
          </cell>
        </row>
        <row r="178">
          <cell r="B178" t="str">
            <v>WWT</v>
          </cell>
          <cell r="C178" t="str">
            <v>VB2188</v>
          </cell>
          <cell r="D178" t="str">
            <v>Vishali Kundal</v>
          </cell>
          <cell r="E178" t="str">
            <v>Abdul Rahman</v>
          </cell>
          <cell r="F178" t="str">
            <v>VishaliK@vbeyond.com</v>
          </cell>
          <cell r="G178">
            <v>2</v>
          </cell>
          <cell r="H178">
            <v>0</v>
          </cell>
          <cell r="I178">
            <v>0</v>
          </cell>
        </row>
        <row r="179">
          <cell r="B179" t="str">
            <v>WWT</v>
          </cell>
          <cell r="C179" t="str">
            <v>VB2056</v>
          </cell>
          <cell r="D179" t="str">
            <v>Yatu Raj Prajee</v>
          </cell>
          <cell r="E179" t="str">
            <v>Abdul Rahman</v>
          </cell>
          <cell r="F179" t="str">
            <v>yatup@vbeyond.com</v>
          </cell>
          <cell r="G179">
            <v>3</v>
          </cell>
          <cell r="H179">
            <v>1</v>
          </cell>
          <cell r="I179">
            <v>0.33333333333333331</v>
          </cell>
        </row>
        <row r="180">
          <cell r="B180" t="str">
            <v>WWT</v>
          </cell>
          <cell r="C180" t="str">
            <v>VB2211</v>
          </cell>
          <cell r="D180" t="str">
            <v>Avinay Shrivastav</v>
          </cell>
          <cell r="E180" t="str">
            <v>Abdul Rahman</v>
          </cell>
          <cell r="F180" t="str">
            <v>AvinayS@vbeyond.com</v>
          </cell>
          <cell r="G180">
            <v>2</v>
          </cell>
          <cell r="H180">
            <v>1</v>
          </cell>
          <cell r="I180">
            <v>0.5</v>
          </cell>
        </row>
        <row r="181">
          <cell r="B181" t="str">
            <v>WWT</v>
          </cell>
          <cell r="C181" t="str">
            <v>VB2120</v>
          </cell>
          <cell r="D181" t="str">
            <v>Priya Dhiraniya</v>
          </cell>
          <cell r="E181" t="str">
            <v>Abdul Rahman</v>
          </cell>
          <cell r="F181" t="str">
            <v>PriyaD1@vbeyond.com</v>
          </cell>
          <cell r="G181">
            <v>2</v>
          </cell>
          <cell r="H181">
            <v>0</v>
          </cell>
          <cell r="I181">
            <v>0</v>
          </cell>
        </row>
        <row r="182">
          <cell r="B182" t="str">
            <v>WWT</v>
          </cell>
          <cell r="C182" t="str">
            <v>VB2277</v>
          </cell>
          <cell r="D182" t="str">
            <v>Anup Kumar</v>
          </cell>
          <cell r="E182" t="str">
            <v>Abdul Rahman</v>
          </cell>
          <cell r="F182" t="str">
            <v>anupk@vbeyond.com</v>
          </cell>
          <cell r="G182">
            <v>0</v>
          </cell>
          <cell r="H182">
            <v>0</v>
          </cell>
          <cell r="I182" t="e">
            <v>#DIV/0!</v>
          </cell>
        </row>
        <row r="183">
          <cell r="B183" t="str">
            <v>WWH</v>
          </cell>
          <cell r="C183" t="str">
            <v>VB2215</v>
          </cell>
          <cell r="D183" t="str">
            <v>Tanushka Tiwari</v>
          </cell>
          <cell r="E183" t="str">
            <v>Sid Khosla</v>
          </cell>
          <cell r="F183" t="str">
            <v>TanushkaT@VBeyondHealthcare.com</v>
          </cell>
          <cell r="G183">
            <v>0</v>
          </cell>
          <cell r="H183">
            <v>0</v>
          </cell>
          <cell r="I183" t="e">
            <v>#DIV/0!</v>
          </cell>
        </row>
        <row r="184">
          <cell r="B184" t="str">
            <v>WWH</v>
          </cell>
          <cell r="C184" t="str">
            <v>VB2142</v>
          </cell>
          <cell r="D184" t="str">
            <v>Aman Singh</v>
          </cell>
          <cell r="E184" t="str">
            <v>Sid Khosla</v>
          </cell>
          <cell r="F184" t="str">
            <v>amans2@vbeyondhealthcare.com</v>
          </cell>
          <cell r="G184">
            <v>5</v>
          </cell>
          <cell r="H184">
            <v>1</v>
          </cell>
          <cell r="I184">
            <v>0.2</v>
          </cell>
        </row>
        <row r="185">
          <cell r="B185" t="str">
            <v>WWH</v>
          </cell>
          <cell r="C185" t="str">
            <v>VB0441</v>
          </cell>
          <cell r="D185" t="str">
            <v>Abhishek Singh</v>
          </cell>
          <cell r="E185" t="str">
            <v>Abhishek Singh</v>
          </cell>
          <cell r="F185" t="str">
            <v>AbhishekS2@VBeyondHealthcare.com</v>
          </cell>
          <cell r="G185">
            <v>3</v>
          </cell>
          <cell r="H185">
            <v>0</v>
          </cell>
          <cell r="I185">
            <v>0</v>
          </cell>
        </row>
        <row r="186">
          <cell r="B186" t="str">
            <v>WWH</v>
          </cell>
          <cell r="C186" t="str">
            <v>VB1772</v>
          </cell>
          <cell r="D186" t="str">
            <v>Tushar Mishra</v>
          </cell>
          <cell r="E186" t="str">
            <v>Abhishek Singh</v>
          </cell>
          <cell r="F186" t="str">
            <v>Theom@VBeyondHealthcare.com</v>
          </cell>
          <cell r="G186">
            <v>5</v>
          </cell>
          <cell r="H186">
            <v>9</v>
          </cell>
          <cell r="I186">
            <v>1.8</v>
          </cell>
        </row>
        <row r="187">
          <cell r="B187" t="str">
            <v>WWH</v>
          </cell>
          <cell r="C187" t="str">
            <v>VB1895</v>
          </cell>
          <cell r="D187" t="str">
            <v>Abhinesh Yadav</v>
          </cell>
          <cell r="E187" t="str">
            <v>Abhishek Singh</v>
          </cell>
          <cell r="F187" t="str">
            <v>Albert@VBeyondHealthcare.com</v>
          </cell>
          <cell r="G187">
            <v>8</v>
          </cell>
          <cell r="H187">
            <v>4</v>
          </cell>
          <cell r="I187">
            <v>0.5</v>
          </cell>
        </row>
        <row r="188">
          <cell r="B188" t="str">
            <v>WWH</v>
          </cell>
          <cell r="C188" t="str">
            <v>VB2032</v>
          </cell>
          <cell r="D188" t="str">
            <v>Anuj Kumar</v>
          </cell>
          <cell r="E188" t="str">
            <v>Abhishek Singh</v>
          </cell>
          <cell r="F188" t="str">
            <v>David@VBeyondHealthcare.com</v>
          </cell>
          <cell r="G188">
            <v>6</v>
          </cell>
          <cell r="H188">
            <v>6</v>
          </cell>
          <cell r="I188">
            <v>1</v>
          </cell>
        </row>
        <row r="189">
          <cell r="B189" t="str">
            <v>WWH</v>
          </cell>
          <cell r="C189" t="str">
            <v>VB1901</v>
          </cell>
          <cell r="D189" t="str">
            <v>Vishal Jaiswal</v>
          </cell>
          <cell r="E189" t="str">
            <v>Abhishek Singh</v>
          </cell>
          <cell r="F189" t="str">
            <v>Victor@VBeyondHealthcare.com</v>
          </cell>
          <cell r="G189">
            <v>6</v>
          </cell>
          <cell r="H189">
            <v>1</v>
          </cell>
          <cell r="I189">
            <v>0.16666666666666666</v>
          </cell>
        </row>
        <row r="190">
          <cell r="B190" t="str">
            <v>WWH</v>
          </cell>
          <cell r="C190" t="str">
            <v>VB2060</v>
          </cell>
          <cell r="D190" t="str">
            <v>Sachin Singh</v>
          </cell>
          <cell r="E190" t="str">
            <v>Abhishek Singh</v>
          </cell>
          <cell r="F190" t="str">
            <v>SachinS@VBeyondHealthcare.com</v>
          </cell>
          <cell r="G190">
            <v>6</v>
          </cell>
          <cell r="H190">
            <v>3</v>
          </cell>
          <cell r="I190">
            <v>0.5</v>
          </cell>
        </row>
        <row r="191">
          <cell r="B191" t="str">
            <v>WWH</v>
          </cell>
          <cell r="C191" t="str">
            <v>VB2291</v>
          </cell>
          <cell r="D191" t="str">
            <v>Anurag Kumar Sinha</v>
          </cell>
          <cell r="E191" t="str">
            <v>Abhishek Singh</v>
          </cell>
          <cell r="F191" t="e">
            <v>#N/A</v>
          </cell>
          <cell r="G191">
            <v>0</v>
          </cell>
          <cell r="H191">
            <v>0</v>
          </cell>
          <cell r="I191" t="e">
            <v>#DIV/0!</v>
          </cell>
        </row>
        <row r="192">
          <cell r="B192" t="str">
            <v>WWH</v>
          </cell>
          <cell r="C192" t="str">
            <v>VB0345</v>
          </cell>
          <cell r="D192" t="str">
            <v>Ranveer Kumar</v>
          </cell>
          <cell r="E192" t="str">
            <v>Ranveer Kumar</v>
          </cell>
          <cell r="F192" t="str">
            <v>RayK@VBeyondHealthcare.com</v>
          </cell>
          <cell r="G192" t="str">
            <v>-</v>
          </cell>
          <cell r="H192">
            <v>0</v>
          </cell>
          <cell r="I192" t="e">
            <v>#VALUE!</v>
          </cell>
        </row>
        <row r="193">
          <cell r="B193" t="str">
            <v>WWH</v>
          </cell>
          <cell r="C193" t="str">
            <v>VB0330</v>
          </cell>
          <cell r="D193" t="str">
            <v>Uttam Chandra</v>
          </cell>
          <cell r="E193" t="str">
            <v>Ranveer Kumar</v>
          </cell>
          <cell r="F193" t="str">
            <v>UzielS@VBeyondHealthcare.com</v>
          </cell>
          <cell r="G193">
            <v>7</v>
          </cell>
          <cell r="H193">
            <v>4</v>
          </cell>
          <cell r="I193">
            <v>0.5714285714285714</v>
          </cell>
        </row>
        <row r="194">
          <cell r="B194" t="str">
            <v>WWH</v>
          </cell>
          <cell r="C194" t="str">
            <v>VB2190</v>
          </cell>
          <cell r="D194" t="str">
            <v>Aviral Sachan</v>
          </cell>
          <cell r="E194" t="str">
            <v>Ranveer Kumar</v>
          </cell>
          <cell r="F194" t="str">
            <v>NickA@VBeyondHealthcare.com</v>
          </cell>
          <cell r="G194">
            <v>6</v>
          </cell>
          <cell r="H194">
            <v>0</v>
          </cell>
          <cell r="I194">
            <v>0</v>
          </cell>
        </row>
        <row r="195">
          <cell r="B195" t="str">
            <v>WWH</v>
          </cell>
          <cell r="C195" t="str">
            <v>VB2303</v>
          </cell>
          <cell r="D195" t="str">
            <v>Raj Pratap Singh Rathore</v>
          </cell>
          <cell r="E195" t="str">
            <v>Ranveer Kumar</v>
          </cell>
          <cell r="F195" t="str">
            <v>RajR@VBeyondHealthcare.com</v>
          </cell>
          <cell r="G195">
            <v>0</v>
          </cell>
          <cell r="H195">
            <v>0</v>
          </cell>
          <cell r="I195" t="e">
            <v>#DIV/0!</v>
          </cell>
        </row>
        <row r="196">
          <cell r="B196" t="str">
            <v>WWH</v>
          </cell>
          <cell r="C196" t="str">
            <v>VB2093</v>
          </cell>
          <cell r="D196" t="str">
            <v>Nimisha Singh</v>
          </cell>
          <cell r="E196" t="str">
            <v>Ranveer Kumar</v>
          </cell>
          <cell r="F196" t="str">
            <v>nimi@vbeyondhealthcare.com</v>
          </cell>
          <cell r="G196">
            <v>6</v>
          </cell>
          <cell r="H196">
            <v>1</v>
          </cell>
          <cell r="I196">
            <v>0.16666666666666666</v>
          </cell>
        </row>
        <row r="197">
          <cell r="B197" t="str">
            <v>WWH</v>
          </cell>
          <cell r="C197" t="str">
            <v>VB1803</v>
          </cell>
          <cell r="D197" t="str">
            <v>Ananya Agarwal</v>
          </cell>
          <cell r="E197" t="str">
            <v>Ranveer Kumar</v>
          </cell>
          <cell r="F197" t="str">
            <v>Anna@VBeyondHealthcare.com</v>
          </cell>
          <cell r="G197">
            <v>6</v>
          </cell>
          <cell r="H197">
            <v>7</v>
          </cell>
          <cell r="I197">
            <v>1.1666666666666667</v>
          </cell>
        </row>
        <row r="198">
          <cell r="B198" t="str">
            <v>WWH</v>
          </cell>
          <cell r="C198" t="str">
            <v>VB2143</v>
          </cell>
          <cell r="D198" t="str">
            <v>Ayush Chauhan</v>
          </cell>
          <cell r="E198" t="str">
            <v>Ranveer Kumar</v>
          </cell>
          <cell r="F198" t="str">
            <v>Aden@VBeyondHealthcare.com</v>
          </cell>
          <cell r="G198">
            <v>5</v>
          </cell>
          <cell r="H198">
            <v>0</v>
          </cell>
          <cell r="I198">
            <v>0</v>
          </cell>
        </row>
        <row r="199">
          <cell r="B199" t="str">
            <v>WWH</v>
          </cell>
          <cell r="C199" t="str">
            <v>VB2125</v>
          </cell>
          <cell r="D199" t="str">
            <v>Tushar Sarkar</v>
          </cell>
          <cell r="E199" t="str">
            <v>Ranveer Kumar</v>
          </cell>
          <cell r="F199" t="str">
            <v>Thomas@VBeyondHealthcare.com</v>
          </cell>
          <cell r="G199">
            <v>5</v>
          </cell>
          <cell r="H199">
            <v>0</v>
          </cell>
          <cell r="I199">
            <v>0</v>
          </cell>
        </row>
        <row r="200">
          <cell r="B200" t="str">
            <v>WWH</v>
          </cell>
          <cell r="C200" t="str">
            <v>VB2266</v>
          </cell>
          <cell r="D200" t="str">
            <v>Anurag Tripathi</v>
          </cell>
          <cell r="E200" t="str">
            <v>Ranveer Kumar</v>
          </cell>
          <cell r="F200" t="str">
            <v>AnuragT1@VBeyondHealthcare.com</v>
          </cell>
          <cell r="G200">
            <v>0</v>
          </cell>
          <cell r="H200">
            <v>0</v>
          </cell>
          <cell r="I200" t="e">
            <v>#DIV/0!</v>
          </cell>
        </row>
        <row r="201">
          <cell r="B201" t="str">
            <v>WWH</v>
          </cell>
          <cell r="C201" t="str">
            <v>VB2290</v>
          </cell>
          <cell r="D201" t="str">
            <v>Saif Khan</v>
          </cell>
          <cell r="E201" t="str">
            <v>Ranveer Kumar</v>
          </cell>
          <cell r="F201" t="str">
            <v>SaifK1@VBeyondHealthcare.com</v>
          </cell>
          <cell r="G201">
            <v>0</v>
          </cell>
          <cell r="H201">
            <v>0</v>
          </cell>
          <cell r="I201" t="e">
            <v>#DIV/0!</v>
          </cell>
        </row>
        <row r="202">
          <cell r="B202" t="str">
            <v>WWH</v>
          </cell>
          <cell r="C202" t="str">
            <v>VB2301</v>
          </cell>
          <cell r="D202" t="str">
            <v>Aysha Nafasat</v>
          </cell>
          <cell r="E202" t="str">
            <v>Ranveer Kumar</v>
          </cell>
          <cell r="F202" t="str">
            <v>AyshaN@VBeyondHealthcare.com</v>
          </cell>
          <cell r="G202">
            <v>0</v>
          </cell>
          <cell r="H202">
            <v>0</v>
          </cell>
          <cell r="I202" t="e">
            <v>#DIV/0!</v>
          </cell>
        </row>
        <row r="203">
          <cell r="B203" t="str">
            <v>WWH</v>
          </cell>
          <cell r="C203" t="str">
            <v>VB1768</v>
          </cell>
          <cell r="D203" t="str">
            <v>Shailesh Sharma</v>
          </cell>
          <cell r="E203" t="str">
            <v>Shailesh Sharma</v>
          </cell>
          <cell r="F203" t="str">
            <v>sam.s@vbeyondhealthcare.com</v>
          </cell>
          <cell r="G203" t="str">
            <v>-</v>
          </cell>
          <cell r="H203">
            <v>0</v>
          </cell>
          <cell r="I203" t="e">
            <v>#VALUE!</v>
          </cell>
        </row>
        <row r="204">
          <cell r="B204" t="str">
            <v>WWH</v>
          </cell>
          <cell r="C204" t="str">
            <v xml:space="preserve">VB1742 </v>
          </cell>
          <cell r="D204" t="str">
            <v>Anjali Sah</v>
          </cell>
          <cell r="E204" t="str">
            <v>Shailesh Sharma</v>
          </cell>
          <cell r="F204" t="str">
            <v>Annie@VBeyondHealthcare.com</v>
          </cell>
          <cell r="G204">
            <v>6</v>
          </cell>
          <cell r="H204">
            <v>7</v>
          </cell>
          <cell r="I204">
            <v>1.1666666666666667</v>
          </cell>
        </row>
        <row r="205">
          <cell r="B205" t="str">
            <v>WWH</v>
          </cell>
          <cell r="C205" t="str">
            <v>VB1787</v>
          </cell>
          <cell r="D205" t="str">
            <v>Panna Roy</v>
          </cell>
          <cell r="E205" t="str">
            <v>Shailesh Sharma</v>
          </cell>
          <cell r="F205" t="str">
            <v>Paul@VBeyondHealthcare.com</v>
          </cell>
          <cell r="G205">
            <v>5</v>
          </cell>
          <cell r="H205">
            <v>1</v>
          </cell>
          <cell r="I205">
            <v>0.2</v>
          </cell>
        </row>
        <row r="206">
          <cell r="B206" t="str">
            <v>WWH</v>
          </cell>
          <cell r="C206" t="str">
            <v>VB1876</v>
          </cell>
          <cell r="D206" t="str">
            <v>Shivam Chaurasia</v>
          </cell>
          <cell r="E206" t="str">
            <v>Shailesh Sharma</v>
          </cell>
          <cell r="F206" t="str">
            <v>Samson@VBeyondHealthcare.com</v>
          </cell>
          <cell r="G206">
            <v>6</v>
          </cell>
          <cell r="H206">
            <v>5</v>
          </cell>
          <cell r="I206">
            <v>0.83333333333333337</v>
          </cell>
        </row>
        <row r="207">
          <cell r="B207" t="str">
            <v>WWH</v>
          </cell>
          <cell r="C207" t="str">
            <v>VB1885</v>
          </cell>
          <cell r="D207" t="str">
            <v>Mohini Chand</v>
          </cell>
          <cell r="E207" t="str">
            <v>Shailesh Sharma</v>
          </cell>
          <cell r="F207" t="str">
            <v>MohiniC@VBeyondHealthcare.com</v>
          </cell>
          <cell r="G207">
            <v>6</v>
          </cell>
          <cell r="H207">
            <v>5</v>
          </cell>
          <cell r="I207">
            <v>0.83333333333333337</v>
          </cell>
        </row>
        <row r="208">
          <cell r="B208" t="str">
            <v>WWH</v>
          </cell>
          <cell r="C208" t="str">
            <v>VB2129</v>
          </cell>
          <cell r="D208" t="str">
            <v>Kirti Gautam</v>
          </cell>
          <cell r="E208" t="str">
            <v>Shailesh Sharma</v>
          </cell>
          <cell r="F208" t="str">
            <v>Kitty@VBeyondHealthcare.com</v>
          </cell>
          <cell r="G208">
            <v>4</v>
          </cell>
          <cell r="H208">
            <v>0</v>
          </cell>
          <cell r="I208">
            <v>0</v>
          </cell>
        </row>
        <row r="209">
          <cell r="B209" t="str">
            <v>WWH</v>
          </cell>
          <cell r="C209" t="str">
            <v>VB2128</v>
          </cell>
          <cell r="D209" t="str">
            <v>Puneet Pandey</v>
          </cell>
          <cell r="E209" t="str">
            <v>Shailesh Sharma</v>
          </cell>
          <cell r="F209" t="str">
            <v>PatrickJ@VBeyondHealthcare.com</v>
          </cell>
          <cell r="G209">
            <v>5</v>
          </cell>
          <cell r="H209">
            <v>2</v>
          </cell>
          <cell r="I209">
            <v>0.4</v>
          </cell>
        </row>
        <row r="210">
          <cell r="B210" t="str">
            <v>WWH</v>
          </cell>
          <cell r="C210" t="str">
            <v>VB2169</v>
          </cell>
          <cell r="D210" t="str">
            <v>Naina Shukla</v>
          </cell>
          <cell r="E210" t="str">
            <v>Shailesh Sharma</v>
          </cell>
          <cell r="F210" t="str">
            <v>Nina@VBeyondHealthcare.com</v>
          </cell>
          <cell r="G210">
            <v>4</v>
          </cell>
          <cell r="H210">
            <v>0</v>
          </cell>
          <cell r="I210">
            <v>0</v>
          </cell>
        </row>
        <row r="211">
          <cell r="B211" t="str">
            <v>WWH</v>
          </cell>
          <cell r="C211" t="str">
            <v>VB2205</v>
          </cell>
          <cell r="D211" t="str">
            <v>Falguni Srivastava</v>
          </cell>
          <cell r="E211" t="str">
            <v>Shailesh Sharma</v>
          </cell>
          <cell r="F211" t="str">
            <v>Faith@VBeyondHealthcare.com</v>
          </cell>
          <cell r="G211">
            <v>4</v>
          </cell>
          <cell r="H211">
            <v>0</v>
          </cell>
          <cell r="I211">
            <v>0</v>
          </cell>
        </row>
        <row r="212">
          <cell r="B212" t="str">
            <v>WWH</v>
          </cell>
          <cell r="C212" t="str">
            <v>VB2230</v>
          </cell>
          <cell r="D212" t="str">
            <v>Ashish Mishra</v>
          </cell>
          <cell r="E212" t="str">
            <v>Shailesh Sharma</v>
          </cell>
          <cell r="F212" t="str">
            <v>Asher@VBeyondHealthcare.com</v>
          </cell>
          <cell r="G212">
            <v>0</v>
          </cell>
          <cell r="H212">
            <v>0</v>
          </cell>
          <cell r="I212" t="e">
            <v>#DIV/0!</v>
          </cell>
        </row>
        <row r="213">
          <cell r="B213" t="str">
            <v>WWH</v>
          </cell>
          <cell r="C213" t="str">
            <v>VB2233</v>
          </cell>
          <cell r="D213" t="str">
            <v>Siya Pandey</v>
          </cell>
          <cell r="E213" t="str">
            <v>Shailesh Sharma</v>
          </cell>
          <cell r="F213" t="str">
            <v>SiyaP@VBeyondHealthcare.com</v>
          </cell>
          <cell r="G213">
            <v>0</v>
          </cell>
          <cell r="H213">
            <v>0</v>
          </cell>
          <cell r="I213" t="e">
            <v>#DIV/0!</v>
          </cell>
        </row>
        <row r="214">
          <cell r="B214" t="str">
            <v>WWH</v>
          </cell>
          <cell r="C214" t="str">
            <v>VB2267</v>
          </cell>
          <cell r="D214" t="str">
            <v>Anurag Kumar Sinha</v>
          </cell>
          <cell r="E214" t="str">
            <v>Shailesh Sharma</v>
          </cell>
          <cell r="F214" t="str">
            <v>Allen@VBeyondHealthcare.com</v>
          </cell>
          <cell r="G214">
            <v>0</v>
          </cell>
          <cell r="H214">
            <v>0</v>
          </cell>
          <cell r="I214" t="e">
            <v>#DIV/0!</v>
          </cell>
        </row>
        <row r="215">
          <cell r="B215" t="str">
            <v>WWH</v>
          </cell>
          <cell r="C215" t="str">
            <v>VB2268</v>
          </cell>
          <cell r="D215" t="str">
            <v>Ajay Chandra Dalakoti</v>
          </cell>
          <cell r="E215" t="str">
            <v>Shailesh Sharma</v>
          </cell>
          <cell r="F215" t="str">
            <v>AJ@VBeyondHealthcare.com</v>
          </cell>
          <cell r="G215">
            <v>0</v>
          </cell>
          <cell r="H215">
            <v>0</v>
          </cell>
          <cell r="I215" t="e">
            <v>#DIV/0!</v>
          </cell>
        </row>
        <row r="216">
          <cell r="B216" t="str">
            <v>WWH</v>
          </cell>
          <cell r="C216" t="str">
            <v>VB2276</v>
          </cell>
          <cell r="D216" t="str">
            <v>Banpreet Kaur</v>
          </cell>
          <cell r="E216" t="str">
            <v>Shailesh Sharma</v>
          </cell>
          <cell r="F216" t="str">
            <v>Bani@VBeyondHealthcare.com</v>
          </cell>
          <cell r="G216">
            <v>0</v>
          </cell>
          <cell r="H216">
            <v>0</v>
          </cell>
          <cell r="I216" t="e">
            <v>#DIV/0!</v>
          </cell>
        </row>
      </sheetData>
      <sheetData sheetId="33"/>
      <sheetData sheetId="34"/>
      <sheetData sheetId="35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8F8B-CDD6-4C23-BB07-CA848D0A144E}">
  <dimension ref="A1:N602"/>
  <sheetViews>
    <sheetView tabSelected="1" zoomScale="44" workbookViewId="0">
      <selection sqref="A1:XFD1048576"/>
    </sheetView>
  </sheetViews>
  <sheetFormatPr defaultColWidth="20.6640625" defaultRowHeight="14.4" x14ac:dyDescent="0.3"/>
  <cols>
    <col min="1" max="1" width="20.5546875" style="3" bestFit="1" customWidth="1"/>
    <col min="2" max="2" width="31.109375" style="3" bestFit="1" customWidth="1"/>
    <col min="3" max="3" width="20.5546875" style="3" bestFit="1" customWidth="1"/>
    <col min="4" max="4" width="14.5546875" style="3" bestFit="1" customWidth="1"/>
    <col min="5" max="5" width="16.109375" style="3" bestFit="1" customWidth="1"/>
    <col min="6" max="6" width="10.109375" style="3" bestFit="1" customWidth="1"/>
    <col min="7" max="7" width="11" style="3" bestFit="1" customWidth="1"/>
    <col min="8" max="8" width="18.5546875" style="3" bestFit="1" customWidth="1"/>
    <col min="9" max="9" width="14.109375" style="3" bestFit="1" customWidth="1"/>
    <col min="10" max="10" width="15.5546875" style="3" bestFit="1" customWidth="1"/>
    <col min="11" max="12" width="19.5546875" style="3" bestFit="1" customWidth="1"/>
    <col min="13" max="13" width="16.21875" style="3" bestFit="1" customWidth="1"/>
    <col min="14" max="14" width="16" style="3" bestFit="1" customWidth="1"/>
    <col min="15" max="15" width="10" style="3" bestFit="1" customWidth="1"/>
    <col min="16" max="16384" width="20.6640625" style="3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</row>
    <row r="2" spans="1:14" x14ac:dyDescent="0.3">
      <c r="A2" s="4" t="s">
        <v>11</v>
      </c>
      <c r="B2" s="3" t="str">
        <f>_xlfn.XLOOKUP($C2,'[1]Basic EMP Data - 2025'!$D$3:$D$216,'[1]Basic EMP Data - 2025'!$C$3:$C$216)</f>
        <v>VB1386</v>
      </c>
      <c r="C2" s="5" t="s">
        <v>12</v>
      </c>
      <c r="D2" s="4" t="str">
        <f>VLOOKUP($B2,'[1]Basic EMP Data - 2025'!$C$3:$F$216,3,0)</f>
        <v>Nitin Saxena</v>
      </c>
      <c r="E2" s="4">
        <f>VLOOKUP($B2,'[1]Basic EMP Data - 2025'!$C$3:$I$216,5,0)</f>
        <v>8</v>
      </c>
      <c r="F2" s="4">
        <f>VLOOKUP($B2,'[1]Basic EMP Data - 2025'!$C$3:$I$216,6,0)</f>
        <v>4</v>
      </c>
      <c r="G2" s="6">
        <f>F2/E2</f>
        <v>0.5</v>
      </c>
      <c r="H2" s="7">
        <f>SUM(L4:L22)</f>
        <v>19031.680000000004</v>
      </c>
      <c r="I2" s="8" cm="1">
        <f t="array" ref="I2">_xlfn.IFS($G2&lt;=34%,0%,$G2&lt;=75%,3%,$G2&lt;=120%,4%,$G2&gt;120%,5%)</f>
        <v>0.03</v>
      </c>
      <c r="J2" s="7" cm="1">
        <f t="array" ref="J2">SUMPRODUCT((C4:C16=2024)*M4:M16) + SUMPRODUCT((C4:C16=2025)*M4:M16*2)</f>
        <v>34050.688000000009</v>
      </c>
      <c r="K2" s="4">
        <f>SUM(N4:N16)</f>
        <v>0</v>
      </c>
      <c r="M2" s="2"/>
      <c r="N2" s="2"/>
    </row>
    <row r="3" spans="1:14" ht="28.8" x14ac:dyDescent="0.3">
      <c r="A3" s="9" t="s">
        <v>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  <c r="M3" s="9" t="s">
        <v>24</v>
      </c>
      <c r="N3" s="9" t="s">
        <v>25</v>
      </c>
    </row>
    <row r="4" spans="1:14" x14ac:dyDescent="0.3">
      <c r="A4" s="10" t="str">
        <f>C2</f>
        <v>Aviral Shukla</v>
      </c>
      <c r="B4" s="3" t="str" cm="1">
        <f t="array" ref="B4:M6">_xlfn.LET(
  _xlpm.data, _xlfn._xlws.FILTER('[1]Incentive Data'!A:BV, '[1]Incentive Data'!H:H=$C2),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Deva Praneeth</v>
      </c>
      <c r="C4" s="11">
        <v>2024</v>
      </c>
      <c r="D4" s="12">
        <v>45448</v>
      </c>
      <c r="E4" s="12">
        <v>46022</v>
      </c>
      <c r="F4" s="4" t="str">
        <v>Genpact</v>
      </c>
      <c r="G4" s="13" t="str">
        <v>PLC-3815</v>
      </c>
      <c r="H4" s="14" t="str">
        <v>C2C</v>
      </c>
      <c r="I4" s="11" t="str">
        <v>Done</v>
      </c>
      <c r="J4" s="4" t="str">
        <v>Y</v>
      </c>
      <c r="K4" s="4">
        <v>664</v>
      </c>
      <c r="L4" s="7">
        <v>10371.680000000004</v>
      </c>
      <c r="M4" s="7">
        <v>16594.688000000006</v>
      </c>
      <c r="N4" s="4"/>
    </row>
    <row r="5" spans="1:14" x14ac:dyDescent="0.3">
      <c r="A5" s="10"/>
      <c r="B5" s="4" t="str">
        <v>Sheba Bishop</v>
      </c>
      <c r="C5" s="11">
        <v>2024</v>
      </c>
      <c r="D5" s="12">
        <v>45572</v>
      </c>
      <c r="E5" s="12" t="str">
        <v>-</v>
      </c>
      <c r="F5" s="4" t="str">
        <v>WNS</v>
      </c>
      <c r="G5" s="13" t="str">
        <v>PLC-4006</v>
      </c>
      <c r="H5" s="14" t="str">
        <v>FTE</v>
      </c>
      <c r="I5" s="11" t="str">
        <v>Done</v>
      </c>
      <c r="J5" s="4" t="str">
        <v>Y</v>
      </c>
      <c r="K5" s="4">
        <v>0</v>
      </c>
      <c r="L5" s="7">
        <v>4160</v>
      </c>
      <c r="M5" s="7">
        <v>6656</v>
      </c>
      <c r="N5" s="4"/>
    </row>
    <row r="6" spans="1:14" x14ac:dyDescent="0.3">
      <c r="A6" s="10"/>
      <c r="B6" s="4" t="str">
        <v>Steven Cruz</v>
      </c>
      <c r="C6" s="11">
        <v>2025</v>
      </c>
      <c r="D6" s="12">
        <v>45775</v>
      </c>
      <c r="E6" s="12" t="str">
        <v>-</v>
      </c>
      <c r="F6" s="4" t="str">
        <v>Genpact</v>
      </c>
      <c r="G6" s="13" t="str">
        <v>PLC-4237</v>
      </c>
      <c r="H6" s="14" t="str">
        <v>FTE</v>
      </c>
      <c r="I6" s="11" t="str">
        <v>Done</v>
      </c>
      <c r="J6" s="4" t="str">
        <v>Y</v>
      </c>
      <c r="K6" s="4">
        <v>0</v>
      </c>
      <c r="L6" s="7">
        <v>4500</v>
      </c>
      <c r="M6" s="7">
        <v>5400</v>
      </c>
      <c r="N6" s="4"/>
    </row>
    <row r="7" spans="1:14" x14ac:dyDescent="0.3">
      <c r="A7" s="10"/>
      <c r="B7" s="4"/>
      <c r="C7" s="11"/>
      <c r="D7" s="12"/>
      <c r="E7" s="12"/>
      <c r="F7" s="4"/>
      <c r="G7" s="13"/>
      <c r="H7" s="14"/>
      <c r="I7" s="11"/>
      <c r="J7" s="4"/>
      <c r="K7" s="4"/>
      <c r="L7" s="4"/>
      <c r="M7" s="4"/>
      <c r="N7" s="4"/>
    </row>
    <row r="8" spans="1:14" x14ac:dyDescent="0.3">
      <c r="A8" s="10"/>
      <c r="B8" s="4"/>
      <c r="C8" s="11"/>
      <c r="D8" s="12"/>
      <c r="E8" s="12"/>
      <c r="F8" s="4"/>
      <c r="G8" s="13"/>
      <c r="H8" s="14"/>
      <c r="I8" s="11"/>
      <c r="J8" s="4"/>
      <c r="K8" s="4"/>
      <c r="L8" s="4"/>
      <c r="M8" s="4"/>
      <c r="N8" s="4"/>
    </row>
    <row r="9" spans="1:14" x14ac:dyDescent="0.3">
      <c r="A9" s="10"/>
      <c r="B9" s="4"/>
      <c r="C9" s="11"/>
      <c r="D9" s="12"/>
      <c r="E9" s="12"/>
      <c r="F9" s="4"/>
      <c r="G9" s="13"/>
      <c r="H9" s="14"/>
      <c r="I9" s="11"/>
      <c r="J9" s="4"/>
      <c r="K9" s="4"/>
      <c r="L9" s="4"/>
      <c r="M9" s="4"/>
      <c r="N9" s="4"/>
    </row>
    <row r="10" spans="1:14" x14ac:dyDescent="0.3">
      <c r="A10" s="10"/>
      <c r="B10" s="4"/>
      <c r="C10" s="11"/>
      <c r="D10" s="12"/>
      <c r="E10" s="12"/>
      <c r="F10" s="4"/>
      <c r="G10" s="13"/>
      <c r="H10" s="14"/>
      <c r="I10" s="11"/>
      <c r="J10" s="4"/>
      <c r="K10" s="4"/>
      <c r="L10" s="4"/>
      <c r="M10" s="4"/>
      <c r="N10" s="4"/>
    </row>
    <row r="11" spans="1:14" x14ac:dyDescent="0.3">
      <c r="A11" s="10"/>
      <c r="B11" s="4"/>
      <c r="C11" s="11"/>
      <c r="D11" s="12"/>
      <c r="E11" s="12"/>
      <c r="F11" s="4"/>
      <c r="G11" s="13"/>
      <c r="H11" s="14"/>
      <c r="I11" s="11"/>
      <c r="J11" s="4"/>
      <c r="K11" s="4"/>
      <c r="L11" s="4"/>
      <c r="M11" s="4"/>
      <c r="N11" s="4"/>
    </row>
    <row r="12" spans="1:14" x14ac:dyDescent="0.3">
      <c r="A12" s="10"/>
      <c r="B12" s="4"/>
      <c r="C12" s="11"/>
      <c r="D12" s="12"/>
      <c r="E12" s="12"/>
      <c r="F12" s="4"/>
      <c r="G12" s="13"/>
      <c r="H12" s="14"/>
      <c r="I12" s="11"/>
      <c r="J12" s="4"/>
      <c r="K12" s="4"/>
      <c r="L12" s="4"/>
      <c r="M12" s="4"/>
      <c r="N12" s="4"/>
    </row>
    <row r="13" spans="1:14" x14ac:dyDescent="0.3">
      <c r="A13" s="10"/>
      <c r="B13" s="4"/>
      <c r="C13" s="11"/>
      <c r="D13" s="12"/>
      <c r="E13" s="12"/>
      <c r="F13" s="4"/>
      <c r="G13" s="13"/>
      <c r="H13" s="14"/>
      <c r="I13" s="11"/>
      <c r="J13" s="4"/>
      <c r="K13" s="4"/>
      <c r="L13" s="4"/>
      <c r="M13" s="4"/>
      <c r="N13" s="4"/>
    </row>
    <row r="14" spans="1:14" x14ac:dyDescent="0.3">
      <c r="A14" s="10"/>
      <c r="B14" s="4"/>
      <c r="C14" s="11"/>
      <c r="D14" s="12"/>
      <c r="E14" s="12"/>
      <c r="F14" s="4"/>
      <c r="G14" s="13"/>
      <c r="H14" s="14"/>
      <c r="I14" s="11"/>
      <c r="J14" s="4"/>
      <c r="K14" s="4"/>
      <c r="L14" s="4"/>
      <c r="M14" s="4"/>
      <c r="N14" s="4"/>
    </row>
    <row r="15" spans="1:14" x14ac:dyDescent="0.3">
      <c r="A15" s="10"/>
      <c r="B15" s="4"/>
      <c r="C15" s="11"/>
      <c r="D15" s="12"/>
      <c r="E15" s="12"/>
      <c r="F15" s="4"/>
      <c r="G15" s="13"/>
      <c r="H15" s="14"/>
      <c r="I15" s="11"/>
      <c r="J15" s="4"/>
      <c r="K15" s="4"/>
      <c r="L15" s="4"/>
      <c r="M15" s="4"/>
      <c r="N15" s="4"/>
    </row>
    <row r="16" spans="1:14" x14ac:dyDescent="0.3">
      <c r="A16" s="10"/>
      <c r="B16" s="4"/>
      <c r="C16" s="11"/>
      <c r="D16" s="12"/>
      <c r="E16" s="12"/>
      <c r="F16" s="4"/>
      <c r="G16" s="13"/>
      <c r="H16" s="14"/>
      <c r="I16" s="11"/>
      <c r="J16" s="4"/>
      <c r="K16" s="4"/>
      <c r="L16" s="4"/>
      <c r="M16" s="4"/>
      <c r="N16" s="4"/>
    </row>
    <row r="17" spans="1:14" x14ac:dyDescent="0.3">
      <c r="G17" s="15"/>
    </row>
    <row r="18" spans="1:14" x14ac:dyDescent="0.3">
      <c r="G18" s="15"/>
    </row>
    <row r="21" spans="1:14" ht="28.8" x14ac:dyDescent="0.3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2"/>
      <c r="M21" s="2"/>
      <c r="N21" s="2"/>
    </row>
    <row r="22" spans="1:14" x14ac:dyDescent="0.3">
      <c r="A22" s="4" t="s">
        <v>11</v>
      </c>
      <c r="B22" s="3" t="str">
        <f>_xlfn.XLOOKUP($C22,'[1]Basic EMP Data - 2025'!$D$3:$D$216,'[1]Basic EMP Data - 2025'!$C$3:$C$216)</f>
        <v>VB1665</v>
      </c>
      <c r="C22" s="5" t="s">
        <v>26</v>
      </c>
      <c r="D22" s="4" t="str">
        <f>VLOOKUP($B22,'[1]Basic EMP Data - 2025'!$C$3:$F$216,3,0)</f>
        <v>Nitin Saxena</v>
      </c>
      <c r="E22" s="4">
        <f>VLOOKUP($B22,'[1]Basic EMP Data - 2025'!$C$3:$I$216,5,0)</f>
        <v>8</v>
      </c>
      <c r="F22" s="4">
        <f>VLOOKUP($B22,'[1]Basic EMP Data - 2025'!$C$3:$I$216,6,0)</f>
        <v>10</v>
      </c>
      <c r="G22" s="6">
        <f>F22/E22</f>
        <v>1.25</v>
      </c>
      <c r="H22" s="7">
        <f>SUM(L24:L42)</f>
        <v>33296.942999999999</v>
      </c>
      <c r="I22" s="8" cm="1">
        <f t="array" ref="I22">_xlfn.IFS($G22&lt;=34%,0%,$G22&lt;=75%,3%,$G22&lt;=120%,4%,$G22&gt;120%,5%)</f>
        <v>0.05</v>
      </c>
      <c r="J22" s="7" cm="1">
        <f t="array" ref="J22">SUMPRODUCT((C24:C42=2024)*M24:M42) + SUMPRODUCT((C24:C42=2025)*M24:M42*2)</f>
        <v>98436.672000000006</v>
      </c>
      <c r="K22" s="4">
        <f>SUM(N24:N42)</f>
        <v>0</v>
      </c>
      <c r="M22" s="2"/>
      <c r="N22" s="2"/>
    </row>
    <row r="23" spans="1:14" s="2" customFormat="1" ht="28.8" x14ac:dyDescent="0.3">
      <c r="A23" s="9" t="s">
        <v>2</v>
      </c>
      <c r="B23" s="9" t="s">
        <v>13</v>
      </c>
      <c r="C23" s="9" t="s">
        <v>14</v>
      </c>
      <c r="D23" s="9" t="s">
        <v>15</v>
      </c>
      <c r="E23" s="9" t="s">
        <v>16</v>
      </c>
      <c r="F23" s="9" t="s">
        <v>17</v>
      </c>
      <c r="G23" s="9" t="s">
        <v>18</v>
      </c>
      <c r="H23" s="9" t="s">
        <v>19</v>
      </c>
      <c r="I23" s="9" t="s">
        <v>20</v>
      </c>
      <c r="J23" s="9" t="s">
        <v>21</v>
      </c>
      <c r="K23" s="9" t="s">
        <v>22</v>
      </c>
      <c r="L23" s="9" t="s">
        <v>23</v>
      </c>
      <c r="M23" s="9" t="s">
        <v>24</v>
      </c>
      <c r="N23" s="9" t="s">
        <v>25</v>
      </c>
    </row>
    <row r="24" spans="1:14" x14ac:dyDescent="0.3">
      <c r="A24" s="10" t="str">
        <f>C22</f>
        <v>Samad Quraishi</v>
      </c>
      <c r="B24" s="4" t="str" cm="1">
        <f t="array" ref="B24:M30">_xlfn.LET(
  _xlpm.data, _xlfn._xlws.FILTER('[1]Incentive Data'!A:BV, '[1]Incentive Data'!H:H=$C22),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Brianna Myers</v>
      </c>
      <c r="C24" s="11">
        <v>2025</v>
      </c>
      <c r="D24" s="12">
        <v>45747</v>
      </c>
      <c r="E24" s="12" t="str">
        <v>-</v>
      </c>
      <c r="F24" s="4" t="str">
        <v>WNS</v>
      </c>
      <c r="G24" s="13" t="str">
        <v>PLC-4199</v>
      </c>
      <c r="H24" s="14" t="str">
        <v>FTE</v>
      </c>
      <c r="I24" s="11" t="str">
        <v>Done</v>
      </c>
      <c r="J24" s="4" t="str">
        <v>Y</v>
      </c>
      <c r="K24" s="4">
        <v>0</v>
      </c>
      <c r="L24" s="7">
        <v>4784</v>
      </c>
      <c r="M24" s="7">
        <v>7654.4</v>
      </c>
      <c r="N24" s="4"/>
    </row>
    <row r="25" spans="1:14" x14ac:dyDescent="0.3">
      <c r="A25" s="10"/>
      <c r="B25" s="4" t="str">
        <v>Marysol Serrano</v>
      </c>
      <c r="C25" s="11">
        <v>2025</v>
      </c>
      <c r="D25" s="12">
        <v>45747</v>
      </c>
      <c r="E25" s="12" t="str">
        <v>-</v>
      </c>
      <c r="F25" s="4" t="str">
        <v>WNS</v>
      </c>
      <c r="G25" s="13" t="str">
        <v>PLC-4200</v>
      </c>
      <c r="H25" s="14" t="str">
        <v>FTE</v>
      </c>
      <c r="I25" s="11" t="str">
        <v>Done</v>
      </c>
      <c r="J25" s="4" t="str">
        <v>Y</v>
      </c>
      <c r="K25" s="4">
        <v>0</v>
      </c>
      <c r="L25" s="7">
        <v>5200</v>
      </c>
      <c r="M25" s="7">
        <v>8320</v>
      </c>
      <c r="N25" s="4"/>
    </row>
    <row r="26" spans="1:14" x14ac:dyDescent="0.3">
      <c r="A26" s="10"/>
      <c r="B26" s="4" t="str">
        <v>Mohammed Abdul Mubdi</v>
      </c>
      <c r="C26" s="11">
        <v>2024</v>
      </c>
      <c r="D26" s="12">
        <v>45572</v>
      </c>
      <c r="E26" s="12">
        <v>45893</v>
      </c>
      <c r="F26" s="4" t="str">
        <v>Genpact</v>
      </c>
      <c r="G26" s="13" t="str">
        <v>PLC-4008</v>
      </c>
      <c r="H26" s="14" t="str">
        <v>C2C</v>
      </c>
      <c r="I26" s="11" t="str">
        <v>Done</v>
      </c>
      <c r="J26" s="4" t="str">
        <v>Y</v>
      </c>
      <c r="K26" s="4">
        <v>648</v>
      </c>
      <c r="L26" s="7">
        <v>4600.8000000000011</v>
      </c>
      <c r="M26" s="7">
        <v>15642.720000000003</v>
      </c>
      <c r="N26" s="4"/>
    </row>
    <row r="27" spans="1:14" x14ac:dyDescent="0.3">
      <c r="A27" s="10"/>
      <c r="B27" s="4" t="str">
        <v>Oladapo Odutayo</v>
      </c>
      <c r="C27" s="11">
        <v>2024</v>
      </c>
      <c r="D27" s="12">
        <v>45582</v>
      </c>
      <c r="E27" s="12">
        <v>45893</v>
      </c>
      <c r="F27" s="4" t="str">
        <v>Genpact</v>
      </c>
      <c r="G27" s="13" t="str">
        <v>PLC-4024</v>
      </c>
      <c r="H27" s="14" t="str">
        <v>C2C</v>
      </c>
      <c r="I27" s="11" t="str">
        <v>Done</v>
      </c>
      <c r="J27" s="4" t="str">
        <v>Y</v>
      </c>
      <c r="K27" s="4">
        <v>664</v>
      </c>
      <c r="L27" s="7">
        <v>5657.2800000000025</v>
      </c>
      <c r="M27" s="7">
        <v>19234.752000000008</v>
      </c>
      <c r="N27" s="4"/>
    </row>
    <row r="28" spans="1:14" x14ac:dyDescent="0.3">
      <c r="A28" s="10"/>
      <c r="B28" s="4" t="str">
        <v>Sri Vardhani Jammalamadaka</v>
      </c>
      <c r="C28" s="11">
        <v>2024</v>
      </c>
      <c r="D28" s="12">
        <v>45365</v>
      </c>
      <c r="E28" s="12">
        <v>45768</v>
      </c>
      <c r="F28" s="4" t="str">
        <v>Genpact</v>
      </c>
      <c r="G28" s="13" t="str">
        <v>PLC-3674</v>
      </c>
      <c r="H28" s="14">
        <v>1099</v>
      </c>
      <c r="I28" s="11" t="str">
        <v>Done</v>
      </c>
      <c r="J28" s="4" t="str">
        <v>Y</v>
      </c>
      <c r="K28" s="4">
        <v>587</v>
      </c>
      <c r="L28" s="7">
        <v>4178.4929999999986</v>
      </c>
      <c r="M28" s="7">
        <v>7180.7999999999975</v>
      </c>
      <c r="N28" s="4"/>
    </row>
    <row r="29" spans="1:14" x14ac:dyDescent="0.3">
      <c r="A29" s="10"/>
      <c r="B29" s="4" t="str">
        <v>Sumanth Muduthanapelli</v>
      </c>
      <c r="C29" s="11">
        <v>2024</v>
      </c>
      <c r="D29" s="12">
        <v>45365</v>
      </c>
      <c r="E29" s="12">
        <v>45742</v>
      </c>
      <c r="F29" s="4" t="str">
        <v>Genpact</v>
      </c>
      <c r="G29" s="13" t="str">
        <v>PLC-3673</v>
      </c>
      <c r="H29" s="14">
        <v>1099</v>
      </c>
      <c r="I29" s="11" t="str">
        <v>Done</v>
      </c>
      <c r="J29" s="4" t="str">
        <v>Y</v>
      </c>
      <c r="K29" s="4">
        <v>480</v>
      </c>
      <c r="L29" s="7">
        <v>3626.369999999999</v>
      </c>
      <c r="M29" s="7">
        <v>7629.5999999999967</v>
      </c>
      <c r="N29" s="4"/>
    </row>
    <row r="30" spans="1:14" x14ac:dyDescent="0.3">
      <c r="A30" s="10"/>
      <c r="B30" s="4" t="str">
        <v>Yuko Namiki</v>
      </c>
      <c r="C30" s="11">
        <v>2025</v>
      </c>
      <c r="D30" s="12">
        <v>45706</v>
      </c>
      <c r="E30" s="12" t="str">
        <v>-</v>
      </c>
      <c r="F30" s="4" t="str">
        <v>Relevante</v>
      </c>
      <c r="G30" s="13" t="str">
        <v>PLC-4145</v>
      </c>
      <c r="H30" s="14" t="str">
        <v>FTE</v>
      </c>
      <c r="I30" s="11" t="str">
        <v>Done</v>
      </c>
      <c r="J30" s="4" t="str">
        <v>Y</v>
      </c>
      <c r="K30" s="4">
        <v>0</v>
      </c>
      <c r="L30" s="7">
        <v>5250</v>
      </c>
      <c r="M30" s="7">
        <v>8400</v>
      </c>
      <c r="N30" s="4"/>
    </row>
    <row r="31" spans="1:14" x14ac:dyDescent="0.3">
      <c r="A31" s="10"/>
      <c r="B31" s="4"/>
      <c r="C31" s="11"/>
      <c r="D31" s="12"/>
      <c r="E31" s="12"/>
      <c r="F31" s="4"/>
      <c r="G31" s="13"/>
      <c r="H31" s="14"/>
      <c r="I31" s="11"/>
      <c r="J31" s="4"/>
      <c r="K31" s="4"/>
      <c r="L31" s="7"/>
      <c r="M31" s="7"/>
      <c r="N31" s="4"/>
    </row>
    <row r="32" spans="1:14" x14ac:dyDescent="0.3">
      <c r="A32" s="10"/>
      <c r="B32" s="4"/>
      <c r="C32" s="11"/>
      <c r="D32" s="12"/>
      <c r="E32" s="12"/>
      <c r="F32" s="4"/>
      <c r="G32" s="13"/>
      <c r="H32" s="14"/>
      <c r="I32" s="11"/>
      <c r="J32" s="4"/>
      <c r="K32" s="4"/>
      <c r="L32" s="7"/>
      <c r="M32" s="7"/>
      <c r="N32" s="4"/>
    </row>
    <row r="33" spans="1:14" x14ac:dyDescent="0.3">
      <c r="A33" s="10"/>
      <c r="B33" s="4"/>
      <c r="C33" s="11"/>
      <c r="D33" s="12"/>
      <c r="E33" s="12"/>
      <c r="F33" s="4"/>
      <c r="G33" s="13"/>
      <c r="H33" s="14"/>
      <c r="I33" s="11"/>
      <c r="J33" s="4"/>
      <c r="K33" s="4"/>
      <c r="L33" s="7"/>
      <c r="M33" s="7"/>
      <c r="N33" s="4"/>
    </row>
    <row r="34" spans="1:14" x14ac:dyDescent="0.3">
      <c r="A34" s="10"/>
      <c r="B34" s="4"/>
      <c r="C34" s="11"/>
      <c r="D34" s="12"/>
      <c r="E34" s="12"/>
      <c r="F34" s="4"/>
      <c r="G34" s="13"/>
      <c r="H34" s="14"/>
      <c r="I34" s="11"/>
      <c r="J34" s="4"/>
      <c r="K34" s="4"/>
      <c r="L34" s="7"/>
      <c r="M34" s="7"/>
      <c r="N34" s="4"/>
    </row>
    <row r="35" spans="1:14" x14ac:dyDescent="0.3">
      <c r="A35" s="10"/>
      <c r="B35" s="4"/>
      <c r="C35" s="11"/>
      <c r="D35" s="12"/>
      <c r="E35" s="12"/>
      <c r="F35" s="4"/>
      <c r="G35" s="13"/>
      <c r="H35" s="14"/>
      <c r="I35" s="11"/>
      <c r="J35" s="4"/>
      <c r="K35" s="4"/>
      <c r="L35" s="7"/>
      <c r="M35" s="7"/>
      <c r="N35" s="4"/>
    </row>
    <row r="36" spans="1:14" x14ac:dyDescent="0.3">
      <c r="A36" s="10"/>
      <c r="B36" s="4"/>
      <c r="C36" s="11"/>
      <c r="D36" s="12"/>
      <c r="E36" s="12"/>
      <c r="F36" s="4"/>
      <c r="G36" s="13"/>
      <c r="H36" s="14"/>
      <c r="I36" s="11"/>
      <c r="J36" s="4"/>
      <c r="K36" s="4"/>
      <c r="L36" s="7"/>
      <c r="M36" s="7"/>
      <c r="N36" s="4"/>
    </row>
    <row r="37" spans="1:14" x14ac:dyDescent="0.3">
      <c r="A37" s="10"/>
      <c r="B37" s="4"/>
      <c r="C37" s="11"/>
      <c r="D37" s="12"/>
      <c r="E37" s="12"/>
      <c r="F37" s="4"/>
      <c r="G37" s="13"/>
      <c r="H37" s="14"/>
      <c r="I37" s="11"/>
      <c r="J37" s="4"/>
      <c r="K37" s="4"/>
      <c r="L37" s="7"/>
      <c r="M37" s="7"/>
      <c r="N37" s="4"/>
    </row>
    <row r="38" spans="1:14" x14ac:dyDescent="0.3">
      <c r="A38" s="10"/>
      <c r="B38" s="4"/>
      <c r="C38" s="11"/>
      <c r="D38" s="12"/>
      <c r="E38" s="12"/>
      <c r="F38" s="4"/>
      <c r="G38" s="13"/>
      <c r="H38" s="14"/>
      <c r="I38" s="11"/>
      <c r="J38" s="4"/>
      <c r="K38" s="4"/>
      <c r="L38" s="7"/>
      <c r="M38" s="7"/>
      <c r="N38" s="4"/>
    </row>
    <row r="39" spans="1:14" x14ac:dyDescent="0.3">
      <c r="A39" s="10"/>
      <c r="B39" s="4"/>
      <c r="C39" s="11"/>
      <c r="D39" s="12"/>
      <c r="E39" s="12"/>
      <c r="F39" s="4"/>
      <c r="G39" s="13"/>
      <c r="H39" s="14"/>
      <c r="I39" s="11"/>
      <c r="J39" s="4"/>
      <c r="K39" s="4"/>
      <c r="L39" s="7"/>
      <c r="M39" s="7"/>
      <c r="N39" s="4"/>
    </row>
    <row r="40" spans="1:14" x14ac:dyDescent="0.3">
      <c r="A40" s="10"/>
      <c r="B40" s="4"/>
      <c r="C40" s="11"/>
      <c r="D40" s="12"/>
      <c r="E40" s="12"/>
      <c r="F40" s="4"/>
      <c r="G40" s="13"/>
      <c r="H40" s="14"/>
      <c r="I40" s="11"/>
      <c r="J40" s="4"/>
      <c r="K40" s="4"/>
      <c r="L40" s="7"/>
      <c r="M40" s="7"/>
      <c r="N40" s="4"/>
    </row>
    <row r="41" spans="1:14" x14ac:dyDescent="0.3">
      <c r="A41" s="10"/>
      <c r="B41" s="4"/>
      <c r="C41" s="11"/>
      <c r="D41" s="12"/>
      <c r="E41" s="12"/>
      <c r="F41" s="4"/>
      <c r="G41" s="13"/>
      <c r="H41" s="14"/>
      <c r="I41" s="11"/>
      <c r="J41" s="4"/>
      <c r="K41" s="4"/>
      <c r="L41" s="7"/>
      <c r="M41" s="7"/>
      <c r="N41" s="4"/>
    </row>
    <row r="42" spans="1:14" x14ac:dyDescent="0.3">
      <c r="A42" s="10"/>
      <c r="B42" s="4"/>
      <c r="C42" s="11"/>
      <c r="D42" s="12"/>
      <c r="E42" s="12"/>
      <c r="F42" s="4"/>
      <c r="G42" s="13"/>
      <c r="H42" s="14"/>
      <c r="I42" s="11"/>
      <c r="J42" s="4"/>
      <c r="K42" s="4"/>
      <c r="L42" s="7"/>
      <c r="M42" s="7"/>
      <c r="N42" s="4"/>
    </row>
    <row r="45" spans="1:14" ht="28.8" x14ac:dyDescent="0.3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2"/>
      <c r="M45" s="2"/>
      <c r="N45" s="2"/>
    </row>
    <row r="46" spans="1:14" x14ac:dyDescent="0.3">
      <c r="A46" s="4" t="s">
        <v>11</v>
      </c>
      <c r="B46" s="3" t="str">
        <f>_xlfn.XLOOKUP($C46,'[1]Basic EMP Data - 2025'!$D$3:$D$216,'[1]Basic EMP Data - 2025'!$C$3:$C$216)</f>
        <v>VB0594</v>
      </c>
      <c r="C46" s="5" t="s">
        <v>27</v>
      </c>
      <c r="D46" s="4" t="str">
        <f>VLOOKUP($B46,'[1]Basic EMP Data - 2025'!$C$3:$F$216,3,0)</f>
        <v>Nitin Saxena</v>
      </c>
      <c r="E46" s="4">
        <f>VLOOKUP($B46,'[1]Basic EMP Data - 2025'!$C$3:$I$216,5,0)</f>
        <v>7</v>
      </c>
      <c r="F46" s="4">
        <f>VLOOKUP($B46,'[1]Basic EMP Data - 2025'!$C$3:$I$216,6,0)</f>
        <v>1</v>
      </c>
      <c r="G46" s="6">
        <f>F46/E46</f>
        <v>0.14285714285714285</v>
      </c>
      <c r="H46" s="7">
        <f>SUM(L48:L66)</f>
        <v>16317.66</v>
      </c>
      <c r="I46" s="8" cm="1">
        <f t="array" ref="I46">_xlfn.IFS($G46&lt;=34%,0%,$G46&lt;=75%,3%,$G46&lt;=120%,4%,$G46&gt;120%,5%)</f>
        <v>0</v>
      </c>
      <c r="J46" s="7" cm="1">
        <f t="array" ref="J46">SUMPRODUCT((C48:C66=2024)*M48:M66) + SUMPRODUCT((C48:C66=2025)*M48:M66*2)</f>
        <v>25992.119999999995</v>
      </c>
      <c r="K46" s="4">
        <f>SUM(N48:N66)</f>
        <v>0</v>
      </c>
      <c r="M46" s="2"/>
      <c r="N46" s="2"/>
    </row>
    <row r="47" spans="1:14" ht="28.8" x14ac:dyDescent="0.3">
      <c r="A47" s="9" t="s">
        <v>2</v>
      </c>
      <c r="B47" s="9" t="s">
        <v>13</v>
      </c>
      <c r="C47" s="9" t="s">
        <v>14</v>
      </c>
      <c r="D47" s="9" t="s">
        <v>15</v>
      </c>
      <c r="E47" s="9" t="s">
        <v>16</v>
      </c>
      <c r="F47" s="9" t="s">
        <v>17</v>
      </c>
      <c r="G47" s="9" t="s">
        <v>18</v>
      </c>
      <c r="H47" s="9" t="s">
        <v>19</v>
      </c>
      <c r="I47" s="9" t="s">
        <v>20</v>
      </c>
      <c r="J47" s="9" t="s">
        <v>21</v>
      </c>
      <c r="K47" s="9" t="s">
        <v>22</v>
      </c>
      <c r="L47" s="9" t="s">
        <v>23</v>
      </c>
      <c r="M47" s="9" t="s">
        <v>24</v>
      </c>
      <c r="N47" s="9" t="s">
        <v>25</v>
      </c>
    </row>
    <row r="48" spans="1:14" x14ac:dyDescent="0.3">
      <c r="A48" s="10" t="str">
        <f>C46</f>
        <v>Ratnesh Kashyap</v>
      </c>
      <c r="B48" s="4" t="str" cm="1">
        <f t="array" ref="B48:M51">_xlfn.LET(
  _xlpm.data, _xlfn._xlws.FILTER('[1]Incentive Data'!A:BV, '[1]Incentive Data'!H:H=$C46),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Justin Li</v>
      </c>
      <c r="C48" s="11">
        <v>2024</v>
      </c>
      <c r="D48" s="12">
        <v>45582</v>
      </c>
      <c r="E48" s="12">
        <v>45848</v>
      </c>
      <c r="F48" s="4" t="str">
        <v>Genpact</v>
      </c>
      <c r="G48" s="13" t="str">
        <v>PLC-4025</v>
      </c>
      <c r="H48" s="14">
        <v>1099</v>
      </c>
      <c r="I48" s="11" t="str">
        <v>Done</v>
      </c>
      <c r="J48" s="4" t="str">
        <v>Y</v>
      </c>
      <c r="K48" s="4">
        <v>680</v>
      </c>
      <c r="L48" s="7">
        <v>4443.119999999999</v>
      </c>
      <c r="M48" s="7">
        <v>9873.5999999999967</v>
      </c>
      <c r="N48" s="4"/>
    </row>
    <row r="49" spans="1:14" x14ac:dyDescent="0.3">
      <c r="A49" s="10"/>
      <c r="B49" s="4" t="str">
        <v>Kendall Wade</v>
      </c>
      <c r="C49" s="11">
        <v>2025</v>
      </c>
      <c r="D49" s="12">
        <v>45712</v>
      </c>
      <c r="E49" s="12" t="str">
        <v>-</v>
      </c>
      <c r="F49" s="4" t="str">
        <v>Cyient</v>
      </c>
      <c r="G49" s="13" t="str">
        <v>PLC-4151</v>
      </c>
      <c r="H49" s="14" t="str">
        <v>FTE</v>
      </c>
      <c r="I49" s="11" t="str">
        <v>Done</v>
      </c>
      <c r="J49" s="4" t="str">
        <v>Y</v>
      </c>
      <c r="K49" s="4">
        <v>0</v>
      </c>
      <c r="L49" s="7">
        <v>4500</v>
      </c>
      <c r="M49" s="7">
        <v>0</v>
      </c>
      <c r="N49" s="4"/>
    </row>
    <row r="50" spans="1:14" x14ac:dyDescent="0.3">
      <c r="A50" s="10"/>
      <c r="B50" s="4" t="str">
        <v>Marco Antonio Razon</v>
      </c>
      <c r="C50" s="11">
        <v>2024</v>
      </c>
      <c r="D50" s="12">
        <v>45589</v>
      </c>
      <c r="E50" s="12">
        <v>45660</v>
      </c>
      <c r="F50" s="4" t="str">
        <v>Genpact</v>
      </c>
      <c r="G50" s="13" t="str">
        <v>PLC-4035</v>
      </c>
      <c r="H50" s="14">
        <v>1099</v>
      </c>
      <c r="I50" s="11" t="str">
        <v>Done</v>
      </c>
      <c r="J50" s="4" t="str">
        <v>Y</v>
      </c>
      <c r="K50" s="4">
        <v>20</v>
      </c>
      <c r="L50" s="7">
        <v>302.94</v>
      </c>
      <c r="M50" s="7">
        <v>561</v>
      </c>
      <c r="N50" s="4"/>
    </row>
    <row r="51" spans="1:14" x14ac:dyDescent="0.3">
      <c r="A51" s="10"/>
      <c r="B51" s="4" t="str">
        <v>Rameez Haslani</v>
      </c>
      <c r="C51" s="11">
        <v>2024</v>
      </c>
      <c r="D51" s="12">
        <v>45448</v>
      </c>
      <c r="E51" s="12">
        <v>46022</v>
      </c>
      <c r="F51" s="4" t="str">
        <v>Genpact</v>
      </c>
      <c r="G51" s="13" t="str">
        <v>PLC-3806</v>
      </c>
      <c r="H51" s="14" t="str">
        <v>C2C</v>
      </c>
      <c r="I51" s="11" t="str">
        <v>Done</v>
      </c>
      <c r="J51" s="4" t="str">
        <v>Y</v>
      </c>
      <c r="K51" s="4">
        <v>664</v>
      </c>
      <c r="L51" s="7">
        <v>7071.5999999999995</v>
      </c>
      <c r="M51" s="7">
        <v>15557.519999999999</v>
      </c>
      <c r="N51" s="4"/>
    </row>
    <row r="52" spans="1:14" x14ac:dyDescent="0.3">
      <c r="A52" s="10"/>
      <c r="B52" s="4"/>
      <c r="C52" s="11"/>
      <c r="D52" s="12"/>
      <c r="E52" s="12"/>
      <c r="F52" s="4"/>
      <c r="G52" s="13"/>
      <c r="H52" s="14"/>
      <c r="I52" s="11"/>
      <c r="J52" s="4"/>
      <c r="K52" s="4"/>
      <c r="L52" s="7"/>
      <c r="M52" s="7"/>
      <c r="N52" s="4"/>
    </row>
    <row r="53" spans="1:14" x14ac:dyDescent="0.3">
      <c r="A53" s="10"/>
      <c r="B53" s="4"/>
      <c r="C53" s="11"/>
      <c r="D53" s="12"/>
      <c r="E53" s="12"/>
      <c r="F53" s="4"/>
      <c r="G53" s="13"/>
      <c r="H53" s="14"/>
      <c r="I53" s="11"/>
      <c r="J53" s="4"/>
      <c r="K53" s="4"/>
      <c r="L53" s="7"/>
      <c r="M53" s="7"/>
      <c r="N53" s="4"/>
    </row>
    <row r="54" spans="1:14" x14ac:dyDescent="0.3">
      <c r="A54" s="10"/>
      <c r="B54" s="4"/>
      <c r="C54" s="11"/>
      <c r="D54" s="12"/>
      <c r="E54" s="12"/>
      <c r="F54" s="4"/>
      <c r="G54" s="13"/>
      <c r="H54" s="14"/>
      <c r="I54" s="11"/>
      <c r="J54" s="4"/>
      <c r="K54" s="4"/>
      <c r="L54" s="7"/>
      <c r="M54" s="7"/>
      <c r="N54" s="4"/>
    </row>
    <row r="55" spans="1:14" x14ac:dyDescent="0.3">
      <c r="A55" s="10"/>
      <c r="B55" s="4"/>
      <c r="C55" s="11"/>
      <c r="D55" s="12"/>
      <c r="E55" s="12"/>
      <c r="F55" s="4"/>
      <c r="G55" s="13"/>
      <c r="H55" s="14"/>
      <c r="I55" s="11"/>
      <c r="J55" s="4"/>
      <c r="K55" s="4"/>
      <c r="L55" s="7"/>
      <c r="M55" s="7"/>
      <c r="N55" s="4"/>
    </row>
    <row r="56" spans="1:14" x14ac:dyDescent="0.3">
      <c r="A56" s="10"/>
      <c r="B56" s="4"/>
      <c r="C56" s="11"/>
      <c r="D56" s="12"/>
      <c r="E56" s="12"/>
      <c r="F56" s="4"/>
      <c r="G56" s="13"/>
      <c r="H56" s="14"/>
      <c r="I56" s="11"/>
      <c r="J56" s="4"/>
      <c r="K56" s="4"/>
      <c r="L56" s="7"/>
      <c r="M56" s="7"/>
      <c r="N56" s="4"/>
    </row>
    <row r="57" spans="1:14" x14ac:dyDescent="0.3">
      <c r="A57" s="10"/>
      <c r="B57" s="4"/>
      <c r="C57" s="11"/>
      <c r="D57" s="12"/>
      <c r="E57" s="12"/>
      <c r="F57" s="4"/>
      <c r="G57" s="13"/>
      <c r="H57" s="14"/>
      <c r="I57" s="11"/>
      <c r="J57" s="4"/>
      <c r="K57" s="4"/>
      <c r="L57" s="7"/>
      <c r="M57" s="7"/>
      <c r="N57" s="4"/>
    </row>
    <row r="58" spans="1:14" x14ac:dyDescent="0.3">
      <c r="A58" s="10"/>
      <c r="B58" s="4"/>
      <c r="C58" s="11"/>
      <c r="D58" s="12"/>
      <c r="E58" s="12"/>
      <c r="F58" s="4"/>
      <c r="G58" s="13"/>
      <c r="H58" s="14"/>
      <c r="I58" s="11"/>
      <c r="J58" s="4"/>
      <c r="K58" s="4"/>
      <c r="L58" s="7"/>
      <c r="M58" s="7"/>
      <c r="N58" s="4"/>
    </row>
    <row r="59" spans="1:14" x14ac:dyDescent="0.3">
      <c r="A59" s="10"/>
      <c r="B59" s="4"/>
      <c r="C59" s="11"/>
      <c r="D59" s="12"/>
      <c r="E59" s="12"/>
      <c r="F59" s="4"/>
      <c r="G59" s="13"/>
      <c r="H59" s="14"/>
      <c r="I59" s="11"/>
      <c r="J59" s="4"/>
      <c r="K59" s="4"/>
      <c r="L59" s="7"/>
      <c r="M59" s="7"/>
      <c r="N59" s="4"/>
    </row>
    <row r="60" spans="1:14" x14ac:dyDescent="0.3">
      <c r="A60" s="10"/>
      <c r="B60" s="4"/>
      <c r="C60" s="11"/>
      <c r="D60" s="12"/>
      <c r="E60" s="12"/>
      <c r="F60" s="4"/>
      <c r="G60" s="13"/>
      <c r="H60" s="14"/>
      <c r="I60" s="11"/>
      <c r="J60" s="4"/>
      <c r="K60" s="4"/>
      <c r="L60" s="7"/>
      <c r="M60" s="7"/>
      <c r="N60" s="4"/>
    </row>
    <row r="61" spans="1:14" x14ac:dyDescent="0.3">
      <c r="A61" s="10"/>
      <c r="B61" s="4"/>
      <c r="C61" s="11"/>
      <c r="D61" s="12"/>
      <c r="E61" s="12"/>
      <c r="F61" s="4"/>
      <c r="G61" s="13"/>
      <c r="H61" s="14"/>
      <c r="I61" s="11"/>
      <c r="J61" s="4"/>
      <c r="K61" s="4"/>
      <c r="L61" s="7"/>
      <c r="M61" s="7"/>
      <c r="N61" s="4"/>
    </row>
    <row r="62" spans="1:14" x14ac:dyDescent="0.3">
      <c r="A62" s="10"/>
      <c r="B62" s="4"/>
      <c r="C62" s="11"/>
      <c r="D62" s="12"/>
      <c r="E62" s="12"/>
      <c r="F62" s="4"/>
      <c r="G62" s="13"/>
      <c r="H62" s="14"/>
      <c r="I62" s="11"/>
      <c r="J62" s="4"/>
      <c r="K62" s="4"/>
      <c r="L62" s="7"/>
      <c r="M62" s="7"/>
      <c r="N62" s="4"/>
    </row>
    <row r="63" spans="1:14" x14ac:dyDescent="0.3">
      <c r="A63" s="10"/>
      <c r="B63" s="4"/>
      <c r="C63" s="11"/>
      <c r="D63" s="12"/>
      <c r="E63" s="12"/>
      <c r="F63" s="4"/>
      <c r="G63" s="13"/>
      <c r="H63" s="14"/>
      <c r="I63" s="11"/>
      <c r="J63" s="4"/>
      <c r="K63" s="4"/>
      <c r="L63" s="7"/>
      <c r="M63" s="7"/>
      <c r="N63" s="4"/>
    </row>
    <row r="64" spans="1:14" x14ac:dyDescent="0.3">
      <c r="A64" s="10"/>
      <c r="B64" s="4"/>
      <c r="C64" s="11"/>
      <c r="D64" s="12"/>
      <c r="E64" s="12"/>
      <c r="F64" s="4"/>
      <c r="G64" s="13"/>
      <c r="H64" s="14"/>
      <c r="I64" s="11"/>
      <c r="J64" s="4"/>
      <c r="K64" s="4"/>
      <c r="L64" s="7"/>
      <c r="M64" s="7"/>
      <c r="N64" s="4"/>
    </row>
    <row r="65" spans="1:14" x14ac:dyDescent="0.3">
      <c r="A65" s="10"/>
      <c r="B65" s="4"/>
      <c r="C65" s="11"/>
      <c r="D65" s="12"/>
      <c r="E65" s="12"/>
      <c r="F65" s="4"/>
      <c r="G65" s="13"/>
      <c r="H65" s="14"/>
      <c r="I65" s="11"/>
      <c r="J65" s="4"/>
      <c r="K65" s="4"/>
      <c r="L65" s="7"/>
      <c r="M65" s="7"/>
      <c r="N65" s="4"/>
    </row>
    <row r="66" spans="1:14" x14ac:dyDescent="0.3">
      <c r="A66" s="10"/>
      <c r="B66" s="4"/>
      <c r="C66" s="11"/>
      <c r="D66" s="12"/>
      <c r="E66" s="12"/>
      <c r="F66" s="4"/>
      <c r="G66" s="13"/>
      <c r="H66" s="14"/>
      <c r="I66" s="11"/>
      <c r="J66" s="4"/>
      <c r="K66" s="4"/>
      <c r="L66" s="7"/>
      <c r="M66" s="7"/>
      <c r="N66" s="4"/>
    </row>
    <row r="68" spans="1:14" ht="28.8" x14ac:dyDescent="0.3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 t="s">
        <v>8</v>
      </c>
      <c r="J68" s="1" t="s">
        <v>9</v>
      </c>
      <c r="K68" s="1" t="s">
        <v>10</v>
      </c>
      <c r="L68" s="2"/>
      <c r="M68" s="2"/>
      <c r="N68" s="2"/>
    </row>
    <row r="69" spans="1:14" x14ac:dyDescent="0.3">
      <c r="A69" s="4" t="s">
        <v>11</v>
      </c>
      <c r="B69" s="3" t="str">
        <f>_xlfn.XLOOKUP($C69,'[1]Basic EMP Data - 2025'!$D$3:$D$216,'[1]Basic EMP Data - 2025'!$C$3:$C$216)</f>
        <v>VB1415</v>
      </c>
      <c r="C69" s="5" t="s">
        <v>28</v>
      </c>
      <c r="D69" s="4" t="str">
        <f>VLOOKUP($B69,'[1]Basic EMP Data - 2025'!$C$3:$F$216,3,0)</f>
        <v>Nitin Saxena</v>
      </c>
      <c r="E69" s="4">
        <f>VLOOKUP($B69,'[1]Basic EMP Data - 2025'!$C$3:$I$216,5,0)</f>
        <v>8</v>
      </c>
      <c r="F69" s="4">
        <f>VLOOKUP($B69,'[1]Basic EMP Data - 2025'!$C$3:$I$216,6,0)</f>
        <v>20</v>
      </c>
      <c r="G69" s="6">
        <f>F69/E69</f>
        <v>2.5</v>
      </c>
      <c r="H69" s="7">
        <f>SUM(L71:L89)</f>
        <v>45554.814299999991</v>
      </c>
      <c r="I69" s="8" cm="1">
        <f t="array" ref="I69">_xlfn.IFS($G69&lt;=34%,0%,$G69&lt;=75%,3%,$G69&lt;=120%,4%,$G69&gt;120%,5%)</f>
        <v>0.05</v>
      </c>
      <c r="J69" s="7" cm="1">
        <f t="array" ref="J69">SUMPRODUCT((C71:C89=2024)*M71:M89) + SUMPRODUCT((C71:C89=2025)*M71:M89*2)</f>
        <v>133282.61599999995</v>
      </c>
      <c r="K69" s="4">
        <f>SUM(N71:N89)</f>
        <v>0</v>
      </c>
      <c r="M69" s="2"/>
      <c r="N69" s="2"/>
    </row>
    <row r="70" spans="1:14" ht="28.8" x14ac:dyDescent="0.3">
      <c r="A70" s="9" t="s">
        <v>2</v>
      </c>
      <c r="B70" s="9" t="s">
        <v>13</v>
      </c>
      <c r="C70" s="9" t="s">
        <v>14</v>
      </c>
      <c r="D70" s="9" t="s">
        <v>15</v>
      </c>
      <c r="E70" s="9" t="s">
        <v>16</v>
      </c>
      <c r="F70" s="9" t="s">
        <v>17</v>
      </c>
      <c r="G70" s="9" t="s">
        <v>18</v>
      </c>
      <c r="H70" s="9" t="s">
        <v>19</v>
      </c>
      <c r="I70" s="9" t="s">
        <v>20</v>
      </c>
      <c r="J70" s="9" t="s">
        <v>21</v>
      </c>
      <c r="K70" s="9" t="s">
        <v>22</v>
      </c>
      <c r="L70" s="9" t="s">
        <v>23</v>
      </c>
      <c r="M70" s="9" t="s">
        <v>24</v>
      </c>
      <c r="N70" s="9" t="s">
        <v>25</v>
      </c>
    </row>
    <row r="71" spans="1:14" x14ac:dyDescent="0.3">
      <c r="A71" s="10" t="str">
        <f>C69</f>
        <v>Hamza Ali</v>
      </c>
      <c r="B71" s="4" t="str" cm="1">
        <f t="array" ref="B71:M87">_xlfn.LET(
  _xlpm.data, _xlfn._xlws.FILTER('[1]Incentive Data'!A:BV, '[1]Incentive Data'!H:H=$C69),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Ahmed Abdelrahim</v>
      </c>
      <c r="C71" s="11">
        <v>2024</v>
      </c>
      <c r="D71" s="12">
        <v>45582</v>
      </c>
      <c r="E71" s="12">
        <v>45824</v>
      </c>
      <c r="F71" s="4" t="str">
        <v>Genpact</v>
      </c>
      <c r="G71" s="13" t="str">
        <v>PLC-4023</v>
      </c>
      <c r="H71" s="14">
        <v>1099</v>
      </c>
      <c r="I71" s="11" t="str">
        <v>Done</v>
      </c>
      <c r="J71" s="4" t="str">
        <v>Y</v>
      </c>
      <c r="K71" s="4">
        <v>678</v>
      </c>
      <c r="L71" s="7">
        <v>3991.0562999999979</v>
      </c>
      <c r="M71" s="7">
        <v>12747.755999999996</v>
      </c>
      <c r="N71" s="4"/>
    </row>
    <row r="72" spans="1:14" x14ac:dyDescent="0.3">
      <c r="A72" s="10"/>
      <c r="B72" s="4" t="str">
        <v>Alex Gonzalez</v>
      </c>
      <c r="C72" s="11">
        <v>2025</v>
      </c>
      <c r="D72" s="12">
        <v>45748</v>
      </c>
      <c r="E72" s="12" t="str">
        <v>-</v>
      </c>
      <c r="F72" s="4" t="str">
        <v>WNS</v>
      </c>
      <c r="G72" s="13" t="str">
        <v>PLC-4218</v>
      </c>
      <c r="H72" s="14" t="str">
        <v>FTE</v>
      </c>
      <c r="I72" s="11" t="str">
        <v>Done</v>
      </c>
      <c r="J72" s="4" t="str">
        <v>Y</v>
      </c>
      <c r="K72" s="4">
        <v>0</v>
      </c>
      <c r="L72" s="7">
        <v>4992</v>
      </c>
      <c r="M72" s="7">
        <v>7987.2</v>
      </c>
      <c r="N72" s="4"/>
    </row>
    <row r="73" spans="1:14" x14ac:dyDescent="0.3">
      <c r="A73" s="10"/>
      <c r="B73" s="4" t="str">
        <v>Asif Mustaffa Shaik</v>
      </c>
      <c r="C73" s="11">
        <v>2024</v>
      </c>
      <c r="D73" s="12">
        <v>45316</v>
      </c>
      <c r="E73" s="12">
        <v>45742</v>
      </c>
      <c r="F73" s="4" t="str">
        <v>Genpact</v>
      </c>
      <c r="G73" s="13" t="str">
        <v>PLC-3599</v>
      </c>
      <c r="H73" s="14">
        <v>1099</v>
      </c>
      <c r="I73" s="11" t="str">
        <v>Done</v>
      </c>
      <c r="J73" s="4" t="str">
        <v>Y</v>
      </c>
      <c r="K73" s="4">
        <v>365</v>
      </c>
      <c r="L73" s="7">
        <v>3021.9749999999985</v>
      </c>
      <c r="M73" s="7">
        <v>1795.1999999999994</v>
      </c>
      <c r="N73" s="4"/>
    </row>
    <row r="74" spans="1:14" x14ac:dyDescent="0.3">
      <c r="A74" s="10"/>
      <c r="B74" s="4" t="str">
        <v>Carlean Thompkins</v>
      </c>
      <c r="C74" s="11">
        <v>2024</v>
      </c>
      <c r="D74" s="12">
        <v>45467</v>
      </c>
      <c r="E74" s="12">
        <v>45705</v>
      </c>
      <c r="F74" s="4" t="str">
        <v>Coforge</v>
      </c>
      <c r="G74" s="13" t="str">
        <v>PLC-3831</v>
      </c>
      <c r="H74" s="14">
        <v>1099</v>
      </c>
      <c r="I74" s="11" t="str">
        <v>Done</v>
      </c>
      <c r="J74" s="4" t="str">
        <v>Y</v>
      </c>
      <c r="K74" s="4">
        <v>476</v>
      </c>
      <c r="L74" s="7">
        <v>706.8599999999999</v>
      </c>
      <c r="M74" s="7">
        <v>2427.5999999999995</v>
      </c>
      <c r="N74" s="4"/>
    </row>
    <row r="75" spans="1:14" x14ac:dyDescent="0.3">
      <c r="A75" s="10"/>
      <c r="B75" s="4" t="str">
        <v>Eric K</v>
      </c>
      <c r="C75" s="11">
        <v>2025</v>
      </c>
      <c r="D75" s="12">
        <v>45763</v>
      </c>
      <c r="E75" s="12">
        <v>46006</v>
      </c>
      <c r="F75" s="4" t="str">
        <v>Genpact</v>
      </c>
      <c r="G75" s="13" t="str">
        <v>PLC-4220</v>
      </c>
      <c r="H75" s="14">
        <v>1099</v>
      </c>
      <c r="I75" s="11" t="str">
        <v>Done</v>
      </c>
      <c r="J75" s="4" t="str">
        <v>Y</v>
      </c>
      <c r="K75" s="4">
        <v>88</v>
      </c>
      <c r="L75" s="7">
        <v>481.77359999999976</v>
      </c>
      <c r="M75" s="7">
        <v>778.62399999999957</v>
      </c>
      <c r="N75" s="4"/>
    </row>
    <row r="76" spans="1:14" x14ac:dyDescent="0.3">
      <c r="A76" s="10"/>
      <c r="B76" s="4" t="str">
        <v>Irfan Sarfraz</v>
      </c>
      <c r="C76" s="11">
        <v>2025</v>
      </c>
      <c r="D76" s="12">
        <v>45763</v>
      </c>
      <c r="E76" s="12" t="str">
        <v>-</v>
      </c>
      <c r="F76" s="4" t="str">
        <v>Genpact</v>
      </c>
      <c r="G76" s="13" t="str">
        <v>PLC-4221</v>
      </c>
      <c r="H76" s="14">
        <v>1099</v>
      </c>
      <c r="I76" s="11" t="str">
        <v>Done</v>
      </c>
      <c r="J76" s="4" t="str">
        <v>Y</v>
      </c>
      <c r="K76" s="4">
        <v>88</v>
      </c>
      <c r="L76" s="7">
        <v>481.77359999999976</v>
      </c>
      <c r="M76" s="7">
        <v>778.62399999999957</v>
      </c>
      <c r="N76" s="4"/>
    </row>
    <row r="77" spans="1:14" x14ac:dyDescent="0.3">
      <c r="A77" s="10"/>
      <c r="B77" s="4" t="str">
        <v>Jonathan Papay</v>
      </c>
      <c r="C77" s="11">
        <v>2025</v>
      </c>
      <c r="D77" s="12">
        <v>45713</v>
      </c>
      <c r="E77" s="12" t="str">
        <v>-</v>
      </c>
      <c r="F77" s="4" t="str">
        <v>WNS</v>
      </c>
      <c r="G77" s="13" t="str">
        <v>PLC-4154</v>
      </c>
      <c r="H77" s="14" t="str">
        <v>FTE</v>
      </c>
      <c r="I77" s="11" t="str">
        <v>Done</v>
      </c>
      <c r="J77" s="4" t="str">
        <v>Y</v>
      </c>
      <c r="K77" s="4">
        <v>0</v>
      </c>
      <c r="L77" s="7">
        <v>4576</v>
      </c>
      <c r="M77" s="7">
        <v>7321.6</v>
      </c>
      <c r="N77" s="4"/>
    </row>
    <row r="78" spans="1:14" x14ac:dyDescent="0.3">
      <c r="A78" s="10"/>
      <c r="B78" s="4" t="str">
        <v>Justin Parker</v>
      </c>
      <c r="C78" s="11">
        <v>2025</v>
      </c>
      <c r="D78" s="12">
        <v>45679</v>
      </c>
      <c r="E78" s="12">
        <v>45921</v>
      </c>
      <c r="F78" s="4" t="str">
        <v>Genpact</v>
      </c>
      <c r="G78" s="13" t="str">
        <v>PLC-4107</v>
      </c>
      <c r="H78" s="14">
        <v>1099</v>
      </c>
      <c r="I78" s="11" t="str">
        <v>Done</v>
      </c>
      <c r="J78" s="4" t="str">
        <v>Y</v>
      </c>
      <c r="K78" s="4">
        <v>523.5</v>
      </c>
      <c r="L78" s="7">
        <v>2915.2777499999984</v>
      </c>
      <c r="M78" s="7">
        <v>4631.9279999999981</v>
      </c>
      <c r="N78" s="4"/>
    </row>
    <row r="79" spans="1:14" x14ac:dyDescent="0.3">
      <c r="A79" s="10"/>
      <c r="B79" s="4" t="str">
        <v>Karthik Kurra</v>
      </c>
      <c r="C79" s="11">
        <v>2024</v>
      </c>
      <c r="D79" s="12">
        <v>45481</v>
      </c>
      <c r="E79" s="12" t="str">
        <v>-</v>
      </c>
      <c r="F79" s="4" t="str">
        <v>Genpact</v>
      </c>
      <c r="G79" s="13" t="str">
        <v>PLC-3852</v>
      </c>
      <c r="H79" s="14">
        <v>1099</v>
      </c>
      <c r="I79" s="11" t="str">
        <v>Done</v>
      </c>
      <c r="J79" s="4" t="str">
        <v>Y</v>
      </c>
      <c r="K79" s="4">
        <v>670</v>
      </c>
      <c r="L79" s="7">
        <v>4818.8249999999989</v>
      </c>
      <c r="M79" s="7">
        <v>15034.799999999994</v>
      </c>
      <c r="N79" s="4"/>
    </row>
    <row r="80" spans="1:14" x14ac:dyDescent="0.3">
      <c r="A80" s="10"/>
      <c r="B80" s="4" t="str">
        <v>Keris Collier</v>
      </c>
      <c r="C80" s="11">
        <v>2025</v>
      </c>
      <c r="D80" s="12">
        <v>45740</v>
      </c>
      <c r="E80" s="12">
        <v>46037</v>
      </c>
      <c r="F80" s="4" t="str">
        <v>Genpact</v>
      </c>
      <c r="G80" s="13" t="str">
        <v>PLC-4190</v>
      </c>
      <c r="H80" s="14">
        <v>1099</v>
      </c>
      <c r="I80" s="11" t="str">
        <v>Done</v>
      </c>
      <c r="J80" s="4" t="str">
        <v>Y</v>
      </c>
      <c r="K80" s="4">
        <v>188</v>
      </c>
      <c r="L80" s="7">
        <v>1029.2435999999996</v>
      </c>
      <c r="M80" s="7">
        <v>1663.4239999999991</v>
      </c>
      <c r="N80" s="4"/>
    </row>
    <row r="81" spans="1:14" x14ac:dyDescent="0.3">
      <c r="A81" s="10"/>
      <c r="B81" s="4" t="str">
        <v>Mujtaba Siddiqui</v>
      </c>
      <c r="C81" s="11">
        <v>2025</v>
      </c>
      <c r="D81" s="12">
        <v>45679</v>
      </c>
      <c r="E81" s="12">
        <v>45737</v>
      </c>
      <c r="F81" s="4" t="str">
        <v>Genpact</v>
      </c>
      <c r="G81" s="13" t="str">
        <v>PLC-4106</v>
      </c>
      <c r="H81" s="14">
        <v>1099</v>
      </c>
      <c r="I81" s="11" t="str">
        <v>Done</v>
      </c>
      <c r="J81" s="4" t="str">
        <v>Y</v>
      </c>
      <c r="K81" s="4">
        <v>330.5</v>
      </c>
      <c r="L81" s="7">
        <v>1891.508849999999</v>
      </c>
      <c r="M81" s="7">
        <v>2924.2639999999983</v>
      </c>
      <c r="N81" s="4"/>
    </row>
    <row r="82" spans="1:14" x14ac:dyDescent="0.3">
      <c r="A82" s="10"/>
      <c r="B82" s="4" t="str">
        <v>Nicholas Coyle</v>
      </c>
      <c r="C82" s="11">
        <v>2025</v>
      </c>
      <c r="D82" s="12">
        <v>45763</v>
      </c>
      <c r="E82" s="12">
        <v>45950</v>
      </c>
      <c r="F82" s="4" t="str">
        <v>Genpact</v>
      </c>
      <c r="G82" s="13" t="str">
        <v>PLC-4219</v>
      </c>
      <c r="H82" s="14">
        <v>1099</v>
      </c>
      <c r="I82" s="11" t="str">
        <v>Done</v>
      </c>
      <c r="J82" s="4" t="str">
        <v>Y</v>
      </c>
      <c r="K82" s="4">
        <v>88</v>
      </c>
      <c r="L82" s="7">
        <v>481.77359999999976</v>
      </c>
      <c r="M82" s="7">
        <v>778.62399999999957</v>
      </c>
      <c r="N82" s="4"/>
    </row>
    <row r="83" spans="1:14" x14ac:dyDescent="0.3">
      <c r="A83" s="10"/>
      <c r="B83" s="4" t="str">
        <v>Raviteja Paturi</v>
      </c>
      <c r="C83" s="11">
        <v>2024</v>
      </c>
      <c r="D83" s="12">
        <v>45365</v>
      </c>
      <c r="E83" s="12">
        <v>45742</v>
      </c>
      <c r="F83" s="4" t="str">
        <v>Genpact</v>
      </c>
      <c r="G83" s="13" t="str">
        <v>PLC-3671</v>
      </c>
      <c r="H83" s="14">
        <v>1099</v>
      </c>
      <c r="I83" s="11" t="str">
        <v>Done</v>
      </c>
      <c r="J83" s="4" t="str">
        <v>Y</v>
      </c>
      <c r="K83" s="4">
        <v>480</v>
      </c>
      <c r="L83" s="7">
        <v>3489.1559999999986</v>
      </c>
      <c r="M83" s="7">
        <v>7180.7999999999975</v>
      </c>
      <c r="N83" s="4"/>
    </row>
    <row r="84" spans="1:14" x14ac:dyDescent="0.3">
      <c r="A84" s="10"/>
      <c r="B84" s="4" t="str">
        <v>Saalih Mohamed Zorqane</v>
      </c>
      <c r="C84" s="11">
        <v>2024</v>
      </c>
      <c r="D84" s="12">
        <v>45440</v>
      </c>
      <c r="E84" s="12">
        <v>45712</v>
      </c>
      <c r="F84" s="4" t="str">
        <v>Genpact</v>
      </c>
      <c r="G84" s="13" t="str">
        <v>PLC-3804</v>
      </c>
      <c r="H84" s="14">
        <v>1099</v>
      </c>
      <c r="I84" s="11" t="str">
        <v>Done</v>
      </c>
      <c r="J84" s="4" t="str">
        <v>Y</v>
      </c>
      <c r="K84" s="4">
        <v>310</v>
      </c>
      <c r="L84" s="7">
        <v>1894.2461999999991</v>
      </c>
      <c r="M84" s="7">
        <v>5828.6199999999972</v>
      </c>
      <c r="N84" s="4"/>
    </row>
    <row r="85" spans="1:14" x14ac:dyDescent="0.3">
      <c r="A85" s="10"/>
      <c r="B85" s="4" t="str">
        <v>Saye Matthew Williams</v>
      </c>
      <c r="C85" s="11">
        <v>2025</v>
      </c>
      <c r="D85" s="12">
        <v>45747</v>
      </c>
      <c r="E85" s="12">
        <v>45789</v>
      </c>
      <c r="F85" s="4" t="str">
        <v>Genpact</v>
      </c>
      <c r="G85" s="13" t="str">
        <v>PLC-4201</v>
      </c>
      <c r="H85" s="14">
        <v>1099</v>
      </c>
      <c r="I85" s="11" t="str">
        <v>Done</v>
      </c>
      <c r="J85" s="4" t="str">
        <v>Y</v>
      </c>
      <c r="K85" s="4">
        <v>184</v>
      </c>
      <c r="L85" s="7">
        <v>1007.3447999999995</v>
      </c>
      <c r="M85" s="7">
        <v>1628.031999999999</v>
      </c>
      <c r="N85" s="4"/>
    </row>
    <row r="86" spans="1:14" x14ac:dyDescent="0.3">
      <c r="A86" s="10"/>
      <c r="B86" s="4" t="str">
        <v>Siara Barrera</v>
      </c>
      <c r="C86" s="11">
        <v>2025</v>
      </c>
      <c r="D86" s="12">
        <v>45726</v>
      </c>
      <c r="E86" s="12" t="str">
        <v>-</v>
      </c>
      <c r="F86" s="4" t="str">
        <v>WNS</v>
      </c>
      <c r="G86" s="13" t="str">
        <v>PLC-4166</v>
      </c>
      <c r="H86" s="14" t="str">
        <v>FTE</v>
      </c>
      <c r="I86" s="11" t="str">
        <v>Done</v>
      </c>
      <c r="J86" s="4" t="str">
        <v>Y</v>
      </c>
      <c r="K86" s="4">
        <v>0</v>
      </c>
      <c r="L86" s="7">
        <v>4576</v>
      </c>
      <c r="M86" s="7">
        <v>7321.6</v>
      </c>
      <c r="N86" s="4"/>
    </row>
    <row r="87" spans="1:14" x14ac:dyDescent="0.3">
      <c r="A87" s="10"/>
      <c r="B87" s="4" t="str">
        <v>Yuleisa Cordova</v>
      </c>
      <c r="C87" s="11">
        <v>2025</v>
      </c>
      <c r="D87" s="12">
        <v>45748</v>
      </c>
      <c r="E87" s="12" t="str">
        <v>-</v>
      </c>
      <c r="F87" s="4" t="str">
        <v>WNS</v>
      </c>
      <c r="G87" s="13" t="str">
        <v>PLC-4205</v>
      </c>
      <c r="H87" s="14" t="str">
        <v>FTE</v>
      </c>
      <c r="I87" s="11" t="str">
        <v>Done</v>
      </c>
      <c r="J87" s="4" t="str">
        <v>Y</v>
      </c>
      <c r="K87" s="4">
        <v>0</v>
      </c>
      <c r="L87" s="7">
        <v>5200</v>
      </c>
      <c r="M87" s="7">
        <v>8320</v>
      </c>
      <c r="N87" s="4"/>
    </row>
    <row r="88" spans="1:14" x14ac:dyDescent="0.3">
      <c r="A88" s="10"/>
      <c r="B88" s="4"/>
      <c r="C88" s="11"/>
      <c r="D88" s="12"/>
      <c r="E88" s="12"/>
      <c r="F88" s="4"/>
      <c r="G88" s="13"/>
      <c r="H88" s="14"/>
      <c r="I88" s="11"/>
      <c r="J88" s="4"/>
      <c r="K88" s="4"/>
      <c r="L88" s="7"/>
      <c r="M88" s="7"/>
      <c r="N88" s="4"/>
    </row>
    <row r="89" spans="1:14" x14ac:dyDescent="0.3">
      <c r="A89" s="10"/>
      <c r="B89" s="4"/>
      <c r="C89" s="11"/>
      <c r="D89" s="12"/>
      <c r="E89" s="12"/>
      <c r="F89" s="4"/>
      <c r="G89" s="13"/>
      <c r="H89" s="14"/>
      <c r="I89" s="11"/>
      <c r="J89" s="4"/>
      <c r="K89" s="4"/>
      <c r="L89" s="7"/>
      <c r="M89" s="7"/>
      <c r="N89" s="4"/>
    </row>
    <row r="92" spans="1:14" ht="28.8" x14ac:dyDescent="0.3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5</v>
      </c>
      <c r="G92" s="1" t="s">
        <v>6</v>
      </c>
      <c r="H92" s="1" t="s">
        <v>7</v>
      </c>
      <c r="I92" s="1" t="s">
        <v>8</v>
      </c>
      <c r="J92" s="1" t="s">
        <v>9</v>
      </c>
      <c r="K92" s="1" t="s">
        <v>10</v>
      </c>
      <c r="L92" s="2"/>
      <c r="M92" s="2"/>
      <c r="N92" s="2"/>
    </row>
    <row r="93" spans="1:14" x14ac:dyDescent="0.3">
      <c r="A93" s="4" t="s">
        <v>11</v>
      </c>
      <c r="B93" s="3" t="str">
        <f>_xlfn.XLOOKUP($C93,'[1]Basic EMP Data - 2025'!$D$3:$D$216,'[1]Basic EMP Data - 2025'!$C$3:$C$216)</f>
        <v>VB1752</v>
      </c>
      <c r="C93" s="5" t="s">
        <v>29</v>
      </c>
      <c r="D93" s="4" t="str">
        <f>VLOOKUP($B93,'[1]Basic EMP Data - 2025'!$C$3:$F$216,3,0)</f>
        <v>Nitin Saxena</v>
      </c>
      <c r="E93" s="4">
        <f>VLOOKUP($B93,'[1]Basic EMP Data - 2025'!$C$3:$I$216,5,0)</f>
        <v>8</v>
      </c>
      <c r="F93" s="4">
        <f>VLOOKUP($B93,'[1]Basic EMP Data - 2025'!$C$3:$I$216,6,0)</f>
        <v>4</v>
      </c>
      <c r="G93" s="6">
        <f>F93/E93</f>
        <v>0.5</v>
      </c>
      <c r="H93" s="7">
        <f>SUM(L95:L113)</f>
        <v>4281.4928</v>
      </c>
      <c r="I93" s="8" cm="1">
        <f t="array" ref="I93">_xlfn.IFS($G93&lt;=34%,0%,$G93&lt;=75%,3%,$G93&lt;=120%,4%,$G93&gt;120%,5%)</f>
        <v>0.03</v>
      </c>
      <c r="J93" s="7" cm="1">
        <f t="array" ref="J93">SUMPRODUCT((C95:C113=2024)*M95:M113) + SUMPRODUCT((C95:C113=2025)*M95:M113*2)</f>
        <v>6950.5280000000002</v>
      </c>
      <c r="K93" s="4">
        <f>SUM(N95:N113)</f>
        <v>0</v>
      </c>
      <c r="M93" s="2"/>
      <c r="N93" s="2"/>
    </row>
    <row r="94" spans="1:14" ht="28.8" x14ac:dyDescent="0.3">
      <c r="A94" s="9" t="s">
        <v>2</v>
      </c>
      <c r="B94" s="9" t="s">
        <v>13</v>
      </c>
      <c r="C94" s="9" t="s">
        <v>14</v>
      </c>
      <c r="D94" s="9" t="s">
        <v>15</v>
      </c>
      <c r="E94" s="9" t="s">
        <v>16</v>
      </c>
      <c r="F94" s="9" t="s">
        <v>17</v>
      </c>
      <c r="G94" s="9" t="s">
        <v>18</v>
      </c>
      <c r="H94" s="9" t="s">
        <v>19</v>
      </c>
      <c r="I94" s="9" t="s">
        <v>20</v>
      </c>
      <c r="J94" s="9" t="s">
        <v>21</v>
      </c>
      <c r="K94" s="9" t="s">
        <v>22</v>
      </c>
      <c r="L94" s="9" t="s">
        <v>23</v>
      </c>
      <c r="M94" s="9" t="s">
        <v>24</v>
      </c>
      <c r="N94" s="9" t="s">
        <v>25</v>
      </c>
    </row>
    <row r="95" spans="1:14" x14ac:dyDescent="0.3">
      <c r="A95" s="10" t="str">
        <f>C93</f>
        <v>Aman Bajpai</v>
      </c>
      <c r="B95" s="4" t="str" cm="1">
        <f t="array" ref="B95:M96">_xlfn.LET(
  _xlpm.data, _xlfn._xlws.FILTER('[1]Incentive Data'!A:BV, '[1]Incentive Data'!H:H=$C93),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Markian Ougrin</v>
      </c>
      <c r="C95" s="11">
        <v>2025</v>
      </c>
      <c r="D95" s="12">
        <v>45776</v>
      </c>
      <c r="E95" s="12">
        <v>45953</v>
      </c>
      <c r="F95" s="4" t="str">
        <v>Genpact</v>
      </c>
      <c r="G95" s="13" t="str">
        <v>PLC-4241</v>
      </c>
      <c r="H95" s="14">
        <v>1099</v>
      </c>
      <c r="I95" s="11" t="str">
        <v>Done</v>
      </c>
      <c r="J95" s="4" t="str">
        <v>Y</v>
      </c>
      <c r="K95" s="4">
        <v>16</v>
      </c>
      <c r="L95" s="7">
        <v>121.49279999999997</v>
      </c>
      <c r="M95" s="7">
        <v>147.26399999999995</v>
      </c>
      <c r="N95" s="4"/>
    </row>
    <row r="96" spans="1:14" x14ac:dyDescent="0.3">
      <c r="A96" s="10"/>
      <c r="B96" s="4" t="str">
        <v>Sarah Mcallistar</v>
      </c>
      <c r="C96" s="11">
        <v>2024</v>
      </c>
      <c r="D96" s="12">
        <v>45572</v>
      </c>
      <c r="E96" s="12" t="str">
        <v>-</v>
      </c>
      <c r="F96" s="4" t="str">
        <v>WNS</v>
      </c>
      <c r="G96" s="13" t="str">
        <v>PLC-4007</v>
      </c>
      <c r="H96" s="14" t="str">
        <v>FTE</v>
      </c>
      <c r="I96" s="11" t="str">
        <v>Done</v>
      </c>
      <c r="J96" s="4" t="str">
        <v>Y</v>
      </c>
      <c r="K96" s="4">
        <v>0</v>
      </c>
      <c r="L96" s="7">
        <v>4160</v>
      </c>
      <c r="M96" s="7">
        <v>6656</v>
      </c>
      <c r="N96" s="4"/>
    </row>
    <row r="97" spans="1:14" x14ac:dyDescent="0.3">
      <c r="A97" s="10"/>
      <c r="B97" s="4"/>
      <c r="C97" s="11"/>
      <c r="D97" s="12"/>
      <c r="E97" s="12"/>
      <c r="F97" s="4"/>
      <c r="G97" s="13"/>
      <c r="H97" s="14"/>
      <c r="I97" s="11"/>
      <c r="J97" s="4"/>
      <c r="K97" s="4"/>
      <c r="L97" s="7"/>
      <c r="M97" s="7"/>
      <c r="N97" s="4"/>
    </row>
    <row r="98" spans="1:14" x14ac:dyDescent="0.3">
      <c r="A98" s="10"/>
      <c r="B98" s="4"/>
      <c r="C98" s="11"/>
      <c r="D98" s="12"/>
      <c r="E98" s="12"/>
      <c r="F98" s="4"/>
      <c r="G98" s="13"/>
      <c r="H98" s="14"/>
      <c r="I98" s="11"/>
      <c r="J98" s="4"/>
      <c r="K98" s="4"/>
      <c r="L98" s="7"/>
      <c r="M98" s="7"/>
      <c r="N98" s="4"/>
    </row>
    <row r="99" spans="1:14" x14ac:dyDescent="0.3">
      <c r="A99" s="10"/>
      <c r="B99" s="4"/>
      <c r="C99" s="11"/>
      <c r="D99" s="12"/>
      <c r="E99" s="12"/>
      <c r="F99" s="4"/>
      <c r="G99" s="13"/>
      <c r="H99" s="14"/>
      <c r="I99" s="11"/>
      <c r="J99" s="4"/>
      <c r="K99" s="4"/>
      <c r="L99" s="7"/>
      <c r="M99" s="7"/>
      <c r="N99" s="4"/>
    </row>
    <row r="100" spans="1:14" x14ac:dyDescent="0.3">
      <c r="A100" s="10"/>
      <c r="B100" s="4"/>
      <c r="C100" s="11"/>
      <c r="D100" s="12"/>
      <c r="E100" s="12"/>
      <c r="F100" s="4"/>
      <c r="G100" s="13"/>
      <c r="H100" s="14"/>
      <c r="I100" s="11"/>
      <c r="J100" s="4"/>
      <c r="K100" s="4"/>
      <c r="L100" s="7"/>
      <c r="M100" s="7"/>
      <c r="N100" s="4"/>
    </row>
    <row r="101" spans="1:14" x14ac:dyDescent="0.3">
      <c r="A101" s="10"/>
      <c r="B101" s="4"/>
      <c r="C101" s="11"/>
      <c r="D101" s="12"/>
      <c r="E101" s="12"/>
      <c r="F101" s="4"/>
      <c r="G101" s="13"/>
      <c r="H101" s="14"/>
      <c r="I101" s="11"/>
      <c r="J101" s="4"/>
      <c r="K101" s="4"/>
      <c r="L101" s="7"/>
      <c r="M101" s="7"/>
      <c r="N101" s="4"/>
    </row>
    <row r="102" spans="1:14" x14ac:dyDescent="0.3">
      <c r="A102" s="10"/>
      <c r="B102" s="4"/>
      <c r="C102" s="11"/>
      <c r="D102" s="12"/>
      <c r="E102" s="12"/>
      <c r="F102" s="4"/>
      <c r="G102" s="13"/>
      <c r="H102" s="14"/>
      <c r="I102" s="11"/>
      <c r="J102" s="4"/>
      <c r="K102" s="4"/>
      <c r="L102" s="7"/>
      <c r="M102" s="7"/>
      <c r="N102" s="4"/>
    </row>
    <row r="103" spans="1:14" x14ac:dyDescent="0.3">
      <c r="A103" s="10"/>
      <c r="B103" s="4"/>
      <c r="C103" s="11"/>
      <c r="D103" s="12"/>
      <c r="E103" s="12"/>
      <c r="F103" s="4"/>
      <c r="G103" s="13"/>
      <c r="H103" s="14"/>
      <c r="I103" s="11"/>
      <c r="J103" s="4"/>
      <c r="K103" s="4"/>
      <c r="L103" s="7"/>
      <c r="M103" s="7"/>
      <c r="N103" s="4"/>
    </row>
    <row r="104" spans="1:14" x14ac:dyDescent="0.3">
      <c r="A104" s="10"/>
      <c r="B104" s="4"/>
      <c r="C104" s="11"/>
      <c r="D104" s="12"/>
      <c r="E104" s="12"/>
      <c r="F104" s="4"/>
      <c r="G104" s="13"/>
      <c r="H104" s="14"/>
      <c r="I104" s="11"/>
      <c r="J104" s="4"/>
      <c r="K104" s="4"/>
      <c r="L104" s="7"/>
      <c r="M104" s="7"/>
      <c r="N104" s="4"/>
    </row>
    <row r="105" spans="1:14" x14ac:dyDescent="0.3">
      <c r="A105" s="10"/>
      <c r="B105" s="4"/>
      <c r="C105" s="11"/>
      <c r="D105" s="12"/>
      <c r="E105" s="12"/>
      <c r="F105" s="4"/>
      <c r="G105" s="13"/>
      <c r="H105" s="14"/>
      <c r="I105" s="11"/>
      <c r="J105" s="4"/>
      <c r="K105" s="4"/>
      <c r="L105" s="7"/>
      <c r="M105" s="7"/>
      <c r="N105" s="4"/>
    </row>
    <row r="106" spans="1:14" x14ac:dyDescent="0.3">
      <c r="A106" s="10"/>
      <c r="B106" s="4"/>
      <c r="C106" s="11"/>
      <c r="D106" s="12"/>
      <c r="E106" s="12"/>
      <c r="F106" s="4"/>
      <c r="G106" s="13"/>
      <c r="H106" s="14"/>
      <c r="I106" s="11"/>
      <c r="J106" s="4"/>
      <c r="K106" s="4"/>
      <c r="L106" s="7"/>
      <c r="M106" s="7"/>
      <c r="N106" s="4"/>
    </row>
    <row r="107" spans="1:14" x14ac:dyDescent="0.3">
      <c r="A107" s="10"/>
      <c r="B107" s="4"/>
      <c r="C107" s="11"/>
      <c r="D107" s="12"/>
      <c r="E107" s="12"/>
      <c r="F107" s="4"/>
      <c r="G107" s="13"/>
      <c r="H107" s="14"/>
      <c r="I107" s="11"/>
      <c r="J107" s="4"/>
      <c r="K107" s="4"/>
      <c r="L107" s="7"/>
      <c r="M107" s="7"/>
      <c r="N107" s="4"/>
    </row>
    <row r="108" spans="1:14" x14ac:dyDescent="0.3">
      <c r="A108" s="10"/>
      <c r="B108" s="4"/>
      <c r="C108" s="11"/>
      <c r="D108" s="12"/>
      <c r="E108" s="12"/>
      <c r="F108" s="4"/>
      <c r="G108" s="13"/>
      <c r="H108" s="14"/>
      <c r="I108" s="11"/>
      <c r="J108" s="4"/>
      <c r="K108" s="4"/>
      <c r="L108" s="7"/>
      <c r="M108" s="7"/>
      <c r="N108" s="4"/>
    </row>
    <row r="109" spans="1:14" x14ac:dyDescent="0.3">
      <c r="A109" s="10"/>
      <c r="B109" s="4"/>
      <c r="C109" s="11"/>
      <c r="D109" s="12"/>
      <c r="E109" s="12"/>
      <c r="F109" s="4"/>
      <c r="G109" s="13"/>
      <c r="H109" s="14"/>
      <c r="I109" s="11"/>
      <c r="J109" s="4"/>
      <c r="K109" s="4"/>
      <c r="L109" s="7"/>
      <c r="M109" s="7"/>
      <c r="N109" s="4"/>
    </row>
    <row r="110" spans="1:14" x14ac:dyDescent="0.3">
      <c r="A110" s="10"/>
      <c r="B110" s="4"/>
      <c r="C110" s="11"/>
      <c r="D110" s="12"/>
      <c r="E110" s="12"/>
      <c r="F110" s="4"/>
      <c r="G110" s="13"/>
      <c r="H110" s="14"/>
      <c r="I110" s="11"/>
      <c r="J110" s="4"/>
      <c r="K110" s="4"/>
      <c r="L110" s="7"/>
      <c r="M110" s="7"/>
      <c r="N110" s="4"/>
    </row>
    <row r="111" spans="1:14" x14ac:dyDescent="0.3">
      <c r="A111" s="10"/>
      <c r="B111" s="4"/>
      <c r="C111" s="11"/>
      <c r="D111" s="12"/>
      <c r="E111" s="12"/>
      <c r="F111" s="4"/>
      <c r="G111" s="13"/>
      <c r="H111" s="14"/>
      <c r="I111" s="11"/>
      <c r="J111" s="4"/>
      <c r="K111" s="4"/>
      <c r="L111" s="7"/>
      <c r="M111" s="7"/>
      <c r="N111" s="4"/>
    </row>
    <row r="112" spans="1:14" x14ac:dyDescent="0.3">
      <c r="A112" s="10"/>
      <c r="B112" s="4"/>
      <c r="C112" s="11"/>
      <c r="D112" s="12"/>
      <c r="E112" s="12"/>
      <c r="F112" s="4"/>
      <c r="G112" s="13"/>
      <c r="H112" s="14"/>
      <c r="I112" s="11"/>
      <c r="J112" s="4"/>
      <c r="K112" s="4"/>
      <c r="L112" s="7"/>
      <c r="M112" s="7"/>
      <c r="N112" s="4"/>
    </row>
    <row r="113" spans="1:14" x14ac:dyDescent="0.3">
      <c r="A113" s="10"/>
      <c r="B113" s="4"/>
      <c r="C113" s="11"/>
      <c r="D113" s="12"/>
      <c r="E113" s="12"/>
      <c r="F113" s="4"/>
      <c r="G113" s="13"/>
      <c r="H113" s="14"/>
      <c r="I113" s="11"/>
      <c r="J113" s="4"/>
      <c r="K113" s="4"/>
      <c r="L113" s="7"/>
      <c r="M113" s="7"/>
      <c r="N113" s="4"/>
    </row>
    <row r="116" spans="1:14" ht="28.8" x14ac:dyDescent="0.3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5</v>
      </c>
      <c r="G116" s="1" t="s">
        <v>6</v>
      </c>
      <c r="H116" s="1" t="s">
        <v>7</v>
      </c>
      <c r="I116" s="1" t="s">
        <v>8</v>
      </c>
      <c r="J116" s="1" t="s">
        <v>9</v>
      </c>
      <c r="K116" s="1" t="s">
        <v>10</v>
      </c>
      <c r="L116" s="2"/>
      <c r="M116" s="2"/>
      <c r="N116" s="2"/>
    </row>
    <row r="117" spans="1:14" x14ac:dyDescent="0.3">
      <c r="A117" s="4" t="s">
        <v>11</v>
      </c>
      <c r="B117" s="3" t="str">
        <f>_xlfn.XLOOKUP($C117,'[1]Basic EMP Data - 2025'!$D$3:$D$216,'[1]Basic EMP Data - 2025'!$C$3:$C$216)</f>
        <v>VB2023</v>
      </c>
      <c r="C117" s="5" t="s">
        <v>30</v>
      </c>
      <c r="D117" s="4" t="str">
        <f>VLOOKUP($B117,'[1]Basic EMP Data - 2025'!$C$3:$F$216,3,0)</f>
        <v>Nitin Saxena</v>
      </c>
      <c r="E117" s="4">
        <f>VLOOKUP($B117,'[1]Basic EMP Data - 2025'!$C$3:$I$216,5,0)</f>
        <v>5</v>
      </c>
      <c r="F117" s="4">
        <f>VLOOKUP($B117,'[1]Basic EMP Data - 2025'!$C$3:$I$216,6,0)</f>
        <v>1</v>
      </c>
      <c r="G117" s="6">
        <f>F117/E117</f>
        <v>0.2</v>
      </c>
      <c r="H117" s="7">
        <f>SUM(L119:L137)</f>
        <v>733.47119999999938</v>
      </c>
      <c r="I117" s="8" cm="1">
        <f t="array" ref="I117">_xlfn.IFS($G117&lt;=34%,0%,$G117&lt;=75%,3%,$G117&lt;=120%,4%,$G117&gt;120%,5%)</f>
        <v>0</v>
      </c>
      <c r="J117" s="7" cm="1">
        <f t="array" ref="J117">SUMPRODUCT((C119:C137=2024)*M119:M137) + SUMPRODUCT((C119:C137=2025)*M119:M137*2)</f>
        <v>0</v>
      </c>
      <c r="K117" s="4">
        <f>SUM(N119:N137)</f>
        <v>0</v>
      </c>
      <c r="M117" s="2"/>
      <c r="N117" s="2"/>
    </row>
    <row r="118" spans="1:14" ht="28.8" x14ac:dyDescent="0.3">
      <c r="A118" s="9" t="s">
        <v>2</v>
      </c>
      <c r="B118" s="9" t="s">
        <v>13</v>
      </c>
      <c r="C118" s="9" t="s">
        <v>14</v>
      </c>
      <c r="D118" s="9" t="s">
        <v>15</v>
      </c>
      <c r="E118" s="9" t="s">
        <v>16</v>
      </c>
      <c r="F118" s="9" t="s">
        <v>17</v>
      </c>
      <c r="G118" s="9" t="s">
        <v>18</v>
      </c>
      <c r="H118" s="9" t="s">
        <v>19</v>
      </c>
      <c r="I118" s="9" t="s">
        <v>20</v>
      </c>
      <c r="J118" s="9" t="s">
        <v>21</v>
      </c>
      <c r="K118" s="9" t="s">
        <v>22</v>
      </c>
      <c r="L118" s="9" t="s">
        <v>23</v>
      </c>
      <c r="M118" s="9" t="s">
        <v>24</v>
      </c>
      <c r="N118" s="9" t="s">
        <v>25</v>
      </c>
    </row>
    <row r="119" spans="1:14" x14ac:dyDescent="0.3">
      <c r="A119" s="10" t="str">
        <f>C117</f>
        <v>Anshita Dwivedi</v>
      </c>
      <c r="B119" s="4" t="str" cm="1">
        <f t="array" ref="B119:M119">_xlfn.LET(
  _xlpm.data, _xlfn._xlws.FILTER('[1]Incentive Data'!A:BV, '[1]Incentive Data'!H:H=$C117),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Renita Blake</v>
      </c>
      <c r="C119" s="11">
        <v>2025</v>
      </c>
      <c r="D119" s="12">
        <v>45754</v>
      </c>
      <c r="E119" s="12">
        <v>45868</v>
      </c>
      <c r="F119" s="4" t="str">
        <v>GRI</v>
      </c>
      <c r="G119" s="13" t="str">
        <v>PLC-4213</v>
      </c>
      <c r="H119" s="14">
        <v>1099</v>
      </c>
      <c r="I119" s="11" t="str">
        <v>Done</v>
      </c>
      <c r="J119" s="4" t="str">
        <v>Y</v>
      </c>
      <c r="K119" s="4">
        <v>288</v>
      </c>
      <c r="L119" s="7">
        <v>733.47119999999938</v>
      </c>
      <c r="M119" s="7">
        <v>0</v>
      </c>
      <c r="N119" s="4"/>
    </row>
    <row r="120" spans="1:14" x14ac:dyDescent="0.3">
      <c r="A120" s="10"/>
      <c r="B120" s="4"/>
      <c r="C120" s="11"/>
      <c r="D120" s="12"/>
      <c r="E120" s="12"/>
      <c r="F120" s="4"/>
      <c r="G120" s="13"/>
      <c r="H120" s="14"/>
      <c r="I120" s="11"/>
      <c r="J120" s="4"/>
      <c r="K120" s="4"/>
      <c r="L120" s="7"/>
      <c r="M120" s="7"/>
      <c r="N120" s="4"/>
    </row>
    <row r="121" spans="1:14" x14ac:dyDescent="0.3">
      <c r="A121" s="10"/>
      <c r="B121" s="4"/>
      <c r="C121" s="11"/>
      <c r="D121" s="12"/>
      <c r="E121" s="12"/>
      <c r="F121" s="4"/>
      <c r="G121" s="13"/>
      <c r="H121" s="14"/>
      <c r="I121" s="11"/>
      <c r="J121" s="4"/>
      <c r="K121" s="4"/>
      <c r="L121" s="7"/>
      <c r="M121" s="7"/>
      <c r="N121" s="4"/>
    </row>
    <row r="122" spans="1:14" x14ac:dyDescent="0.3">
      <c r="A122" s="10"/>
      <c r="B122" s="4"/>
      <c r="C122" s="11"/>
      <c r="D122" s="12"/>
      <c r="E122" s="12"/>
      <c r="F122" s="4"/>
      <c r="G122" s="13"/>
      <c r="H122" s="14"/>
      <c r="I122" s="11"/>
      <c r="J122" s="4"/>
      <c r="K122" s="4"/>
      <c r="L122" s="7"/>
      <c r="M122" s="7"/>
      <c r="N122" s="4"/>
    </row>
    <row r="123" spans="1:14" x14ac:dyDescent="0.3">
      <c r="A123" s="10"/>
      <c r="B123" s="4"/>
      <c r="C123" s="11"/>
      <c r="D123" s="12"/>
      <c r="E123" s="12"/>
      <c r="F123" s="4"/>
      <c r="G123" s="13"/>
      <c r="H123" s="14"/>
      <c r="I123" s="11"/>
      <c r="J123" s="4"/>
      <c r="K123" s="4"/>
      <c r="L123" s="7"/>
      <c r="M123" s="7"/>
      <c r="N123" s="4"/>
    </row>
    <row r="124" spans="1:14" x14ac:dyDescent="0.3">
      <c r="A124" s="10"/>
      <c r="B124" s="4"/>
      <c r="C124" s="11"/>
      <c r="D124" s="12"/>
      <c r="E124" s="12"/>
      <c r="F124" s="4"/>
      <c r="G124" s="13"/>
      <c r="H124" s="14"/>
      <c r="I124" s="11"/>
      <c r="J124" s="4"/>
      <c r="K124" s="4"/>
      <c r="L124" s="7"/>
      <c r="M124" s="7"/>
      <c r="N124" s="4"/>
    </row>
    <row r="125" spans="1:14" x14ac:dyDescent="0.3">
      <c r="A125" s="10"/>
      <c r="B125" s="4"/>
      <c r="C125" s="11"/>
      <c r="D125" s="12"/>
      <c r="E125" s="12"/>
      <c r="F125" s="4"/>
      <c r="G125" s="13"/>
      <c r="H125" s="14"/>
      <c r="I125" s="11"/>
      <c r="J125" s="4"/>
      <c r="K125" s="4"/>
      <c r="L125" s="7"/>
      <c r="M125" s="7"/>
      <c r="N125" s="4"/>
    </row>
    <row r="126" spans="1:14" x14ac:dyDescent="0.3">
      <c r="A126" s="10"/>
      <c r="B126" s="4"/>
      <c r="C126" s="11"/>
      <c r="D126" s="12"/>
      <c r="E126" s="12"/>
      <c r="F126" s="4"/>
      <c r="G126" s="13"/>
      <c r="H126" s="14"/>
      <c r="I126" s="11"/>
      <c r="J126" s="4"/>
      <c r="K126" s="4"/>
      <c r="L126" s="7"/>
      <c r="M126" s="7"/>
      <c r="N126" s="4"/>
    </row>
    <row r="127" spans="1:14" x14ac:dyDescent="0.3">
      <c r="A127" s="10"/>
      <c r="B127" s="4"/>
      <c r="C127" s="11"/>
      <c r="D127" s="12"/>
      <c r="E127" s="12"/>
      <c r="F127" s="4"/>
      <c r="G127" s="13"/>
      <c r="H127" s="14"/>
      <c r="I127" s="11"/>
      <c r="J127" s="4"/>
      <c r="K127" s="4"/>
      <c r="L127" s="7"/>
      <c r="M127" s="7"/>
      <c r="N127" s="4"/>
    </row>
    <row r="128" spans="1:14" x14ac:dyDescent="0.3">
      <c r="A128" s="10"/>
      <c r="B128" s="4"/>
      <c r="C128" s="11"/>
      <c r="D128" s="12"/>
      <c r="E128" s="12"/>
      <c r="F128" s="4"/>
      <c r="G128" s="13"/>
      <c r="H128" s="14"/>
      <c r="I128" s="11"/>
      <c r="J128" s="4"/>
      <c r="K128" s="4"/>
      <c r="L128" s="7"/>
      <c r="M128" s="7"/>
      <c r="N128" s="4"/>
    </row>
    <row r="129" spans="1:14" x14ac:dyDescent="0.3">
      <c r="A129" s="10"/>
      <c r="B129" s="4"/>
      <c r="C129" s="11"/>
      <c r="D129" s="12"/>
      <c r="E129" s="12"/>
      <c r="F129" s="4"/>
      <c r="G129" s="13"/>
      <c r="H129" s="14"/>
      <c r="I129" s="11"/>
      <c r="J129" s="4"/>
      <c r="K129" s="4"/>
      <c r="L129" s="7"/>
      <c r="M129" s="7"/>
      <c r="N129" s="4"/>
    </row>
    <row r="130" spans="1:14" x14ac:dyDescent="0.3">
      <c r="A130" s="10"/>
      <c r="B130" s="4"/>
      <c r="C130" s="11"/>
      <c r="D130" s="12"/>
      <c r="E130" s="12"/>
      <c r="F130" s="4"/>
      <c r="G130" s="13"/>
      <c r="H130" s="14"/>
      <c r="I130" s="11"/>
      <c r="J130" s="4"/>
      <c r="K130" s="4"/>
      <c r="L130" s="7"/>
      <c r="M130" s="7"/>
      <c r="N130" s="4"/>
    </row>
    <row r="131" spans="1:14" x14ac:dyDescent="0.3">
      <c r="A131" s="10"/>
      <c r="B131" s="4"/>
      <c r="C131" s="11"/>
      <c r="D131" s="12"/>
      <c r="E131" s="12"/>
      <c r="F131" s="4"/>
      <c r="G131" s="13"/>
      <c r="H131" s="14"/>
      <c r="I131" s="11"/>
      <c r="J131" s="4"/>
      <c r="K131" s="4"/>
      <c r="L131" s="7"/>
      <c r="M131" s="7"/>
      <c r="N131" s="4"/>
    </row>
    <row r="132" spans="1:14" x14ac:dyDescent="0.3">
      <c r="A132" s="10"/>
      <c r="B132" s="4"/>
      <c r="C132" s="11"/>
      <c r="D132" s="12"/>
      <c r="E132" s="12"/>
      <c r="F132" s="4"/>
      <c r="G132" s="13"/>
      <c r="H132" s="14"/>
      <c r="I132" s="11"/>
      <c r="J132" s="4"/>
      <c r="K132" s="4"/>
      <c r="L132" s="7"/>
      <c r="M132" s="7"/>
      <c r="N132" s="4"/>
    </row>
    <row r="133" spans="1:14" x14ac:dyDescent="0.3">
      <c r="A133" s="10"/>
      <c r="B133" s="4"/>
      <c r="C133" s="11"/>
      <c r="D133" s="12"/>
      <c r="E133" s="12"/>
      <c r="F133" s="4"/>
      <c r="G133" s="13"/>
      <c r="H133" s="14"/>
      <c r="I133" s="11"/>
      <c r="J133" s="4"/>
      <c r="K133" s="4"/>
      <c r="L133" s="7"/>
      <c r="M133" s="7"/>
      <c r="N133" s="4"/>
    </row>
    <row r="134" spans="1:14" x14ac:dyDescent="0.3">
      <c r="A134" s="10"/>
      <c r="B134" s="4"/>
      <c r="C134" s="11"/>
      <c r="D134" s="12"/>
      <c r="E134" s="12"/>
      <c r="F134" s="4"/>
      <c r="G134" s="13"/>
      <c r="H134" s="14"/>
      <c r="I134" s="11"/>
      <c r="J134" s="4"/>
      <c r="K134" s="4"/>
      <c r="L134" s="7"/>
      <c r="M134" s="7"/>
      <c r="N134" s="4"/>
    </row>
    <row r="135" spans="1:14" x14ac:dyDescent="0.3">
      <c r="A135" s="10"/>
      <c r="B135" s="4"/>
      <c r="C135" s="11"/>
      <c r="D135" s="12"/>
      <c r="E135" s="12"/>
      <c r="F135" s="4"/>
      <c r="G135" s="13"/>
      <c r="H135" s="14"/>
      <c r="I135" s="11"/>
      <c r="J135" s="4"/>
      <c r="K135" s="4"/>
      <c r="L135" s="7"/>
      <c r="M135" s="7"/>
      <c r="N135" s="4"/>
    </row>
    <row r="136" spans="1:14" x14ac:dyDescent="0.3">
      <c r="A136" s="10"/>
      <c r="B136" s="4"/>
      <c r="C136" s="11"/>
      <c r="D136" s="12"/>
      <c r="E136" s="12"/>
      <c r="F136" s="4"/>
      <c r="G136" s="13"/>
      <c r="H136" s="14"/>
      <c r="I136" s="11"/>
      <c r="J136" s="4"/>
      <c r="K136" s="4"/>
      <c r="L136" s="7"/>
      <c r="M136" s="7"/>
      <c r="N136" s="4"/>
    </row>
    <row r="137" spans="1:14" x14ac:dyDescent="0.3">
      <c r="A137" s="10"/>
      <c r="B137" s="4"/>
      <c r="C137" s="11"/>
      <c r="D137" s="12"/>
      <c r="E137" s="12"/>
      <c r="F137" s="4"/>
      <c r="G137" s="13"/>
      <c r="H137" s="14"/>
      <c r="I137" s="11"/>
      <c r="J137" s="4"/>
      <c r="K137" s="4"/>
      <c r="L137" s="7"/>
      <c r="M137" s="7"/>
      <c r="N137" s="4"/>
    </row>
    <row r="140" spans="1:14" ht="28.8" x14ac:dyDescent="0.3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5</v>
      </c>
      <c r="G140" s="1" t="s">
        <v>6</v>
      </c>
      <c r="H140" s="1" t="s">
        <v>7</v>
      </c>
      <c r="I140" s="1" t="s">
        <v>8</v>
      </c>
      <c r="J140" s="1" t="s">
        <v>9</v>
      </c>
      <c r="K140" s="1" t="s">
        <v>10</v>
      </c>
      <c r="L140" s="2"/>
      <c r="M140" s="2"/>
      <c r="N140" s="2"/>
    </row>
    <row r="141" spans="1:14" x14ac:dyDescent="0.3">
      <c r="A141" s="4" t="s">
        <v>11</v>
      </c>
      <c r="B141" s="3" t="str">
        <f>_xlfn.XLOOKUP($C141,'[1]Basic EMP Data - 2025'!$D$3:$D$216,'[1]Basic EMP Data - 2025'!$C$3:$C$216)</f>
        <v>VB2100</v>
      </c>
      <c r="C141" s="5" t="s">
        <v>31</v>
      </c>
      <c r="D141" s="4" t="str">
        <f>VLOOKUP($B141,'[1]Basic EMP Data - 2025'!$C$3:$F$216,3,0)</f>
        <v>Nitin Saxena</v>
      </c>
      <c r="E141" s="4">
        <f>VLOOKUP($B141,'[1]Basic EMP Data - 2025'!$C$3:$I$216,5,0)</f>
        <v>4</v>
      </c>
      <c r="F141" s="4">
        <f>VLOOKUP($B141,'[1]Basic EMP Data - 2025'!$C$3:$I$216,6,0)</f>
        <v>0</v>
      </c>
      <c r="G141" s="6">
        <f>F141/E141</f>
        <v>0</v>
      </c>
      <c r="H141" s="7">
        <f>SUM(L143:L161)</f>
        <v>0</v>
      </c>
      <c r="I141" s="8" cm="1">
        <f t="array" ref="I141">_xlfn.IFS($G141&lt;=34%,0%,$G141&lt;=75%,3%,$G141&lt;=120%,4%,$G141&gt;120%,5%)</f>
        <v>0</v>
      </c>
      <c r="J141" s="7" cm="1">
        <f t="array" ref="J141">SUMPRODUCT((C143:C161=2024)*M143:M161) + SUMPRODUCT((C143:C161=2025)*M143:M161*2)</f>
        <v>0</v>
      </c>
      <c r="K141" s="4">
        <f>SUM(N143:N161)</f>
        <v>0</v>
      </c>
      <c r="M141" s="2"/>
      <c r="N141" s="2"/>
    </row>
    <row r="142" spans="1:14" ht="28.8" x14ac:dyDescent="0.3">
      <c r="A142" s="9" t="s">
        <v>2</v>
      </c>
      <c r="B142" s="9" t="s">
        <v>13</v>
      </c>
      <c r="C142" s="9" t="s">
        <v>14</v>
      </c>
      <c r="D142" s="9" t="s">
        <v>15</v>
      </c>
      <c r="E142" s="9" t="s">
        <v>16</v>
      </c>
      <c r="F142" s="9" t="s">
        <v>17</v>
      </c>
      <c r="G142" s="9" t="s">
        <v>18</v>
      </c>
      <c r="H142" s="9" t="s">
        <v>19</v>
      </c>
      <c r="I142" s="9" t="s">
        <v>20</v>
      </c>
      <c r="J142" s="9" t="s">
        <v>21</v>
      </c>
      <c r="K142" s="9" t="s">
        <v>22</v>
      </c>
      <c r="L142" s="9" t="s">
        <v>23</v>
      </c>
      <c r="M142" s="9" t="s">
        <v>24</v>
      </c>
      <c r="N142" s="9" t="s">
        <v>25</v>
      </c>
    </row>
    <row r="143" spans="1:14" x14ac:dyDescent="0.3">
      <c r="A143" s="10" t="str">
        <f>C141</f>
        <v>Shruti Kumari</v>
      </c>
      <c r="B143" s="4" t="e" cm="1" vm="1">
        <f t="array" ref="B143">_xlfn.LET(
  _xlpm.data, _xlfn._xlws.FILTER('[1]Incentive Data'!A:BV, '[1]Incentive Data'!H:H=$C141),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143" s="11"/>
      <c r="D143" s="12"/>
      <c r="E143" s="12"/>
      <c r="F143" s="4"/>
      <c r="G143" s="13"/>
      <c r="H143" s="14"/>
      <c r="I143" s="11"/>
      <c r="J143" s="4"/>
      <c r="K143" s="4"/>
      <c r="L143" s="7"/>
      <c r="M143" s="7"/>
      <c r="N143" s="4"/>
    </row>
    <row r="144" spans="1:14" x14ac:dyDescent="0.3">
      <c r="A144" s="10"/>
      <c r="B144" s="4"/>
      <c r="C144" s="11"/>
      <c r="D144" s="12"/>
      <c r="E144" s="12"/>
      <c r="F144" s="4"/>
      <c r="G144" s="13"/>
      <c r="H144" s="14"/>
      <c r="I144" s="11"/>
      <c r="J144" s="4"/>
      <c r="K144" s="4"/>
      <c r="L144" s="7"/>
      <c r="M144" s="7"/>
      <c r="N144" s="4"/>
    </row>
    <row r="145" spans="1:14" x14ac:dyDescent="0.3">
      <c r="A145" s="10"/>
      <c r="B145" s="4"/>
      <c r="C145" s="11"/>
      <c r="D145" s="12"/>
      <c r="E145" s="12"/>
      <c r="F145" s="4"/>
      <c r="G145" s="13"/>
      <c r="H145" s="14"/>
      <c r="I145" s="11"/>
      <c r="J145" s="4"/>
      <c r="K145" s="4"/>
      <c r="L145" s="7"/>
      <c r="M145" s="7"/>
      <c r="N145" s="4"/>
    </row>
    <row r="146" spans="1:14" x14ac:dyDescent="0.3">
      <c r="A146" s="10"/>
      <c r="B146" s="4"/>
      <c r="C146" s="11"/>
      <c r="D146" s="12"/>
      <c r="E146" s="12"/>
      <c r="F146" s="4"/>
      <c r="G146" s="13"/>
      <c r="H146" s="14"/>
      <c r="I146" s="11"/>
      <c r="J146" s="4"/>
      <c r="K146" s="4"/>
      <c r="L146" s="7"/>
      <c r="M146" s="7"/>
      <c r="N146" s="4"/>
    </row>
    <row r="147" spans="1:14" x14ac:dyDescent="0.3">
      <c r="A147" s="10"/>
      <c r="B147" s="4"/>
      <c r="C147" s="11"/>
      <c r="D147" s="12"/>
      <c r="E147" s="12"/>
      <c r="F147" s="4"/>
      <c r="G147" s="13"/>
      <c r="H147" s="14"/>
      <c r="I147" s="11"/>
      <c r="J147" s="4"/>
      <c r="K147" s="4"/>
      <c r="L147" s="7"/>
      <c r="M147" s="7"/>
      <c r="N147" s="4"/>
    </row>
    <row r="148" spans="1:14" x14ac:dyDescent="0.3">
      <c r="A148" s="10"/>
      <c r="B148" s="4"/>
      <c r="C148" s="11"/>
      <c r="D148" s="12"/>
      <c r="E148" s="12"/>
      <c r="F148" s="4"/>
      <c r="G148" s="13"/>
      <c r="H148" s="14"/>
      <c r="I148" s="11"/>
      <c r="J148" s="4"/>
      <c r="K148" s="4"/>
      <c r="L148" s="7"/>
      <c r="M148" s="7"/>
      <c r="N148" s="4"/>
    </row>
    <row r="149" spans="1:14" x14ac:dyDescent="0.3">
      <c r="A149" s="10"/>
      <c r="B149" s="4"/>
      <c r="C149" s="11"/>
      <c r="D149" s="12"/>
      <c r="E149" s="12"/>
      <c r="F149" s="4"/>
      <c r="G149" s="13"/>
      <c r="H149" s="14"/>
      <c r="I149" s="11"/>
      <c r="J149" s="4"/>
      <c r="K149" s="4"/>
      <c r="L149" s="7"/>
      <c r="M149" s="7"/>
      <c r="N149" s="4"/>
    </row>
    <row r="150" spans="1:14" x14ac:dyDescent="0.3">
      <c r="A150" s="10"/>
      <c r="B150" s="4"/>
      <c r="C150" s="11"/>
      <c r="D150" s="12"/>
      <c r="E150" s="12"/>
      <c r="F150" s="4"/>
      <c r="G150" s="13"/>
      <c r="H150" s="14"/>
      <c r="I150" s="11"/>
      <c r="J150" s="4"/>
      <c r="K150" s="4"/>
      <c r="L150" s="7"/>
      <c r="M150" s="7"/>
      <c r="N150" s="4"/>
    </row>
    <row r="151" spans="1:14" x14ac:dyDescent="0.3">
      <c r="A151" s="10"/>
      <c r="B151" s="4"/>
      <c r="C151" s="11"/>
      <c r="D151" s="12"/>
      <c r="E151" s="12"/>
      <c r="F151" s="4"/>
      <c r="G151" s="13"/>
      <c r="H151" s="14"/>
      <c r="I151" s="11"/>
      <c r="J151" s="4"/>
      <c r="K151" s="4"/>
      <c r="L151" s="7"/>
      <c r="M151" s="7"/>
      <c r="N151" s="4"/>
    </row>
    <row r="152" spans="1:14" x14ac:dyDescent="0.3">
      <c r="A152" s="10"/>
      <c r="B152" s="4"/>
      <c r="C152" s="11"/>
      <c r="D152" s="12"/>
      <c r="E152" s="12"/>
      <c r="F152" s="4"/>
      <c r="G152" s="13"/>
      <c r="H152" s="14"/>
      <c r="I152" s="11"/>
      <c r="J152" s="4"/>
      <c r="K152" s="4"/>
      <c r="L152" s="7"/>
      <c r="M152" s="7"/>
      <c r="N152" s="4"/>
    </row>
    <row r="153" spans="1:14" x14ac:dyDescent="0.3">
      <c r="A153" s="10"/>
      <c r="B153" s="4"/>
      <c r="C153" s="11"/>
      <c r="D153" s="12"/>
      <c r="E153" s="12"/>
      <c r="F153" s="4"/>
      <c r="G153" s="13"/>
      <c r="H153" s="14"/>
      <c r="I153" s="11"/>
      <c r="J153" s="4"/>
      <c r="K153" s="4"/>
      <c r="L153" s="7"/>
      <c r="M153" s="7"/>
      <c r="N153" s="4"/>
    </row>
    <row r="154" spans="1:14" x14ac:dyDescent="0.3">
      <c r="A154" s="10"/>
      <c r="B154" s="4"/>
      <c r="C154" s="11"/>
      <c r="D154" s="12"/>
      <c r="E154" s="12"/>
      <c r="F154" s="4"/>
      <c r="G154" s="13"/>
      <c r="H154" s="14"/>
      <c r="I154" s="11"/>
      <c r="J154" s="4"/>
      <c r="K154" s="4"/>
      <c r="L154" s="7"/>
      <c r="M154" s="7"/>
      <c r="N154" s="4"/>
    </row>
    <row r="155" spans="1:14" x14ac:dyDescent="0.3">
      <c r="A155" s="10"/>
      <c r="B155" s="4"/>
      <c r="C155" s="11"/>
      <c r="D155" s="12"/>
      <c r="E155" s="12"/>
      <c r="F155" s="4"/>
      <c r="G155" s="13"/>
      <c r="H155" s="14"/>
      <c r="I155" s="11"/>
      <c r="J155" s="4"/>
      <c r="K155" s="4"/>
      <c r="L155" s="7"/>
      <c r="M155" s="7"/>
      <c r="N155" s="4"/>
    </row>
    <row r="156" spans="1:14" x14ac:dyDescent="0.3">
      <c r="A156" s="10"/>
      <c r="B156" s="4"/>
      <c r="C156" s="11"/>
      <c r="D156" s="12"/>
      <c r="E156" s="12"/>
      <c r="F156" s="4"/>
      <c r="G156" s="13"/>
      <c r="H156" s="14"/>
      <c r="I156" s="11"/>
      <c r="J156" s="4"/>
      <c r="K156" s="4"/>
      <c r="L156" s="7"/>
      <c r="M156" s="7"/>
      <c r="N156" s="4"/>
    </row>
    <row r="157" spans="1:14" x14ac:dyDescent="0.3">
      <c r="A157" s="10"/>
      <c r="B157" s="4"/>
      <c r="C157" s="11"/>
      <c r="D157" s="12"/>
      <c r="E157" s="12"/>
      <c r="F157" s="4"/>
      <c r="G157" s="13"/>
      <c r="H157" s="14"/>
      <c r="I157" s="11"/>
      <c r="J157" s="4"/>
      <c r="K157" s="4"/>
      <c r="L157" s="7"/>
      <c r="M157" s="7"/>
      <c r="N157" s="4"/>
    </row>
    <row r="158" spans="1:14" x14ac:dyDescent="0.3">
      <c r="A158" s="10"/>
      <c r="B158" s="4"/>
      <c r="C158" s="11"/>
      <c r="D158" s="12"/>
      <c r="E158" s="12"/>
      <c r="F158" s="4"/>
      <c r="G158" s="13"/>
      <c r="H158" s="14"/>
      <c r="I158" s="11"/>
      <c r="J158" s="4"/>
      <c r="K158" s="4"/>
      <c r="L158" s="7"/>
      <c r="M158" s="7"/>
      <c r="N158" s="4"/>
    </row>
    <row r="159" spans="1:14" x14ac:dyDescent="0.3">
      <c r="A159" s="10"/>
      <c r="B159" s="4"/>
      <c r="C159" s="11"/>
      <c r="D159" s="12"/>
      <c r="E159" s="12"/>
      <c r="F159" s="4"/>
      <c r="G159" s="13"/>
      <c r="H159" s="14"/>
      <c r="I159" s="11"/>
      <c r="J159" s="4"/>
      <c r="K159" s="4"/>
      <c r="L159" s="7"/>
      <c r="M159" s="7"/>
      <c r="N159" s="4"/>
    </row>
    <row r="160" spans="1:14" x14ac:dyDescent="0.3">
      <c r="A160" s="10"/>
      <c r="B160" s="4"/>
      <c r="C160" s="11"/>
      <c r="D160" s="12"/>
      <c r="E160" s="12"/>
      <c r="F160" s="4"/>
      <c r="G160" s="13"/>
      <c r="H160" s="14"/>
      <c r="I160" s="11"/>
      <c r="J160" s="4"/>
      <c r="K160" s="4"/>
      <c r="L160" s="7"/>
      <c r="M160" s="7"/>
      <c r="N160" s="4"/>
    </row>
    <row r="161" spans="1:14" x14ac:dyDescent="0.3">
      <c r="A161" s="10"/>
      <c r="B161" s="4"/>
      <c r="C161" s="11"/>
      <c r="D161" s="12"/>
      <c r="E161" s="12"/>
      <c r="F161" s="4"/>
      <c r="G161" s="13"/>
      <c r="H161" s="14"/>
      <c r="I161" s="11"/>
      <c r="J161" s="4"/>
      <c r="K161" s="4"/>
      <c r="L161" s="7"/>
      <c r="M161" s="7"/>
      <c r="N161" s="4"/>
    </row>
    <row r="164" spans="1:14" ht="28.8" x14ac:dyDescent="0.3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 t="s">
        <v>5</v>
      </c>
      <c r="G164" s="1" t="s">
        <v>6</v>
      </c>
      <c r="H164" s="1" t="s">
        <v>7</v>
      </c>
      <c r="I164" s="1" t="s">
        <v>8</v>
      </c>
      <c r="J164" s="1" t="s">
        <v>9</v>
      </c>
      <c r="K164" s="1" t="s">
        <v>10</v>
      </c>
      <c r="L164" s="2"/>
      <c r="M164" s="2"/>
      <c r="N164" s="2"/>
    </row>
    <row r="165" spans="1:14" x14ac:dyDescent="0.3">
      <c r="A165" s="4" t="s">
        <v>11</v>
      </c>
      <c r="B165" s="3" t="str">
        <f>_xlfn.XLOOKUP($C165,'[1]Basic EMP Data - 2025'!$D$3:$D$216,'[1]Basic EMP Data - 2025'!$C$3:$C$216)</f>
        <v>VB2210</v>
      </c>
      <c r="C165" s="5" t="s">
        <v>32</v>
      </c>
      <c r="D165" s="4" t="str">
        <f>VLOOKUP($B165,'[1]Basic EMP Data - 2025'!$C$3:$F$216,3,0)</f>
        <v>Nitin Saxena</v>
      </c>
      <c r="E165" s="4">
        <f>VLOOKUP($B165,'[1]Basic EMP Data - 2025'!$C$3:$I$216,5,0)</f>
        <v>2</v>
      </c>
      <c r="F165" s="4">
        <f>VLOOKUP($B165,'[1]Basic EMP Data - 2025'!$C$3:$I$216,6,0)</f>
        <v>0</v>
      </c>
      <c r="G165" s="6">
        <f>F165/E165</f>
        <v>0</v>
      </c>
      <c r="H165" s="7">
        <f>SUM(L167:L185)</f>
        <v>0</v>
      </c>
      <c r="I165" s="8" cm="1">
        <f t="array" ref="I165">_xlfn.IFS($G165&lt;=34%,0%,$G165&lt;=75%,3%,$G165&lt;=120%,4%,$G165&gt;120%,5%)</f>
        <v>0</v>
      </c>
      <c r="J165" s="7" cm="1">
        <f t="array" ref="J165">SUMPRODUCT((C167:C185=2024)*M167:M185) + SUMPRODUCT((C167:C185=2025)*M167:M185*2)</f>
        <v>0</v>
      </c>
      <c r="K165" s="4">
        <f>SUM(N167:N185)</f>
        <v>0</v>
      </c>
      <c r="M165" s="2"/>
      <c r="N165" s="2"/>
    </row>
    <row r="166" spans="1:14" ht="28.8" x14ac:dyDescent="0.3">
      <c r="A166" s="9" t="s">
        <v>2</v>
      </c>
      <c r="B166" s="9" t="s">
        <v>13</v>
      </c>
      <c r="C166" s="9" t="s">
        <v>14</v>
      </c>
      <c r="D166" s="9" t="s">
        <v>15</v>
      </c>
      <c r="E166" s="9" t="s">
        <v>16</v>
      </c>
      <c r="F166" s="9" t="s">
        <v>17</v>
      </c>
      <c r="G166" s="9" t="s">
        <v>18</v>
      </c>
      <c r="H166" s="9" t="s">
        <v>19</v>
      </c>
      <c r="I166" s="9" t="s">
        <v>20</v>
      </c>
      <c r="J166" s="9" t="s">
        <v>21</v>
      </c>
      <c r="K166" s="9" t="s">
        <v>22</v>
      </c>
      <c r="L166" s="9" t="s">
        <v>23</v>
      </c>
      <c r="M166" s="9" t="s">
        <v>24</v>
      </c>
      <c r="N166" s="9" t="s">
        <v>25</v>
      </c>
    </row>
    <row r="167" spans="1:14" x14ac:dyDescent="0.3">
      <c r="A167" s="10" t="str">
        <f>C165</f>
        <v>Ambresh Tripathi</v>
      </c>
      <c r="B167" s="4" t="e" cm="1" vm="1">
        <f t="array" ref="B167">_xlfn.LET(
  _xlpm.data, _xlfn._xlws.FILTER('[1]Incentive Data'!A:BV, '[1]Incentive Data'!H:H=$C165),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167" s="11"/>
      <c r="D167" s="12"/>
      <c r="E167" s="12"/>
      <c r="F167" s="4"/>
      <c r="G167" s="13"/>
      <c r="H167" s="14"/>
      <c r="I167" s="11"/>
      <c r="J167" s="4"/>
      <c r="K167" s="4"/>
      <c r="L167" s="7"/>
      <c r="M167" s="7"/>
      <c r="N167" s="4"/>
    </row>
    <row r="168" spans="1:14" x14ac:dyDescent="0.3">
      <c r="A168" s="10"/>
      <c r="B168" s="4"/>
      <c r="C168" s="11"/>
      <c r="D168" s="12"/>
      <c r="E168" s="12"/>
      <c r="F168" s="4"/>
      <c r="G168" s="13"/>
      <c r="H168" s="14"/>
      <c r="I168" s="11"/>
      <c r="J168" s="4"/>
      <c r="K168" s="4"/>
      <c r="L168" s="7"/>
      <c r="M168" s="7"/>
      <c r="N168" s="4"/>
    </row>
    <row r="169" spans="1:14" x14ac:dyDescent="0.3">
      <c r="A169" s="10"/>
      <c r="B169" s="4"/>
      <c r="C169" s="11"/>
      <c r="D169" s="12"/>
      <c r="E169" s="12"/>
      <c r="F169" s="4"/>
      <c r="G169" s="13"/>
      <c r="H169" s="14"/>
      <c r="I169" s="11"/>
      <c r="J169" s="4"/>
      <c r="K169" s="4"/>
      <c r="L169" s="7"/>
      <c r="M169" s="7"/>
      <c r="N169" s="4"/>
    </row>
    <row r="170" spans="1:14" x14ac:dyDescent="0.3">
      <c r="A170" s="10"/>
      <c r="B170" s="4"/>
      <c r="C170" s="11"/>
      <c r="D170" s="12"/>
      <c r="E170" s="12"/>
      <c r="F170" s="4"/>
      <c r="G170" s="13"/>
      <c r="H170" s="14"/>
      <c r="I170" s="11"/>
      <c r="J170" s="4"/>
      <c r="K170" s="4"/>
      <c r="L170" s="7"/>
      <c r="M170" s="7"/>
      <c r="N170" s="4"/>
    </row>
    <row r="171" spans="1:14" x14ac:dyDescent="0.3">
      <c r="A171" s="10"/>
      <c r="B171" s="4"/>
      <c r="C171" s="11"/>
      <c r="D171" s="12"/>
      <c r="E171" s="12"/>
      <c r="F171" s="4"/>
      <c r="G171" s="13"/>
      <c r="H171" s="14"/>
      <c r="I171" s="11"/>
      <c r="J171" s="4"/>
      <c r="K171" s="4"/>
      <c r="L171" s="7"/>
      <c r="M171" s="7"/>
      <c r="N171" s="4"/>
    </row>
    <row r="172" spans="1:14" x14ac:dyDescent="0.3">
      <c r="A172" s="10"/>
      <c r="B172" s="4"/>
      <c r="C172" s="11"/>
      <c r="D172" s="12"/>
      <c r="E172" s="12"/>
      <c r="F172" s="4"/>
      <c r="G172" s="13"/>
      <c r="H172" s="14"/>
      <c r="I172" s="11"/>
      <c r="J172" s="4"/>
      <c r="K172" s="4"/>
      <c r="L172" s="7"/>
      <c r="M172" s="7"/>
      <c r="N172" s="4"/>
    </row>
    <row r="173" spans="1:14" x14ac:dyDescent="0.3">
      <c r="A173" s="10"/>
      <c r="B173" s="4"/>
      <c r="C173" s="11"/>
      <c r="D173" s="12"/>
      <c r="E173" s="12"/>
      <c r="F173" s="4"/>
      <c r="G173" s="13"/>
      <c r="H173" s="14"/>
      <c r="I173" s="11"/>
      <c r="J173" s="4"/>
      <c r="K173" s="4"/>
      <c r="L173" s="7"/>
      <c r="M173" s="7"/>
      <c r="N173" s="4"/>
    </row>
    <row r="174" spans="1:14" x14ac:dyDescent="0.3">
      <c r="A174" s="10"/>
      <c r="B174" s="4"/>
      <c r="C174" s="11"/>
      <c r="D174" s="12"/>
      <c r="E174" s="12"/>
      <c r="F174" s="4"/>
      <c r="G174" s="13"/>
      <c r="H174" s="14"/>
      <c r="I174" s="11"/>
      <c r="J174" s="4"/>
      <c r="K174" s="4"/>
      <c r="L174" s="7"/>
      <c r="M174" s="7"/>
      <c r="N174" s="4"/>
    </row>
    <row r="175" spans="1:14" x14ac:dyDescent="0.3">
      <c r="A175" s="10"/>
      <c r="B175" s="4"/>
      <c r="C175" s="11"/>
      <c r="D175" s="12"/>
      <c r="E175" s="12"/>
      <c r="F175" s="4"/>
      <c r="G175" s="13"/>
      <c r="H175" s="14"/>
      <c r="I175" s="11"/>
      <c r="J175" s="4"/>
      <c r="K175" s="4"/>
      <c r="L175" s="7"/>
      <c r="M175" s="7"/>
      <c r="N175" s="4"/>
    </row>
    <row r="176" spans="1:14" x14ac:dyDescent="0.3">
      <c r="A176" s="10"/>
      <c r="B176" s="4"/>
      <c r="C176" s="11"/>
      <c r="D176" s="12"/>
      <c r="E176" s="12"/>
      <c r="F176" s="4"/>
      <c r="G176" s="13"/>
      <c r="H176" s="14"/>
      <c r="I176" s="11"/>
      <c r="J176" s="4"/>
      <c r="K176" s="4"/>
      <c r="L176" s="7"/>
      <c r="M176" s="7"/>
      <c r="N176" s="4"/>
    </row>
    <row r="177" spans="1:14" x14ac:dyDescent="0.3">
      <c r="A177" s="10"/>
      <c r="B177" s="4"/>
      <c r="C177" s="11"/>
      <c r="D177" s="12"/>
      <c r="E177" s="12"/>
      <c r="F177" s="4"/>
      <c r="G177" s="13"/>
      <c r="H177" s="14"/>
      <c r="I177" s="11"/>
      <c r="J177" s="4"/>
      <c r="K177" s="4"/>
      <c r="L177" s="7"/>
      <c r="M177" s="7"/>
      <c r="N177" s="4"/>
    </row>
    <row r="178" spans="1:14" x14ac:dyDescent="0.3">
      <c r="A178" s="10"/>
      <c r="B178" s="4"/>
      <c r="C178" s="11"/>
      <c r="D178" s="12"/>
      <c r="E178" s="12"/>
      <c r="F178" s="4"/>
      <c r="G178" s="13"/>
      <c r="H178" s="14"/>
      <c r="I178" s="11"/>
      <c r="J178" s="4"/>
      <c r="K178" s="4"/>
      <c r="L178" s="7"/>
      <c r="M178" s="7"/>
      <c r="N178" s="4"/>
    </row>
    <row r="179" spans="1:14" x14ac:dyDescent="0.3">
      <c r="A179" s="10"/>
      <c r="B179" s="4"/>
      <c r="C179" s="11"/>
      <c r="D179" s="12"/>
      <c r="E179" s="12"/>
      <c r="F179" s="4"/>
      <c r="G179" s="13"/>
      <c r="H179" s="14"/>
      <c r="I179" s="11"/>
      <c r="J179" s="4"/>
      <c r="K179" s="4"/>
      <c r="L179" s="7"/>
      <c r="M179" s="7"/>
      <c r="N179" s="4"/>
    </row>
    <row r="180" spans="1:14" x14ac:dyDescent="0.3">
      <c r="A180" s="10"/>
      <c r="B180" s="4"/>
      <c r="C180" s="11"/>
      <c r="D180" s="12"/>
      <c r="E180" s="12"/>
      <c r="F180" s="4"/>
      <c r="G180" s="13"/>
      <c r="H180" s="14"/>
      <c r="I180" s="11"/>
      <c r="J180" s="4"/>
      <c r="K180" s="4"/>
      <c r="L180" s="7"/>
      <c r="M180" s="7"/>
      <c r="N180" s="4"/>
    </row>
    <row r="181" spans="1:14" x14ac:dyDescent="0.3">
      <c r="A181" s="10"/>
      <c r="B181" s="4"/>
      <c r="C181" s="11"/>
      <c r="D181" s="12"/>
      <c r="E181" s="12"/>
      <c r="F181" s="4"/>
      <c r="G181" s="13"/>
      <c r="H181" s="14"/>
      <c r="I181" s="11"/>
      <c r="J181" s="4"/>
      <c r="K181" s="4"/>
      <c r="L181" s="7"/>
      <c r="M181" s="7"/>
      <c r="N181" s="4"/>
    </row>
    <row r="182" spans="1:14" x14ac:dyDescent="0.3">
      <c r="A182" s="10"/>
      <c r="B182" s="4"/>
      <c r="C182" s="11"/>
      <c r="D182" s="12"/>
      <c r="E182" s="12"/>
      <c r="F182" s="4"/>
      <c r="G182" s="13"/>
      <c r="H182" s="14"/>
      <c r="I182" s="11"/>
      <c r="J182" s="4"/>
      <c r="K182" s="4"/>
      <c r="L182" s="7"/>
      <c r="M182" s="7"/>
      <c r="N182" s="4"/>
    </row>
    <row r="183" spans="1:14" x14ac:dyDescent="0.3">
      <c r="A183" s="10"/>
      <c r="B183" s="4"/>
      <c r="C183" s="11"/>
      <c r="D183" s="12"/>
      <c r="E183" s="12"/>
      <c r="F183" s="4"/>
      <c r="G183" s="13"/>
      <c r="H183" s="14"/>
      <c r="I183" s="11"/>
      <c r="J183" s="4"/>
      <c r="K183" s="4"/>
      <c r="L183" s="7"/>
      <c r="M183" s="7"/>
      <c r="N183" s="4"/>
    </row>
    <row r="184" spans="1:14" x14ac:dyDescent="0.3">
      <c r="A184" s="10"/>
      <c r="B184" s="4"/>
      <c r="C184" s="11"/>
      <c r="D184" s="12"/>
      <c r="E184" s="12"/>
      <c r="F184" s="4"/>
      <c r="G184" s="13"/>
      <c r="H184" s="14"/>
      <c r="I184" s="11"/>
      <c r="J184" s="4"/>
      <c r="K184" s="4"/>
      <c r="L184" s="7"/>
      <c r="M184" s="7"/>
      <c r="N184" s="4"/>
    </row>
    <row r="185" spans="1:14" x14ac:dyDescent="0.3">
      <c r="A185" s="10"/>
      <c r="B185" s="4"/>
      <c r="C185" s="11"/>
      <c r="D185" s="12"/>
      <c r="E185" s="12"/>
      <c r="F185" s="4"/>
      <c r="G185" s="13"/>
      <c r="H185" s="14"/>
      <c r="I185" s="11"/>
      <c r="J185" s="4"/>
      <c r="K185" s="4"/>
      <c r="L185" s="7"/>
      <c r="M185" s="7"/>
      <c r="N185" s="4"/>
    </row>
    <row r="189" spans="1:14" ht="28.8" x14ac:dyDescent="0.3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  <c r="F189" s="1" t="s">
        <v>5</v>
      </c>
      <c r="G189" s="1" t="s">
        <v>6</v>
      </c>
      <c r="H189" s="1" t="s">
        <v>7</v>
      </c>
      <c r="I189" s="1" t="s">
        <v>8</v>
      </c>
      <c r="J189" s="1" t="s">
        <v>9</v>
      </c>
      <c r="K189" s="1" t="s">
        <v>10</v>
      </c>
      <c r="L189" s="2"/>
      <c r="M189" s="2"/>
      <c r="N189" s="2"/>
    </row>
    <row r="190" spans="1:14" x14ac:dyDescent="0.3">
      <c r="A190" s="4" t="s">
        <v>11</v>
      </c>
      <c r="B190" s="3" t="str">
        <f>_xlfn.XLOOKUP($C190,'[1]Basic EMP Data - 2025'!$D$3:$D$216,'[1]Basic EMP Data - 2025'!$C$3:$C$216)</f>
        <v>VB2221</v>
      </c>
      <c r="C190" s="5" t="s">
        <v>33</v>
      </c>
      <c r="D190" s="4" t="str">
        <f>VLOOKUP($B190,'[1]Basic EMP Data - 2025'!$C$3:$F$216,3,0)</f>
        <v>Nitin Saxena</v>
      </c>
      <c r="E190" s="4">
        <f>VLOOKUP($B190,'[1]Basic EMP Data - 2025'!$C$3:$I$216,5,0)</f>
        <v>1</v>
      </c>
      <c r="F190" s="4">
        <f>VLOOKUP($B190,'[1]Basic EMP Data - 2025'!$C$3:$I$216,6,0)</f>
        <v>1</v>
      </c>
      <c r="G190" s="6">
        <f>F190/E190</f>
        <v>1</v>
      </c>
      <c r="H190" s="7">
        <f>SUM(L192:L210)</f>
        <v>0</v>
      </c>
      <c r="I190" s="8" cm="1">
        <f t="array" ref="I190">_xlfn.IFS($G190&lt;=34%,0%,$G190&lt;=75%,3%,$G190&lt;=120%,4%,$G190&gt;120%,5%)</f>
        <v>0.04</v>
      </c>
      <c r="J190" s="7" cm="1">
        <f t="array" ref="J190">SUMPRODUCT((C192:C210=2024)*M192:M210) + SUMPRODUCT((C192:C210=2025)*M192:M210*2)</f>
        <v>0</v>
      </c>
      <c r="K190" s="4">
        <f>SUM(N192:N210)</f>
        <v>0</v>
      </c>
      <c r="M190" s="2"/>
      <c r="N190" s="2"/>
    </row>
    <row r="191" spans="1:14" ht="28.8" x14ac:dyDescent="0.3">
      <c r="A191" s="9" t="s">
        <v>2</v>
      </c>
      <c r="B191" s="9" t="s">
        <v>13</v>
      </c>
      <c r="C191" s="9" t="s">
        <v>14</v>
      </c>
      <c r="D191" s="9" t="s">
        <v>15</v>
      </c>
      <c r="E191" s="9" t="s">
        <v>16</v>
      </c>
      <c r="F191" s="9" t="s">
        <v>17</v>
      </c>
      <c r="G191" s="9" t="s">
        <v>18</v>
      </c>
      <c r="H191" s="9" t="s">
        <v>19</v>
      </c>
      <c r="I191" s="9" t="s">
        <v>20</v>
      </c>
      <c r="J191" s="9" t="s">
        <v>21</v>
      </c>
      <c r="K191" s="9" t="s">
        <v>22</v>
      </c>
      <c r="L191" s="9" t="s">
        <v>23</v>
      </c>
      <c r="M191" s="9" t="s">
        <v>24</v>
      </c>
      <c r="N191" s="9" t="s">
        <v>25</v>
      </c>
    </row>
    <row r="192" spans="1:14" x14ac:dyDescent="0.3">
      <c r="A192" s="10" t="str">
        <f>C190</f>
        <v>Anurag Mishra</v>
      </c>
      <c r="B192" s="4" t="e" cm="1" vm="1">
        <f t="array" ref="B192">_xlfn.LET(
  _xlpm.data, _xlfn._xlws.FILTER('[1]Incentive Data'!A:BV, '[1]Incentive Data'!H:H=$C190),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192" s="11"/>
      <c r="D192" s="12"/>
      <c r="E192" s="12"/>
      <c r="F192" s="4"/>
      <c r="G192" s="13"/>
      <c r="H192" s="14"/>
      <c r="I192" s="11"/>
      <c r="J192" s="4"/>
      <c r="K192" s="4"/>
      <c r="L192" s="7"/>
      <c r="M192" s="7"/>
      <c r="N192" s="4"/>
    </row>
    <row r="193" spans="1:14" x14ac:dyDescent="0.3">
      <c r="A193" s="10"/>
      <c r="B193" s="4"/>
      <c r="C193" s="11"/>
      <c r="D193" s="12"/>
      <c r="E193" s="12"/>
      <c r="F193" s="4"/>
      <c r="G193" s="13"/>
      <c r="H193" s="14"/>
      <c r="I193" s="11"/>
      <c r="J193" s="4"/>
      <c r="K193" s="4"/>
      <c r="L193" s="7"/>
      <c r="M193" s="7"/>
      <c r="N193" s="4"/>
    </row>
    <row r="194" spans="1:14" x14ac:dyDescent="0.3">
      <c r="A194" s="10"/>
      <c r="B194" s="4"/>
      <c r="C194" s="11"/>
      <c r="D194" s="12"/>
      <c r="E194" s="12"/>
      <c r="F194" s="4"/>
      <c r="G194" s="13"/>
      <c r="H194" s="14"/>
      <c r="I194" s="11"/>
      <c r="J194" s="4"/>
      <c r="K194" s="4"/>
      <c r="L194" s="7"/>
      <c r="M194" s="7"/>
      <c r="N194" s="4"/>
    </row>
    <row r="195" spans="1:14" x14ac:dyDescent="0.3">
      <c r="A195" s="10"/>
      <c r="B195" s="4"/>
      <c r="C195" s="11"/>
      <c r="D195" s="12"/>
      <c r="E195" s="12"/>
      <c r="F195" s="4"/>
      <c r="G195" s="13"/>
      <c r="H195" s="14"/>
      <c r="I195" s="11"/>
      <c r="J195" s="4"/>
      <c r="K195" s="4"/>
      <c r="L195" s="7"/>
      <c r="M195" s="7"/>
      <c r="N195" s="4"/>
    </row>
    <row r="196" spans="1:14" x14ac:dyDescent="0.3">
      <c r="A196" s="10"/>
      <c r="B196" s="4"/>
      <c r="C196" s="11"/>
      <c r="D196" s="12"/>
      <c r="E196" s="12"/>
      <c r="F196" s="4"/>
      <c r="G196" s="13"/>
      <c r="H196" s="14"/>
      <c r="I196" s="11"/>
      <c r="J196" s="4"/>
      <c r="K196" s="4"/>
      <c r="L196" s="7"/>
      <c r="M196" s="7"/>
      <c r="N196" s="4"/>
    </row>
    <row r="197" spans="1:14" x14ac:dyDescent="0.3">
      <c r="A197" s="10"/>
      <c r="B197" s="4"/>
      <c r="C197" s="11"/>
      <c r="D197" s="12"/>
      <c r="E197" s="12"/>
      <c r="F197" s="4"/>
      <c r="G197" s="13"/>
      <c r="H197" s="14"/>
      <c r="I197" s="11"/>
      <c r="J197" s="4"/>
      <c r="K197" s="4"/>
      <c r="L197" s="7"/>
      <c r="M197" s="7"/>
      <c r="N197" s="4"/>
    </row>
    <row r="198" spans="1:14" x14ac:dyDescent="0.3">
      <c r="A198" s="10"/>
      <c r="B198" s="4"/>
      <c r="C198" s="11"/>
      <c r="D198" s="12"/>
      <c r="E198" s="12"/>
      <c r="F198" s="4"/>
      <c r="G198" s="13"/>
      <c r="H198" s="14"/>
      <c r="I198" s="11"/>
      <c r="J198" s="4"/>
      <c r="K198" s="4"/>
      <c r="L198" s="7"/>
      <c r="M198" s="7"/>
      <c r="N198" s="4"/>
    </row>
    <row r="199" spans="1:14" x14ac:dyDescent="0.3">
      <c r="A199" s="10"/>
      <c r="B199" s="4"/>
      <c r="C199" s="11"/>
      <c r="D199" s="12"/>
      <c r="E199" s="12"/>
      <c r="F199" s="4"/>
      <c r="G199" s="13"/>
      <c r="H199" s="14"/>
      <c r="I199" s="11"/>
      <c r="J199" s="4"/>
      <c r="K199" s="4"/>
      <c r="L199" s="7"/>
      <c r="M199" s="7"/>
      <c r="N199" s="4"/>
    </row>
    <row r="200" spans="1:14" x14ac:dyDescent="0.3">
      <c r="A200" s="10"/>
      <c r="B200" s="4"/>
      <c r="C200" s="11"/>
      <c r="D200" s="12"/>
      <c r="E200" s="12"/>
      <c r="F200" s="4"/>
      <c r="G200" s="13"/>
      <c r="H200" s="14"/>
      <c r="I200" s="11"/>
      <c r="J200" s="4"/>
      <c r="K200" s="4"/>
      <c r="L200" s="7"/>
      <c r="M200" s="7"/>
      <c r="N200" s="4"/>
    </row>
    <row r="201" spans="1:14" x14ac:dyDescent="0.3">
      <c r="A201" s="10"/>
      <c r="B201" s="4"/>
      <c r="C201" s="11"/>
      <c r="D201" s="12"/>
      <c r="E201" s="12"/>
      <c r="F201" s="4"/>
      <c r="G201" s="13"/>
      <c r="H201" s="14"/>
      <c r="I201" s="11"/>
      <c r="J201" s="4"/>
      <c r="K201" s="4"/>
      <c r="L201" s="7"/>
      <c r="M201" s="7"/>
      <c r="N201" s="4"/>
    </row>
    <row r="202" spans="1:14" x14ac:dyDescent="0.3">
      <c r="A202" s="10"/>
      <c r="B202" s="4"/>
      <c r="C202" s="11"/>
      <c r="D202" s="12"/>
      <c r="E202" s="12"/>
      <c r="F202" s="4"/>
      <c r="G202" s="13"/>
      <c r="H202" s="14"/>
      <c r="I202" s="11"/>
      <c r="J202" s="4"/>
      <c r="K202" s="4"/>
      <c r="L202" s="7"/>
      <c r="M202" s="7"/>
      <c r="N202" s="4"/>
    </row>
    <row r="203" spans="1:14" x14ac:dyDescent="0.3">
      <c r="A203" s="10"/>
      <c r="B203" s="4"/>
      <c r="C203" s="11"/>
      <c r="D203" s="12"/>
      <c r="E203" s="12"/>
      <c r="F203" s="4"/>
      <c r="G203" s="13"/>
      <c r="H203" s="14"/>
      <c r="I203" s="11"/>
      <c r="J203" s="4"/>
      <c r="K203" s="4"/>
      <c r="L203" s="7"/>
      <c r="M203" s="7"/>
      <c r="N203" s="4"/>
    </row>
    <row r="204" spans="1:14" x14ac:dyDescent="0.3">
      <c r="A204" s="10"/>
      <c r="B204" s="4"/>
      <c r="C204" s="11"/>
      <c r="D204" s="12"/>
      <c r="E204" s="12"/>
      <c r="F204" s="4"/>
      <c r="G204" s="13"/>
      <c r="H204" s="14"/>
      <c r="I204" s="11"/>
      <c r="J204" s="4"/>
      <c r="K204" s="4"/>
      <c r="L204" s="7"/>
      <c r="M204" s="7"/>
      <c r="N204" s="4"/>
    </row>
    <row r="205" spans="1:14" x14ac:dyDescent="0.3">
      <c r="A205" s="10"/>
      <c r="B205" s="4"/>
      <c r="C205" s="11"/>
      <c r="D205" s="12"/>
      <c r="E205" s="12"/>
      <c r="F205" s="4"/>
      <c r="G205" s="13"/>
      <c r="H205" s="14"/>
      <c r="I205" s="11"/>
      <c r="J205" s="4"/>
      <c r="K205" s="4"/>
      <c r="L205" s="7"/>
      <c r="M205" s="7"/>
      <c r="N205" s="4"/>
    </row>
    <row r="206" spans="1:14" x14ac:dyDescent="0.3">
      <c r="A206" s="10"/>
      <c r="B206" s="4"/>
      <c r="C206" s="11"/>
      <c r="D206" s="12"/>
      <c r="E206" s="12"/>
      <c r="F206" s="4"/>
      <c r="G206" s="13"/>
      <c r="H206" s="14"/>
      <c r="I206" s="11"/>
      <c r="J206" s="4"/>
      <c r="K206" s="4"/>
      <c r="L206" s="7"/>
      <c r="M206" s="7"/>
      <c r="N206" s="4"/>
    </row>
    <row r="207" spans="1:14" x14ac:dyDescent="0.3">
      <c r="A207" s="10"/>
      <c r="B207" s="4"/>
      <c r="C207" s="11"/>
      <c r="D207" s="12"/>
      <c r="E207" s="12"/>
      <c r="F207" s="4"/>
      <c r="G207" s="13"/>
      <c r="H207" s="14"/>
      <c r="I207" s="11"/>
      <c r="J207" s="4"/>
      <c r="K207" s="4"/>
      <c r="L207" s="7"/>
      <c r="M207" s="7"/>
      <c r="N207" s="4"/>
    </row>
    <row r="208" spans="1:14" x14ac:dyDescent="0.3">
      <c r="A208" s="10"/>
      <c r="B208" s="4"/>
      <c r="C208" s="11"/>
      <c r="D208" s="12"/>
      <c r="E208" s="12"/>
      <c r="F208" s="4"/>
      <c r="G208" s="13"/>
      <c r="H208" s="14"/>
      <c r="I208" s="11"/>
      <c r="J208" s="4"/>
      <c r="K208" s="4"/>
      <c r="L208" s="7"/>
      <c r="M208" s="7"/>
      <c r="N208" s="4"/>
    </row>
    <row r="209" spans="1:14" x14ac:dyDescent="0.3">
      <c r="A209" s="10"/>
      <c r="B209" s="4"/>
      <c r="C209" s="11"/>
      <c r="D209" s="12"/>
      <c r="E209" s="12"/>
      <c r="F209" s="4"/>
      <c r="G209" s="13"/>
      <c r="H209" s="14"/>
      <c r="I209" s="11"/>
      <c r="J209" s="4"/>
      <c r="K209" s="4"/>
      <c r="L209" s="7"/>
      <c r="M209" s="7"/>
      <c r="N209" s="4"/>
    </row>
    <row r="210" spans="1:14" x14ac:dyDescent="0.3">
      <c r="A210" s="10"/>
      <c r="B210" s="4"/>
      <c r="C210" s="11"/>
      <c r="D210" s="12"/>
      <c r="E210" s="12"/>
      <c r="F210" s="4"/>
      <c r="G210" s="13"/>
      <c r="H210" s="14"/>
      <c r="I210" s="11"/>
      <c r="J210" s="4"/>
      <c r="K210" s="4"/>
      <c r="L210" s="7"/>
      <c r="M210" s="7"/>
      <c r="N210" s="4"/>
    </row>
    <row r="213" spans="1:14" ht="28.8" x14ac:dyDescent="0.3">
      <c r="A213" s="1" t="s">
        <v>0</v>
      </c>
      <c r="B213" s="1" t="s">
        <v>1</v>
      </c>
      <c r="C213" s="1" t="s">
        <v>2</v>
      </c>
      <c r="D213" s="1" t="s">
        <v>3</v>
      </c>
      <c r="E213" s="1" t="s">
        <v>4</v>
      </c>
      <c r="F213" s="1" t="s">
        <v>5</v>
      </c>
      <c r="G213" s="1" t="s">
        <v>6</v>
      </c>
      <c r="H213" s="1" t="s">
        <v>7</v>
      </c>
      <c r="I213" s="1" t="s">
        <v>8</v>
      </c>
      <c r="J213" s="1" t="s">
        <v>9</v>
      </c>
      <c r="K213" s="1" t="s">
        <v>10</v>
      </c>
      <c r="L213" s="2"/>
      <c r="M213" s="2"/>
      <c r="N213" s="2"/>
    </row>
    <row r="214" spans="1:14" x14ac:dyDescent="0.3">
      <c r="A214" s="4" t="s">
        <v>11</v>
      </c>
      <c r="B214" s="3" t="str">
        <f>_xlfn.XLOOKUP($C214,'[1]Basic EMP Data - 2025'!$D$3:$D$216,'[1]Basic EMP Data - 2025'!$C$3:$C$216)</f>
        <v>VB2253</v>
      </c>
      <c r="C214" s="5" t="s">
        <v>34</v>
      </c>
      <c r="D214" s="4" t="str">
        <f>VLOOKUP($B214,'[1]Basic EMP Data - 2025'!$C$3:$F$216,3,0)</f>
        <v>Nitin Saxena</v>
      </c>
      <c r="E214" s="4">
        <f>VLOOKUP($B214,'[1]Basic EMP Data - 2025'!$C$3:$I$216,5,0)</f>
        <v>1</v>
      </c>
      <c r="F214" s="4">
        <f>VLOOKUP($B214,'[1]Basic EMP Data - 2025'!$C$3:$I$216,6,0)</f>
        <v>0</v>
      </c>
      <c r="G214" s="6">
        <f>F214/E214</f>
        <v>0</v>
      </c>
      <c r="H214" s="7">
        <f>SUM(L216:L234)</f>
        <v>0</v>
      </c>
      <c r="I214" s="8" cm="1">
        <f t="array" ref="I214">_xlfn.IFS($G214&lt;=34%,0%,$G214&lt;=75%,3%,$G214&lt;=120%,4%,$G214&gt;120%,5%)</f>
        <v>0</v>
      </c>
      <c r="J214" s="7" cm="1">
        <f t="array" ref="J214">SUMPRODUCT((C216:C234=2024)*M216:M234) + SUMPRODUCT((C216:C234=2025)*M216:M234*2)</f>
        <v>0</v>
      </c>
      <c r="K214" s="4">
        <f>SUM(N216:N234)</f>
        <v>0</v>
      </c>
      <c r="M214" s="2"/>
      <c r="N214" s="2"/>
    </row>
    <row r="215" spans="1:14" ht="28.8" x14ac:dyDescent="0.3">
      <c r="A215" s="9" t="s">
        <v>2</v>
      </c>
      <c r="B215" s="9" t="s">
        <v>13</v>
      </c>
      <c r="C215" s="9" t="s">
        <v>14</v>
      </c>
      <c r="D215" s="9" t="s">
        <v>15</v>
      </c>
      <c r="E215" s="9" t="s">
        <v>16</v>
      </c>
      <c r="F215" s="9" t="s">
        <v>17</v>
      </c>
      <c r="G215" s="9" t="s">
        <v>18</v>
      </c>
      <c r="H215" s="9" t="s">
        <v>19</v>
      </c>
      <c r="I215" s="9" t="s">
        <v>20</v>
      </c>
      <c r="J215" s="9" t="s">
        <v>21</v>
      </c>
      <c r="K215" s="9" t="s">
        <v>22</v>
      </c>
      <c r="L215" s="9" t="s">
        <v>23</v>
      </c>
      <c r="M215" s="9" t="s">
        <v>24</v>
      </c>
      <c r="N215" s="9" t="s">
        <v>25</v>
      </c>
    </row>
    <row r="216" spans="1:14" x14ac:dyDescent="0.3">
      <c r="A216" s="10" t="str">
        <f>C214</f>
        <v>Tanu Jaiswal</v>
      </c>
      <c r="B216" s="4" t="e" cm="1" vm="1">
        <f t="array" ref="B216">_xlfn.LET(
  _xlpm.data, _xlfn._xlws.FILTER('[1]Incentive Data'!A:BV, '[1]Incentive Data'!H:H=$C214),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216" s="11"/>
      <c r="D216" s="12"/>
      <c r="E216" s="12"/>
      <c r="F216" s="4"/>
      <c r="G216" s="13"/>
      <c r="H216" s="14"/>
      <c r="I216" s="11"/>
      <c r="J216" s="4"/>
      <c r="K216" s="4"/>
      <c r="L216" s="7"/>
      <c r="M216" s="7"/>
      <c r="N216" s="4"/>
    </row>
    <row r="217" spans="1:14" x14ac:dyDescent="0.3">
      <c r="A217" s="10"/>
      <c r="B217" s="4"/>
      <c r="C217" s="11"/>
      <c r="D217" s="12"/>
      <c r="E217" s="12"/>
      <c r="F217" s="4"/>
      <c r="G217" s="13"/>
      <c r="H217" s="14"/>
      <c r="I217" s="11"/>
      <c r="J217" s="4"/>
      <c r="K217" s="4"/>
      <c r="L217" s="7"/>
      <c r="M217" s="7"/>
      <c r="N217" s="4"/>
    </row>
    <row r="218" spans="1:14" x14ac:dyDescent="0.3">
      <c r="A218" s="10"/>
      <c r="B218" s="4"/>
      <c r="C218" s="11"/>
      <c r="D218" s="12"/>
      <c r="E218" s="12"/>
      <c r="F218" s="4"/>
      <c r="G218" s="13"/>
      <c r="H218" s="14"/>
      <c r="I218" s="11"/>
      <c r="J218" s="4"/>
      <c r="K218" s="4"/>
      <c r="L218" s="7"/>
      <c r="M218" s="7"/>
      <c r="N218" s="4"/>
    </row>
    <row r="219" spans="1:14" x14ac:dyDescent="0.3">
      <c r="A219" s="10"/>
      <c r="B219" s="4"/>
      <c r="C219" s="11"/>
      <c r="D219" s="12"/>
      <c r="E219" s="12"/>
      <c r="F219" s="4"/>
      <c r="G219" s="13"/>
      <c r="H219" s="14"/>
      <c r="I219" s="11"/>
      <c r="J219" s="4"/>
      <c r="K219" s="4"/>
      <c r="L219" s="7"/>
      <c r="M219" s="7"/>
      <c r="N219" s="4"/>
    </row>
    <row r="220" spans="1:14" x14ac:dyDescent="0.3">
      <c r="A220" s="10"/>
      <c r="B220" s="4"/>
      <c r="C220" s="11"/>
      <c r="D220" s="12"/>
      <c r="E220" s="12"/>
      <c r="F220" s="4"/>
      <c r="G220" s="13"/>
      <c r="H220" s="14"/>
      <c r="I220" s="11"/>
      <c r="J220" s="4"/>
      <c r="K220" s="4"/>
      <c r="L220" s="7"/>
      <c r="M220" s="7"/>
      <c r="N220" s="4"/>
    </row>
    <row r="221" spans="1:14" x14ac:dyDescent="0.3">
      <c r="A221" s="10"/>
      <c r="B221" s="4"/>
      <c r="C221" s="11"/>
      <c r="D221" s="12"/>
      <c r="E221" s="12"/>
      <c r="F221" s="4"/>
      <c r="G221" s="13"/>
      <c r="H221" s="14"/>
      <c r="I221" s="11"/>
      <c r="J221" s="4"/>
      <c r="K221" s="4"/>
      <c r="L221" s="7"/>
      <c r="M221" s="7"/>
      <c r="N221" s="4"/>
    </row>
    <row r="222" spans="1:14" x14ac:dyDescent="0.3">
      <c r="A222" s="10"/>
      <c r="B222" s="4"/>
      <c r="C222" s="11"/>
      <c r="D222" s="12"/>
      <c r="E222" s="12"/>
      <c r="F222" s="4"/>
      <c r="G222" s="13"/>
      <c r="H222" s="14"/>
      <c r="I222" s="11"/>
      <c r="J222" s="4"/>
      <c r="K222" s="4"/>
      <c r="L222" s="7"/>
      <c r="M222" s="7"/>
      <c r="N222" s="4"/>
    </row>
    <row r="223" spans="1:14" x14ac:dyDescent="0.3">
      <c r="A223" s="10"/>
      <c r="B223" s="4"/>
      <c r="C223" s="11"/>
      <c r="D223" s="12"/>
      <c r="E223" s="12"/>
      <c r="F223" s="4"/>
      <c r="G223" s="13"/>
      <c r="H223" s="14"/>
      <c r="I223" s="11"/>
      <c r="J223" s="4"/>
      <c r="K223" s="4"/>
      <c r="L223" s="7"/>
      <c r="M223" s="7"/>
      <c r="N223" s="4"/>
    </row>
    <row r="224" spans="1:14" x14ac:dyDescent="0.3">
      <c r="A224" s="10"/>
      <c r="B224" s="4"/>
      <c r="C224" s="11"/>
      <c r="D224" s="12"/>
      <c r="E224" s="12"/>
      <c r="F224" s="4"/>
      <c r="G224" s="13"/>
      <c r="H224" s="14"/>
      <c r="I224" s="11"/>
      <c r="J224" s="4"/>
      <c r="K224" s="4"/>
      <c r="L224" s="7"/>
      <c r="M224" s="7"/>
      <c r="N224" s="4"/>
    </row>
    <row r="225" spans="1:14" x14ac:dyDescent="0.3">
      <c r="A225" s="10"/>
      <c r="B225" s="4"/>
      <c r="C225" s="11"/>
      <c r="D225" s="12"/>
      <c r="E225" s="12"/>
      <c r="F225" s="4"/>
      <c r="G225" s="13"/>
      <c r="H225" s="14"/>
      <c r="I225" s="11"/>
      <c r="J225" s="4"/>
      <c r="K225" s="4"/>
      <c r="L225" s="7"/>
      <c r="M225" s="7"/>
      <c r="N225" s="4"/>
    </row>
    <row r="226" spans="1:14" x14ac:dyDescent="0.3">
      <c r="A226" s="10"/>
      <c r="B226" s="4"/>
      <c r="C226" s="11"/>
      <c r="D226" s="12"/>
      <c r="E226" s="12"/>
      <c r="F226" s="4"/>
      <c r="G226" s="13"/>
      <c r="H226" s="14"/>
      <c r="I226" s="11"/>
      <c r="J226" s="4"/>
      <c r="K226" s="4"/>
      <c r="L226" s="7"/>
      <c r="M226" s="7"/>
      <c r="N226" s="4"/>
    </row>
    <row r="227" spans="1:14" x14ac:dyDescent="0.3">
      <c r="A227" s="10"/>
      <c r="B227" s="4"/>
      <c r="C227" s="11"/>
      <c r="D227" s="12"/>
      <c r="E227" s="12"/>
      <c r="F227" s="4"/>
      <c r="G227" s="13"/>
      <c r="H227" s="14"/>
      <c r="I227" s="11"/>
      <c r="J227" s="4"/>
      <c r="K227" s="4"/>
      <c r="L227" s="7"/>
      <c r="M227" s="7"/>
      <c r="N227" s="4"/>
    </row>
    <row r="228" spans="1:14" x14ac:dyDescent="0.3">
      <c r="A228" s="10"/>
      <c r="B228" s="4"/>
      <c r="C228" s="11"/>
      <c r="D228" s="12"/>
      <c r="E228" s="12"/>
      <c r="F228" s="4"/>
      <c r="G228" s="13"/>
      <c r="H228" s="14"/>
      <c r="I228" s="11"/>
      <c r="J228" s="4"/>
      <c r="K228" s="4"/>
      <c r="L228" s="7"/>
      <c r="M228" s="7"/>
      <c r="N228" s="4"/>
    </row>
    <row r="229" spans="1:14" x14ac:dyDescent="0.3">
      <c r="A229" s="10"/>
      <c r="B229" s="4"/>
      <c r="C229" s="11"/>
      <c r="D229" s="12"/>
      <c r="E229" s="12"/>
      <c r="F229" s="4"/>
      <c r="G229" s="13"/>
      <c r="H229" s="14"/>
      <c r="I229" s="11"/>
      <c r="J229" s="4"/>
      <c r="K229" s="4"/>
      <c r="L229" s="7"/>
      <c r="M229" s="7"/>
      <c r="N229" s="4"/>
    </row>
    <row r="230" spans="1:14" x14ac:dyDescent="0.3">
      <c r="A230" s="10"/>
      <c r="B230" s="4"/>
      <c r="C230" s="11"/>
      <c r="D230" s="12"/>
      <c r="E230" s="12"/>
      <c r="F230" s="4"/>
      <c r="G230" s="13"/>
      <c r="H230" s="14"/>
      <c r="I230" s="11"/>
      <c r="J230" s="4"/>
      <c r="K230" s="4"/>
      <c r="L230" s="7"/>
      <c r="M230" s="7"/>
      <c r="N230" s="4"/>
    </row>
    <row r="231" spans="1:14" x14ac:dyDescent="0.3">
      <c r="A231" s="10"/>
      <c r="B231" s="4"/>
      <c r="C231" s="11"/>
      <c r="D231" s="12"/>
      <c r="E231" s="12"/>
      <c r="F231" s="4"/>
      <c r="G231" s="13"/>
      <c r="H231" s="14"/>
      <c r="I231" s="11"/>
      <c r="J231" s="4"/>
      <c r="K231" s="4"/>
      <c r="L231" s="7"/>
      <c r="M231" s="7"/>
      <c r="N231" s="4"/>
    </row>
    <row r="232" spans="1:14" x14ac:dyDescent="0.3">
      <c r="A232" s="10"/>
      <c r="B232" s="4"/>
      <c r="C232" s="11"/>
      <c r="D232" s="12"/>
      <c r="E232" s="12"/>
      <c r="F232" s="4"/>
      <c r="G232" s="13"/>
      <c r="H232" s="14"/>
      <c r="I232" s="11"/>
      <c r="J232" s="4"/>
      <c r="K232" s="4"/>
      <c r="L232" s="7"/>
      <c r="M232" s="7"/>
      <c r="N232" s="4"/>
    </row>
    <row r="233" spans="1:14" x14ac:dyDescent="0.3">
      <c r="A233" s="10"/>
      <c r="B233" s="4"/>
      <c r="C233" s="11"/>
      <c r="D233" s="12"/>
      <c r="E233" s="12"/>
      <c r="F233" s="4"/>
      <c r="G233" s="13"/>
      <c r="H233" s="14"/>
      <c r="I233" s="11"/>
      <c r="J233" s="4"/>
      <c r="K233" s="4"/>
      <c r="L233" s="7"/>
      <c r="M233" s="7"/>
      <c r="N233" s="4"/>
    </row>
    <row r="234" spans="1:14" x14ac:dyDescent="0.3">
      <c r="A234" s="10"/>
      <c r="B234" s="4"/>
      <c r="C234" s="11"/>
      <c r="D234" s="12"/>
      <c r="E234" s="12"/>
      <c r="F234" s="4"/>
      <c r="G234" s="13"/>
      <c r="H234" s="14"/>
      <c r="I234" s="11"/>
      <c r="J234" s="4"/>
      <c r="K234" s="4"/>
      <c r="L234" s="7"/>
      <c r="M234" s="7"/>
      <c r="N234" s="4"/>
    </row>
    <row r="237" spans="1:14" ht="28.8" x14ac:dyDescent="0.3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  <c r="I237" s="1" t="s">
        <v>8</v>
      </c>
      <c r="J237" s="1" t="s">
        <v>9</v>
      </c>
      <c r="K237" s="1" t="s">
        <v>10</v>
      </c>
      <c r="L237" s="2"/>
      <c r="M237" s="2"/>
      <c r="N237" s="2"/>
    </row>
    <row r="238" spans="1:14" x14ac:dyDescent="0.3">
      <c r="A238" s="4" t="s">
        <v>11</v>
      </c>
      <c r="B238" s="3" t="str">
        <f>_xlfn.XLOOKUP($C238,'[1]Basic EMP Data - 2025'!$D$3:$D$216,'[1]Basic EMP Data - 2025'!$C$3:$C$216)</f>
        <v>VB0243</v>
      </c>
      <c r="C238" s="5" t="s">
        <v>35</v>
      </c>
      <c r="D238" s="4" t="str">
        <f>VLOOKUP($B238,'[1]Basic EMP Data - 2025'!$C$3:$F$216,3,0)</f>
        <v>Aditya Yadav</v>
      </c>
      <c r="E238" s="4">
        <f>VLOOKUP($B238,'[1]Basic EMP Data - 2025'!$C$3:$I$216,5,0)</f>
        <v>2</v>
      </c>
      <c r="F238" s="4">
        <f>VLOOKUP($B238,'[1]Basic EMP Data - 2025'!$C$3:$I$216,6,0)</f>
        <v>4</v>
      </c>
      <c r="G238" s="6">
        <f>F238/E238</f>
        <v>2</v>
      </c>
      <c r="H238" s="7">
        <f>SUM(L240:L258)</f>
        <v>2538.0000000000032</v>
      </c>
      <c r="I238" s="8" cm="1">
        <f t="array" ref="I238">_xlfn.IFS($G238&lt;=34%,0%,$G238&lt;=75%,3%,$G238&lt;=120%,4%,$G238&gt;120%,5%)</f>
        <v>0.05</v>
      </c>
      <c r="J238" s="7" cm="1">
        <f t="array" ref="J238">SUMPRODUCT((C240:C258=2024)*M240:M258) + SUMPRODUCT((C240:C258=2025)*M240:M258*2)</f>
        <v>4060.8000000000043</v>
      </c>
      <c r="K238" s="4">
        <f>SUM(N240:N258)</f>
        <v>0</v>
      </c>
      <c r="M238" s="2"/>
      <c r="N238" s="2"/>
    </row>
    <row r="239" spans="1:14" ht="28.8" x14ac:dyDescent="0.3">
      <c r="A239" s="9" t="s">
        <v>2</v>
      </c>
      <c r="B239" s="9" t="s">
        <v>13</v>
      </c>
      <c r="C239" s="9" t="s">
        <v>14</v>
      </c>
      <c r="D239" s="9" t="s">
        <v>15</v>
      </c>
      <c r="E239" s="9" t="s">
        <v>16</v>
      </c>
      <c r="F239" s="9" t="s">
        <v>17</v>
      </c>
      <c r="G239" s="9" t="s">
        <v>18</v>
      </c>
      <c r="H239" s="9" t="s">
        <v>19</v>
      </c>
      <c r="I239" s="9" t="s">
        <v>20</v>
      </c>
      <c r="J239" s="9" t="s">
        <v>21</v>
      </c>
      <c r="K239" s="9" t="s">
        <v>22</v>
      </c>
      <c r="L239" s="9" t="s">
        <v>23</v>
      </c>
      <c r="M239" s="9" t="s">
        <v>24</v>
      </c>
      <c r="N239" s="9" t="s">
        <v>25</v>
      </c>
    </row>
    <row r="240" spans="1:14" x14ac:dyDescent="0.3">
      <c r="A240" s="10" t="str">
        <f>C238</f>
        <v>Aditya Yadav</v>
      </c>
      <c r="B240" s="4" t="str" cm="1">
        <f t="array" ref="B240:M240">_xlfn.LET(
  _xlpm.data, _xlfn._xlws.FILTER('[1]Incentive Data'!A:BV, '[1]Incentive Data'!H:H=$C238),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Mohammad Makadmeh</v>
      </c>
      <c r="C240" s="11">
        <v>2024</v>
      </c>
      <c r="D240" s="12">
        <v>45593</v>
      </c>
      <c r="E240" s="12">
        <v>45723</v>
      </c>
      <c r="F240" s="4" t="str">
        <v>Cyient</v>
      </c>
      <c r="G240" s="13" t="str">
        <v>PLC-4036</v>
      </c>
      <c r="H240" s="14" t="str">
        <v>W2</v>
      </c>
      <c r="I240" s="11" t="str">
        <v>Done</v>
      </c>
      <c r="J240" s="4" t="str">
        <v>Y</v>
      </c>
      <c r="K240" s="4">
        <v>376</v>
      </c>
      <c r="L240" s="7">
        <v>2538.0000000000032</v>
      </c>
      <c r="M240" s="7">
        <v>4060.8000000000043</v>
      </c>
      <c r="N240" s="4"/>
    </row>
    <row r="241" spans="1:14" x14ac:dyDescent="0.3">
      <c r="A241" s="10"/>
      <c r="B241" s="4"/>
      <c r="C241" s="11"/>
      <c r="D241" s="12"/>
      <c r="E241" s="12"/>
      <c r="F241" s="4"/>
      <c r="G241" s="13"/>
      <c r="H241" s="14"/>
      <c r="I241" s="11"/>
      <c r="J241" s="4"/>
      <c r="K241" s="4"/>
      <c r="L241" s="7"/>
      <c r="M241" s="7"/>
      <c r="N241" s="4"/>
    </row>
    <row r="242" spans="1:14" x14ac:dyDescent="0.3">
      <c r="A242" s="10"/>
      <c r="B242" s="4"/>
      <c r="C242" s="11"/>
      <c r="D242" s="12"/>
      <c r="E242" s="12"/>
      <c r="F242" s="4"/>
      <c r="G242" s="13"/>
      <c r="H242" s="14"/>
      <c r="I242" s="11"/>
      <c r="J242" s="4"/>
      <c r="K242" s="4"/>
      <c r="L242" s="7"/>
      <c r="M242" s="7"/>
      <c r="N242" s="4"/>
    </row>
    <row r="243" spans="1:14" x14ac:dyDescent="0.3">
      <c r="A243" s="10"/>
      <c r="B243" s="4"/>
      <c r="C243" s="11"/>
      <c r="D243" s="12"/>
      <c r="E243" s="12"/>
      <c r="F243" s="4"/>
      <c r="G243" s="13"/>
      <c r="H243" s="14"/>
      <c r="I243" s="11"/>
      <c r="J243" s="4"/>
      <c r="K243" s="4"/>
      <c r="L243" s="7"/>
      <c r="M243" s="7"/>
      <c r="N243" s="4"/>
    </row>
    <row r="244" spans="1:14" x14ac:dyDescent="0.3">
      <c r="A244" s="10"/>
      <c r="B244" s="4"/>
      <c r="C244" s="11"/>
      <c r="D244" s="12"/>
      <c r="E244" s="12"/>
      <c r="F244" s="4"/>
      <c r="G244" s="13"/>
      <c r="H244" s="14"/>
      <c r="I244" s="11"/>
      <c r="J244" s="4"/>
      <c r="K244" s="4"/>
      <c r="L244" s="7"/>
      <c r="M244" s="7"/>
      <c r="N244" s="4"/>
    </row>
    <row r="245" spans="1:14" x14ac:dyDescent="0.3">
      <c r="A245" s="10"/>
      <c r="B245" s="4"/>
      <c r="C245" s="11"/>
      <c r="D245" s="12"/>
      <c r="E245" s="12"/>
      <c r="F245" s="4"/>
      <c r="G245" s="13"/>
      <c r="H245" s="14"/>
      <c r="I245" s="11"/>
      <c r="J245" s="4"/>
      <c r="K245" s="4"/>
      <c r="L245" s="7"/>
      <c r="M245" s="7"/>
      <c r="N245" s="4"/>
    </row>
    <row r="246" spans="1:14" x14ac:dyDescent="0.3">
      <c r="A246" s="10"/>
      <c r="B246" s="4"/>
      <c r="C246" s="11"/>
      <c r="D246" s="12"/>
      <c r="E246" s="12"/>
      <c r="F246" s="4"/>
      <c r="G246" s="13"/>
      <c r="H246" s="14"/>
      <c r="I246" s="11"/>
      <c r="J246" s="4"/>
      <c r="K246" s="4"/>
      <c r="L246" s="7"/>
      <c r="M246" s="7"/>
      <c r="N246" s="4"/>
    </row>
    <row r="247" spans="1:14" x14ac:dyDescent="0.3">
      <c r="A247" s="10"/>
      <c r="B247" s="4"/>
      <c r="C247" s="11"/>
      <c r="D247" s="12"/>
      <c r="E247" s="12"/>
      <c r="F247" s="4"/>
      <c r="G247" s="13"/>
      <c r="H247" s="14"/>
      <c r="I247" s="11"/>
      <c r="J247" s="4"/>
      <c r="K247" s="4"/>
      <c r="L247" s="7"/>
      <c r="M247" s="7"/>
      <c r="N247" s="4"/>
    </row>
    <row r="248" spans="1:14" x14ac:dyDescent="0.3">
      <c r="A248" s="10"/>
      <c r="B248" s="4"/>
      <c r="C248" s="11"/>
      <c r="D248" s="12"/>
      <c r="E248" s="12"/>
      <c r="F248" s="4"/>
      <c r="G248" s="13"/>
      <c r="H248" s="14"/>
      <c r="I248" s="11"/>
      <c r="J248" s="4"/>
      <c r="K248" s="4"/>
      <c r="L248" s="7"/>
      <c r="M248" s="7"/>
      <c r="N248" s="4"/>
    </row>
    <row r="249" spans="1:14" x14ac:dyDescent="0.3">
      <c r="A249" s="10"/>
      <c r="B249" s="4"/>
      <c r="C249" s="11"/>
      <c r="D249" s="12"/>
      <c r="E249" s="12"/>
      <c r="F249" s="4"/>
      <c r="G249" s="13"/>
      <c r="H249" s="14"/>
      <c r="I249" s="11"/>
      <c r="J249" s="4"/>
      <c r="K249" s="4"/>
      <c r="L249" s="7"/>
      <c r="M249" s="7"/>
      <c r="N249" s="4"/>
    </row>
    <row r="250" spans="1:14" x14ac:dyDescent="0.3">
      <c r="A250" s="10"/>
      <c r="B250" s="4"/>
      <c r="C250" s="11"/>
      <c r="D250" s="12"/>
      <c r="E250" s="12"/>
      <c r="F250" s="4"/>
      <c r="G250" s="13"/>
      <c r="H250" s="14"/>
      <c r="I250" s="11"/>
      <c r="J250" s="4"/>
      <c r="K250" s="4"/>
      <c r="L250" s="7"/>
      <c r="M250" s="7"/>
      <c r="N250" s="4"/>
    </row>
    <row r="251" spans="1:14" x14ac:dyDescent="0.3">
      <c r="A251" s="10"/>
      <c r="B251" s="4"/>
      <c r="C251" s="11"/>
      <c r="D251" s="12"/>
      <c r="E251" s="12"/>
      <c r="F251" s="4"/>
      <c r="G251" s="13"/>
      <c r="H251" s="14"/>
      <c r="I251" s="11"/>
      <c r="J251" s="4"/>
      <c r="K251" s="4"/>
      <c r="L251" s="7"/>
      <c r="M251" s="7"/>
      <c r="N251" s="4"/>
    </row>
    <row r="252" spans="1:14" x14ac:dyDescent="0.3">
      <c r="A252" s="10"/>
      <c r="B252" s="4"/>
      <c r="C252" s="11"/>
      <c r="D252" s="12"/>
      <c r="E252" s="12"/>
      <c r="F252" s="4"/>
      <c r="G252" s="13"/>
      <c r="H252" s="14"/>
      <c r="I252" s="11"/>
      <c r="J252" s="4"/>
      <c r="K252" s="4"/>
      <c r="L252" s="7"/>
      <c r="M252" s="7"/>
      <c r="N252" s="4"/>
    </row>
    <row r="253" spans="1:14" x14ac:dyDescent="0.3">
      <c r="A253" s="10"/>
      <c r="B253" s="4"/>
      <c r="C253" s="11"/>
      <c r="D253" s="12"/>
      <c r="E253" s="12"/>
      <c r="F253" s="4"/>
      <c r="G253" s="13"/>
      <c r="H253" s="14"/>
      <c r="I253" s="11"/>
      <c r="J253" s="4"/>
      <c r="K253" s="4"/>
      <c r="L253" s="7"/>
      <c r="M253" s="7"/>
      <c r="N253" s="4"/>
    </row>
    <row r="254" spans="1:14" x14ac:dyDescent="0.3">
      <c r="A254" s="10"/>
      <c r="B254" s="4"/>
      <c r="C254" s="11"/>
      <c r="D254" s="12"/>
      <c r="E254" s="12"/>
      <c r="F254" s="4"/>
      <c r="G254" s="13"/>
      <c r="H254" s="14"/>
      <c r="I254" s="11"/>
      <c r="J254" s="4"/>
      <c r="K254" s="4"/>
      <c r="L254" s="7"/>
      <c r="M254" s="7"/>
      <c r="N254" s="4"/>
    </row>
    <row r="255" spans="1:14" x14ac:dyDescent="0.3">
      <c r="A255" s="10"/>
      <c r="B255" s="4"/>
      <c r="C255" s="11"/>
      <c r="D255" s="12"/>
      <c r="E255" s="12"/>
      <c r="F255" s="4"/>
      <c r="G255" s="13"/>
      <c r="H255" s="14"/>
      <c r="I255" s="11"/>
      <c r="J255" s="4"/>
      <c r="K255" s="4"/>
      <c r="L255" s="7"/>
      <c r="M255" s="7"/>
      <c r="N255" s="4"/>
    </row>
    <row r="256" spans="1:14" x14ac:dyDescent="0.3">
      <c r="A256" s="10"/>
      <c r="B256" s="4"/>
      <c r="C256" s="11"/>
      <c r="D256" s="12"/>
      <c r="E256" s="12"/>
      <c r="F256" s="4"/>
      <c r="G256" s="13"/>
      <c r="H256" s="14"/>
      <c r="I256" s="11"/>
      <c r="J256" s="4"/>
      <c r="K256" s="4"/>
      <c r="L256" s="7"/>
      <c r="M256" s="7"/>
      <c r="N256" s="4"/>
    </row>
    <row r="257" spans="1:14" x14ac:dyDescent="0.3">
      <c r="A257" s="10"/>
      <c r="B257" s="4"/>
      <c r="C257" s="11"/>
      <c r="D257" s="12"/>
      <c r="E257" s="12"/>
      <c r="F257" s="4"/>
      <c r="G257" s="13"/>
      <c r="H257" s="14"/>
      <c r="I257" s="11"/>
      <c r="J257" s="4"/>
      <c r="K257" s="4"/>
      <c r="L257" s="7"/>
      <c r="M257" s="7"/>
      <c r="N257" s="4"/>
    </row>
    <row r="258" spans="1:14" x14ac:dyDescent="0.3">
      <c r="A258" s="10"/>
      <c r="B258" s="4"/>
      <c r="C258" s="11"/>
      <c r="D258" s="12"/>
      <c r="E258" s="12"/>
      <c r="F258" s="4"/>
      <c r="G258" s="13"/>
      <c r="H258" s="14"/>
      <c r="I258" s="11"/>
      <c r="J258" s="4"/>
      <c r="K258" s="4"/>
      <c r="L258" s="7"/>
      <c r="M258" s="7"/>
      <c r="N258" s="4"/>
    </row>
    <row r="261" spans="1:14" ht="28.8" x14ac:dyDescent="0.3">
      <c r="A261" s="1" t="s">
        <v>0</v>
      </c>
      <c r="B261" s="1" t="s">
        <v>1</v>
      </c>
      <c r="C261" s="1" t="s">
        <v>2</v>
      </c>
      <c r="D261" s="1" t="s">
        <v>3</v>
      </c>
      <c r="E261" s="1" t="s">
        <v>4</v>
      </c>
      <c r="F261" s="1" t="s">
        <v>5</v>
      </c>
      <c r="G261" s="1" t="s">
        <v>6</v>
      </c>
      <c r="H261" s="1" t="s">
        <v>7</v>
      </c>
      <c r="I261" s="1" t="s">
        <v>8</v>
      </c>
      <c r="J261" s="1" t="s">
        <v>9</v>
      </c>
      <c r="K261" s="1" t="s">
        <v>10</v>
      </c>
      <c r="L261" s="2"/>
      <c r="M261" s="2"/>
      <c r="N261" s="2"/>
    </row>
    <row r="262" spans="1:14" x14ac:dyDescent="0.3">
      <c r="A262" s="4" t="s">
        <v>11</v>
      </c>
      <c r="B262" s="3" t="str">
        <f>_xlfn.XLOOKUP($C262,'[1]Basic EMP Data - 2025'!$D$3:$D$216,'[1]Basic EMP Data - 2025'!$C$3:$C$216)</f>
        <v>VB0877</v>
      </c>
      <c r="C262" s="5" t="s">
        <v>36</v>
      </c>
      <c r="D262" s="4" t="str">
        <f>VLOOKUP($B262,'[1]Basic EMP Data - 2025'!$C$3:$F$216,3,0)</f>
        <v>Aditya Yadav</v>
      </c>
      <c r="E262" s="4">
        <f>VLOOKUP($B262,'[1]Basic EMP Data - 2025'!$C$3:$I$216,5,0)</f>
        <v>7</v>
      </c>
      <c r="F262" s="4">
        <f>VLOOKUP($B262,'[1]Basic EMP Data - 2025'!$C$3:$I$216,6,0)</f>
        <v>4</v>
      </c>
      <c r="G262" s="6">
        <f>F262/E262</f>
        <v>0.5714285714285714</v>
      </c>
      <c r="H262" s="7">
        <f>SUM(L264:L282)</f>
        <v>7539.8719999999994</v>
      </c>
      <c r="I262" s="8" cm="1">
        <f t="array" ref="I262">_xlfn.IFS($G262&lt;=34%,0%,$G262&lt;=75%,3%,$G262&lt;=120%,4%,$G262&gt;120%,5%)</f>
        <v>0.03</v>
      </c>
      <c r="J262" s="7" cm="1">
        <f t="array" ref="J262">SUMPRODUCT((C264:C282=2024)*M264:M282) + SUMPRODUCT((C264:C282=2025)*M264:M282*2)</f>
        <v>18136.32</v>
      </c>
      <c r="K262" s="4">
        <f>SUM(N264:N282)</f>
        <v>0</v>
      </c>
      <c r="M262" s="2"/>
      <c r="N262" s="2"/>
    </row>
    <row r="263" spans="1:14" ht="28.8" x14ac:dyDescent="0.3">
      <c r="A263" s="9" t="s">
        <v>2</v>
      </c>
      <c r="B263" s="9" t="s">
        <v>13</v>
      </c>
      <c r="C263" s="9" t="s">
        <v>14</v>
      </c>
      <c r="D263" s="9" t="s">
        <v>15</v>
      </c>
      <c r="E263" s="9" t="s">
        <v>16</v>
      </c>
      <c r="F263" s="9" t="s">
        <v>17</v>
      </c>
      <c r="G263" s="9" t="s">
        <v>18</v>
      </c>
      <c r="H263" s="9" t="s">
        <v>19</v>
      </c>
      <c r="I263" s="9" t="s">
        <v>20</v>
      </c>
      <c r="J263" s="9" t="s">
        <v>21</v>
      </c>
      <c r="K263" s="9" t="s">
        <v>22</v>
      </c>
      <c r="L263" s="9" t="s">
        <v>23</v>
      </c>
      <c r="M263" s="9" t="s">
        <v>24</v>
      </c>
      <c r="N263" s="9" t="s">
        <v>25</v>
      </c>
    </row>
    <row r="264" spans="1:14" x14ac:dyDescent="0.3">
      <c r="A264" s="10" t="str">
        <f>C262</f>
        <v>Santosh Singh</v>
      </c>
      <c r="B264" s="4" t="str" cm="1">
        <f t="array" ref="B264:M265">_xlfn.LET(
  _xlpm.data, _xlfn._xlws.FILTER('[1]Incentive Data'!A:BV, '[1]Incentive Data'!H:H=$C262),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Craig Kindel</v>
      </c>
      <c r="C264" s="11">
        <v>2025</v>
      </c>
      <c r="D264" s="12">
        <v>45691</v>
      </c>
      <c r="E264" s="12">
        <v>45730</v>
      </c>
      <c r="F264" s="4" t="str">
        <v>Microland</v>
      </c>
      <c r="G264" s="13" t="str">
        <v>PLC-4112</v>
      </c>
      <c r="H264" s="14">
        <v>1099</v>
      </c>
      <c r="I264" s="11" t="str">
        <v>Done</v>
      </c>
      <c r="J264" s="4" t="str">
        <v>Y</v>
      </c>
      <c r="K264" s="4">
        <v>184</v>
      </c>
      <c r="L264" s="7">
        <v>1675.8719999999992</v>
      </c>
      <c r="M264" s="7">
        <v>2031.3599999999992</v>
      </c>
      <c r="N264" s="4"/>
    </row>
    <row r="265" spans="1:14" x14ac:dyDescent="0.3">
      <c r="A265" s="10"/>
      <c r="B265" s="4" t="str">
        <v>David Muhanad Kassis</v>
      </c>
      <c r="C265" s="11">
        <v>2025</v>
      </c>
      <c r="D265" s="12">
        <v>45733</v>
      </c>
      <c r="E265" s="12" t="str">
        <v>-</v>
      </c>
      <c r="F265" s="4" t="str">
        <v>LTTS</v>
      </c>
      <c r="G265" s="13" t="str">
        <v>PLC-4181</v>
      </c>
      <c r="H265" s="14" t="str">
        <v>FTE</v>
      </c>
      <c r="I265" s="11" t="str">
        <v>Done</v>
      </c>
      <c r="J265" s="4" t="str">
        <v>Y</v>
      </c>
      <c r="K265" s="4">
        <v>0</v>
      </c>
      <c r="L265" s="7">
        <v>5864</v>
      </c>
      <c r="M265" s="7">
        <v>7036.8</v>
      </c>
      <c r="N265" s="4"/>
    </row>
    <row r="266" spans="1:14" x14ac:dyDescent="0.3">
      <c r="A266" s="10"/>
      <c r="B266" s="4"/>
      <c r="C266" s="11"/>
      <c r="D266" s="12"/>
      <c r="E266" s="12"/>
      <c r="F266" s="4"/>
      <c r="G266" s="13"/>
      <c r="H266" s="14"/>
      <c r="I266" s="11"/>
      <c r="J266" s="4"/>
      <c r="K266" s="4"/>
      <c r="L266" s="7"/>
      <c r="M266" s="7"/>
      <c r="N266" s="4"/>
    </row>
    <row r="267" spans="1:14" x14ac:dyDescent="0.3">
      <c r="A267" s="10"/>
      <c r="B267" s="4"/>
      <c r="C267" s="11"/>
      <c r="D267" s="12"/>
      <c r="E267" s="12"/>
      <c r="F267" s="4"/>
      <c r="G267" s="13"/>
      <c r="H267" s="14"/>
      <c r="I267" s="11"/>
      <c r="J267" s="4"/>
      <c r="K267" s="4"/>
      <c r="L267" s="7"/>
      <c r="M267" s="7"/>
      <c r="N267" s="4"/>
    </row>
    <row r="268" spans="1:14" x14ac:dyDescent="0.3">
      <c r="A268" s="10"/>
      <c r="B268" s="4"/>
      <c r="C268" s="11"/>
      <c r="D268" s="12"/>
      <c r="E268" s="12"/>
      <c r="F268" s="4"/>
      <c r="G268" s="13"/>
      <c r="H268" s="14"/>
      <c r="I268" s="11"/>
      <c r="J268" s="4"/>
      <c r="K268" s="4"/>
      <c r="L268" s="7"/>
      <c r="M268" s="7"/>
      <c r="N268" s="4"/>
    </row>
    <row r="269" spans="1:14" x14ac:dyDescent="0.3">
      <c r="A269" s="10"/>
      <c r="B269" s="4"/>
      <c r="C269" s="11"/>
      <c r="D269" s="12"/>
      <c r="E269" s="12"/>
      <c r="F269" s="4"/>
      <c r="G269" s="13"/>
      <c r="H269" s="14"/>
      <c r="I269" s="11"/>
      <c r="J269" s="4"/>
      <c r="K269" s="4"/>
      <c r="L269" s="7"/>
      <c r="M269" s="7"/>
      <c r="N269" s="4"/>
    </row>
    <row r="270" spans="1:14" x14ac:dyDescent="0.3">
      <c r="A270" s="10"/>
      <c r="B270" s="4"/>
      <c r="C270" s="11"/>
      <c r="D270" s="12"/>
      <c r="E270" s="12"/>
      <c r="F270" s="4"/>
      <c r="G270" s="13"/>
      <c r="H270" s="14"/>
      <c r="I270" s="11"/>
      <c r="J270" s="4"/>
      <c r="K270" s="4"/>
      <c r="L270" s="7"/>
      <c r="M270" s="7"/>
      <c r="N270" s="4"/>
    </row>
    <row r="271" spans="1:14" x14ac:dyDescent="0.3">
      <c r="A271" s="10"/>
      <c r="B271" s="4"/>
      <c r="C271" s="11"/>
      <c r="D271" s="12"/>
      <c r="E271" s="12"/>
      <c r="F271" s="4"/>
      <c r="G271" s="13"/>
      <c r="H271" s="14"/>
      <c r="I271" s="11"/>
      <c r="J271" s="4"/>
      <c r="K271" s="4"/>
      <c r="L271" s="7"/>
      <c r="M271" s="7"/>
      <c r="N271" s="4"/>
    </row>
    <row r="272" spans="1:14" x14ac:dyDescent="0.3">
      <c r="A272" s="10"/>
      <c r="B272" s="4"/>
      <c r="C272" s="11"/>
      <c r="D272" s="12"/>
      <c r="E272" s="12"/>
      <c r="F272" s="4"/>
      <c r="G272" s="13"/>
      <c r="H272" s="14"/>
      <c r="I272" s="11"/>
      <c r="J272" s="4"/>
      <c r="K272" s="4"/>
      <c r="L272" s="7"/>
      <c r="M272" s="7"/>
      <c r="N272" s="4"/>
    </row>
    <row r="273" spans="1:14" x14ac:dyDescent="0.3">
      <c r="A273" s="10"/>
      <c r="B273" s="4"/>
      <c r="C273" s="11"/>
      <c r="D273" s="12"/>
      <c r="E273" s="12"/>
      <c r="F273" s="4"/>
      <c r="G273" s="13"/>
      <c r="H273" s="14"/>
      <c r="I273" s="11"/>
      <c r="J273" s="4"/>
      <c r="K273" s="4"/>
      <c r="L273" s="7"/>
      <c r="M273" s="7"/>
      <c r="N273" s="4"/>
    </row>
    <row r="274" spans="1:14" x14ac:dyDescent="0.3">
      <c r="A274" s="10"/>
      <c r="B274" s="4"/>
      <c r="C274" s="11"/>
      <c r="D274" s="12"/>
      <c r="E274" s="12"/>
      <c r="F274" s="4"/>
      <c r="G274" s="13"/>
      <c r="H274" s="14"/>
      <c r="I274" s="11"/>
      <c r="J274" s="4"/>
      <c r="K274" s="4"/>
      <c r="L274" s="7"/>
      <c r="M274" s="7"/>
      <c r="N274" s="4"/>
    </row>
    <row r="275" spans="1:14" x14ac:dyDescent="0.3">
      <c r="A275" s="10"/>
      <c r="B275" s="4"/>
      <c r="C275" s="11"/>
      <c r="D275" s="12"/>
      <c r="E275" s="12"/>
      <c r="F275" s="4"/>
      <c r="G275" s="13"/>
      <c r="H275" s="14"/>
      <c r="I275" s="11"/>
      <c r="J275" s="4"/>
      <c r="K275" s="4"/>
      <c r="L275" s="7"/>
      <c r="M275" s="7"/>
      <c r="N275" s="4"/>
    </row>
    <row r="276" spans="1:14" x14ac:dyDescent="0.3">
      <c r="A276" s="10"/>
      <c r="B276" s="4"/>
      <c r="C276" s="11"/>
      <c r="D276" s="12"/>
      <c r="E276" s="12"/>
      <c r="F276" s="4"/>
      <c r="G276" s="13"/>
      <c r="H276" s="14"/>
      <c r="I276" s="11"/>
      <c r="J276" s="4"/>
      <c r="K276" s="4"/>
      <c r="L276" s="7"/>
      <c r="M276" s="7"/>
      <c r="N276" s="4"/>
    </row>
    <row r="277" spans="1:14" x14ac:dyDescent="0.3">
      <c r="A277" s="10"/>
      <c r="B277" s="4"/>
      <c r="C277" s="11"/>
      <c r="D277" s="12"/>
      <c r="E277" s="12"/>
      <c r="F277" s="4"/>
      <c r="G277" s="13"/>
      <c r="H277" s="14"/>
      <c r="I277" s="11"/>
      <c r="J277" s="4"/>
      <c r="K277" s="4"/>
      <c r="L277" s="7"/>
      <c r="M277" s="7"/>
      <c r="N277" s="4"/>
    </row>
    <row r="278" spans="1:14" x14ac:dyDescent="0.3">
      <c r="A278" s="10"/>
      <c r="B278" s="4"/>
      <c r="C278" s="11"/>
      <c r="D278" s="12"/>
      <c r="E278" s="12"/>
      <c r="F278" s="4"/>
      <c r="G278" s="13"/>
      <c r="H278" s="14"/>
      <c r="I278" s="11"/>
      <c r="J278" s="4"/>
      <c r="K278" s="4"/>
      <c r="L278" s="7"/>
      <c r="M278" s="7"/>
      <c r="N278" s="4"/>
    </row>
    <row r="279" spans="1:14" x14ac:dyDescent="0.3">
      <c r="A279" s="10"/>
      <c r="B279" s="4"/>
      <c r="C279" s="11"/>
      <c r="D279" s="12"/>
      <c r="E279" s="12"/>
      <c r="F279" s="4"/>
      <c r="G279" s="13"/>
      <c r="H279" s="14"/>
      <c r="I279" s="11"/>
      <c r="J279" s="4"/>
      <c r="K279" s="4"/>
      <c r="L279" s="7"/>
      <c r="M279" s="7"/>
      <c r="N279" s="4"/>
    </row>
    <row r="280" spans="1:14" x14ac:dyDescent="0.3">
      <c r="A280" s="10"/>
      <c r="B280" s="4"/>
      <c r="C280" s="11"/>
      <c r="D280" s="12"/>
      <c r="E280" s="12"/>
      <c r="F280" s="4"/>
      <c r="G280" s="13"/>
      <c r="H280" s="14"/>
      <c r="I280" s="11"/>
      <c r="J280" s="4"/>
      <c r="K280" s="4"/>
      <c r="L280" s="7"/>
      <c r="M280" s="7"/>
      <c r="N280" s="4"/>
    </row>
    <row r="281" spans="1:14" x14ac:dyDescent="0.3">
      <c r="A281" s="10"/>
      <c r="B281" s="4"/>
      <c r="C281" s="11"/>
      <c r="D281" s="12"/>
      <c r="E281" s="12"/>
      <c r="F281" s="4"/>
      <c r="G281" s="13"/>
      <c r="H281" s="14"/>
      <c r="I281" s="11"/>
      <c r="J281" s="4"/>
      <c r="K281" s="4"/>
      <c r="L281" s="7"/>
      <c r="M281" s="7"/>
      <c r="N281" s="4"/>
    </row>
    <row r="282" spans="1:14" x14ac:dyDescent="0.3">
      <c r="A282" s="10"/>
      <c r="B282" s="4"/>
      <c r="C282" s="11"/>
      <c r="D282" s="12"/>
      <c r="E282" s="12"/>
      <c r="F282" s="4"/>
      <c r="G282" s="13"/>
      <c r="H282" s="14"/>
      <c r="I282" s="11"/>
      <c r="J282" s="4"/>
      <c r="K282" s="4"/>
      <c r="L282" s="7"/>
      <c r="M282" s="7"/>
      <c r="N282" s="4"/>
    </row>
    <row r="285" spans="1:14" ht="28.8" x14ac:dyDescent="0.3">
      <c r="A285" s="1" t="s">
        <v>0</v>
      </c>
      <c r="B285" s="1" t="s">
        <v>1</v>
      </c>
      <c r="C285" s="1" t="s">
        <v>2</v>
      </c>
      <c r="D285" s="1" t="s">
        <v>3</v>
      </c>
      <c r="E285" s="1" t="s">
        <v>4</v>
      </c>
      <c r="F285" s="1" t="s">
        <v>5</v>
      </c>
      <c r="G285" s="1" t="s">
        <v>6</v>
      </c>
      <c r="H285" s="1" t="s">
        <v>7</v>
      </c>
      <c r="I285" s="1" t="s">
        <v>8</v>
      </c>
      <c r="J285" s="1" t="s">
        <v>9</v>
      </c>
      <c r="K285" s="1" t="s">
        <v>10</v>
      </c>
      <c r="L285" s="2"/>
      <c r="M285" s="2"/>
      <c r="N285" s="2"/>
    </row>
    <row r="286" spans="1:14" x14ac:dyDescent="0.3">
      <c r="A286" s="4" t="s">
        <v>11</v>
      </c>
      <c r="B286" s="3" t="str">
        <f>_xlfn.XLOOKUP($C286,'[1]Basic EMP Data - 2025'!$D$3:$D$216,'[1]Basic EMP Data - 2025'!$C$3:$C$216)</f>
        <v>VB0973</v>
      </c>
      <c r="C286" s="5" t="s">
        <v>37</v>
      </c>
      <c r="D286" s="4" t="str">
        <f>VLOOKUP($B286,'[1]Basic EMP Data - 2025'!$C$3:$F$216,3,0)</f>
        <v>Aditya Yadav</v>
      </c>
      <c r="E286" s="4">
        <f>VLOOKUP($B286,'[1]Basic EMP Data - 2025'!$C$3:$I$216,5,0)</f>
        <v>7</v>
      </c>
      <c r="F286" s="4">
        <f>VLOOKUP($B286,'[1]Basic EMP Data - 2025'!$C$3:$I$216,6,0)</f>
        <v>6</v>
      </c>
      <c r="G286" s="6">
        <f>F286/E286</f>
        <v>0.8571428571428571</v>
      </c>
      <c r="H286" s="7">
        <f>SUM(L288:L306)</f>
        <v>3195</v>
      </c>
      <c r="I286" s="8" cm="1">
        <f t="array" ref="I286">_xlfn.IFS($G286&lt;=34%,0%,$G286&lt;=75%,3%,$G286&lt;=120%,4%,$G286&gt;120%,5%)</f>
        <v>0.04</v>
      </c>
      <c r="J286" s="7" cm="1">
        <f t="array" ref="J286">SUMPRODUCT((C288:C306=2024)*M288:M306) + SUMPRODUCT((C288:C306=2025)*M288:M306*2)</f>
        <v>10224</v>
      </c>
      <c r="K286" s="4">
        <f>SUM(N288:N306)</f>
        <v>0</v>
      </c>
      <c r="M286" s="2"/>
      <c r="N286" s="2"/>
    </row>
    <row r="287" spans="1:14" ht="28.8" x14ac:dyDescent="0.3">
      <c r="A287" s="9" t="s">
        <v>2</v>
      </c>
      <c r="B287" s="9" t="s">
        <v>13</v>
      </c>
      <c r="C287" s="9" t="s">
        <v>14</v>
      </c>
      <c r="D287" s="9" t="s">
        <v>15</v>
      </c>
      <c r="E287" s="9" t="s">
        <v>16</v>
      </c>
      <c r="F287" s="9" t="s">
        <v>17</v>
      </c>
      <c r="G287" s="9" t="s">
        <v>18</v>
      </c>
      <c r="H287" s="9" t="s">
        <v>19</v>
      </c>
      <c r="I287" s="9" t="s">
        <v>20</v>
      </c>
      <c r="J287" s="9" t="s">
        <v>21</v>
      </c>
      <c r="K287" s="9" t="s">
        <v>22</v>
      </c>
      <c r="L287" s="9" t="s">
        <v>23</v>
      </c>
      <c r="M287" s="9" t="s">
        <v>24</v>
      </c>
      <c r="N287" s="9" t="s">
        <v>25</v>
      </c>
    </row>
    <row r="288" spans="1:14" x14ac:dyDescent="0.3">
      <c r="A288" s="10" t="str">
        <f>C286</f>
        <v>Aastha Tiwari</v>
      </c>
      <c r="B288" s="4" t="str" cm="1">
        <f t="array" ref="B288:M288">_xlfn.LET(
  _xlpm.data, _xlfn._xlws.FILTER('[1]Incentive Data'!A:BV, '[1]Incentive Data'!H:H=$C286),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Claude Auger</v>
      </c>
      <c r="C288" s="11">
        <v>2025</v>
      </c>
      <c r="D288" s="12">
        <v>45712</v>
      </c>
      <c r="E288" s="12" t="str">
        <v>-</v>
      </c>
      <c r="F288" s="4" t="str">
        <v>Cyient</v>
      </c>
      <c r="G288" s="13" t="str">
        <v>PLC-4149</v>
      </c>
      <c r="H288" s="14" t="str">
        <v>FTE</v>
      </c>
      <c r="I288" s="11" t="str">
        <v>Done</v>
      </c>
      <c r="J288" s="4" t="str">
        <v>Y</v>
      </c>
      <c r="K288" s="4">
        <v>0</v>
      </c>
      <c r="L288" s="7">
        <v>3195</v>
      </c>
      <c r="M288" s="7">
        <v>5112</v>
      </c>
      <c r="N288" s="4"/>
    </row>
    <row r="289" spans="1:14" x14ac:dyDescent="0.3">
      <c r="A289" s="10"/>
      <c r="B289" s="4"/>
      <c r="C289" s="11"/>
      <c r="D289" s="12"/>
      <c r="E289" s="12"/>
      <c r="F289" s="4"/>
      <c r="G289" s="13"/>
      <c r="H289" s="14"/>
      <c r="I289" s="11"/>
      <c r="J289" s="4"/>
      <c r="K289" s="4"/>
      <c r="L289" s="7"/>
      <c r="M289" s="7"/>
      <c r="N289" s="4"/>
    </row>
    <row r="290" spans="1:14" x14ac:dyDescent="0.3">
      <c r="A290" s="10"/>
      <c r="B290" s="4"/>
      <c r="C290" s="11"/>
      <c r="D290" s="12"/>
      <c r="E290" s="12"/>
      <c r="F290" s="4"/>
      <c r="G290" s="13"/>
      <c r="H290" s="14"/>
      <c r="I290" s="11"/>
      <c r="J290" s="4"/>
      <c r="K290" s="4"/>
      <c r="L290" s="7"/>
      <c r="M290" s="7"/>
      <c r="N290" s="4"/>
    </row>
    <row r="291" spans="1:14" x14ac:dyDescent="0.3">
      <c r="A291" s="10"/>
      <c r="B291" s="4"/>
      <c r="C291" s="11"/>
      <c r="D291" s="12"/>
      <c r="E291" s="12"/>
      <c r="F291" s="4"/>
      <c r="G291" s="13"/>
      <c r="H291" s="14"/>
      <c r="I291" s="11"/>
      <c r="J291" s="4"/>
      <c r="K291" s="4"/>
      <c r="L291" s="7"/>
      <c r="M291" s="7"/>
      <c r="N291" s="4"/>
    </row>
    <row r="292" spans="1:14" x14ac:dyDescent="0.3">
      <c r="A292" s="10"/>
      <c r="B292" s="4"/>
      <c r="C292" s="11"/>
      <c r="D292" s="12"/>
      <c r="E292" s="12"/>
      <c r="F292" s="4"/>
      <c r="G292" s="13"/>
      <c r="H292" s="14"/>
      <c r="I292" s="11"/>
      <c r="J292" s="4"/>
      <c r="K292" s="4"/>
      <c r="L292" s="7"/>
      <c r="M292" s="7"/>
      <c r="N292" s="4"/>
    </row>
    <row r="293" spans="1:14" x14ac:dyDescent="0.3">
      <c r="A293" s="10"/>
      <c r="B293" s="4"/>
      <c r="C293" s="11"/>
      <c r="D293" s="12"/>
      <c r="E293" s="12"/>
      <c r="F293" s="4"/>
      <c r="G293" s="13"/>
      <c r="H293" s="14"/>
      <c r="I293" s="11"/>
      <c r="J293" s="4"/>
      <c r="K293" s="4"/>
      <c r="L293" s="7"/>
      <c r="M293" s="7"/>
      <c r="N293" s="4"/>
    </row>
    <row r="294" spans="1:14" x14ac:dyDescent="0.3">
      <c r="A294" s="10"/>
      <c r="B294" s="4"/>
      <c r="C294" s="11"/>
      <c r="D294" s="12"/>
      <c r="E294" s="12"/>
      <c r="F294" s="4"/>
      <c r="G294" s="13"/>
      <c r="H294" s="14"/>
      <c r="I294" s="11"/>
      <c r="J294" s="4"/>
      <c r="K294" s="4"/>
      <c r="L294" s="7"/>
      <c r="M294" s="7"/>
      <c r="N294" s="4"/>
    </row>
    <row r="295" spans="1:14" x14ac:dyDescent="0.3">
      <c r="A295" s="10"/>
      <c r="B295" s="4"/>
      <c r="C295" s="11"/>
      <c r="D295" s="12"/>
      <c r="E295" s="12"/>
      <c r="F295" s="4"/>
      <c r="G295" s="13"/>
      <c r="H295" s="14"/>
      <c r="I295" s="11"/>
      <c r="J295" s="4"/>
      <c r="K295" s="4"/>
      <c r="L295" s="7"/>
      <c r="M295" s="7"/>
      <c r="N295" s="4"/>
    </row>
    <row r="296" spans="1:14" x14ac:dyDescent="0.3">
      <c r="A296" s="10"/>
      <c r="B296" s="4"/>
      <c r="C296" s="11"/>
      <c r="D296" s="12"/>
      <c r="E296" s="12"/>
      <c r="F296" s="4"/>
      <c r="G296" s="13"/>
      <c r="H296" s="14"/>
      <c r="I296" s="11"/>
      <c r="J296" s="4"/>
      <c r="K296" s="4"/>
      <c r="L296" s="7"/>
      <c r="M296" s="7"/>
      <c r="N296" s="4"/>
    </row>
    <row r="297" spans="1:14" x14ac:dyDescent="0.3">
      <c r="A297" s="10"/>
      <c r="B297" s="4"/>
      <c r="C297" s="11"/>
      <c r="D297" s="12"/>
      <c r="E297" s="12"/>
      <c r="F297" s="4"/>
      <c r="G297" s="13"/>
      <c r="H297" s="14"/>
      <c r="I297" s="11"/>
      <c r="J297" s="4"/>
      <c r="K297" s="4"/>
      <c r="L297" s="7"/>
      <c r="M297" s="7"/>
      <c r="N297" s="4"/>
    </row>
    <row r="298" spans="1:14" x14ac:dyDescent="0.3">
      <c r="A298" s="10"/>
      <c r="B298" s="4"/>
      <c r="C298" s="11"/>
      <c r="D298" s="12"/>
      <c r="E298" s="12"/>
      <c r="F298" s="4"/>
      <c r="G298" s="13"/>
      <c r="H298" s="14"/>
      <c r="I298" s="11"/>
      <c r="J298" s="4"/>
      <c r="K298" s="4"/>
      <c r="L298" s="7"/>
      <c r="M298" s="7"/>
      <c r="N298" s="4"/>
    </row>
    <row r="299" spans="1:14" x14ac:dyDescent="0.3">
      <c r="A299" s="10"/>
      <c r="B299" s="4"/>
      <c r="C299" s="11"/>
      <c r="D299" s="12"/>
      <c r="E299" s="12"/>
      <c r="F299" s="4"/>
      <c r="G299" s="13"/>
      <c r="H299" s="14"/>
      <c r="I299" s="11"/>
      <c r="J299" s="4"/>
      <c r="K299" s="4"/>
      <c r="L299" s="7"/>
      <c r="M299" s="7"/>
      <c r="N299" s="4"/>
    </row>
    <row r="300" spans="1:14" x14ac:dyDescent="0.3">
      <c r="A300" s="10"/>
      <c r="B300" s="4"/>
      <c r="C300" s="11"/>
      <c r="D300" s="12"/>
      <c r="E300" s="12"/>
      <c r="F300" s="4"/>
      <c r="G300" s="13"/>
      <c r="H300" s="14"/>
      <c r="I300" s="11"/>
      <c r="J300" s="4"/>
      <c r="K300" s="4"/>
      <c r="L300" s="7"/>
      <c r="M300" s="7"/>
      <c r="N300" s="4"/>
    </row>
    <row r="301" spans="1:14" x14ac:dyDescent="0.3">
      <c r="A301" s="10"/>
      <c r="B301" s="4"/>
      <c r="C301" s="11"/>
      <c r="D301" s="12"/>
      <c r="E301" s="12"/>
      <c r="F301" s="4"/>
      <c r="G301" s="13"/>
      <c r="H301" s="14"/>
      <c r="I301" s="11"/>
      <c r="J301" s="4"/>
      <c r="K301" s="4"/>
      <c r="L301" s="7"/>
      <c r="M301" s="7"/>
      <c r="N301" s="4"/>
    </row>
    <row r="302" spans="1:14" x14ac:dyDescent="0.3">
      <c r="A302" s="10"/>
      <c r="B302" s="4"/>
      <c r="C302" s="11"/>
      <c r="D302" s="12"/>
      <c r="E302" s="12"/>
      <c r="F302" s="4"/>
      <c r="G302" s="13"/>
      <c r="H302" s="14"/>
      <c r="I302" s="11"/>
      <c r="J302" s="4"/>
      <c r="K302" s="4"/>
      <c r="L302" s="7"/>
      <c r="M302" s="7"/>
      <c r="N302" s="4"/>
    </row>
    <row r="303" spans="1:14" x14ac:dyDescent="0.3">
      <c r="A303" s="10"/>
      <c r="B303" s="4"/>
      <c r="C303" s="11"/>
      <c r="D303" s="12"/>
      <c r="E303" s="12"/>
      <c r="F303" s="4"/>
      <c r="G303" s="13"/>
      <c r="H303" s="14"/>
      <c r="I303" s="11"/>
      <c r="J303" s="4"/>
      <c r="K303" s="4"/>
      <c r="L303" s="7"/>
      <c r="M303" s="7"/>
      <c r="N303" s="4"/>
    </row>
    <row r="304" spans="1:14" x14ac:dyDescent="0.3">
      <c r="A304" s="10"/>
      <c r="B304" s="4"/>
      <c r="C304" s="11"/>
      <c r="D304" s="12"/>
      <c r="E304" s="12"/>
      <c r="F304" s="4"/>
      <c r="G304" s="13"/>
      <c r="H304" s="14"/>
      <c r="I304" s="11"/>
      <c r="J304" s="4"/>
      <c r="K304" s="4"/>
      <c r="L304" s="7"/>
      <c r="M304" s="7"/>
      <c r="N304" s="4"/>
    </row>
    <row r="305" spans="1:14" x14ac:dyDescent="0.3">
      <c r="A305" s="10"/>
      <c r="B305" s="4"/>
      <c r="C305" s="11"/>
      <c r="D305" s="12"/>
      <c r="E305" s="12"/>
      <c r="F305" s="4"/>
      <c r="G305" s="13"/>
      <c r="H305" s="14"/>
      <c r="I305" s="11"/>
      <c r="J305" s="4"/>
      <c r="K305" s="4"/>
      <c r="L305" s="7"/>
      <c r="M305" s="7"/>
      <c r="N305" s="4"/>
    </row>
    <row r="306" spans="1:14" x14ac:dyDescent="0.3">
      <c r="A306" s="10"/>
      <c r="B306" s="4"/>
      <c r="C306" s="11"/>
      <c r="D306" s="12"/>
      <c r="E306" s="12"/>
      <c r="F306" s="4"/>
      <c r="G306" s="13"/>
      <c r="H306" s="14"/>
      <c r="I306" s="11"/>
      <c r="J306" s="4"/>
      <c r="K306" s="4"/>
      <c r="L306" s="7"/>
      <c r="M306" s="7"/>
      <c r="N306" s="4"/>
    </row>
    <row r="311" spans="1:14" ht="28.8" x14ac:dyDescent="0.3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1" t="s">
        <v>5</v>
      </c>
      <c r="G311" s="1" t="s">
        <v>6</v>
      </c>
      <c r="H311" s="1" t="s">
        <v>7</v>
      </c>
      <c r="I311" s="1" t="s">
        <v>8</v>
      </c>
      <c r="J311" s="1" t="s">
        <v>9</v>
      </c>
      <c r="K311" s="1" t="s">
        <v>10</v>
      </c>
      <c r="L311" s="2"/>
      <c r="M311" s="2"/>
      <c r="N311" s="2"/>
    </row>
    <row r="312" spans="1:14" x14ac:dyDescent="0.3">
      <c r="A312" s="4" t="s">
        <v>11</v>
      </c>
      <c r="B312" s="3" t="str">
        <f>_xlfn.XLOOKUP($C312,'[1]Basic EMP Data - 2025'!$D$3:$D$216,'[1]Basic EMP Data - 2025'!$C$3:$C$216)</f>
        <v>VB2095</v>
      </c>
      <c r="C312" s="5" t="s">
        <v>38</v>
      </c>
      <c r="D312" s="4" t="str">
        <f>VLOOKUP($B312,'[1]Basic EMP Data - 2025'!$C$3:$F$216,3,0)</f>
        <v>Aditya Yadav</v>
      </c>
      <c r="E312" s="4">
        <f>VLOOKUP($B312,'[1]Basic EMP Data - 2025'!$C$3:$I$216,5,0)</f>
        <v>4</v>
      </c>
      <c r="F312" s="4">
        <f>VLOOKUP($B312,'[1]Basic EMP Data - 2025'!$C$3:$I$216,6,0)</f>
        <v>1</v>
      </c>
      <c r="G312" s="6">
        <f>F312/E312</f>
        <v>0.25</v>
      </c>
      <c r="H312" s="7">
        <f>SUM(L314:L332)</f>
        <v>0</v>
      </c>
      <c r="I312" s="8" cm="1">
        <f t="array" ref="I312">_xlfn.IFS($G312&lt;=34%,0%,$G312&lt;=75%,3%,$G312&lt;=120%,4%,$G312&gt;120%,5%)</f>
        <v>0</v>
      </c>
      <c r="J312" s="7" cm="1">
        <f t="array" ref="J312">SUMPRODUCT((C314:C332=2024)*M314:M332) + SUMPRODUCT((C314:C332=2025)*M314:M332*2)</f>
        <v>0</v>
      </c>
      <c r="K312" s="4">
        <f>SUM(N314:N332)</f>
        <v>0</v>
      </c>
      <c r="M312" s="2"/>
      <c r="N312" s="2"/>
    </row>
    <row r="313" spans="1:14" ht="28.8" x14ac:dyDescent="0.3">
      <c r="A313" s="9" t="s">
        <v>2</v>
      </c>
      <c r="B313" s="9" t="s">
        <v>13</v>
      </c>
      <c r="C313" s="9" t="s">
        <v>14</v>
      </c>
      <c r="D313" s="9" t="s">
        <v>15</v>
      </c>
      <c r="E313" s="9" t="s">
        <v>16</v>
      </c>
      <c r="F313" s="9" t="s">
        <v>17</v>
      </c>
      <c r="G313" s="9" t="s">
        <v>18</v>
      </c>
      <c r="H313" s="9" t="s">
        <v>19</v>
      </c>
      <c r="I313" s="9" t="s">
        <v>20</v>
      </c>
      <c r="J313" s="9" t="s">
        <v>21</v>
      </c>
      <c r="K313" s="9" t="s">
        <v>22</v>
      </c>
      <c r="L313" s="9" t="s">
        <v>23</v>
      </c>
      <c r="M313" s="9" t="s">
        <v>24</v>
      </c>
      <c r="N313" s="9" t="s">
        <v>25</v>
      </c>
    </row>
    <row r="314" spans="1:14" x14ac:dyDescent="0.3">
      <c r="A314" s="10" t="str">
        <f>C312</f>
        <v>Shubham Yadav</v>
      </c>
      <c r="B314" s="4" t="e" cm="1" vm="1">
        <f t="array" ref="B314">_xlfn.LET(
  _xlpm.data, _xlfn._xlws.FILTER('[1]Incentive Data'!A:BV, '[1]Incentive Data'!H:H=$C312),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14" s="11"/>
      <c r="D314" s="12"/>
      <c r="E314" s="12"/>
      <c r="F314" s="4"/>
      <c r="G314" s="13"/>
      <c r="H314" s="14"/>
      <c r="I314" s="11"/>
      <c r="J314" s="4"/>
      <c r="K314" s="4"/>
      <c r="L314" s="7"/>
      <c r="M314" s="7"/>
      <c r="N314" s="4"/>
    </row>
    <row r="315" spans="1:14" x14ac:dyDescent="0.3">
      <c r="A315" s="10"/>
      <c r="B315" s="4"/>
      <c r="C315" s="11"/>
      <c r="D315" s="12"/>
      <c r="E315" s="12"/>
      <c r="F315" s="4"/>
      <c r="G315" s="13"/>
      <c r="H315" s="14"/>
      <c r="I315" s="11"/>
      <c r="J315" s="4"/>
      <c r="K315" s="4"/>
      <c r="L315" s="7"/>
      <c r="M315" s="7"/>
      <c r="N315" s="4"/>
    </row>
    <row r="316" spans="1:14" x14ac:dyDescent="0.3">
      <c r="A316" s="10"/>
      <c r="B316" s="4"/>
      <c r="C316" s="11"/>
      <c r="D316" s="12"/>
      <c r="E316" s="12"/>
      <c r="F316" s="4"/>
      <c r="G316" s="13"/>
      <c r="H316" s="14"/>
      <c r="I316" s="11"/>
      <c r="J316" s="4"/>
      <c r="K316" s="4"/>
      <c r="L316" s="7"/>
      <c r="M316" s="7"/>
      <c r="N316" s="4"/>
    </row>
    <row r="317" spans="1:14" x14ac:dyDescent="0.3">
      <c r="A317" s="10"/>
      <c r="B317" s="4"/>
      <c r="C317" s="11"/>
      <c r="D317" s="12"/>
      <c r="E317" s="12"/>
      <c r="F317" s="4"/>
      <c r="G317" s="13"/>
      <c r="H317" s="14"/>
      <c r="I317" s="11"/>
      <c r="J317" s="4"/>
      <c r="K317" s="4"/>
      <c r="L317" s="7"/>
      <c r="M317" s="7"/>
      <c r="N317" s="4"/>
    </row>
    <row r="318" spans="1:14" x14ac:dyDescent="0.3">
      <c r="A318" s="10"/>
      <c r="B318" s="4"/>
      <c r="C318" s="11"/>
      <c r="D318" s="12"/>
      <c r="E318" s="12"/>
      <c r="F318" s="4"/>
      <c r="G318" s="13"/>
      <c r="H318" s="14"/>
      <c r="I318" s="11"/>
      <c r="J318" s="4"/>
      <c r="K318" s="4"/>
      <c r="L318" s="7"/>
      <c r="M318" s="7"/>
      <c r="N318" s="4"/>
    </row>
    <row r="319" spans="1:14" x14ac:dyDescent="0.3">
      <c r="A319" s="10"/>
      <c r="B319" s="4"/>
      <c r="C319" s="11"/>
      <c r="D319" s="12"/>
      <c r="E319" s="12"/>
      <c r="F319" s="4"/>
      <c r="G319" s="13"/>
      <c r="H319" s="14"/>
      <c r="I319" s="11"/>
      <c r="J319" s="4"/>
      <c r="K319" s="4"/>
      <c r="L319" s="7"/>
      <c r="M319" s="7"/>
      <c r="N319" s="4"/>
    </row>
    <row r="320" spans="1:14" x14ac:dyDescent="0.3">
      <c r="A320" s="10"/>
      <c r="B320" s="4"/>
      <c r="C320" s="11"/>
      <c r="D320" s="12"/>
      <c r="E320" s="12"/>
      <c r="F320" s="4"/>
      <c r="G320" s="13"/>
      <c r="H320" s="14"/>
      <c r="I320" s="11"/>
      <c r="J320" s="4"/>
      <c r="K320" s="4"/>
      <c r="L320" s="7"/>
      <c r="M320" s="7"/>
      <c r="N320" s="4"/>
    </row>
    <row r="321" spans="1:14" x14ac:dyDescent="0.3">
      <c r="A321" s="10"/>
      <c r="B321" s="4"/>
      <c r="C321" s="11"/>
      <c r="D321" s="12"/>
      <c r="E321" s="12"/>
      <c r="F321" s="4"/>
      <c r="G321" s="13"/>
      <c r="H321" s="14"/>
      <c r="I321" s="11"/>
      <c r="J321" s="4"/>
      <c r="K321" s="4"/>
      <c r="L321" s="7"/>
      <c r="M321" s="7"/>
      <c r="N321" s="4"/>
    </row>
    <row r="322" spans="1:14" x14ac:dyDescent="0.3">
      <c r="A322" s="10"/>
      <c r="B322" s="4"/>
      <c r="C322" s="11"/>
      <c r="D322" s="12"/>
      <c r="E322" s="12"/>
      <c r="F322" s="4"/>
      <c r="G322" s="13"/>
      <c r="H322" s="14"/>
      <c r="I322" s="11"/>
      <c r="J322" s="4"/>
      <c r="K322" s="4"/>
      <c r="L322" s="7"/>
      <c r="M322" s="7"/>
      <c r="N322" s="4"/>
    </row>
    <row r="323" spans="1:14" x14ac:dyDescent="0.3">
      <c r="A323" s="10"/>
      <c r="B323" s="4"/>
      <c r="C323" s="11"/>
      <c r="D323" s="12"/>
      <c r="E323" s="12"/>
      <c r="F323" s="4"/>
      <c r="G323" s="13"/>
      <c r="H323" s="14"/>
      <c r="I323" s="11"/>
      <c r="J323" s="4"/>
      <c r="K323" s="4"/>
      <c r="L323" s="7"/>
      <c r="M323" s="7"/>
      <c r="N323" s="4"/>
    </row>
    <row r="324" spans="1:14" x14ac:dyDescent="0.3">
      <c r="A324" s="10"/>
      <c r="B324" s="4"/>
      <c r="C324" s="11"/>
      <c r="D324" s="12"/>
      <c r="E324" s="12"/>
      <c r="F324" s="4"/>
      <c r="G324" s="13"/>
      <c r="H324" s="14"/>
      <c r="I324" s="11"/>
      <c r="J324" s="4"/>
      <c r="K324" s="4"/>
      <c r="L324" s="7"/>
      <c r="M324" s="7"/>
      <c r="N324" s="4"/>
    </row>
    <row r="325" spans="1:14" x14ac:dyDescent="0.3">
      <c r="A325" s="10"/>
      <c r="B325" s="4"/>
      <c r="C325" s="11"/>
      <c r="D325" s="12"/>
      <c r="E325" s="12"/>
      <c r="F325" s="4"/>
      <c r="G325" s="13"/>
      <c r="H325" s="14"/>
      <c r="I325" s="11"/>
      <c r="J325" s="4"/>
      <c r="K325" s="4"/>
      <c r="L325" s="7"/>
      <c r="M325" s="7"/>
      <c r="N325" s="4"/>
    </row>
    <row r="326" spans="1:14" x14ac:dyDescent="0.3">
      <c r="A326" s="10"/>
      <c r="B326" s="4"/>
      <c r="C326" s="11"/>
      <c r="D326" s="12"/>
      <c r="E326" s="12"/>
      <c r="F326" s="4"/>
      <c r="G326" s="13"/>
      <c r="H326" s="14"/>
      <c r="I326" s="11"/>
      <c r="J326" s="4"/>
      <c r="K326" s="4"/>
      <c r="L326" s="7"/>
      <c r="M326" s="7"/>
      <c r="N326" s="4"/>
    </row>
    <row r="327" spans="1:14" x14ac:dyDescent="0.3">
      <c r="A327" s="10"/>
      <c r="B327" s="4"/>
      <c r="C327" s="11"/>
      <c r="D327" s="12"/>
      <c r="E327" s="12"/>
      <c r="F327" s="4"/>
      <c r="G327" s="13"/>
      <c r="H327" s="14"/>
      <c r="I327" s="11"/>
      <c r="J327" s="4"/>
      <c r="K327" s="4"/>
      <c r="L327" s="7"/>
      <c r="M327" s="7"/>
      <c r="N327" s="4"/>
    </row>
    <row r="328" spans="1:14" x14ac:dyDescent="0.3">
      <c r="A328" s="10"/>
      <c r="B328" s="4"/>
      <c r="C328" s="11"/>
      <c r="D328" s="12"/>
      <c r="E328" s="12"/>
      <c r="F328" s="4"/>
      <c r="G328" s="13"/>
      <c r="H328" s="14"/>
      <c r="I328" s="11"/>
      <c r="J328" s="4"/>
      <c r="K328" s="4"/>
      <c r="L328" s="7"/>
      <c r="M328" s="7"/>
      <c r="N328" s="4"/>
    </row>
    <row r="329" spans="1:14" x14ac:dyDescent="0.3">
      <c r="A329" s="10"/>
      <c r="B329" s="4"/>
      <c r="C329" s="11"/>
      <c r="D329" s="12"/>
      <c r="E329" s="12"/>
      <c r="F329" s="4"/>
      <c r="G329" s="13"/>
      <c r="H329" s="14"/>
      <c r="I329" s="11"/>
      <c r="J329" s="4"/>
      <c r="K329" s="4"/>
      <c r="L329" s="7"/>
      <c r="M329" s="7"/>
      <c r="N329" s="4"/>
    </row>
    <row r="330" spans="1:14" x14ac:dyDescent="0.3">
      <c r="A330" s="10"/>
      <c r="B330" s="4"/>
      <c r="C330" s="11"/>
      <c r="D330" s="12"/>
      <c r="E330" s="12"/>
      <c r="F330" s="4"/>
      <c r="G330" s="13"/>
      <c r="H330" s="14"/>
      <c r="I330" s="11"/>
      <c r="J330" s="4"/>
      <c r="K330" s="4"/>
      <c r="L330" s="7"/>
      <c r="M330" s="7"/>
      <c r="N330" s="4"/>
    </row>
    <row r="331" spans="1:14" x14ac:dyDescent="0.3">
      <c r="A331" s="10"/>
      <c r="B331" s="4"/>
      <c r="C331" s="11"/>
      <c r="D331" s="12"/>
      <c r="E331" s="12"/>
      <c r="F331" s="4"/>
      <c r="G331" s="13"/>
      <c r="H331" s="14"/>
      <c r="I331" s="11"/>
      <c r="J331" s="4"/>
      <c r="K331" s="4"/>
      <c r="L331" s="7"/>
      <c r="M331" s="7"/>
      <c r="N331" s="4"/>
    </row>
    <row r="332" spans="1:14" x14ac:dyDescent="0.3">
      <c r="A332" s="10"/>
      <c r="B332" s="4"/>
      <c r="C332" s="11"/>
      <c r="D332" s="12"/>
      <c r="E332" s="12"/>
      <c r="F332" s="4"/>
      <c r="G332" s="13"/>
      <c r="H332" s="14"/>
      <c r="I332" s="11"/>
      <c r="J332" s="4"/>
      <c r="K332" s="4"/>
      <c r="L332" s="7"/>
      <c r="M332" s="7"/>
      <c r="N332" s="4"/>
    </row>
    <row r="336" spans="1:14" ht="28.8" x14ac:dyDescent="0.3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4</v>
      </c>
      <c r="F336" s="1" t="s">
        <v>5</v>
      </c>
      <c r="G336" s="1" t="s">
        <v>6</v>
      </c>
      <c r="H336" s="1" t="s">
        <v>7</v>
      </c>
      <c r="I336" s="1" t="s">
        <v>8</v>
      </c>
      <c r="J336" s="1" t="s">
        <v>9</v>
      </c>
      <c r="K336" s="1" t="s">
        <v>10</v>
      </c>
      <c r="L336" s="2"/>
      <c r="M336" s="2"/>
      <c r="N336" s="2"/>
    </row>
    <row r="337" spans="1:14" x14ac:dyDescent="0.3">
      <c r="A337" s="4" t="s">
        <v>11</v>
      </c>
      <c r="B337" s="3" t="str">
        <f>_xlfn.XLOOKUP($C337,'[1]Basic EMP Data - 2025'!$D$3:$D$216,'[1]Basic EMP Data - 2025'!$C$3:$C$216)</f>
        <v>VB2249</v>
      </c>
      <c r="C337" s="5" t="s">
        <v>39</v>
      </c>
      <c r="D337" s="4" t="str">
        <f>VLOOKUP($B337,'[1]Basic EMP Data - 2025'!$C$3:$F$216,3,0)</f>
        <v>Aditya Yadav</v>
      </c>
      <c r="E337" s="4">
        <f>VLOOKUP($B337,'[1]Basic EMP Data - 2025'!$C$3:$I$216,5,0)</f>
        <v>6</v>
      </c>
      <c r="F337" s="4">
        <f>VLOOKUP($B337,'[1]Basic EMP Data - 2025'!$C$3:$I$216,6,0)</f>
        <v>4</v>
      </c>
      <c r="G337" s="6">
        <f>F337/E337</f>
        <v>0.66666666666666663</v>
      </c>
      <c r="H337" s="7">
        <f>SUM(L339:L357)</f>
        <v>0</v>
      </c>
      <c r="I337" s="8" cm="1">
        <f t="array" ref="I337">_xlfn.IFS($G337&lt;=34%,0%,$G337&lt;=75%,3%,$G337&lt;=120%,4%,$G337&gt;120%,5%)</f>
        <v>0.03</v>
      </c>
      <c r="J337" s="7" cm="1">
        <f t="array" ref="J337">SUMPRODUCT((C339:C357=2024)*M339:M357) + SUMPRODUCT((C339:C357=2025)*M339:M357*2)</f>
        <v>0</v>
      </c>
      <c r="K337" s="4">
        <f>SUM(N339:N357)</f>
        <v>0</v>
      </c>
      <c r="M337" s="2"/>
      <c r="N337" s="2"/>
    </row>
    <row r="338" spans="1:14" ht="28.8" x14ac:dyDescent="0.3">
      <c r="A338" s="9" t="s">
        <v>2</v>
      </c>
      <c r="B338" s="9" t="s">
        <v>13</v>
      </c>
      <c r="C338" s="9" t="s">
        <v>14</v>
      </c>
      <c r="D338" s="9" t="s">
        <v>15</v>
      </c>
      <c r="E338" s="9" t="s">
        <v>16</v>
      </c>
      <c r="F338" s="9" t="s">
        <v>17</v>
      </c>
      <c r="G338" s="9" t="s">
        <v>18</v>
      </c>
      <c r="H338" s="9" t="s">
        <v>19</v>
      </c>
      <c r="I338" s="9" t="s">
        <v>20</v>
      </c>
      <c r="J338" s="9" t="s">
        <v>21</v>
      </c>
      <c r="K338" s="9" t="s">
        <v>22</v>
      </c>
      <c r="L338" s="9" t="s">
        <v>23</v>
      </c>
      <c r="M338" s="9" t="s">
        <v>24</v>
      </c>
      <c r="N338" s="9" t="s">
        <v>25</v>
      </c>
    </row>
    <row r="339" spans="1:14" x14ac:dyDescent="0.3">
      <c r="A339" s="10" t="str">
        <f>C337</f>
        <v>Rishabh Singh</v>
      </c>
      <c r="B339" s="4" t="e" cm="1" vm="1">
        <f t="array" ref="B339">_xlfn.LET(
  _xlpm.data, _xlfn._xlws.FILTER('[1]Incentive Data'!A:BV, '[1]Incentive Data'!H:H=$C337),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39" s="11"/>
      <c r="D339" s="12"/>
      <c r="E339" s="12"/>
      <c r="F339" s="4"/>
      <c r="G339" s="13"/>
      <c r="H339" s="14"/>
      <c r="I339" s="11"/>
      <c r="J339" s="4"/>
      <c r="K339" s="4"/>
      <c r="L339" s="7"/>
      <c r="M339" s="7"/>
      <c r="N339" s="4"/>
    </row>
    <row r="340" spans="1:14" x14ac:dyDescent="0.3">
      <c r="A340" s="10"/>
      <c r="B340" s="4"/>
      <c r="C340" s="11"/>
      <c r="D340" s="12"/>
      <c r="E340" s="12"/>
      <c r="F340" s="4"/>
      <c r="G340" s="13"/>
      <c r="H340" s="14"/>
      <c r="I340" s="11"/>
      <c r="J340" s="4"/>
      <c r="K340" s="4"/>
      <c r="L340" s="7"/>
      <c r="M340" s="7"/>
      <c r="N340" s="4"/>
    </row>
    <row r="341" spans="1:14" x14ac:dyDescent="0.3">
      <c r="A341" s="10"/>
      <c r="B341" s="4"/>
      <c r="C341" s="11"/>
      <c r="D341" s="12"/>
      <c r="E341" s="12"/>
      <c r="F341" s="4"/>
      <c r="G341" s="13"/>
      <c r="H341" s="14"/>
      <c r="I341" s="11"/>
      <c r="J341" s="4"/>
      <c r="K341" s="4"/>
      <c r="L341" s="7"/>
      <c r="M341" s="7"/>
      <c r="N341" s="4"/>
    </row>
    <row r="342" spans="1:14" x14ac:dyDescent="0.3">
      <c r="A342" s="10"/>
      <c r="B342" s="4"/>
      <c r="C342" s="11"/>
      <c r="D342" s="12"/>
      <c r="E342" s="12"/>
      <c r="F342" s="4"/>
      <c r="G342" s="13"/>
      <c r="H342" s="14"/>
      <c r="I342" s="11"/>
      <c r="J342" s="4"/>
      <c r="K342" s="4"/>
      <c r="L342" s="7"/>
      <c r="M342" s="7"/>
      <c r="N342" s="4"/>
    </row>
    <row r="343" spans="1:14" x14ac:dyDescent="0.3">
      <c r="A343" s="10"/>
      <c r="B343" s="4"/>
      <c r="C343" s="11"/>
      <c r="D343" s="12"/>
      <c r="E343" s="12"/>
      <c r="F343" s="4"/>
      <c r="G343" s="13"/>
      <c r="H343" s="14"/>
      <c r="I343" s="11"/>
      <c r="J343" s="4"/>
      <c r="K343" s="4"/>
      <c r="L343" s="7"/>
      <c r="M343" s="7"/>
      <c r="N343" s="4"/>
    </row>
    <row r="344" spans="1:14" x14ac:dyDescent="0.3">
      <c r="A344" s="10"/>
      <c r="B344" s="4"/>
      <c r="C344" s="11"/>
      <c r="D344" s="12"/>
      <c r="E344" s="12"/>
      <c r="F344" s="4"/>
      <c r="G344" s="13"/>
      <c r="H344" s="14"/>
      <c r="I344" s="11"/>
      <c r="J344" s="4"/>
      <c r="K344" s="4"/>
      <c r="L344" s="7"/>
      <c r="M344" s="7"/>
      <c r="N344" s="4"/>
    </row>
    <row r="345" spans="1:14" x14ac:dyDescent="0.3">
      <c r="A345" s="10"/>
      <c r="B345" s="4"/>
      <c r="C345" s="11"/>
      <c r="D345" s="12"/>
      <c r="E345" s="12"/>
      <c r="F345" s="4"/>
      <c r="G345" s="13"/>
      <c r="H345" s="14"/>
      <c r="I345" s="11"/>
      <c r="J345" s="4"/>
      <c r="K345" s="4"/>
      <c r="L345" s="7"/>
      <c r="M345" s="7"/>
      <c r="N345" s="4"/>
    </row>
    <row r="346" spans="1:14" x14ac:dyDescent="0.3">
      <c r="A346" s="10"/>
      <c r="B346" s="4"/>
      <c r="C346" s="11"/>
      <c r="D346" s="12"/>
      <c r="E346" s="12"/>
      <c r="F346" s="4"/>
      <c r="G346" s="13"/>
      <c r="H346" s="14"/>
      <c r="I346" s="11"/>
      <c r="J346" s="4"/>
      <c r="K346" s="4"/>
      <c r="L346" s="7"/>
      <c r="M346" s="7"/>
      <c r="N346" s="4"/>
    </row>
    <row r="347" spans="1:14" x14ac:dyDescent="0.3">
      <c r="A347" s="10"/>
      <c r="B347" s="4"/>
      <c r="C347" s="11"/>
      <c r="D347" s="12"/>
      <c r="E347" s="12"/>
      <c r="F347" s="4"/>
      <c r="G347" s="13"/>
      <c r="H347" s="14"/>
      <c r="I347" s="11"/>
      <c r="J347" s="4"/>
      <c r="K347" s="4"/>
      <c r="L347" s="7"/>
      <c r="M347" s="7"/>
      <c r="N347" s="4"/>
    </row>
    <row r="348" spans="1:14" x14ac:dyDescent="0.3">
      <c r="A348" s="10"/>
      <c r="B348" s="4"/>
      <c r="C348" s="11"/>
      <c r="D348" s="12"/>
      <c r="E348" s="12"/>
      <c r="F348" s="4"/>
      <c r="G348" s="13"/>
      <c r="H348" s="14"/>
      <c r="I348" s="11"/>
      <c r="J348" s="4"/>
      <c r="K348" s="4"/>
      <c r="L348" s="7"/>
      <c r="M348" s="7"/>
      <c r="N348" s="4"/>
    </row>
    <row r="349" spans="1:14" x14ac:dyDescent="0.3">
      <c r="A349" s="10"/>
      <c r="B349" s="4"/>
      <c r="C349" s="11"/>
      <c r="D349" s="12"/>
      <c r="E349" s="12"/>
      <c r="F349" s="4"/>
      <c r="G349" s="13"/>
      <c r="H349" s="14"/>
      <c r="I349" s="11"/>
      <c r="J349" s="4"/>
      <c r="K349" s="4"/>
      <c r="L349" s="7"/>
      <c r="M349" s="7"/>
      <c r="N349" s="4"/>
    </row>
    <row r="350" spans="1:14" x14ac:dyDescent="0.3">
      <c r="A350" s="10"/>
      <c r="B350" s="4"/>
      <c r="C350" s="11"/>
      <c r="D350" s="12"/>
      <c r="E350" s="12"/>
      <c r="F350" s="4"/>
      <c r="G350" s="13"/>
      <c r="H350" s="14"/>
      <c r="I350" s="11"/>
      <c r="J350" s="4"/>
      <c r="K350" s="4"/>
      <c r="L350" s="7"/>
      <c r="M350" s="7"/>
      <c r="N350" s="4"/>
    </row>
    <row r="351" spans="1:14" x14ac:dyDescent="0.3">
      <c r="A351" s="10"/>
      <c r="B351" s="4"/>
      <c r="C351" s="11"/>
      <c r="D351" s="12"/>
      <c r="E351" s="12"/>
      <c r="F351" s="4"/>
      <c r="G351" s="13"/>
      <c r="H351" s="14"/>
      <c r="I351" s="11"/>
      <c r="J351" s="4"/>
      <c r="K351" s="4"/>
      <c r="L351" s="7"/>
      <c r="M351" s="7"/>
      <c r="N351" s="4"/>
    </row>
    <row r="352" spans="1:14" x14ac:dyDescent="0.3">
      <c r="A352" s="10"/>
      <c r="B352" s="4"/>
      <c r="C352" s="11"/>
      <c r="D352" s="12"/>
      <c r="E352" s="12"/>
      <c r="F352" s="4"/>
      <c r="G352" s="13"/>
      <c r="H352" s="14"/>
      <c r="I352" s="11"/>
      <c r="J352" s="4"/>
      <c r="K352" s="4"/>
      <c r="L352" s="7"/>
      <c r="M352" s="7"/>
      <c r="N352" s="4"/>
    </row>
    <row r="353" spans="1:14" x14ac:dyDescent="0.3">
      <c r="A353" s="10"/>
      <c r="B353" s="4"/>
      <c r="C353" s="11"/>
      <c r="D353" s="12"/>
      <c r="E353" s="12"/>
      <c r="F353" s="4"/>
      <c r="G353" s="13"/>
      <c r="H353" s="14"/>
      <c r="I353" s="11"/>
      <c r="J353" s="4"/>
      <c r="K353" s="4"/>
      <c r="L353" s="7"/>
      <c r="M353" s="7"/>
      <c r="N353" s="4"/>
    </row>
    <row r="354" spans="1:14" x14ac:dyDescent="0.3">
      <c r="A354" s="10"/>
      <c r="B354" s="4"/>
      <c r="C354" s="11"/>
      <c r="D354" s="12"/>
      <c r="E354" s="12"/>
      <c r="F354" s="4"/>
      <c r="G354" s="13"/>
      <c r="H354" s="14"/>
      <c r="I354" s="11"/>
      <c r="J354" s="4"/>
      <c r="K354" s="4"/>
      <c r="L354" s="7"/>
      <c r="M354" s="7"/>
      <c r="N354" s="4"/>
    </row>
    <row r="355" spans="1:14" x14ac:dyDescent="0.3">
      <c r="A355" s="10"/>
      <c r="B355" s="4"/>
      <c r="C355" s="11"/>
      <c r="D355" s="12"/>
      <c r="E355" s="12"/>
      <c r="F355" s="4"/>
      <c r="G355" s="13"/>
      <c r="H355" s="14"/>
      <c r="I355" s="11"/>
      <c r="J355" s="4"/>
      <c r="K355" s="4"/>
      <c r="L355" s="7"/>
      <c r="M355" s="7"/>
      <c r="N355" s="4"/>
    </row>
    <row r="356" spans="1:14" x14ac:dyDescent="0.3">
      <c r="A356" s="10"/>
      <c r="B356" s="4"/>
      <c r="C356" s="11"/>
      <c r="D356" s="12"/>
      <c r="E356" s="12"/>
      <c r="F356" s="4"/>
      <c r="G356" s="13"/>
      <c r="H356" s="14"/>
      <c r="I356" s="11"/>
      <c r="J356" s="4"/>
      <c r="K356" s="4"/>
      <c r="L356" s="7"/>
      <c r="M356" s="7"/>
      <c r="N356" s="4"/>
    </row>
    <row r="357" spans="1:14" x14ac:dyDescent="0.3">
      <c r="A357" s="10"/>
      <c r="B357" s="4"/>
      <c r="C357" s="11"/>
      <c r="D357" s="12"/>
      <c r="E357" s="12"/>
      <c r="F357" s="4"/>
      <c r="G357" s="13"/>
      <c r="H357" s="14"/>
      <c r="I357" s="11"/>
      <c r="J357" s="4"/>
      <c r="K357" s="4"/>
      <c r="L357" s="7"/>
      <c r="M357" s="7"/>
      <c r="N357" s="4"/>
    </row>
    <row r="361" spans="1:14" ht="28.8" x14ac:dyDescent="0.3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4</v>
      </c>
      <c r="F361" s="1" t="s">
        <v>5</v>
      </c>
      <c r="G361" s="1" t="s">
        <v>6</v>
      </c>
      <c r="H361" s="1" t="s">
        <v>7</v>
      </c>
      <c r="I361" s="1" t="s">
        <v>8</v>
      </c>
      <c r="J361" s="1" t="s">
        <v>9</v>
      </c>
      <c r="K361" s="1" t="s">
        <v>10</v>
      </c>
      <c r="L361" s="2"/>
      <c r="M361" s="2"/>
      <c r="N361" s="2"/>
    </row>
    <row r="362" spans="1:14" x14ac:dyDescent="0.3">
      <c r="A362" s="4" t="s">
        <v>11</v>
      </c>
      <c r="B362" s="3" t="str">
        <f>_xlfn.XLOOKUP($C362,'[1]Basic EMP Data - 2025'!$D$3:$D$216,'[1]Basic EMP Data - 2025'!$C$3:$C$216)</f>
        <v>VB2139</v>
      </c>
      <c r="C362" s="5" t="s">
        <v>40</v>
      </c>
      <c r="D362" s="4" t="str">
        <f>VLOOKUP($B362,'[1]Basic EMP Data - 2025'!$C$3:$F$216,3,0)</f>
        <v>Aditya Yadav</v>
      </c>
      <c r="E362" s="4">
        <f>VLOOKUP($B362,'[1]Basic EMP Data - 2025'!$C$3:$I$216,5,0)</f>
        <v>2</v>
      </c>
      <c r="F362" s="4">
        <f>VLOOKUP($B362,'[1]Basic EMP Data - 2025'!$C$3:$I$216,6,0)</f>
        <v>0</v>
      </c>
      <c r="G362" s="6">
        <f>F362/E362</f>
        <v>0</v>
      </c>
      <c r="H362" s="7">
        <f>SUM(L364:L382)</f>
        <v>0</v>
      </c>
      <c r="I362" s="8" cm="1">
        <f t="array" ref="I362">_xlfn.IFS($G362&lt;=34%,0%,$G362&lt;=75%,3%,$G362&lt;=120%,4%,$G362&gt;120%,5%)</f>
        <v>0</v>
      </c>
      <c r="J362" s="7" cm="1">
        <f t="array" ref="J362">SUMPRODUCT((C364:C382=2024)*M364:M382) + SUMPRODUCT((C364:C382=2025)*M364:M382*2)</f>
        <v>0</v>
      </c>
      <c r="K362" s="4">
        <f>SUM(N364:N382)</f>
        <v>0</v>
      </c>
      <c r="M362" s="2"/>
      <c r="N362" s="2"/>
    </row>
    <row r="363" spans="1:14" ht="28.8" x14ac:dyDescent="0.3">
      <c r="A363" s="9" t="s">
        <v>2</v>
      </c>
      <c r="B363" s="9" t="s">
        <v>13</v>
      </c>
      <c r="C363" s="9" t="s">
        <v>14</v>
      </c>
      <c r="D363" s="9" t="s">
        <v>15</v>
      </c>
      <c r="E363" s="9" t="s">
        <v>16</v>
      </c>
      <c r="F363" s="9" t="s">
        <v>17</v>
      </c>
      <c r="G363" s="9" t="s">
        <v>18</v>
      </c>
      <c r="H363" s="9" t="s">
        <v>19</v>
      </c>
      <c r="I363" s="9" t="s">
        <v>20</v>
      </c>
      <c r="J363" s="9" t="s">
        <v>21</v>
      </c>
      <c r="K363" s="9" t="s">
        <v>22</v>
      </c>
      <c r="L363" s="9" t="s">
        <v>23</v>
      </c>
      <c r="M363" s="9" t="s">
        <v>24</v>
      </c>
      <c r="N363" s="9" t="s">
        <v>25</v>
      </c>
    </row>
    <row r="364" spans="1:14" x14ac:dyDescent="0.3">
      <c r="A364" s="10" t="str">
        <f>C362</f>
        <v>Shagun Jaiswal</v>
      </c>
      <c r="B364" s="4" t="e" cm="1" vm="1">
        <f t="array" ref="B364">_xlfn.LET(
  _xlpm.data, _xlfn._xlws.FILTER('[1]Incentive Data'!A:BV, '[1]Incentive Data'!H:H=$C362),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64" s="11"/>
      <c r="D364" s="12"/>
      <c r="E364" s="12"/>
      <c r="F364" s="4"/>
      <c r="G364" s="13"/>
      <c r="H364" s="14"/>
      <c r="I364" s="11"/>
      <c r="J364" s="4"/>
      <c r="K364" s="4"/>
      <c r="L364" s="7"/>
      <c r="M364" s="7"/>
      <c r="N364" s="4"/>
    </row>
    <row r="365" spans="1:14" x14ac:dyDescent="0.3">
      <c r="A365" s="10"/>
      <c r="B365" s="4"/>
      <c r="C365" s="11"/>
      <c r="D365" s="12"/>
      <c r="E365" s="12"/>
      <c r="F365" s="4"/>
      <c r="G365" s="13"/>
      <c r="H365" s="14"/>
      <c r="I365" s="11"/>
      <c r="J365" s="4"/>
      <c r="K365" s="4"/>
      <c r="L365" s="7"/>
      <c r="M365" s="7"/>
      <c r="N365" s="4"/>
    </row>
    <row r="366" spans="1:14" x14ac:dyDescent="0.3">
      <c r="A366" s="10"/>
      <c r="B366" s="4"/>
      <c r="C366" s="11"/>
      <c r="D366" s="12"/>
      <c r="E366" s="12"/>
      <c r="F366" s="4"/>
      <c r="G366" s="13"/>
      <c r="H366" s="14"/>
      <c r="I366" s="11"/>
      <c r="J366" s="4"/>
      <c r="K366" s="4"/>
      <c r="L366" s="7"/>
      <c r="M366" s="7"/>
      <c r="N366" s="4"/>
    </row>
    <row r="367" spans="1:14" x14ac:dyDescent="0.3">
      <c r="A367" s="10"/>
      <c r="B367" s="4"/>
      <c r="C367" s="11"/>
      <c r="D367" s="12"/>
      <c r="E367" s="12"/>
      <c r="F367" s="4"/>
      <c r="G367" s="13"/>
      <c r="H367" s="14"/>
      <c r="I367" s="11"/>
      <c r="J367" s="4"/>
      <c r="K367" s="4"/>
      <c r="L367" s="7"/>
      <c r="M367" s="7"/>
      <c r="N367" s="4"/>
    </row>
    <row r="368" spans="1:14" x14ac:dyDescent="0.3">
      <c r="A368" s="10"/>
      <c r="B368" s="4"/>
      <c r="C368" s="11"/>
      <c r="D368" s="12"/>
      <c r="E368" s="12"/>
      <c r="F368" s="4"/>
      <c r="G368" s="13"/>
      <c r="H368" s="14"/>
      <c r="I368" s="11"/>
      <c r="J368" s="4"/>
      <c r="K368" s="4"/>
      <c r="L368" s="7"/>
      <c r="M368" s="7"/>
      <c r="N368" s="4"/>
    </row>
    <row r="369" spans="1:14" x14ac:dyDescent="0.3">
      <c r="A369" s="10"/>
      <c r="B369" s="4"/>
      <c r="C369" s="11"/>
      <c r="D369" s="12"/>
      <c r="E369" s="12"/>
      <c r="F369" s="4"/>
      <c r="G369" s="13"/>
      <c r="H369" s="14"/>
      <c r="I369" s="11"/>
      <c r="J369" s="4"/>
      <c r="K369" s="4"/>
      <c r="L369" s="7"/>
      <c r="M369" s="7"/>
      <c r="N369" s="4"/>
    </row>
    <row r="370" spans="1:14" x14ac:dyDescent="0.3">
      <c r="A370" s="10"/>
      <c r="B370" s="4"/>
      <c r="C370" s="11"/>
      <c r="D370" s="12"/>
      <c r="E370" s="12"/>
      <c r="F370" s="4"/>
      <c r="G370" s="13"/>
      <c r="H370" s="14"/>
      <c r="I370" s="11"/>
      <c r="J370" s="4"/>
      <c r="K370" s="4"/>
      <c r="L370" s="7"/>
      <c r="M370" s="7"/>
      <c r="N370" s="4"/>
    </row>
    <row r="371" spans="1:14" x14ac:dyDescent="0.3">
      <c r="A371" s="10"/>
      <c r="B371" s="4"/>
      <c r="C371" s="11"/>
      <c r="D371" s="12"/>
      <c r="E371" s="12"/>
      <c r="F371" s="4"/>
      <c r="G371" s="13"/>
      <c r="H371" s="14"/>
      <c r="I371" s="11"/>
      <c r="J371" s="4"/>
      <c r="K371" s="4"/>
      <c r="L371" s="7"/>
      <c r="M371" s="7"/>
      <c r="N371" s="4"/>
    </row>
    <row r="372" spans="1:14" x14ac:dyDescent="0.3">
      <c r="A372" s="10"/>
      <c r="B372" s="4"/>
      <c r="C372" s="11"/>
      <c r="D372" s="12"/>
      <c r="E372" s="12"/>
      <c r="F372" s="4"/>
      <c r="G372" s="13"/>
      <c r="H372" s="14"/>
      <c r="I372" s="11"/>
      <c r="J372" s="4"/>
      <c r="K372" s="4"/>
      <c r="L372" s="7"/>
      <c r="M372" s="7"/>
      <c r="N372" s="4"/>
    </row>
    <row r="373" spans="1:14" x14ac:dyDescent="0.3">
      <c r="A373" s="10"/>
      <c r="B373" s="4"/>
      <c r="C373" s="11"/>
      <c r="D373" s="12"/>
      <c r="E373" s="12"/>
      <c r="F373" s="4"/>
      <c r="G373" s="13"/>
      <c r="H373" s="14"/>
      <c r="I373" s="11"/>
      <c r="J373" s="4"/>
      <c r="K373" s="4"/>
      <c r="L373" s="7"/>
      <c r="M373" s="7"/>
      <c r="N373" s="4"/>
    </row>
    <row r="374" spans="1:14" x14ac:dyDescent="0.3">
      <c r="A374" s="10"/>
      <c r="B374" s="4"/>
      <c r="C374" s="11"/>
      <c r="D374" s="12"/>
      <c r="E374" s="12"/>
      <c r="F374" s="4"/>
      <c r="G374" s="13"/>
      <c r="H374" s="14"/>
      <c r="I374" s="11"/>
      <c r="J374" s="4"/>
      <c r="K374" s="4"/>
      <c r="L374" s="7"/>
      <c r="M374" s="7"/>
      <c r="N374" s="4"/>
    </row>
    <row r="375" spans="1:14" x14ac:dyDescent="0.3">
      <c r="A375" s="10"/>
      <c r="B375" s="4"/>
      <c r="C375" s="11"/>
      <c r="D375" s="12"/>
      <c r="E375" s="12"/>
      <c r="F375" s="4"/>
      <c r="G375" s="13"/>
      <c r="H375" s="14"/>
      <c r="I375" s="11"/>
      <c r="J375" s="4"/>
      <c r="K375" s="4"/>
      <c r="L375" s="7"/>
      <c r="M375" s="7"/>
      <c r="N375" s="4"/>
    </row>
    <row r="376" spans="1:14" x14ac:dyDescent="0.3">
      <c r="A376" s="10"/>
      <c r="B376" s="4"/>
      <c r="C376" s="11"/>
      <c r="D376" s="12"/>
      <c r="E376" s="12"/>
      <c r="F376" s="4"/>
      <c r="G376" s="13"/>
      <c r="H376" s="14"/>
      <c r="I376" s="11"/>
      <c r="J376" s="4"/>
      <c r="K376" s="4"/>
      <c r="L376" s="7"/>
      <c r="M376" s="7"/>
      <c r="N376" s="4"/>
    </row>
    <row r="377" spans="1:14" x14ac:dyDescent="0.3">
      <c r="A377" s="10"/>
      <c r="B377" s="4"/>
      <c r="C377" s="11"/>
      <c r="D377" s="12"/>
      <c r="E377" s="12"/>
      <c r="F377" s="4"/>
      <c r="G377" s="13"/>
      <c r="H377" s="14"/>
      <c r="I377" s="11"/>
      <c r="J377" s="4"/>
      <c r="K377" s="4"/>
      <c r="L377" s="7"/>
      <c r="M377" s="7"/>
      <c r="N377" s="4"/>
    </row>
    <row r="378" spans="1:14" x14ac:dyDescent="0.3">
      <c r="A378" s="10"/>
      <c r="B378" s="4"/>
      <c r="C378" s="11"/>
      <c r="D378" s="12"/>
      <c r="E378" s="12"/>
      <c r="F378" s="4"/>
      <c r="G378" s="13"/>
      <c r="H378" s="14"/>
      <c r="I378" s="11"/>
      <c r="J378" s="4"/>
      <c r="K378" s="4"/>
      <c r="L378" s="7"/>
      <c r="M378" s="7"/>
      <c r="N378" s="4"/>
    </row>
    <row r="379" spans="1:14" x14ac:dyDescent="0.3">
      <c r="A379" s="10"/>
      <c r="B379" s="4"/>
      <c r="C379" s="11"/>
      <c r="D379" s="12"/>
      <c r="E379" s="12"/>
      <c r="F379" s="4"/>
      <c r="G379" s="13"/>
      <c r="H379" s="14"/>
      <c r="I379" s="11"/>
      <c r="J379" s="4"/>
      <c r="K379" s="4"/>
      <c r="L379" s="7"/>
      <c r="M379" s="7"/>
      <c r="N379" s="4"/>
    </row>
    <row r="380" spans="1:14" x14ac:dyDescent="0.3">
      <c r="A380" s="10"/>
      <c r="B380" s="4"/>
      <c r="C380" s="11"/>
      <c r="D380" s="12"/>
      <c r="E380" s="12"/>
      <c r="F380" s="4"/>
      <c r="G380" s="13"/>
      <c r="H380" s="14"/>
      <c r="I380" s="11"/>
      <c r="J380" s="4"/>
      <c r="K380" s="4"/>
      <c r="L380" s="7"/>
      <c r="M380" s="7"/>
      <c r="N380" s="4"/>
    </row>
    <row r="381" spans="1:14" x14ac:dyDescent="0.3">
      <c r="A381" s="10"/>
      <c r="B381" s="4"/>
      <c r="C381" s="11"/>
      <c r="D381" s="12"/>
      <c r="E381" s="12"/>
      <c r="F381" s="4"/>
      <c r="G381" s="13"/>
      <c r="H381" s="14"/>
      <c r="I381" s="11"/>
      <c r="J381" s="4"/>
      <c r="K381" s="4"/>
      <c r="L381" s="7"/>
      <c r="M381" s="7"/>
      <c r="N381" s="4"/>
    </row>
    <row r="382" spans="1:14" x14ac:dyDescent="0.3">
      <c r="A382" s="10"/>
      <c r="B382" s="4"/>
      <c r="C382" s="11"/>
      <c r="D382" s="12"/>
      <c r="E382" s="12"/>
      <c r="F382" s="4"/>
      <c r="G382" s="13"/>
      <c r="H382" s="14"/>
      <c r="I382" s="11"/>
      <c r="J382" s="4"/>
      <c r="K382" s="4"/>
      <c r="L382" s="7"/>
      <c r="M382" s="7"/>
      <c r="N382" s="4"/>
    </row>
    <row r="386" spans="1:14" ht="28.8" x14ac:dyDescent="0.3">
      <c r="A386" s="1" t="s">
        <v>0</v>
      </c>
      <c r="B386" s="1" t="s">
        <v>1</v>
      </c>
      <c r="C386" s="1" t="s">
        <v>2</v>
      </c>
      <c r="D386" s="1" t="s">
        <v>3</v>
      </c>
      <c r="E386" s="1" t="s">
        <v>4</v>
      </c>
      <c r="F386" s="1" t="s">
        <v>5</v>
      </c>
      <c r="G386" s="1" t="s">
        <v>6</v>
      </c>
      <c r="H386" s="1" t="s">
        <v>7</v>
      </c>
      <c r="I386" s="1" t="s">
        <v>8</v>
      </c>
      <c r="J386" s="1" t="s">
        <v>9</v>
      </c>
      <c r="K386" s="1" t="s">
        <v>10</v>
      </c>
      <c r="L386" s="2"/>
      <c r="M386" s="2"/>
      <c r="N386" s="2"/>
    </row>
    <row r="387" spans="1:14" x14ac:dyDescent="0.3">
      <c r="A387" s="4" t="s">
        <v>11</v>
      </c>
      <c r="B387" s="3" t="str">
        <f>_xlfn.XLOOKUP($C387,'[1]Basic EMP Data - 2025'!$D$3:$D$216,'[1]Basic EMP Data - 2025'!$C$3:$C$216)</f>
        <v>VB2220</v>
      </c>
      <c r="C387" s="5" t="s">
        <v>41</v>
      </c>
      <c r="D387" s="4" t="str">
        <f>VLOOKUP($B387,'[1]Basic EMP Data - 2025'!$C$3:$F$216,3,0)</f>
        <v>Aditya Yadav</v>
      </c>
      <c r="E387" s="4">
        <f>VLOOKUP($B387,'[1]Basic EMP Data - 2025'!$C$3:$I$216,5,0)</f>
        <v>0</v>
      </c>
      <c r="F387" s="4">
        <f>VLOOKUP($B387,'[1]Basic EMP Data - 2025'!$C$3:$I$216,6,0)</f>
        <v>0</v>
      </c>
      <c r="G387" s="6" t="e">
        <f>F387/E387</f>
        <v>#DIV/0!</v>
      </c>
      <c r="H387" s="7">
        <f>SUM(L389:L407)</f>
        <v>0</v>
      </c>
      <c r="I387" s="8" t="e" cm="1">
        <f t="array" ref="I387">_xlfn.IFS($G387&lt;=34%,0%,$G387&lt;=75%,3%,$G387&lt;=120%,4%,$G387&gt;120%,5%)</f>
        <v>#DIV/0!</v>
      </c>
      <c r="J387" s="7" cm="1">
        <f t="array" ref="J387">SUMPRODUCT((C389:C407=2024)*M389:M407) + SUMPRODUCT((C389:C407=2025)*M389:M407*2)</f>
        <v>0</v>
      </c>
      <c r="K387" s="4">
        <f>SUM(N389:N407)</f>
        <v>0</v>
      </c>
      <c r="M387" s="2"/>
      <c r="N387" s="2"/>
    </row>
    <row r="388" spans="1:14" ht="28.8" x14ac:dyDescent="0.3">
      <c r="A388" s="9" t="s">
        <v>2</v>
      </c>
      <c r="B388" s="9" t="s">
        <v>13</v>
      </c>
      <c r="C388" s="9" t="s">
        <v>14</v>
      </c>
      <c r="D388" s="9" t="s">
        <v>15</v>
      </c>
      <c r="E388" s="9" t="s">
        <v>16</v>
      </c>
      <c r="F388" s="9" t="s">
        <v>17</v>
      </c>
      <c r="G388" s="9" t="s">
        <v>18</v>
      </c>
      <c r="H388" s="9" t="s">
        <v>19</v>
      </c>
      <c r="I388" s="9" t="s">
        <v>20</v>
      </c>
      <c r="J388" s="9" t="s">
        <v>21</v>
      </c>
      <c r="K388" s="9" t="s">
        <v>22</v>
      </c>
      <c r="L388" s="9" t="s">
        <v>23</v>
      </c>
      <c r="M388" s="9" t="s">
        <v>24</v>
      </c>
      <c r="N388" s="9" t="s">
        <v>25</v>
      </c>
    </row>
    <row r="389" spans="1:14" x14ac:dyDescent="0.3">
      <c r="A389" s="10" t="str">
        <f>C387</f>
        <v>Shagun Tewari</v>
      </c>
      <c r="B389" s="4" t="e" cm="1" vm="1">
        <f t="array" ref="B389">_xlfn.LET(
  _xlpm.data, _xlfn._xlws.FILTER('[1]Incentive Data'!A:BV, '[1]Incentive Data'!H:H=$C387),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89" s="11"/>
      <c r="D389" s="12"/>
      <c r="E389" s="12"/>
      <c r="F389" s="4"/>
      <c r="G389" s="13"/>
      <c r="H389" s="14"/>
      <c r="I389" s="11"/>
      <c r="J389" s="4"/>
      <c r="K389" s="4"/>
      <c r="L389" s="7"/>
      <c r="M389" s="7"/>
      <c r="N389" s="4"/>
    </row>
    <row r="390" spans="1:14" x14ac:dyDescent="0.3">
      <c r="A390" s="10"/>
      <c r="B390" s="4"/>
      <c r="C390" s="11"/>
      <c r="D390" s="12"/>
      <c r="E390" s="12"/>
      <c r="F390" s="4"/>
      <c r="G390" s="13"/>
      <c r="H390" s="14"/>
      <c r="I390" s="11"/>
      <c r="J390" s="4"/>
      <c r="K390" s="4"/>
      <c r="L390" s="7"/>
      <c r="M390" s="7"/>
      <c r="N390" s="4"/>
    </row>
    <row r="391" spans="1:14" x14ac:dyDescent="0.3">
      <c r="A391" s="10"/>
      <c r="B391" s="4"/>
      <c r="C391" s="11"/>
      <c r="D391" s="12"/>
      <c r="E391" s="12"/>
      <c r="F391" s="4"/>
      <c r="G391" s="13"/>
      <c r="H391" s="14"/>
      <c r="I391" s="11"/>
      <c r="J391" s="4"/>
      <c r="K391" s="4"/>
      <c r="L391" s="7"/>
      <c r="M391" s="7"/>
      <c r="N391" s="4"/>
    </row>
    <row r="392" spans="1:14" x14ac:dyDescent="0.3">
      <c r="A392" s="10"/>
      <c r="B392" s="4"/>
      <c r="C392" s="11"/>
      <c r="D392" s="12"/>
      <c r="E392" s="12"/>
      <c r="F392" s="4"/>
      <c r="G392" s="13"/>
      <c r="H392" s="14"/>
      <c r="I392" s="11"/>
      <c r="J392" s="4"/>
      <c r="K392" s="4"/>
      <c r="L392" s="7"/>
      <c r="M392" s="7"/>
      <c r="N392" s="4"/>
    </row>
    <row r="393" spans="1:14" x14ac:dyDescent="0.3">
      <c r="A393" s="10"/>
      <c r="B393" s="4"/>
      <c r="C393" s="11"/>
      <c r="D393" s="12"/>
      <c r="E393" s="12"/>
      <c r="F393" s="4"/>
      <c r="G393" s="13"/>
      <c r="H393" s="14"/>
      <c r="I393" s="11"/>
      <c r="J393" s="4"/>
      <c r="K393" s="4"/>
      <c r="L393" s="7"/>
      <c r="M393" s="7"/>
      <c r="N393" s="4"/>
    </row>
    <row r="394" spans="1:14" x14ac:dyDescent="0.3">
      <c r="A394" s="10"/>
      <c r="B394" s="4"/>
      <c r="C394" s="11"/>
      <c r="D394" s="12"/>
      <c r="E394" s="12"/>
      <c r="F394" s="4"/>
      <c r="G394" s="13"/>
      <c r="H394" s="14"/>
      <c r="I394" s="11"/>
      <c r="J394" s="4"/>
      <c r="K394" s="4"/>
      <c r="L394" s="7"/>
      <c r="M394" s="7"/>
      <c r="N394" s="4"/>
    </row>
    <row r="395" spans="1:14" x14ac:dyDescent="0.3">
      <c r="A395" s="10"/>
      <c r="B395" s="4"/>
      <c r="C395" s="11"/>
      <c r="D395" s="12"/>
      <c r="E395" s="12"/>
      <c r="F395" s="4"/>
      <c r="G395" s="13"/>
      <c r="H395" s="14"/>
      <c r="I395" s="11"/>
      <c r="J395" s="4"/>
      <c r="K395" s="4"/>
      <c r="L395" s="7"/>
      <c r="M395" s="7"/>
      <c r="N395" s="4"/>
    </row>
    <row r="396" spans="1:14" x14ac:dyDescent="0.3">
      <c r="A396" s="10"/>
      <c r="B396" s="4"/>
      <c r="C396" s="11"/>
      <c r="D396" s="12"/>
      <c r="E396" s="12"/>
      <c r="F396" s="4"/>
      <c r="G396" s="13"/>
      <c r="H396" s="14"/>
      <c r="I396" s="11"/>
      <c r="J396" s="4"/>
      <c r="K396" s="4"/>
      <c r="L396" s="7"/>
      <c r="M396" s="7"/>
      <c r="N396" s="4"/>
    </row>
    <row r="397" spans="1:14" x14ac:dyDescent="0.3">
      <c r="A397" s="10"/>
      <c r="B397" s="4"/>
      <c r="C397" s="11"/>
      <c r="D397" s="12"/>
      <c r="E397" s="12"/>
      <c r="F397" s="4"/>
      <c r="G397" s="13"/>
      <c r="H397" s="14"/>
      <c r="I397" s="11"/>
      <c r="J397" s="4"/>
      <c r="K397" s="4"/>
      <c r="L397" s="7"/>
      <c r="M397" s="7"/>
      <c r="N397" s="4"/>
    </row>
    <row r="398" spans="1:14" x14ac:dyDescent="0.3">
      <c r="A398" s="10"/>
      <c r="B398" s="4"/>
      <c r="C398" s="11"/>
      <c r="D398" s="12"/>
      <c r="E398" s="12"/>
      <c r="F398" s="4"/>
      <c r="G398" s="13"/>
      <c r="H398" s="14"/>
      <c r="I398" s="11"/>
      <c r="J398" s="4"/>
      <c r="K398" s="4"/>
      <c r="L398" s="7"/>
      <c r="M398" s="7"/>
      <c r="N398" s="4"/>
    </row>
    <row r="399" spans="1:14" x14ac:dyDescent="0.3">
      <c r="A399" s="10"/>
      <c r="B399" s="4"/>
      <c r="C399" s="11"/>
      <c r="D399" s="12"/>
      <c r="E399" s="12"/>
      <c r="F399" s="4"/>
      <c r="G399" s="13"/>
      <c r="H399" s="14"/>
      <c r="I399" s="11"/>
      <c r="J399" s="4"/>
      <c r="K399" s="4"/>
      <c r="L399" s="7"/>
      <c r="M399" s="7"/>
      <c r="N399" s="4"/>
    </row>
    <row r="400" spans="1:14" x14ac:dyDescent="0.3">
      <c r="A400" s="10"/>
      <c r="B400" s="4"/>
      <c r="C400" s="11"/>
      <c r="D400" s="12"/>
      <c r="E400" s="12"/>
      <c r="F400" s="4"/>
      <c r="G400" s="13"/>
      <c r="H400" s="14"/>
      <c r="I400" s="11"/>
      <c r="J400" s="4"/>
      <c r="K400" s="4"/>
      <c r="L400" s="7"/>
      <c r="M400" s="7"/>
      <c r="N400" s="4"/>
    </row>
    <row r="401" spans="1:14" x14ac:dyDescent="0.3">
      <c r="A401" s="10"/>
      <c r="B401" s="4"/>
      <c r="C401" s="11"/>
      <c r="D401" s="12"/>
      <c r="E401" s="12"/>
      <c r="F401" s="4"/>
      <c r="G401" s="13"/>
      <c r="H401" s="14"/>
      <c r="I401" s="11"/>
      <c r="J401" s="4"/>
      <c r="K401" s="4"/>
      <c r="L401" s="7"/>
      <c r="M401" s="7"/>
      <c r="N401" s="4"/>
    </row>
    <row r="402" spans="1:14" x14ac:dyDescent="0.3">
      <c r="A402" s="10"/>
      <c r="B402" s="4"/>
      <c r="C402" s="11"/>
      <c r="D402" s="12"/>
      <c r="E402" s="12"/>
      <c r="F402" s="4"/>
      <c r="G402" s="13"/>
      <c r="H402" s="14"/>
      <c r="I402" s="11"/>
      <c r="J402" s="4"/>
      <c r="K402" s="4"/>
      <c r="L402" s="7"/>
      <c r="M402" s="7"/>
      <c r="N402" s="4"/>
    </row>
    <row r="403" spans="1:14" x14ac:dyDescent="0.3">
      <c r="A403" s="10"/>
      <c r="B403" s="4"/>
      <c r="C403" s="11"/>
      <c r="D403" s="12"/>
      <c r="E403" s="12"/>
      <c r="F403" s="4"/>
      <c r="G403" s="13"/>
      <c r="H403" s="14"/>
      <c r="I403" s="11"/>
      <c r="J403" s="4"/>
      <c r="K403" s="4"/>
      <c r="L403" s="7"/>
      <c r="M403" s="7"/>
      <c r="N403" s="4"/>
    </row>
    <row r="404" spans="1:14" x14ac:dyDescent="0.3">
      <c r="A404" s="10"/>
      <c r="B404" s="4"/>
      <c r="C404" s="11"/>
      <c r="D404" s="12"/>
      <c r="E404" s="12"/>
      <c r="F404" s="4"/>
      <c r="G404" s="13"/>
      <c r="H404" s="14"/>
      <c r="I404" s="11"/>
      <c r="J404" s="4"/>
      <c r="K404" s="4"/>
      <c r="L404" s="7"/>
      <c r="M404" s="7"/>
      <c r="N404" s="4"/>
    </row>
    <row r="405" spans="1:14" x14ac:dyDescent="0.3">
      <c r="A405" s="10"/>
      <c r="B405" s="4"/>
      <c r="C405" s="11"/>
      <c r="D405" s="12"/>
      <c r="E405" s="12"/>
      <c r="F405" s="4"/>
      <c r="G405" s="13"/>
      <c r="H405" s="14"/>
      <c r="I405" s="11"/>
      <c r="J405" s="4"/>
      <c r="K405" s="4"/>
      <c r="L405" s="7"/>
      <c r="M405" s="7"/>
      <c r="N405" s="4"/>
    </row>
    <row r="406" spans="1:14" x14ac:dyDescent="0.3">
      <c r="A406" s="10"/>
      <c r="B406" s="4"/>
      <c r="C406" s="11"/>
      <c r="D406" s="12"/>
      <c r="E406" s="12"/>
      <c r="F406" s="4"/>
      <c r="G406" s="13"/>
      <c r="H406" s="14"/>
      <c r="I406" s="11"/>
      <c r="J406" s="4"/>
      <c r="K406" s="4"/>
      <c r="L406" s="7"/>
      <c r="M406" s="7"/>
      <c r="N406" s="4"/>
    </row>
    <row r="407" spans="1:14" x14ac:dyDescent="0.3">
      <c r="A407" s="10"/>
      <c r="B407" s="4"/>
      <c r="C407" s="11"/>
      <c r="D407" s="12"/>
      <c r="E407" s="12"/>
      <c r="F407" s="4"/>
      <c r="G407" s="13"/>
      <c r="H407" s="14"/>
      <c r="I407" s="11"/>
      <c r="J407" s="4"/>
      <c r="K407" s="4"/>
      <c r="L407" s="7"/>
      <c r="M407" s="7"/>
      <c r="N407" s="4"/>
    </row>
    <row r="410" spans="1:14" ht="28.8" x14ac:dyDescent="0.3">
      <c r="A410" s="1" t="s">
        <v>0</v>
      </c>
      <c r="B410" s="1" t="s">
        <v>1</v>
      </c>
      <c r="C410" s="1" t="s">
        <v>2</v>
      </c>
      <c r="D410" s="1" t="s">
        <v>3</v>
      </c>
      <c r="E410" s="1" t="s">
        <v>4</v>
      </c>
      <c r="F410" s="1" t="s">
        <v>5</v>
      </c>
      <c r="G410" s="1" t="s">
        <v>6</v>
      </c>
      <c r="H410" s="1" t="s">
        <v>7</v>
      </c>
      <c r="I410" s="1" t="s">
        <v>8</v>
      </c>
      <c r="J410" s="1" t="s">
        <v>9</v>
      </c>
      <c r="K410" s="1" t="s">
        <v>10</v>
      </c>
      <c r="L410" s="2"/>
      <c r="M410" s="2"/>
      <c r="N410" s="2"/>
    </row>
    <row r="411" spans="1:14" x14ac:dyDescent="0.3">
      <c r="A411" s="4" t="s">
        <v>11</v>
      </c>
      <c r="B411" s="3" t="str">
        <f>_xlfn.XLOOKUP($C411,'[1]Basic EMP Data - 2025'!$D$3:$D$216,'[1]Basic EMP Data - 2025'!$C$3:$C$216)</f>
        <v>VB1658</v>
      </c>
      <c r="C411" s="5" t="s">
        <v>42</v>
      </c>
      <c r="D411" s="4" t="str">
        <f>VLOOKUP($B411,'[1]Basic EMP Data - 2025'!$C$3:$F$216,3,0)</f>
        <v>Abhishek Yadav</v>
      </c>
      <c r="E411" s="4">
        <f>VLOOKUP($B411,'[1]Basic EMP Data - 2025'!$C$3:$I$216,5,0)</f>
        <v>8</v>
      </c>
      <c r="F411" s="4">
        <f>VLOOKUP($B411,'[1]Basic EMP Data - 2025'!$C$3:$I$216,6,0)</f>
        <v>7</v>
      </c>
      <c r="G411" s="6">
        <f>F411/E411</f>
        <v>0.875</v>
      </c>
      <c r="H411" s="7">
        <f>SUM(L413:L431)</f>
        <v>48180.660000000011</v>
      </c>
      <c r="I411" s="8" cm="1">
        <f t="array" ref="I411">_xlfn.IFS($G411&lt;=34%,0%,$G411&lt;=75%,3%,$G411&lt;=120%,4%,$G411&gt;120%,5%)</f>
        <v>0.04</v>
      </c>
      <c r="J411" s="7" cm="1">
        <f t="array" ref="J411">SUMPRODUCT((C413:C431=2024)*M413:M431) + SUMPRODUCT((C413:C431=2025)*M413:M431*2)</f>
        <v>125540.76200000002</v>
      </c>
      <c r="K411" s="4">
        <f>SUM(N413:N431)</f>
        <v>0</v>
      </c>
      <c r="M411" s="2"/>
      <c r="N411" s="2"/>
    </row>
    <row r="412" spans="1:14" ht="28.8" x14ac:dyDescent="0.3">
      <c r="A412" s="9" t="s">
        <v>2</v>
      </c>
      <c r="B412" s="9" t="s">
        <v>13</v>
      </c>
      <c r="C412" s="9" t="s">
        <v>14</v>
      </c>
      <c r="D412" s="9" t="s">
        <v>15</v>
      </c>
      <c r="E412" s="9" t="s">
        <v>16</v>
      </c>
      <c r="F412" s="9" t="s">
        <v>17</v>
      </c>
      <c r="G412" s="9" t="s">
        <v>18</v>
      </c>
      <c r="H412" s="9" t="s">
        <v>19</v>
      </c>
      <c r="I412" s="9" t="s">
        <v>20</v>
      </c>
      <c r="J412" s="9" t="s">
        <v>21</v>
      </c>
      <c r="K412" s="9" t="s">
        <v>22</v>
      </c>
      <c r="L412" s="9" t="s">
        <v>23</v>
      </c>
      <c r="M412" s="9" t="s">
        <v>24</v>
      </c>
      <c r="N412" s="9" t="s">
        <v>25</v>
      </c>
    </row>
    <row r="413" spans="1:14" x14ac:dyDescent="0.3">
      <c r="A413" s="10" t="str">
        <f>C411</f>
        <v>Manish Kumar Dhiman</v>
      </c>
      <c r="B413" s="4" t="str" cm="1">
        <f t="array" ref="B413:M419">_xlfn.LET(
  _xlpm.data, _xlfn._xlws.FILTER('[1]Incentive Data'!A:BV, '[1]Incentive Data'!H:H=$C411),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David Francis Schnedar</v>
      </c>
      <c r="C413" s="11">
        <v>2025</v>
      </c>
      <c r="D413" s="12">
        <v>45691</v>
      </c>
      <c r="E413" s="12">
        <v>45883</v>
      </c>
      <c r="F413" s="4" t="str">
        <v>Genpact</v>
      </c>
      <c r="G413" s="13" t="str">
        <v>PLC-4091</v>
      </c>
      <c r="H413" s="14" t="str">
        <v>W2</v>
      </c>
      <c r="I413" s="11" t="str">
        <v>Done</v>
      </c>
      <c r="J413" s="4" t="str">
        <v>Y</v>
      </c>
      <c r="K413" s="4">
        <v>489</v>
      </c>
      <c r="L413" s="7">
        <v>7603.9500000000025</v>
      </c>
      <c r="M413" s="7">
        <v>12166.320000000005</v>
      </c>
      <c r="N413" s="4"/>
    </row>
    <row r="414" spans="1:14" x14ac:dyDescent="0.3">
      <c r="A414" s="10"/>
      <c r="B414" s="4" t="str">
        <v>Kalpana Venkatasamy</v>
      </c>
      <c r="C414" s="11">
        <v>2025</v>
      </c>
      <c r="D414" s="12">
        <v>45672</v>
      </c>
      <c r="E414" s="12" t="str">
        <v>-</v>
      </c>
      <c r="F414" s="4" t="str">
        <v>Genpact</v>
      </c>
      <c r="G414" s="13" t="str">
        <v>PLC-4074</v>
      </c>
      <c r="H414" s="14" t="str">
        <v>C2C</v>
      </c>
      <c r="I414" s="11" t="str">
        <v>Done</v>
      </c>
      <c r="J414" s="4" t="str">
        <v>Y</v>
      </c>
      <c r="K414" s="4">
        <v>592</v>
      </c>
      <c r="L414" s="7">
        <v>6372.9600000000028</v>
      </c>
      <c r="M414" s="7">
        <v>10196.736000000003</v>
      </c>
      <c r="N414" s="4"/>
    </row>
    <row r="415" spans="1:14" x14ac:dyDescent="0.3">
      <c r="A415" s="10"/>
      <c r="B415" s="4" t="str">
        <v>Mohamed Deen Nathar</v>
      </c>
      <c r="C415" s="11">
        <v>2024</v>
      </c>
      <c r="D415" s="12">
        <v>45586</v>
      </c>
      <c r="E415" s="12" t="str">
        <v>-</v>
      </c>
      <c r="F415" s="4" t="str">
        <v>Genpact</v>
      </c>
      <c r="G415" s="13" t="str">
        <v>PLC-3993</v>
      </c>
      <c r="H415" s="14" t="str">
        <v>C2C</v>
      </c>
      <c r="I415" s="11" t="str">
        <v>Done</v>
      </c>
      <c r="J415" s="4" t="str">
        <v>Y</v>
      </c>
      <c r="K415" s="4">
        <v>664</v>
      </c>
      <c r="L415" s="7">
        <v>7071.5999999999995</v>
      </c>
      <c r="M415" s="7">
        <v>15557.519999999999</v>
      </c>
      <c r="N415" s="4"/>
    </row>
    <row r="416" spans="1:14" x14ac:dyDescent="0.3">
      <c r="A416" s="10"/>
      <c r="B416" s="4" t="str">
        <v>Neha Kumari</v>
      </c>
      <c r="C416" s="11">
        <v>2024</v>
      </c>
      <c r="D416" s="12">
        <v>45609</v>
      </c>
      <c r="E416" s="12">
        <v>45702</v>
      </c>
      <c r="F416" s="4" t="str">
        <v>Genpact</v>
      </c>
      <c r="G416" s="13" t="str">
        <v>PLC-4004</v>
      </c>
      <c r="H416" s="14" t="str">
        <v>C2C</v>
      </c>
      <c r="I416" s="11" t="str">
        <v>Done</v>
      </c>
      <c r="J416" s="4" t="str">
        <v>Y</v>
      </c>
      <c r="K416" s="4">
        <v>256</v>
      </c>
      <c r="L416" s="7">
        <v>4608</v>
      </c>
      <c r="M416" s="7">
        <v>10137.6</v>
      </c>
      <c r="N416" s="4"/>
    </row>
    <row r="417" spans="1:14" x14ac:dyDescent="0.3">
      <c r="A417" s="10"/>
      <c r="B417" s="4" t="str">
        <v>Norma Winters</v>
      </c>
      <c r="C417" s="11">
        <v>2024</v>
      </c>
      <c r="D417" s="12">
        <v>45411</v>
      </c>
      <c r="E417" s="12">
        <v>45734</v>
      </c>
      <c r="F417" s="4" t="str">
        <v>Genpact</v>
      </c>
      <c r="G417" s="13" t="str">
        <v>PLC-3724</v>
      </c>
      <c r="H417" s="14" t="str">
        <v>W2</v>
      </c>
      <c r="I417" s="11" t="str">
        <v>Done</v>
      </c>
      <c r="J417" s="4" t="str">
        <v>Y</v>
      </c>
      <c r="K417" s="4">
        <v>420</v>
      </c>
      <c r="L417" s="7">
        <v>5880</v>
      </c>
      <c r="M417" s="7">
        <v>12936.000000000002</v>
      </c>
      <c r="N417" s="4"/>
    </row>
    <row r="418" spans="1:14" x14ac:dyDescent="0.3">
      <c r="A418" s="10"/>
      <c r="B418" s="4" t="str">
        <v>Shweta Sharma</v>
      </c>
      <c r="C418" s="11">
        <v>2024</v>
      </c>
      <c r="D418" s="12">
        <v>45574</v>
      </c>
      <c r="E418" s="12" t="str">
        <v>-</v>
      </c>
      <c r="F418" s="4" t="str">
        <v>Genpact</v>
      </c>
      <c r="G418" s="13" t="str">
        <v>PLC-3981</v>
      </c>
      <c r="H418" s="14" t="str">
        <v>W2</v>
      </c>
      <c r="I418" s="11" t="str">
        <v>Done</v>
      </c>
      <c r="J418" s="4" t="str">
        <v>Y</v>
      </c>
      <c r="K418" s="4">
        <v>607</v>
      </c>
      <c r="L418" s="7">
        <v>11077.750000000004</v>
      </c>
      <c r="M418" s="7">
        <v>24371.05000000001</v>
      </c>
      <c r="N418" s="4"/>
    </row>
    <row r="419" spans="1:14" x14ac:dyDescent="0.3">
      <c r="A419" s="10"/>
      <c r="B419" s="4" t="str">
        <v>Venkata Pramod Varma Yarakaraju</v>
      </c>
      <c r="C419" s="11">
        <v>2025</v>
      </c>
      <c r="D419" s="12">
        <v>45672</v>
      </c>
      <c r="E419" s="12" t="str">
        <v>-</v>
      </c>
      <c r="F419" s="4" t="str">
        <v>Genpact</v>
      </c>
      <c r="G419" s="13" t="str">
        <v>PLC-4081</v>
      </c>
      <c r="H419" s="14" t="str">
        <v>C2C</v>
      </c>
      <c r="I419" s="11" t="str">
        <v>Done</v>
      </c>
      <c r="J419" s="4" t="str">
        <v>Y</v>
      </c>
      <c r="K419" s="4">
        <v>560</v>
      </c>
      <c r="L419" s="7">
        <v>5566.3999999999987</v>
      </c>
      <c r="M419" s="7">
        <v>8906.239999999998</v>
      </c>
      <c r="N419" s="4"/>
    </row>
    <row r="420" spans="1:14" x14ac:dyDescent="0.3">
      <c r="A420" s="10"/>
      <c r="B420" s="4"/>
      <c r="C420" s="11"/>
      <c r="D420" s="12"/>
      <c r="E420" s="12"/>
      <c r="F420" s="4"/>
      <c r="G420" s="13"/>
      <c r="H420" s="14"/>
      <c r="I420" s="11"/>
      <c r="J420" s="4"/>
      <c r="K420" s="4"/>
      <c r="L420" s="7"/>
      <c r="M420" s="7"/>
      <c r="N420" s="4"/>
    </row>
    <row r="421" spans="1:14" x14ac:dyDescent="0.3">
      <c r="A421" s="10"/>
      <c r="B421" s="4"/>
      <c r="C421" s="11"/>
      <c r="D421" s="12"/>
      <c r="E421" s="12"/>
      <c r="F421" s="4"/>
      <c r="G421" s="13"/>
      <c r="H421" s="14"/>
      <c r="I421" s="11"/>
      <c r="J421" s="4"/>
      <c r="K421" s="4"/>
      <c r="L421" s="7"/>
      <c r="M421" s="7"/>
      <c r="N421" s="4"/>
    </row>
    <row r="422" spans="1:14" x14ac:dyDescent="0.3">
      <c r="A422" s="10"/>
      <c r="B422" s="4"/>
      <c r="C422" s="11"/>
      <c r="D422" s="12"/>
      <c r="E422" s="12"/>
      <c r="F422" s="4"/>
      <c r="G422" s="13"/>
      <c r="H422" s="14"/>
      <c r="I422" s="11"/>
      <c r="J422" s="4"/>
      <c r="K422" s="4"/>
      <c r="L422" s="7"/>
      <c r="M422" s="7"/>
      <c r="N422" s="4"/>
    </row>
    <row r="423" spans="1:14" x14ac:dyDescent="0.3">
      <c r="A423" s="10"/>
      <c r="B423" s="4"/>
      <c r="C423" s="11"/>
      <c r="D423" s="12"/>
      <c r="E423" s="12"/>
      <c r="F423" s="4"/>
      <c r="G423" s="13"/>
      <c r="H423" s="14"/>
      <c r="I423" s="11"/>
      <c r="J423" s="4"/>
      <c r="K423" s="4"/>
      <c r="L423" s="7"/>
      <c r="M423" s="7"/>
      <c r="N423" s="4"/>
    </row>
    <row r="424" spans="1:14" x14ac:dyDescent="0.3">
      <c r="A424" s="10"/>
      <c r="B424" s="4"/>
      <c r="C424" s="11"/>
      <c r="D424" s="12"/>
      <c r="E424" s="12"/>
      <c r="F424" s="4"/>
      <c r="G424" s="13"/>
      <c r="H424" s="14"/>
      <c r="I424" s="11"/>
      <c r="J424" s="4"/>
      <c r="K424" s="4"/>
      <c r="L424" s="7"/>
      <c r="M424" s="7"/>
      <c r="N424" s="4"/>
    </row>
    <row r="425" spans="1:14" x14ac:dyDescent="0.3">
      <c r="A425" s="10"/>
      <c r="B425" s="4"/>
      <c r="C425" s="11"/>
      <c r="D425" s="12"/>
      <c r="E425" s="12"/>
      <c r="F425" s="4"/>
      <c r="G425" s="13"/>
      <c r="H425" s="14"/>
      <c r="I425" s="11"/>
      <c r="J425" s="4"/>
      <c r="K425" s="4"/>
      <c r="L425" s="7"/>
      <c r="M425" s="7"/>
      <c r="N425" s="4"/>
    </row>
    <row r="426" spans="1:14" x14ac:dyDescent="0.3">
      <c r="A426" s="10"/>
      <c r="B426" s="4"/>
      <c r="C426" s="11"/>
      <c r="D426" s="12"/>
      <c r="E426" s="12"/>
      <c r="F426" s="4"/>
      <c r="G426" s="13"/>
      <c r="H426" s="14"/>
      <c r="I426" s="11"/>
      <c r="J426" s="4"/>
      <c r="K426" s="4"/>
      <c r="L426" s="7"/>
      <c r="M426" s="7"/>
      <c r="N426" s="4"/>
    </row>
    <row r="427" spans="1:14" x14ac:dyDescent="0.3">
      <c r="A427" s="10"/>
      <c r="B427" s="4"/>
      <c r="C427" s="11"/>
      <c r="D427" s="12"/>
      <c r="E427" s="12"/>
      <c r="F427" s="4"/>
      <c r="G427" s="13"/>
      <c r="H427" s="14"/>
      <c r="I427" s="11"/>
      <c r="J427" s="4"/>
      <c r="K427" s="4"/>
      <c r="L427" s="7"/>
      <c r="M427" s="7"/>
      <c r="N427" s="4"/>
    </row>
    <row r="428" spans="1:14" x14ac:dyDescent="0.3">
      <c r="A428" s="10"/>
      <c r="B428" s="4"/>
      <c r="C428" s="11"/>
      <c r="D428" s="12"/>
      <c r="E428" s="12"/>
      <c r="F428" s="4"/>
      <c r="G428" s="13"/>
      <c r="H428" s="14"/>
      <c r="I428" s="11"/>
      <c r="J428" s="4"/>
      <c r="K428" s="4"/>
      <c r="L428" s="7"/>
      <c r="M428" s="7"/>
      <c r="N428" s="4"/>
    </row>
    <row r="429" spans="1:14" x14ac:dyDescent="0.3">
      <c r="A429" s="10"/>
      <c r="B429" s="4"/>
      <c r="C429" s="11"/>
      <c r="D429" s="12"/>
      <c r="E429" s="12"/>
      <c r="F429" s="4"/>
      <c r="G429" s="13"/>
      <c r="H429" s="14"/>
      <c r="I429" s="11"/>
      <c r="J429" s="4"/>
      <c r="K429" s="4"/>
      <c r="L429" s="7"/>
      <c r="M429" s="7"/>
      <c r="N429" s="4"/>
    </row>
    <row r="430" spans="1:14" x14ac:dyDescent="0.3">
      <c r="A430" s="10"/>
      <c r="B430" s="4"/>
      <c r="C430" s="11"/>
      <c r="D430" s="12"/>
      <c r="E430" s="12"/>
      <c r="F430" s="4"/>
      <c r="G430" s="13"/>
      <c r="H430" s="14"/>
      <c r="I430" s="11"/>
      <c r="J430" s="4"/>
      <c r="K430" s="4"/>
      <c r="L430" s="7"/>
      <c r="M430" s="7"/>
      <c r="N430" s="4"/>
    </row>
    <row r="431" spans="1:14" x14ac:dyDescent="0.3">
      <c r="A431" s="10"/>
      <c r="B431" s="4"/>
      <c r="C431" s="11"/>
      <c r="D431" s="12"/>
      <c r="E431" s="12"/>
      <c r="F431" s="4"/>
      <c r="G431" s="13"/>
      <c r="H431" s="14"/>
      <c r="I431" s="11"/>
      <c r="J431" s="4"/>
      <c r="K431" s="4"/>
      <c r="L431" s="7"/>
      <c r="M431" s="7"/>
      <c r="N431" s="4"/>
    </row>
    <row r="435" spans="1:14" ht="28.8" x14ac:dyDescent="0.3">
      <c r="A435" s="1" t="s">
        <v>0</v>
      </c>
      <c r="B435" s="1" t="s">
        <v>1</v>
      </c>
      <c r="C435" s="1" t="s">
        <v>2</v>
      </c>
      <c r="D435" s="1" t="s">
        <v>3</v>
      </c>
      <c r="E435" s="1" t="s">
        <v>4</v>
      </c>
      <c r="F435" s="1" t="s">
        <v>5</v>
      </c>
      <c r="G435" s="1" t="s">
        <v>6</v>
      </c>
      <c r="H435" s="1" t="s">
        <v>7</v>
      </c>
      <c r="I435" s="1" t="s">
        <v>8</v>
      </c>
      <c r="J435" s="1" t="s">
        <v>9</v>
      </c>
      <c r="K435" s="1" t="s">
        <v>10</v>
      </c>
      <c r="L435" s="2"/>
      <c r="M435" s="2"/>
      <c r="N435" s="2"/>
    </row>
    <row r="436" spans="1:14" x14ac:dyDescent="0.3">
      <c r="A436" s="4" t="s">
        <v>11</v>
      </c>
      <c r="B436" s="3" t="str">
        <f>_xlfn.XLOOKUP($C436,'[1]Basic EMP Data - 2025'!$D$3:$D$216,'[1]Basic EMP Data - 2025'!$C$3:$C$216)</f>
        <v>VB1676</v>
      </c>
      <c r="C436" s="5" t="s">
        <v>43</v>
      </c>
      <c r="D436" s="4" t="str">
        <f>VLOOKUP($B436,'[1]Basic EMP Data - 2025'!$C$3:$F$216,3,0)</f>
        <v>Abhishek Yadav</v>
      </c>
      <c r="E436" s="4">
        <f>VLOOKUP($B436,'[1]Basic EMP Data - 2025'!$C$3:$I$216,5,0)</f>
        <v>8</v>
      </c>
      <c r="F436" s="4">
        <f>VLOOKUP($B436,'[1]Basic EMP Data - 2025'!$C$3:$I$216,6,0)</f>
        <v>4</v>
      </c>
      <c r="G436" s="6">
        <f>F436/E436</f>
        <v>0.5</v>
      </c>
      <c r="H436" s="7">
        <f>SUM(L438:L456)</f>
        <v>0</v>
      </c>
      <c r="I436" s="8" cm="1">
        <f t="array" ref="I436">_xlfn.IFS($G436&lt;=34%,0%,$G436&lt;=75%,3%,$G436&lt;=120%,4%,$G436&gt;120%,5%)</f>
        <v>0.03</v>
      </c>
      <c r="J436" s="7" cm="1">
        <f t="array" ref="J436">SUMPRODUCT((C438:C456=2024)*M438:M456) + SUMPRODUCT((C438:C456=2025)*M438:M456*2)</f>
        <v>0</v>
      </c>
      <c r="K436" s="4">
        <f>SUM(N438:N456)</f>
        <v>0</v>
      </c>
      <c r="M436" s="2"/>
      <c r="N436" s="2"/>
    </row>
    <row r="437" spans="1:14" ht="28.8" x14ac:dyDescent="0.3">
      <c r="A437" s="9" t="s">
        <v>2</v>
      </c>
      <c r="B437" s="9" t="s">
        <v>13</v>
      </c>
      <c r="C437" s="9" t="s">
        <v>14</v>
      </c>
      <c r="D437" s="9" t="s">
        <v>15</v>
      </c>
      <c r="E437" s="9" t="s">
        <v>16</v>
      </c>
      <c r="F437" s="9" t="s">
        <v>17</v>
      </c>
      <c r="G437" s="9" t="s">
        <v>18</v>
      </c>
      <c r="H437" s="9" t="s">
        <v>19</v>
      </c>
      <c r="I437" s="9" t="s">
        <v>20</v>
      </c>
      <c r="J437" s="9" t="s">
        <v>21</v>
      </c>
      <c r="K437" s="9" t="s">
        <v>22</v>
      </c>
      <c r="L437" s="9" t="s">
        <v>23</v>
      </c>
      <c r="M437" s="9" t="s">
        <v>24</v>
      </c>
      <c r="N437" s="9" t="s">
        <v>25</v>
      </c>
    </row>
    <row r="438" spans="1:14" x14ac:dyDescent="0.3">
      <c r="A438" s="10" t="str">
        <f>C436</f>
        <v>Heena Akshay Pandey</v>
      </c>
      <c r="B438" s="4" t="e" cm="1" vm="1">
        <f t="array" ref="B438">_xlfn.LET(
  _xlpm.data, _xlfn._xlws.FILTER('[1]Incentive Data'!A:BV, '[1]Incentive Data'!H:H=$C436),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438" s="11"/>
      <c r="D438" s="12"/>
      <c r="E438" s="12"/>
      <c r="F438" s="4"/>
      <c r="G438" s="13"/>
      <c r="H438" s="14"/>
      <c r="I438" s="11"/>
      <c r="J438" s="4"/>
      <c r="K438" s="4"/>
      <c r="L438" s="7"/>
      <c r="M438" s="7"/>
      <c r="N438" s="4"/>
    </row>
    <row r="439" spans="1:14" x14ac:dyDescent="0.3">
      <c r="A439" s="10"/>
      <c r="B439" s="4"/>
      <c r="C439" s="11"/>
      <c r="D439" s="12"/>
      <c r="E439" s="12"/>
      <c r="F439" s="4"/>
      <c r="G439" s="13"/>
      <c r="H439" s="14"/>
      <c r="I439" s="11"/>
      <c r="J439" s="4"/>
      <c r="K439" s="4"/>
      <c r="L439" s="7"/>
      <c r="M439" s="7"/>
      <c r="N439" s="4"/>
    </row>
    <row r="440" spans="1:14" x14ac:dyDescent="0.3">
      <c r="A440" s="10"/>
      <c r="B440" s="4"/>
      <c r="C440" s="11"/>
      <c r="D440" s="12"/>
      <c r="E440" s="12"/>
      <c r="F440" s="4"/>
      <c r="G440" s="13"/>
      <c r="H440" s="14"/>
      <c r="I440" s="11"/>
      <c r="J440" s="4"/>
      <c r="K440" s="4"/>
      <c r="L440" s="7"/>
      <c r="M440" s="7"/>
      <c r="N440" s="4"/>
    </row>
    <row r="441" spans="1:14" x14ac:dyDescent="0.3">
      <c r="A441" s="10"/>
      <c r="B441" s="4"/>
      <c r="C441" s="11"/>
      <c r="D441" s="12"/>
      <c r="E441" s="12"/>
      <c r="F441" s="4"/>
      <c r="G441" s="13"/>
      <c r="H441" s="14"/>
      <c r="I441" s="11"/>
      <c r="J441" s="4"/>
      <c r="K441" s="4"/>
      <c r="L441" s="7"/>
      <c r="M441" s="7"/>
      <c r="N441" s="4"/>
    </row>
    <row r="442" spans="1:14" x14ac:dyDescent="0.3">
      <c r="A442" s="10"/>
      <c r="B442" s="4"/>
      <c r="C442" s="11"/>
      <c r="D442" s="12"/>
      <c r="E442" s="12"/>
      <c r="F442" s="4"/>
      <c r="G442" s="13"/>
      <c r="H442" s="14"/>
      <c r="I442" s="11"/>
      <c r="J442" s="4"/>
      <c r="K442" s="4"/>
      <c r="L442" s="7"/>
      <c r="M442" s="7"/>
      <c r="N442" s="4"/>
    </row>
    <row r="443" spans="1:14" x14ac:dyDescent="0.3">
      <c r="A443" s="10"/>
      <c r="B443" s="4"/>
      <c r="C443" s="11"/>
      <c r="D443" s="12"/>
      <c r="E443" s="12"/>
      <c r="F443" s="4"/>
      <c r="G443" s="13"/>
      <c r="H443" s="14"/>
      <c r="I443" s="11"/>
      <c r="J443" s="4"/>
      <c r="K443" s="4"/>
      <c r="L443" s="7"/>
      <c r="M443" s="7"/>
      <c r="N443" s="4"/>
    </row>
    <row r="444" spans="1:14" x14ac:dyDescent="0.3">
      <c r="A444" s="10"/>
      <c r="B444" s="4"/>
      <c r="C444" s="11"/>
      <c r="D444" s="12"/>
      <c r="E444" s="12"/>
      <c r="F444" s="4"/>
      <c r="G444" s="13"/>
      <c r="H444" s="14"/>
      <c r="I444" s="11"/>
      <c r="J444" s="4"/>
      <c r="K444" s="4"/>
      <c r="L444" s="7"/>
      <c r="M444" s="7"/>
      <c r="N444" s="4"/>
    </row>
    <row r="445" spans="1:14" x14ac:dyDescent="0.3">
      <c r="A445" s="10"/>
      <c r="B445" s="4"/>
      <c r="C445" s="11"/>
      <c r="D445" s="12"/>
      <c r="E445" s="12"/>
      <c r="F445" s="4"/>
      <c r="G445" s="13"/>
      <c r="H445" s="14"/>
      <c r="I445" s="11"/>
      <c r="J445" s="4"/>
      <c r="K445" s="4"/>
      <c r="L445" s="7"/>
      <c r="M445" s="7"/>
      <c r="N445" s="4"/>
    </row>
    <row r="446" spans="1:14" x14ac:dyDescent="0.3">
      <c r="A446" s="10"/>
      <c r="B446" s="4"/>
      <c r="C446" s="11"/>
      <c r="D446" s="12"/>
      <c r="E446" s="12"/>
      <c r="F446" s="4"/>
      <c r="G446" s="13"/>
      <c r="H446" s="14"/>
      <c r="I446" s="11"/>
      <c r="J446" s="4"/>
      <c r="K446" s="4"/>
      <c r="L446" s="7"/>
      <c r="M446" s="7"/>
      <c r="N446" s="4"/>
    </row>
    <row r="447" spans="1:14" x14ac:dyDescent="0.3">
      <c r="A447" s="10"/>
      <c r="B447" s="4"/>
      <c r="C447" s="11"/>
      <c r="D447" s="12"/>
      <c r="E447" s="12"/>
      <c r="F447" s="4"/>
      <c r="G447" s="13"/>
      <c r="H447" s="14"/>
      <c r="I447" s="11"/>
      <c r="J447" s="4"/>
      <c r="K447" s="4"/>
      <c r="L447" s="7"/>
      <c r="M447" s="7"/>
      <c r="N447" s="4"/>
    </row>
    <row r="448" spans="1:14" x14ac:dyDescent="0.3">
      <c r="A448" s="10"/>
      <c r="B448" s="4"/>
      <c r="C448" s="11"/>
      <c r="D448" s="12"/>
      <c r="E448" s="12"/>
      <c r="F448" s="4"/>
      <c r="G448" s="13"/>
      <c r="H448" s="14"/>
      <c r="I448" s="11"/>
      <c r="J448" s="4"/>
      <c r="K448" s="4"/>
      <c r="L448" s="7"/>
      <c r="M448" s="7"/>
      <c r="N448" s="4"/>
    </row>
    <row r="449" spans="1:14" x14ac:dyDescent="0.3">
      <c r="A449" s="10"/>
      <c r="B449" s="4"/>
      <c r="C449" s="11"/>
      <c r="D449" s="12"/>
      <c r="E449" s="12"/>
      <c r="F449" s="4"/>
      <c r="G449" s="13"/>
      <c r="H449" s="14"/>
      <c r="I449" s="11"/>
      <c r="J449" s="4"/>
      <c r="K449" s="4"/>
      <c r="L449" s="7"/>
      <c r="M449" s="7"/>
      <c r="N449" s="4"/>
    </row>
    <row r="450" spans="1:14" x14ac:dyDescent="0.3">
      <c r="A450" s="10"/>
      <c r="B450" s="4"/>
      <c r="C450" s="11"/>
      <c r="D450" s="12"/>
      <c r="E450" s="12"/>
      <c r="F450" s="4"/>
      <c r="G450" s="13"/>
      <c r="H450" s="14"/>
      <c r="I450" s="11"/>
      <c r="J450" s="4"/>
      <c r="K450" s="4"/>
      <c r="L450" s="7"/>
      <c r="M450" s="7"/>
      <c r="N450" s="4"/>
    </row>
    <row r="451" spans="1:14" x14ac:dyDescent="0.3">
      <c r="A451" s="10"/>
      <c r="B451" s="4"/>
      <c r="C451" s="11"/>
      <c r="D451" s="12"/>
      <c r="E451" s="12"/>
      <c r="F451" s="4"/>
      <c r="G451" s="13"/>
      <c r="H451" s="14"/>
      <c r="I451" s="11"/>
      <c r="J451" s="4"/>
      <c r="K451" s="4"/>
      <c r="L451" s="7"/>
      <c r="M451" s="7"/>
      <c r="N451" s="4"/>
    </row>
    <row r="452" spans="1:14" x14ac:dyDescent="0.3">
      <c r="A452" s="10"/>
      <c r="B452" s="4"/>
      <c r="C452" s="11"/>
      <c r="D452" s="12"/>
      <c r="E452" s="12"/>
      <c r="F452" s="4"/>
      <c r="G452" s="13"/>
      <c r="H452" s="14"/>
      <c r="I452" s="11"/>
      <c r="J452" s="4"/>
      <c r="K452" s="4"/>
      <c r="L452" s="7"/>
      <c r="M452" s="7"/>
      <c r="N452" s="4"/>
    </row>
    <row r="453" spans="1:14" x14ac:dyDescent="0.3">
      <c r="A453" s="10"/>
      <c r="B453" s="4"/>
      <c r="C453" s="11"/>
      <c r="D453" s="12"/>
      <c r="E453" s="12"/>
      <c r="F453" s="4"/>
      <c r="G453" s="13"/>
      <c r="H453" s="14"/>
      <c r="I453" s="11"/>
      <c r="J453" s="4"/>
      <c r="K453" s="4"/>
      <c r="L453" s="7"/>
      <c r="M453" s="7"/>
      <c r="N453" s="4"/>
    </row>
    <row r="454" spans="1:14" x14ac:dyDescent="0.3">
      <c r="A454" s="10"/>
      <c r="B454" s="4"/>
      <c r="C454" s="11"/>
      <c r="D454" s="12"/>
      <c r="E454" s="12"/>
      <c r="F454" s="4"/>
      <c r="G454" s="13"/>
      <c r="H454" s="14"/>
      <c r="I454" s="11"/>
      <c r="J454" s="4"/>
      <c r="K454" s="4"/>
      <c r="L454" s="7"/>
      <c r="M454" s="7"/>
      <c r="N454" s="4"/>
    </row>
    <row r="455" spans="1:14" x14ac:dyDescent="0.3">
      <c r="A455" s="10"/>
      <c r="B455" s="4"/>
      <c r="C455" s="11"/>
      <c r="D455" s="12"/>
      <c r="E455" s="12"/>
      <c r="F455" s="4"/>
      <c r="G455" s="13"/>
      <c r="H455" s="14"/>
      <c r="I455" s="11"/>
      <c r="J455" s="4"/>
      <c r="K455" s="4"/>
      <c r="L455" s="7"/>
      <c r="M455" s="7"/>
      <c r="N455" s="4"/>
    </row>
    <row r="456" spans="1:14" x14ac:dyDescent="0.3">
      <c r="A456" s="10"/>
      <c r="B456" s="4"/>
      <c r="C456" s="11"/>
      <c r="D456" s="12"/>
      <c r="E456" s="12"/>
      <c r="F456" s="4"/>
      <c r="G456" s="13"/>
      <c r="H456" s="14"/>
      <c r="I456" s="11"/>
      <c r="J456" s="4"/>
      <c r="K456" s="4"/>
      <c r="L456" s="7"/>
      <c r="M456" s="7"/>
      <c r="N456" s="4"/>
    </row>
    <row r="460" spans="1:14" ht="28.8" x14ac:dyDescent="0.3">
      <c r="A460" s="1" t="s">
        <v>0</v>
      </c>
      <c r="B460" s="1" t="s">
        <v>1</v>
      </c>
      <c r="C460" s="1" t="s">
        <v>2</v>
      </c>
      <c r="D460" s="1" t="s">
        <v>3</v>
      </c>
      <c r="E460" s="1" t="s">
        <v>4</v>
      </c>
      <c r="F460" s="1" t="s">
        <v>5</v>
      </c>
      <c r="G460" s="1" t="s">
        <v>6</v>
      </c>
      <c r="H460" s="1" t="s">
        <v>7</v>
      </c>
      <c r="I460" s="1" t="s">
        <v>8</v>
      </c>
      <c r="J460" s="1" t="s">
        <v>9</v>
      </c>
      <c r="K460" s="1" t="s">
        <v>10</v>
      </c>
      <c r="L460" s="2"/>
      <c r="M460" s="2"/>
      <c r="N460" s="2"/>
    </row>
    <row r="461" spans="1:14" x14ac:dyDescent="0.3">
      <c r="A461" s="4" t="s">
        <v>11</v>
      </c>
      <c r="B461" s="3" t="str">
        <f>_xlfn.XLOOKUP($C461,'[1]Basic EMP Data - 2025'!$D$3:$D$216,'[1]Basic EMP Data - 2025'!$C$3:$C$216)</f>
        <v>VB1825</v>
      </c>
      <c r="C461" s="5" t="s">
        <v>44</v>
      </c>
      <c r="D461" s="4" t="str">
        <f>VLOOKUP($B461,'[1]Basic EMP Data - 2025'!$C$3:$F$216,3,0)</f>
        <v>Abhishek Yadav</v>
      </c>
      <c r="E461" s="4">
        <f>VLOOKUP($B461,'[1]Basic EMP Data - 2025'!$C$3:$I$216,5,0)</f>
        <v>6</v>
      </c>
      <c r="F461" s="4">
        <f>VLOOKUP($B461,'[1]Basic EMP Data - 2025'!$C$3:$I$216,6,0)</f>
        <v>7</v>
      </c>
      <c r="G461" s="6">
        <f>F461/E461</f>
        <v>1.1666666666666667</v>
      </c>
      <c r="H461" s="7">
        <f>SUM(L463:L481)</f>
        <v>0</v>
      </c>
      <c r="I461" s="8" cm="1">
        <f t="array" ref="I461">_xlfn.IFS($G461&lt;=34%,0%,$G461&lt;=75%,3%,$G461&lt;=120%,4%,$G461&gt;120%,5%)</f>
        <v>0.04</v>
      </c>
      <c r="J461" s="7" cm="1">
        <f t="array" ref="J461">SUMPRODUCT((C463:C481=2024)*M463:M481) + SUMPRODUCT((C463:C481=2025)*M463:M481*2)</f>
        <v>0</v>
      </c>
      <c r="K461" s="4">
        <f>SUM(N463:N481)</f>
        <v>0</v>
      </c>
      <c r="M461" s="2"/>
      <c r="N461" s="2"/>
    </row>
    <row r="462" spans="1:14" ht="28.8" x14ac:dyDescent="0.3">
      <c r="A462" s="9" t="s">
        <v>2</v>
      </c>
      <c r="B462" s="9" t="s">
        <v>13</v>
      </c>
      <c r="C462" s="9" t="s">
        <v>14</v>
      </c>
      <c r="D462" s="9" t="s">
        <v>15</v>
      </c>
      <c r="E462" s="9" t="s">
        <v>16</v>
      </c>
      <c r="F462" s="9" t="s">
        <v>17</v>
      </c>
      <c r="G462" s="9" t="s">
        <v>18</v>
      </c>
      <c r="H462" s="9" t="s">
        <v>19</v>
      </c>
      <c r="I462" s="9" t="s">
        <v>20</v>
      </c>
      <c r="J462" s="9" t="s">
        <v>21</v>
      </c>
      <c r="K462" s="9" t="s">
        <v>22</v>
      </c>
      <c r="L462" s="9" t="s">
        <v>23</v>
      </c>
      <c r="M462" s="9" t="s">
        <v>24</v>
      </c>
      <c r="N462" s="9" t="s">
        <v>25</v>
      </c>
    </row>
    <row r="463" spans="1:14" x14ac:dyDescent="0.3">
      <c r="A463" s="10" t="str">
        <f>C461</f>
        <v>Priya Yadav</v>
      </c>
      <c r="B463" s="4" t="e" cm="1" vm="1">
        <f t="array" ref="B463">_xlfn.LET(
  _xlpm.data, _xlfn._xlws.FILTER('[1]Incentive Data'!A:BV, '[1]Incentive Data'!H:H=$C461),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463" s="11"/>
      <c r="D463" s="12"/>
      <c r="E463" s="12"/>
      <c r="F463" s="4"/>
      <c r="G463" s="13"/>
      <c r="H463" s="14"/>
      <c r="I463" s="11"/>
      <c r="J463" s="4"/>
      <c r="K463" s="4"/>
      <c r="L463" s="7"/>
      <c r="M463" s="7"/>
      <c r="N463" s="4"/>
    </row>
    <row r="464" spans="1:14" x14ac:dyDescent="0.3">
      <c r="A464" s="10"/>
      <c r="B464" s="4"/>
      <c r="C464" s="11"/>
      <c r="D464" s="12"/>
      <c r="E464" s="12"/>
      <c r="F464" s="4"/>
      <c r="G464" s="13"/>
      <c r="H464" s="14"/>
      <c r="I464" s="11"/>
      <c r="J464" s="4"/>
      <c r="K464" s="4"/>
      <c r="L464" s="7"/>
      <c r="M464" s="7"/>
      <c r="N464" s="4"/>
    </row>
    <row r="465" spans="1:14" x14ac:dyDescent="0.3">
      <c r="A465" s="10"/>
      <c r="B465" s="4"/>
      <c r="C465" s="11"/>
      <c r="D465" s="12"/>
      <c r="E465" s="12"/>
      <c r="F465" s="4"/>
      <c r="G465" s="13"/>
      <c r="H465" s="14"/>
      <c r="I465" s="11"/>
      <c r="J465" s="4"/>
      <c r="K465" s="4"/>
      <c r="L465" s="7"/>
      <c r="M465" s="7"/>
      <c r="N465" s="4"/>
    </row>
    <row r="466" spans="1:14" x14ac:dyDescent="0.3">
      <c r="A466" s="10"/>
      <c r="B466" s="4"/>
      <c r="C466" s="11"/>
      <c r="D466" s="12"/>
      <c r="E466" s="12"/>
      <c r="F466" s="4"/>
      <c r="G466" s="13"/>
      <c r="H466" s="14"/>
      <c r="I466" s="11"/>
      <c r="J466" s="4"/>
      <c r="K466" s="4"/>
      <c r="L466" s="7"/>
      <c r="M466" s="7"/>
      <c r="N466" s="4"/>
    </row>
    <row r="467" spans="1:14" x14ac:dyDescent="0.3">
      <c r="A467" s="10"/>
      <c r="B467" s="4"/>
      <c r="C467" s="11"/>
      <c r="D467" s="12"/>
      <c r="E467" s="12"/>
      <c r="F467" s="4"/>
      <c r="G467" s="13"/>
      <c r="H467" s="14"/>
      <c r="I467" s="11"/>
      <c r="J467" s="4"/>
      <c r="K467" s="4"/>
      <c r="L467" s="7"/>
      <c r="M467" s="7"/>
      <c r="N467" s="4"/>
    </row>
    <row r="468" spans="1:14" x14ac:dyDescent="0.3">
      <c r="A468" s="10"/>
      <c r="B468" s="4"/>
      <c r="C468" s="11"/>
      <c r="D468" s="12"/>
      <c r="E468" s="12"/>
      <c r="F468" s="4"/>
      <c r="G468" s="13"/>
      <c r="H468" s="14"/>
      <c r="I468" s="11"/>
      <c r="J468" s="4"/>
      <c r="K468" s="4"/>
      <c r="L468" s="7"/>
      <c r="M468" s="7"/>
      <c r="N468" s="4"/>
    </row>
    <row r="469" spans="1:14" x14ac:dyDescent="0.3">
      <c r="A469" s="10"/>
      <c r="B469" s="4"/>
      <c r="C469" s="11"/>
      <c r="D469" s="12"/>
      <c r="E469" s="12"/>
      <c r="F469" s="4"/>
      <c r="G469" s="13"/>
      <c r="H469" s="14"/>
      <c r="I469" s="11"/>
      <c r="J469" s="4"/>
      <c r="K469" s="4"/>
      <c r="L469" s="7"/>
      <c r="M469" s="7"/>
      <c r="N469" s="4"/>
    </row>
    <row r="470" spans="1:14" x14ac:dyDescent="0.3">
      <c r="A470" s="10"/>
      <c r="B470" s="4"/>
      <c r="C470" s="11"/>
      <c r="D470" s="12"/>
      <c r="E470" s="12"/>
      <c r="F470" s="4"/>
      <c r="G470" s="13"/>
      <c r="H470" s="14"/>
      <c r="I470" s="11"/>
      <c r="J470" s="4"/>
      <c r="K470" s="4"/>
      <c r="L470" s="7"/>
      <c r="M470" s="7"/>
      <c r="N470" s="4"/>
    </row>
    <row r="471" spans="1:14" x14ac:dyDescent="0.3">
      <c r="A471" s="10"/>
      <c r="B471" s="4"/>
      <c r="C471" s="11"/>
      <c r="D471" s="12"/>
      <c r="E471" s="12"/>
      <c r="F471" s="4"/>
      <c r="G471" s="13"/>
      <c r="H471" s="14"/>
      <c r="I471" s="11"/>
      <c r="J471" s="4"/>
      <c r="K471" s="4"/>
      <c r="L471" s="7"/>
      <c r="M471" s="7"/>
      <c r="N471" s="4"/>
    </row>
    <row r="472" spans="1:14" x14ac:dyDescent="0.3">
      <c r="A472" s="10"/>
      <c r="B472" s="4"/>
      <c r="C472" s="11"/>
      <c r="D472" s="12"/>
      <c r="E472" s="12"/>
      <c r="F472" s="4"/>
      <c r="G472" s="13"/>
      <c r="H472" s="14"/>
      <c r="I472" s="11"/>
      <c r="J472" s="4"/>
      <c r="K472" s="4"/>
      <c r="L472" s="7"/>
      <c r="M472" s="7"/>
      <c r="N472" s="4"/>
    </row>
    <row r="473" spans="1:14" x14ac:dyDescent="0.3">
      <c r="A473" s="10"/>
      <c r="B473" s="4"/>
      <c r="C473" s="11"/>
      <c r="D473" s="12"/>
      <c r="E473" s="12"/>
      <c r="F473" s="4"/>
      <c r="G473" s="13"/>
      <c r="H473" s="14"/>
      <c r="I473" s="11"/>
      <c r="J473" s="4"/>
      <c r="K473" s="4"/>
      <c r="L473" s="7"/>
      <c r="M473" s="7"/>
      <c r="N473" s="4"/>
    </row>
    <row r="474" spans="1:14" x14ac:dyDescent="0.3">
      <c r="A474" s="10"/>
      <c r="B474" s="4"/>
      <c r="C474" s="11"/>
      <c r="D474" s="12"/>
      <c r="E474" s="12"/>
      <c r="F474" s="4"/>
      <c r="G474" s="13"/>
      <c r="H474" s="14"/>
      <c r="I474" s="11"/>
      <c r="J474" s="4"/>
      <c r="K474" s="4"/>
      <c r="L474" s="7"/>
      <c r="M474" s="7"/>
      <c r="N474" s="4"/>
    </row>
    <row r="475" spans="1:14" x14ac:dyDescent="0.3">
      <c r="A475" s="10"/>
      <c r="B475" s="4"/>
      <c r="C475" s="11"/>
      <c r="D475" s="12"/>
      <c r="E475" s="12"/>
      <c r="F475" s="4"/>
      <c r="G475" s="13"/>
      <c r="H475" s="14"/>
      <c r="I475" s="11"/>
      <c r="J475" s="4"/>
      <c r="K475" s="4"/>
      <c r="L475" s="7"/>
      <c r="M475" s="7"/>
      <c r="N475" s="4"/>
    </row>
    <row r="476" spans="1:14" x14ac:dyDescent="0.3">
      <c r="A476" s="10"/>
      <c r="B476" s="4"/>
      <c r="C476" s="11"/>
      <c r="D476" s="12"/>
      <c r="E476" s="12"/>
      <c r="F476" s="4"/>
      <c r="G476" s="13"/>
      <c r="H476" s="14"/>
      <c r="I476" s="11"/>
      <c r="J476" s="4"/>
      <c r="K476" s="4"/>
      <c r="L476" s="7"/>
      <c r="M476" s="7"/>
      <c r="N476" s="4"/>
    </row>
    <row r="477" spans="1:14" x14ac:dyDescent="0.3">
      <c r="A477" s="10"/>
      <c r="B477" s="4"/>
      <c r="C477" s="11"/>
      <c r="D477" s="12"/>
      <c r="E477" s="12"/>
      <c r="F477" s="4"/>
      <c r="G477" s="13"/>
      <c r="H477" s="14"/>
      <c r="I477" s="11"/>
      <c r="J477" s="4"/>
      <c r="K477" s="4"/>
      <c r="L477" s="7"/>
      <c r="M477" s="7"/>
      <c r="N477" s="4"/>
    </row>
    <row r="478" spans="1:14" x14ac:dyDescent="0.3">
      <c r="A478" s="10"/>
      <c r="B478" s="4"/>
      <c r="C478" s="11"/>
      <c r="D478" s="12"/>
      <c r="E478" s="12"/>
      <c r="F478" s="4"/>
      <c r="G478" s="13"/>
      <c r="H478" s="14"/>
      <c r="I478" s="11"/>
      <c r="J478" s="4"/>
      <c r="K478" s="4"/>
      <c r="L478" s="7"/>
      <c r="M478" s="7"/>
      <c r="N478" s="4"/>
    </row>
    <row r="479" spans="1:14" x14ac:dyDescent="0.3">
      <c r="A479" s="10"/>
      <c r="B479" s="4"/>
      <c r="C479" s="11"/>
      <c r="D479" s="12"/>
      <c r="E479" s="12"/>
      <c r="F479" s="4"/>
      <c r="G479" s="13"/>
      <c r="H479" s="14"/>
      <c r="I479" s="11"/>
      <c r="J479" s="4"/>
      <c r="K479" s="4"/>
      <c r="L479" s="7"/>
      <c r="M479" s="7"/>
      <c r="N479" s="4"/>
    </row>
    <row r="480" spans="1:14" x14ac:dyDescent="0.3">
      <c r="A480" s="10"/>
      <c r="B480" s="4"/>
      <c r="C480" s="11"/>
      <c r="D480" s="12"/>
      <c r="E480" s="12"/>
      <c r="F480" s="4"/>
      <c r="G480" s="13"/>
      <c r="H480" s="14"/>
      <c r="I480" s="11"/>
      <c r="J480" s="4"/>
      <c r="K480" s="4"/>
      <c r="L480" s="7"/>
      <c r="M480" s="7"/>
      <c r="N480" s="4"/>
    </row>
    <row r="481" spans="1:14" x14ac:dyDescent="0.3">
      <c r="A481" s="10"/>
      <c r="B481" s="4"/>
      <c r="C481" s="11"/>
      <c r="D481" s="12"/>
      <c r="E481" s="12"/>
      <c r="F481" s="4"/>
      <c r="G481" s="13"/>
      <c r="H481" s="14"/>
      <c r="I481" s="11"/>
      <c r="J481" s="4"/>
      <c r="K481" s="4"/>
      <c r="L481" s="7"/>
      <c r="M481" s="7"/>
      <c r="N481" s="4"/>
    </row>
    <row r="484" spans="1:14" ht="28.8" x14ac:dyDescent="0.3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  <c r="I484" s="1" t="s">
        <v>8</v>
      </c>
      <c r="J484" s="1" t="s">
        <v>9</v>
      </c>
      <c r="K484" s="1" t="s">
        <v>10</v>
      </c>
      <c r="L484" s="2"/>
      <c r="M484" s="2"/>
      <c r="N484" s="2"/>
    </row>
    <row r="485" spans="1:14" x14ac:dyDescent="0.3">
      <c r="A485" s="4" t="s">
        <v>11</v>
      </c>
      <c r="B485" s="3" t="str">
        <f>_xlfn.XLOOKUP($C485,'[1]Basic EMP Data - 2025'!$D$3:$D$216,'[1]Basic EMP Data - 2025'!$C$3:$C$216)</f>
        <v>VB1841</v>
      </c>
      <c r="C485" s="5" t="s">
        <v>45</v>
      </c>
      <c r="D485" s="4" t="str">
        <f>VLOOKUP($B485,'[1]Basic EMP Data - 2025'!$C$3:$F$216,3,0)</f>
        <v>Abhishek Yadav</v>
      </c>
      <c r="E485" s="4">
        <f>VLOOKUP($B485,'[1]Basic EMP Data - 2025'!$C$3:$I$216,5,0)</f>
        <v>5</v>
      </c>
      <c r="F485" s="4">
        <f>VLOOKUP($B485,'[1]Basic EMP Data - 2025'!$C$3:$I$216,6,0)</f>
        <v>5</v>
      </c>
      <c r="G485" s="6">
        <f>F485/E485</f>
        <v>1</v>
      </c>
      <c r="H485" s="7">
        <f>SUM(L487:L505)</f>
        <v>6520.6399999999994</v>
      </c>
      <c r="I485" s="8" cm="1">
        <f t="array" ref="I485">_xlfn.IFS($G485&lt;=34%,0%,$G485&lt;=75%,3%,$G485&lt;=120%,4%,$G485&gt;120%,5%)</f>
        <v>0.04</v>
      </c>
      <c r="J485" s="7" cm="1">
        <f t="array" ref="J485">SUMPRODUCT((C487:C505=2024)*M487:M505) + SUMPRODUCT((C487:C505=2025)*M487:M505*2)</f>
        <v>20866.047999999995</v>
      </c>
      <c r="K485" s="4">
        <f>SUM(N487:N505)</f>
        <v>0</v>
      </c>
      <c r="M485" s="2"/>
      <c r="N485" s="2"/>
    </row>
    <row r="486" spans="1:14" ht="28.8" x14ac:dyDescent="0.3">
      <c r="A486" s="9" t="s">
        <v>2</v>
      </c>
      <c r="B486" s="9" t="s">
        <v>13</v>
      </c>
      <c r="C486" s="9" t="s">
        <v>14</v>
      </c>
      <c r="D486" s="9" t="s">
        <v>15</v>
      </c>
      <c r="E486" s="9" t="s">
        <v>16</v>
      </c>
      <c r="F486" s="9" t="s">
        <v>17</v>
      </c>
      <c r="G486" s="9" t="s">
        <v>18</v>
      </c>
      <c r="H486" s="9" t="s">
        <v>19</v>
      </c>
      <c r="I486" s="9" t="s">
        <v>20</v>
      </c>
      <c r="J486" s="9" t="s">
        <v>21</v>
      </c>
      <c r="K486" s="9" t="s">
        <v>22</v>
      </c>
      <c r="L486" s="9" t="s">
        <v>23</v>
      </c>
      <c r="M486" s="9" t="s">
        <v>24</v>
      </c>
      <c r="N486" s="9" t="s">
        <v>25</v>
      </c>
    </row>
    <row r="487" spans="1:14" x14ac:dyDescent="0.3">
      <c r="A487" s="10" t="str">
        <f>C485</f>
        <v>Shubham Tripathi</v>
      </c>
      <c r="B487" s="4" t="str" cm="1">
        <f t="array" ref="B487:M488">_xlfn.LET(
  _xlpm.data, _xlfn._xlws.FILTER('[1]Incentive Data'!A:BV, '[1]Incentive Data'!H:H=$C485),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Karthik Mashetty</v>
      </c>
      <c r="C487" s="11">
        <v>2025</v>
      </c>
      <c r="D487" s="12">
        <v>45721</v>
      </c>
      <c r="E487" s="12">
        <v>45930</v>
      </c>
      <c r="F487" s="4" t="str">
        <v>Genpact</v>
      </c>
      <c r="G487" s="13" t="str">
        <v>PLC-4115</v>
      </c>
      <c r="H487" s="14" t="str">
        <v>C2C</v>
      </c>
      <c r="I487" s="11" t="str">
        <v>Done</v>
      </c>
      <c r="J487" s="4" t="str">
        <v>Y</v>
      </c>
      <c r="K487" s="4">
        <v>320</v>
      </c>
      <c r="L487" s="7">
        <v>3862.4</v>
      </c>
      <c r="M487" s="7">
        <v>6179.84</v>
      </c>
      <c r="N487" s="4"/>
    </row>
    <row r="488" spans="1:14" x14ac:dyDescent="0.3">
      <c r="A488" s="10"/>
      <c r="B488" s="4" t="str">
        <v>Vaishnavi Vundrakonda</v>
      </c>
      <c r="C488" s="11">
        <v>2025</v>
      </c>
      <c r="D488" s="12">
        <v>45726</v>
      </c>
      <c r="E488" s="12">
        <v>45849</v>
      </c>
      <c r="F488" s="4" t="str">
        <v>Genpact</v>
      </c>
      <c r="G488" s="13" t="str">
        <v>PLC-4128</v>
      </c>
      <c r="H488" s="14" t="str">
        <v>C2C</v>
      </c>
      <c r="I488" s="11" t="str">
        <v>Done</v>
      </c>
      <c r="J488" s="4" t="str">
        <v>Y</v>
      </c>
      <c r="K488" s="4">
        <v>288</v>
      </c>
      <c r="L488" s="7">
        <v>2658.2399999999989</v>
      </c>
      <c r="M488" s="7">
        <v>4253.1839999999984</v>
      </c>
      <c r="N488" s="4"/>
    </row>
    <row r="489" spans="1:14" x14ac:dyDescent="0.3">
      <c r="A489" s="10"/>
      <c r="B489" s="4"/>
      <c r="C489" s="11"/>
      <c r="D489" s="12"/>
      <c r="E489" s="12"/>
      <c r="F489" s="4"/>
      <c r="G489" s="13"/>
      <c r="H489" s="14"/>
      <c r="I489" s="11"/>
      <c r="J489" s="4"/>
      <c r="K489" s="4"/>
      <c r="L489" s="7"/>
      <c r="M489" s="7"/>
      <c r="N489" s="4"/>
    </row>
    <row r="490" spans="1:14" x14ac:dyDescent="0.3">
      <c r="A490" s="10"/>
      <c r="B490" s="4"/>
      <c r="C490" s="11"/>
      <c r="D490" s="12"/>
      <c r="E490" s="12"/>
      <c r="F490" s="4"/>
      <c r="G490" s="13"/>
      <c r="H490" s="14"/>
      <c r="I490" s="11"/>
      <c r="J490" s="4"/>
      <c r="K490" s="4"/>
      <c r="L490" s="7"/>
      <c r="M490" s="7"/>
      <c r="N490" s="4"/>
    </row>
    <row r="491" spans="1:14" x14ac:dyDescent="0.3">
      <c r="A491" s="10"/>
      <c r="B491" s="4"/>
      <c r="C491" s="11"/>
      <c r="D491" s="12"/>
      <c r="E491" s="12"/>
      <c r="F491" s="4"/>
      <c r="G491" s="13"/>
      <c r="H491" s="14"/>
      <c r="I491" s="11"/>
      <c r="J491" s="4"/>
      <c r="K491" s="4"/>
      <c r="L491" s="7"/>
      <c r="M491" s="7"/>
      <c r="N491" s="4"/>
    </row>
    <row r="492" spans="1:14" x14ac:dyDescent="0.3">
      <c r="A492" s="10"/>
      <c r="B492" s="4"/>
      <c r="C492" s="11"/>
      <c r="D492" s="12"/>
      <c r="E492" s="12"/>
      <c r="F492" s="4"/>
      <c r="G492" s="13"/>
      <c r="H492" s="14"/>
      <c r="I492" s="11"/>
      <c r="J492" s="4"/>
      <c r="K492" s="4"/>
      <c r="L492" s="7"/>
      <c r="M492" s="7"/>
      <c r="N492" s="4"/>
    </row>
    <row r="493" spans="1:14" x14ac:dyDescent="0.3">
      <c r="A493" s="10"/>
      <c r="B493" s="4"/>
      <c r="C493" s="11"/>
      <c r="D493" s="12"/>
      <c r="E493" s="12"/>
      <c r="F493" s="4"/>
      <c r="G493" s="13"/>
      <c r="H493" s="14"/>
      <c r="I493" s="11"/>
      <c r="J493" s="4"/>
      <c r="K493" s="4"/>
      <c r="L493" s="7"/>
      <c r="M493" s="7"/>
      <c r="N493" s="4"/>
    </row>
    <row r="494" spans="1:14" x14ac:dyDescent="0.3">
      <c r="A494" s="10"/>
      <c r="B494" s="4"/>
      <c r="C494" s="11"/>
      <c r="D494" s="12"/>
      <c r="E494" s="12"/>
      <c r="F494" s="4"/>
      <c r="G494" s="13"/>
      <c r="H494" s="14"/>
      <c r="I494" s="11"/>
      <c r="J494" s="4"/>
      <c r="K494" s="4"/>
      <c r="L494" s="7"/>
      <c r="M494" s="7"/>
      <c r="N494" s="4"/>
    </row>
    <row r="495" spans="1:14" x14ac:dyDescent="0.3">
      <c r="A495" s="10"/>
      <c r="B495" s="4"/>
      <c r="C495" s="11"/>
      <c r="D495" s="12"/>
      <c r="E495" s="12"/>
      <c r="F495" s="4"/>
      <c r="G495" s="13"/>
      <c r="H495" s="14"/>
      <c r="I495" s="11"/>
      <c r="J495" s="4"/>
      <c r="K495" s="4"/>
      <c r="L495" s="7"/>
      <c r="M495" s="7"/>
      <c r="N495" s="4"/>
    </row>
    <row r="496" spans="1:14" x14ac:dyDescent="0.3">
      <c r="A496" s="10"/>
      <c r="B496" s="4"/>
      <c r="C496" s="11"/>
      <c r="D496" s="12"/>
      <c r="E496" s="12"/>
      <c r="F496" s="4"/>
      <c r="G496" s="13"/>
      <c r="H496" s="14"/>
      <c r="I496" s="11"/>
      <c r="J496" s="4"/>
      <c r="K496" s="4"/>
      <c r="L496" s="7"/>
      <c r="M496" s="7"/>
      <c r="N496" s="4"/>
    </row>
    <row r="497" spans="1:14" x14ac:dyDescent="0.3">
      <c r="A497" s="10"/>
      <c r="B497" s="4"/>
      <c r="C497" s="11"/>
      <c r="D497" s="12"/>
      <c r="E497" s="12"/>
      <c r="F497" s="4"/>
      <c r="G497" s="13"/>
      <c r="H497" s="14"/>
      <c r="I497" s="11"/>
      <c r="J497" s="4"/>
      <c r="K497" s="4"/>
      <c r="L497" s="7"/>
      <c r="M497" s="7"/>
      <c r="N497" s="4"/>
    </row>
    <row r="498" spans="1:14" x14ac:dyDescent="0.3">
      <c r="A498" s="10"/>
      <c r="B498" s="4"/>
      <c r="C498" s="11"/>
      <c r="D498" s="12"/>
      <c r="E498" s="12"/>
      <c r="F498" s="4"/>
      <c r="G498" s="13"/>
      <c r="H498" s="14"/>
      <c r="I498" s="11"/>
      <c r="J498" s="4"/>
      <c r="K498" s="4"/>
      <c r="L498" s="7"/>
      <c r="M498" s="7"/>
      <c r="N498" s="4"/>
    </row>
    <row r="499" spans="1:14" x14ac:dyDescent="0.3">
      <c r="A499" s="10"/>
      <c r="B499" s="4"/>
      <c r="C499" s="11"/>
      <c r="D499" s="12"/>
      <c r="E499" s="12"/>
      <c r="F499" s="4"/>
      <c r="G499" s="13"/>
      <c r="H499" s="14"/>
      <c r="I499" s="11"/>
      <c r="J499" s="4"/>
      <c r="K499" s="4"/>
      <c r="L499" s="7"/>
      <c r="M499" s="7"/>
      <c r="N499" s="4"/>
    </row>
    <row r="500" spans="1:14" x14ac:dyDescent="0.3">
      <c r="A500" s="10"/>
      <c r="B500" s="4"/>
      <c r="C500" s="11"/>
      <c r="D500" s="12"/>
      <c r="E500" s="12"/>
      <c r="F500" s="4"/>
      <c r="G500" s="13"/>
      <c r="H500" s="14"/>
      <c r="I500" s="11"/>
      <c r="J500" s="4"/>
      <c r="K500" s="4"/>
      <c r="L500" s="7"/>
      <c r="M500" s="7"/>
      <c r="N500" s="4"/>
    </row>
    <row r="501" spans="1:14" x14ac:dyDescent="0.3">
      <c r="A501" s="10"/>
      <c r="B501" s="4"/>
      <c r="C501" s="11"/>
      <c r="D501" s="12"/>
      <c r="E501" s="12"/>
      <c r="F501" s="4"/>
      <c r="G501" s="13"/>
      <c r="H501" s="14"/>
      <c r="I501" s="11"/>
      <c r="J501" s="4"/>
      <c r="K501" s="4"/>
      <c r="L501" s="7"/>
      <c r="M501" s="7"/>
      <c r="N501" s="4"/>
    </row>
    <row r="502" spans="1:14" x14ac:dyDescent="0.3">
      <c r="A502" s="10"/>
      <c r="B502" s="4"/>
      <c r="C502" s="11"/>
      <c r="D502" s="12"/>
      <c r="E502" s="12"/>
      <c r="F502" s="4"/>
      <c r="G502" s="13"/>
      <c r="H502" s="14"/>
      <c r="I502" s="11"/>
      <c r="J502" s="4"/>
      <c r="K502" s="4"/>
      <c r="L502" s="7"/>
      <c r="M502" s="7"/>
      <c r="N502" s="4"/>
    </row>
    <row r="503" spans="1:14" x14ac:dyDescent="0.3">
      <c r="A503" s="10"/>
      <c r="B503" s="4"/>
      <c r="C503" s="11"/>
      <c r="D503" s="12"/>
      <c r="E503" s="12"/>
      <c r="F503" s="4"/>
      <c r="G503" s="13"/>
      <c r="H503" s="14"/>
      <c r="I503" s="11"/>
      <c r="J503" s="4"/>
      <c r="K503" s="4"/>
      <c r="L503" s="7"/>
      <c r="M503" s="7"/>
      <c r="N503" s="4"/>
    </row>
    <row r="504" spans="1:14" x14ac:dyDescent="0.3">
      <c r="A504" s="10"/>
      <c r="B504" s="4"/>
      <c r="C504" s="11"/>
      <c r="D504" s="12"/>
      <c r="E504" s="12"/>
      <c r="F504" s="4"/>
      <c r="G504" s="13"/>
      <c r="H504" s="14"/>
      <c r="I504" s="11"/>
      <c r="J504" s="4"/>
      <c r="K504" s="4"/>
      <c r="L504" s="7"/>
      <c r="M504" s="7"/>
      <c r="N504" s="4"/>
    </row>
    <row r="505" spans="1:14" x14ac:dyDescent="0.3">
      <c r="A505" s="10"/>
      <c r="B505" s="4"/>
      <c r="C505" s="11"/>
      <c r="D505" s="12"/>
      <c r="E505" s="12"/>
      <c r="F505" s="4"/>
      <c r="G505" s="13"/>
      <c r="H505" s="14"/>
      <c r="I505" s="11"/>
      <c r="J505" s="4"/>
      <c r="K505" s="4"/>
      <c r="L505" s="7"/>
      <c r="M505" s="7"/>
      <c r="N505" s="4"/>
    </row>
    <row r="508" spans="1:14" ht="28.8" x14ac:dyDescent="0.3">
      <c r="A508" s="1" t="s">
        <v>0</v>
      </c>
      <c r="B508" s="1" t="s">
        <v>1</v>
      </c>
      <c r="C508" s="1" t="s">
        <v>2</v>
      </c>
      <c r="D508" s="1" t="s">
        <v>3</v>
      </c>
      <c r="E508" s="1" t="s">
        <v>4</v>
      </c>
      <c r="F508" s="1" t="s">
        <v>5</v>
      </c>
      <c r="G508" s="1" t="s">
        <v>6</v>
      </c>
      <c r="H508" s="1" t="s">
        <v>7</v>
      </c>
      <c r="I508" s="1" t="s">
        <v>8</v>
      </c>
      <c r="J508" s="1" t="s">
        <v>9</v>
      </c>
      <c r="K508" s="1" t="s">
        <v>10</v>
      </c>
      <c r="L508" s="2"/>
      <c r="M508" s="2"/>
      <c r="N508" s="2"/>
    </row>
    <row r="509" spans="1:14" x14ac:dyDescent="0.3">
      <c r="A509" s="4" t="s">
        <v>11</v>
      </c>
      <c r="B509" s="3" t="str">
        <f>_xlfn.XLOOKUP($C509,'[1]Basic EMP Data - 2025'!$D$3:$D$216,'[1]Basic EMP Data - 2025'!$C$3:$C$216)</f>
        <v>VB1972</v>
      </c>
      <c r="C509" s="5" t="s">
        <v>46</v>
      </c>
      <c r="D509" s="4" t="str">
        <f>VLOOKUP($B509,'[1]Basic EMP Data - 2025'!$C$3:$F$216,3,0)</f>
        <v>Abhishek Yadav</v>
      </c>
      <c r="E509" s="4">
        <f>VLOOKUP($B509,'[1]Basic EMP Data - 2025'!$C$3:$I$216,5,0)</f>
        <v>8</v>
      </c>
      <c r="F509" s="4">
        <f>VLOOKUP($B509,'[1]Basic EMP Data - 2025'!$C$3:$I$216,6,0)</f>
        <v>4</v>
      </c>
      <c r="G509" s="6">
        <f>F509/E509</f>
        <v>0.5</v>
      </c>
      <c r="H509" s="7">
        <f>SUM(L511:L529)</f>
        <v>8485.9199999999964</v>
      </c>
      <c r="I509" s="8" cm="1">
        <f t="array" ref="I509">_xlfn.IFS($G509&lt;=34%,0%,$G509&lt;=75%,3%,$G509&lt;=120%,4%,$G509&gt;120%,5%)</f>
        <v>0.03</v>
      </c>
      <c r="J509" s="7" cm="1">
        <f t="array" ref="J509">SUMPRODUCT((C511:C529=2024)*M511:M529) + SUMPRODUCT((C511:C529=2025)*M511:M529*2)</f>
        <v>13577.471999999994</v>
      </c>
      <c r="K509" s="4">
        <f>SUM(N511:N529)</f>
        <v>0</v>
      </c>
      <c r="M509" s="2"/>
      <c r="N509" s="2"/>
    </row>
    <row r="510" spans="1:14" ht="28.8" x14ac:dyDescent="0.3">
      <c r="A510" s="9" t="s">
        <v>2</v>
      </c>
      <c r="B510" s="9" t="s">
        <v>13</v>
      </c>
      <c r="C510" s="9" t="s">
        <v>14</v>
      </c>
      <c r="D510" s="9" t="s">
        <v>15</v>
      </c>
      <c r="E510" s="9" t="s">
        <v>16</v>
      </c>
      <c r="F510" s="9" t="s">
        <v>17</v>
      </c>
      <c r="G510" s="9" t="s">
        <v>18</v>
      </c>
      <c r="H510" s="9" t="s">
        <v>19</v>
      </c>
      <c r="I510" s="9" t="s">
        <v>20</v>
      </c>
      <c r="J510" s="9" t="s">
        <v>21</v>
      </c>
      <c r="K510" s="9" t="s">
        <v>22</v>
      </c>
      <c r="L510" s="9" t="s">
        <v>23</v>
      </c>
      <c r="M510" s="9" t="s">
        <v>24</v>
      </c>
      <c r="N510" s="9" t="s">
        <v>25</v>
      </c>
    </row>
    <row r="511" spans="1:14" x14ac:dyDescent="0.3">
      <c r="A511" s="10" t="str">
        <f>C509</f>
        <v>Shubham Srivastava</v>
      </c>
      <c r="B511" s="4" t="str" cm="1">
        <f t="array" ref="B511:M511">_xlfn.LET(
  _xlpm.data, _xlfn._xlws.FILTER('[1]Incentive Data'!A:BV, '[1]Incentive Data'!H:H=$C509),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Ramya Teja Tamminedi</v>
      </c>
      <c r="C511" s="11">
        <v>2024</v>
      </c>
      <c r="D511" s="12">
        <v>45638</v>
      </c>
      <c r="E511" s="12" t="str">
        <v>-</v>
      </c>
      <c r="F511" s="4" t="str">
        <v>Genpact</v>
      </c>
      <c r="G511" s="13" t="str">
        <v>PLC-4075</v>
      </c>
      <c r="H511" s="14" t="str">
        <v>C2C</v>
      </c>
      <c r="I511" s="11" t="str">
        <v>Done</v>
      </c>
      <c r="J511" s="4" t="str">
        <v>Y</v>
      </c>
      <c r="K511" s="4">
        <v>664</v>
      </c>
      <c r="L511" s="7">
        <v>8485.9199999999964</v>
      </c>
      <c r="M511" s="7">
        <v>13577.471999999994</v>
      </c>
      <c r="N511" s="4"/>
    </row>
    <row r="512" spans="1:14" x14ac:dyDescent="0.3">
      <c r="A512" s="10"/>
      <c r="B512" s="4"/>
      <c r="C512" s="11"/>
      <c r="D512" s="12"/>
      <c r="E512" s="12"/>
      <c r="F512" s="4"/>
      <c r="G512" s="13"/>
      <c r="H512" s="14"/>
      <c r="I512" s="11"/>
      <c r="J512" s="4"/>
      <c r="K512" s="4"/>
      <c r="L512" s="7"/>
      <c r="M512" s="7"/>
      <c r="N512" s="4"/>
    </row>
    <row r="513" spans="1:14" x14ac:dyDescent="0.3">
      <c r="A513" s="10"/>
      <c r="B513" s="4"/>
      <c r="C513" s="11"/>
      <c r="D513" s="12"/>
      <c r="E513" s="12"/>
      <c r="F513" s="4"/>
      <c r="G513" s="13"/>
      <c r="H513" s="14"/>
      <c r="I513" s="11"/>
      <c r="J513" s="4"/>
      <c r="K513" s="4"/>
      <c r="L513" s="7"/>
      <c r="M513" s="7"/>
      <c r="N513" s="4"/>
    </row>
    <row r="514" spans="1:14" x14ac:dyDescent="0.3">
      <c r="A514" s="10"/>
      <c r="B514" s="4"/>
      <c r="C514" s="11"/>
      <c r="D514" s="12"/>
      <c r="E514" s="12"/>
      <c r="F514" s="4"/>
      <c r="G514" s="13"/>
      <c r="H514" s="14"/>
      <c r="I514" s="11"/>
      <c r="J514" s="4"/>
      <c r="K514" s="4"/>
      <c r="L514" s="7"/>
      <c r="M514" s="7"/>
      <c r="N514" s="4"/>
    </row>
    <row r="515" spans="1:14" x14ac:dyDescent="0.3">
      <c r="A515" s="10"/>
      <c r="B515" s="4"/>
      <c r="C515" s="11"/>
      <c r="D515" s="12"/>
      <c r="E515" s="12"/>
      <c r="F515" s="4"/>
      <c r="G515" s="13"/>
      <c r="H515" s="14"/>
      <c r="I515" s="11"/>
      <c r="J515" s="4"/>
      <c r="K515" s="4"/>
      <c r="L515" s="7"/>
      <c r="M515" s="7"/>
      <c r="N515" s="4"/>
    </row>
    <row r="516" spans="1:14" x14ac:dyDescent="0.3">
      <c r="A516" s="10"/>
      <c r="B516" s="4"/>
      <c r="C516" s="11"/>
      <c r="D516" s="12"/>
      <c r="E516" s="12"/>
      <c r="F516" s="4"/>
      <c r="G516" s="13"/>
      <c r="H516" s="14"/>
      <c r="I516" s="11"/>
      <c r="J516" s="4"/>
      <c r="K516" s="4"/>
      <c r="L516" s="7"/>
      <c r="M516" s="7"/>
      <c r="N516" s="4"/>
    </row>
    <row r="517" spans="1:14" x14ac:dyDescent="0.3">
      <c r="A517" s="10"/>
      <c r="B517" s="4"/>
      <c r="C517" s="11"/>
      <c r="D517" s="12"/>
      <c r="E517" s="12"/>
      <c r="F517" s="4"/>
      <c r="G517" s="13"/>
      <c r="H517" s="14"/>
      <c r="I517" s="11"/>
      <c r="J517" s="4"/>
      <c r="K517" s="4"/>
      <c r="L517" s="7"/>
      <c r="M517" s="7"/>
      <c r="N517" s="4"/>
    </row>
    <row r="518" spans="1:14" x14ac:dyDescent="0.3">
      <c r="A518" s="10"/>
      <c r="B518" s="4"/>
      <c r="C518" s="11"/>
      <c r="D518" s="12"/>
      <c r="E518" s="12"/>
      <c r="F518" s="4"/>
      <c r="G518" s="13"/>
      <c r="H518" s="14"/>
      <c r="I518" s="11"/>
      <c r="J518" s="4"/>
      <c r="K518" s="4"/>
      <c r="L518" s="7"/>
      <c r="M518" s="7"/>
      <c r="N518" s="4"/>
    </row>
    <row r="519" spans="1:14" x14ac:dyDescent="0.3">
      <c r="A519" s="10"/>
      <c r="B519" s="4"/>
      <c r="C519" s="11"/>
      <c r="D519" s="12"/>
      <c r="E519" s="12"/>
      <c r="F519" s="4"/>
      <c r="G519" s="13"/>
      <c r="H519" s="14"/>
      <c r="I519" s="11"/>
      <c r="J519" s="4"/>
      <c r="K519" s="4"/>
      <c r="L519" s="7"/>
      <c r="M519" s="7"/>
      <c r="N519" s="4"/>
    </row>
    <row r="520" spans="1:14" x14ac:dyDescent="0.3">
      <c r="A520" s="10"/>
      <c r="B520" s="4"/>
      <c r="C520" s="11"/>
      <c r="D520" s="12"/>
      <c r="E520" s="12"/>
      <c r="F520" s="4"/>
      <c r="G520" s="13"/>
      <c r="H520" s="14"/>
      <c r="I520" s="11"/>
      <c r="J520" s="4"/>
      <c r="K520" s="4"/>
      <c r="L520" s="7"/>
      <c r="M520" s="7"/>
      <c r="N520" s="4"/>
    </row>
    <row r="521" spans="1:14" x14ac:dyDescent="0.3">
      <c r="A521" s="10"/>
      <c r="B521" s="4"/>
      <c r="C521" s="11"/>
      <c r="D521" s="12"/>
      <c r="E521" s="12"/>
      <c r="F521" s="4"/>
      <c r="G521" s="13"/>
      <c r="H521" s="14"/>
      <c r="I521" s="11"/>
      <c r="J521" s="4"/>
      <c r="K521" s="4"/>
      <c r="L521" s="7"/>
      <c r="M521" s="7"/>
      <c r="N521" s="4"/>
    </row>
    <row r="522" spans="1:14" x14ac:dyDescent="0.3">
      <c r="A522" s="10"/>
      <c r="B522" s="4"/>
      <c r="C522" s="11"/>
      <c r="D522" s="12"/>
      <c r="E522" s="12"/>
      <c r="F522" s="4"/>
      <c r="G522" s="13"/>
      <c r="H522" s="14"/>
      <c r="I522" s="11"/>
      <c r="J522" s="4"/>
      <c r="K522" s="4"/>
      <c r="L522" s="7"/>
      <c r="M522" s="7"/>
      <c r="N522" s="4"/>
    </row>
    <row r="523" spans="1:14" x14ac:dyDescent="0.3">
      <c r="A523" s="10"/>
      <c r="B523" s="4"/>
      <c r="C523" s="11"/>
      <c r="D523" s="12"/>
      <c r="E523" s="12"/>
      <c r="F523" s="4"/>
      <c r="G523" s="13"/>
      <c r="H523" s="14"/>
      <c r="I523" s="11"/>
      <c r="J523" s="4"/>
      <c r="K523" s="4"/>
      <c r="L523" s="7"/>
      <c r="M523" s="7"/>
      <c r="N523" s="4"/>
    </row>
    <row r="524" spans="1:14" x14ac:dyDescent="0.3">
      <c r="A524" s="10"/>
      <c r="B524" s="4"/>
      <c r="C524" s="11"/>
      <c r="D524" s="12"/>
      <c r="E524" s="12"/>
      <c r="F524" s="4"/>
      <c r="G524" s="13"/>
      <c r="H524" s="14"/>
      <c r="I524" s="11"/>
      <c r="J524" s="4"/>
      <c r="K524" s="4"/>
      <c r="L524" s="7"/>
      <c r="M524" s="7"/>
      <c r="N524" s="4"/>
    </row>
    <row r="525" spans="1:14" x14ac:dyDescent="0.3">
      <c r="A525" s="10"/>
      <c r="B525" s="4"/>
      <c r="C525" s="11"/>
      <c r="D525" s="12"/>
      <c r="E525" s="12"/>
      <c r="F525" s="4"/>
      <c r="G525" s="13"/>
      <c r="H525" s="14"/>
      <c r="I525" s="11"/>
      <c r="J525" s="4"/>
      <c r="K525" s="4"/>
      <c r="L525" s="7"/>
      <c r="M525" s="7"/>
      <c r="N525" s="4"/>
    </row>
    <row r="526" spans="1:14" x14ac:dyDescent="0.3">
      <c r="A526" s="10"/>
      <c r="B526" s="4"/>
      <c r="C526" s="11"/>
      <c r="D526" s="12"/>
      <c r="E526" s="12"/>
      <c r="F526" s="4"/>
      <c r="G526" s="13"/>
      <c r="H526" s="14"/>
      <c r="I526" s="11"/>
      <c r="J526" s="4"/>
      <c r="K526" s="4"/>
      <c r="L526" s="7"/>
      <c r="M526" s="7"/>
      <c r="N526" s="4"/>
    </row>
    <row r="527" spans="1:14" x14ac:dyDescent="0.3">
      <c r="A527" s="10"/>
      <c r="B527" s="4"/>
      <c r="C527" s="11"/>
      <c r="D527" s="12"/>
      <c r="E527" s="12"/>
      <c r="F527" s="4"/>
      <c r="G527" s="13"/>
      <c r="H527" s="14"/>
      <c r="I527" s="11"/>
      <c r="J527" s="4"/>
      <c r="K527" s="4"/>
      <c r="L527" s="7"/>
      <c r="M527" s="7"/>
      <c r="N527" s="4"/>
    </row>
    <row r="528" spans="1:14" x14ac:dyDescent="0.3">
      <c r="A528" s="10"/>
      <c r="B528" s="4"/>
      <c r="C528" s="11"/>
      <c r="D528" s="12"/>
      <c r="E528" s="12"/>
      <c r="F528" s="4"/>
      <c r="G528" s="13"/>
      <c r="H528" s="14"/>
      <c r="I528" s="11"/>
      <c r="J528" s="4"/>
      <c r="K528" s="4"/>
      <c r="L528" s="7"/>
      <c r="M528" s="7"/>
      <c r="N528" s="4"/>
    </row>
    <row r="529" spans="1:14" x14ac:dyDescent="0.3">
      <c r="A529" s="10"/>
      <c r="B529" s="4"/>
      <c r="C529" s="11"/>
      <c r="D529" s="12"/>
      <c r="E529" s="12"/>
      <c r="F529" s="4"/>
      <c r="G529" s="13"/>
      <c r="H529" s="14"/>
      <c r="I529" s="11"/>
      <c r="J529" s="4"/>
      <c r="K529" s="4"/>
      <c r="L529" s="7"/>
      <c r="M529" s="7"/>
      <c r="N529" s="4"/>
    </row>
    <row r="532" spans="1:14" ht="28.8" x14ac:dyDescent="0.3">
      <c r="A532" s="1" t="s">
        <v>0</v>
      </c>
      <c r="B532" s="1" t="s">
        <v>1</v>
      </c>
      <c r="C532" s="1" t="s">
        <v>2</v>
      </c>
      <c r="D532" s="1" t="s">
        <v>3</v>
      </c>
      <c r="E532" s="1" t="s">
        <v>4</v>
      </c>
      <c r="F532" s="1" t="s">
        <v>5</v>
      </c>
      <c r="G532" s="1" t="s">
        <v>6</v>
      </c>
      <c r="H532" s="1" t="s">
        <v>7</v>
      </c>
      <c r="I532" s="1" t="s">
        <v>8</v>
      </c>
      <c r="J532" s="1" t="s">
        <v>9</v>
      </c>
      <c r="K532" s="1" t="s">
        <v>10</v>
      </c>
      <c r="L532" s="2"/>
      <c r="M532" s="2"/>
      <c r="N532" s="2"/>
    </row>
    <row r="533" spans="1:14" x14ac:dyDescent="0.3">
      <c r="A533" s="4" t="s">
        <v>11</v>
      </c>
      <c r="B533" s="3" t="str">
        <f>_xlfn.XLOOKUP($C533,'[1]Basic EMP Data - 2025'!$D$3:$D$216,'[1]Basic EMP Data - 2025'!$C$3:$C$216)</f>
        <v>VB2115</v>
      </c>
      <c r="C533" s="5" t="s">
        <v>47</v>
      </c>
      <c r="D533" s="4" t="str">
        <f>VLOOKUP($B533,'[1]Basic EMP Data - 2025'!$C$3:$F$216,3,0)</f>
        <v>Abhishek Yadav</v>
      </c>
      <c r="E533" s="4">
        <f>VLOOKUP($B533,'[1]Basic EMP Data - 2025'!$C$3:$I$216,5,0)</f>
        <v>4</v>
      </c>
      <c r="F533" s="4">
        <f>VLOOKUP($B533,'[1]Basic EMP Data - 2025'!$C$3:$I$216,6,0)</f>
        <v>1</v>
      </c>
      <c r="G533" s="6">
        <f>F533/E533</f>
        <v>0.25</v>
      </c>
      <c r="H533" s="7">
        <f>SUM(L535:L553)</f>
        <v>0</v>
      </c>
      <c r="I533" s="8" cm="1">
        <f t="array" ref="I533">_xlfn.IFS($G533&lt;=34%,0%,$G533&lt;=75%,3%,$G533&lt;=120%,4%,$G533&gt;120%,5%)</f>
        <v>0</v>
      </c>
      <c r="J533" s="7" cm="1">
        <f t="array" ref="J533">SUMPRODUCT((C535:C553=2024)*M535:M553) + SUMPRODUCT((C535:C553=2025)*M535:M553*2)</f>
        <v>0</v>
      </c>
      <c r="K533" s="4">
        <f>SUM(N535:N553)</f>
        <v>0</v>
      </c>
      <c r="M533" s="2"/>
      <c r="N533" s="2"/>
    </row>
    <row r="534" spans="1:14" ht="28.8" x14ac:dyDescent="0.3">
      <c r="A534" s="9" t="s">
        <v>2</v>
      </c>
      <c r="B534" s="9" t="s">
        <v>13</v>
      </c>
      <c r="C534" s="9" t="s">
        <v>14</v>
      </c>
      <c r="D534" s="9" t="s">
        <v>15</v>
      </c>
      <c r="E534" s="9" t="s">
        <v>16</v>
      </c>
      <c r="F534" s="9" t="s">
        <v>17</v>
      </c>
      <c r="G534" s="9" t="s">
        <v>18</v>
      </c>
      <c r="H534" s="9" t="s">
        <v>19</v>
      </c>
      <c r="I534" s="9" t="s">
        <v>20</v>
      </c>
      <c r="J534" s="9" t="s">
        <v>21</v>
      </c>
      <c r="K534" s="9" t="s">
        <v>22</v>
      </c>
      <c r="L534" s="9" t="s">
        <v>23</v>
      </c>
      <c r="M534" s="9" t="s">
        <v>24</v>
      </c>
      <c r="N534" s="9" t="s">
        <v>25</v>
      </c>
    </row>
    <row r="535" spans="1:14" x14ac:dyDescent="0.3">
      <c r="A535" s="10" t="str">
        <f>C533</f>
        <v>Satyam Pandey</v>
      </c>
      <c r="B535" s="4" t="e" cm="1" vm="1">
        <f t="array" ref="B535">_xlfn.LET(
  _xlpm.data, _xlfn._xlws.FILTER('[1]Incentive Data'!A:BV, '[1]Incentive Data'!H:H=$C533),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35" s="11"/>
      <c r="D535" s="12"/>
      <c r="E535" s="12"/>
      <c r="F535" s="4"/>
      <c r="G535" s="13"/>
      <c r="H535" s="14"/>
      <c r="I535" s="11"/>
      <c r="J535" s="4"/>
      <c r="K535" s="4"/>
      <c r="L535" s="7"/>
      <c r="M535" s="7"/>
      <c r="N535" s="4"/>
    </row>
    <row r="536" spans="1:14" x14ac:dyDescent="0.3">
      <c r="A536" s="10"/>
      <c r="B536" s="4"/>
      <c r="C536" s="11"/>
      <c r="D536" s="12"/>
      <c r="E536" s="12"/>
      <c r="F536" s="4"/>
      <c r="G536" s="13"/>
      <c r="H536" s="14"/>
      <c r="I536" s="11"/>
      <c r="J536" s="4"/>
      <c r="K536" s="4"/>
      <c r="L536" s="7"/>
      <c r="M536" s="7"/>
      <c r="N536" s="4"/>
    </row>
    <row r="537" spans="1:14" x14ac:dyDescent="0.3">
      <c r="A537" s="10"/>
      <c r="B537" s="4"/>
      <c r="C537" s="11"/>
      <c r="D537" s="12"/>
      <c r="E537" s="12"/>
      <c r="F537" s="4"/>
      <c r="G537" s="13"/>
      <c r="H537" s="14"/>
      <c r="I537" s="11"/>
      <c r="J537" s="4"/>
      <c r="K537" s="4"/>
      <c r="L537" s="7"/>
      <c r="M537" s="7"/>
      <c r="N537" s="4"/>
    </row>
    <row r="538" spans="1:14" x14ac:dyDescent="0.3">
      <c r="A538" s="10"/>
      <c r="B538" s="4"/>
      <c r="C538" s="11"/>
      <c r="D538" s="12"/>
      <c r="E538" s="12"/>
      <c r="F538" s="4"/>
      <c r="G538" s="13"/>
      <c r="H538" s="14"/>
      <c r="I538" s="11"/>
      <c r="J538" s="4"/>
      <c r="K538" s="4"/>
      <c r="L538" s="7"/>
      <c r="M538" s="7"/>
      <c r="N538" s="4"/>
    </row>
    <row r="539" spans="1:14" x14ac:dyDescent="0.3">
      <c r="A539" s="10"/>
      <c r="B539" s="4"/>
      <c r="C539" s="11"/>
      <c r="D539" s="12"/>
      <c r="E539" s="12"/>
      <c r="F539" s="4"/>
      <c r="G539" s="13"/>
      <c r="H539" s="14"/>
      <c r="I539" s="11"/>
      <c r="J539" s="4"/>
      <c r="K539" s="4"/>
      <c r="L539" s="7"/>
      <c r="M539" s="7"/>
      <c r="N539" s="4"/>
    </row>
    <row r="540" spans="1:14" x14ac:dyDescent="0.3">
      <c r="A540" s="10"/>
      <c r="B540" s="4"/>
      <c r="C540" s="11"/>
      <c r="D540" s="12"/>
      <c r="E540" s="12"/>
      <c r="F540" s="4"/>
      <c r="G540" s="13"/>
      <c r="H540" s="14"/>
      <c r="I540" s="11"/>
      <c r="J540" s="4"/>
      <c r="K540" s="4"/>
      <c r="L540" s="7"/>
      <c r="M540" s="7"/>
      <c r="N540" s="4"/>
    </row>
    <row r="541" spans="1:14" x14ac:dyDescent="0.3">
      <c r="A541" s="10"/>
      <c r="B541" s="4"/>
      <c r="C541" s="11"/>
      <c r="D541" s="12"/>
      <c r="E541" s="12"/>
      <c r="F541" s="4"/>
      <c r="G541" s="13"/>
      <c r="H541" s="14"/>
      <c r="I541" s="11"/>
      <c r="J541" s="4"/>
      <c r="K541" s="4"/>
      <c r="L541" s="7"/>
      <c r="M541" s="7"/>
      <c r="N541" s="4"/>
    </row>
    <row r="542" spans="1:14" x14ac:dyDescent="0.3">
      <c r="A542" s="10"/>
      <c r="B542" s="4"/>
      <c r="C542" s="11"/>
      <c r="D542" s="12"/>
      <c r="E542" s="12"/>
      <c r="F542" s="4"/>
      <c r="G542" s="13"/>
      <c r="H542" s="14"/>
      <c r="I542" s="11"/>
      <c r="J542" s="4"/>
      <c r="K542" s="4"/>
      <c r="L542" s="7"/>
      <c r="M542" s="7"/>
      <c r="N542" s="4"/>
    </row>
    <row r="543" spans="1:14" x14ac:dyDescent="0.3">
      <c r="A543" s="10"/>
      <c r="B543" s="4"/>
      <c r="C543" s="11"/>
      <c r="D543" s="12"/>
      <c r="E543" s="12"/>
      <c r="F543" s="4"/>
      <c r="G543" s="13"/>
      <c r="H543" s="14"/>
      <c r="I543" s="11"/>
      <c r="J543" s="4"/>
      <c r="K543" s="4"/>
      <c r="L543" s="7"/>
      <c r="M543" s="7"/>
      <c r="N543" s="4"/>
    </row>
    <row r="544" spans="1:14" x14ac:dyDescent="0.3">
      <c r="A544" s="10"/>
      <c r="B544" s="4"/>
      <c r="C544" s="11"/>
      <c r="D544" s="12"/>
      <c r="E544" s="12"/>
      <c r="F544" s="4"/>
      <c r="G544" s="13"/>
      <c r="H544" s="14"/>
      <c r="I544" s="11"/>
      <c r="J544" s="4"/>
      <c r="K544" s="4"/>
      <c r="L544" s="7"/>
      <c r="M544" s="7"/>
      <c r="N544" s="4"/>
    </row>
    <row r="545" spans="1:14" x14ac:dyDescent="0.3">
      <c r="A545" s="10"/>
      <c r="B545" s="4"/>
      <c r="C545" s="11"/>
      <c r="D545" s="12"/>
      <c r="E545" s="12"/>
      <c r="F545" s="4"/>
      <c r="G545" s="13"/>
      <c r="H545" s="14"/>
      <c r="I545" s="11"/>
      <c r="J545" s="4"/>
      <c r="K545" s="4"/>
      <c r="L545" s="7"/>
      <c r="M545" s="7"/>
      <c r="N545" s="4"/>
    </row>
    <row r="546" spans="1:14" x14ac:dyDescent="0.3">
      <c r="A546" s="10"/>
      <c r="B546" s="4"/>
      <c r="C546" s="11"/>
      <c r="D546" s="12"/>
      <c r="E546" s="12"/>
      <c r="F546" s="4"/>
      <c r="G546" s="13"/>
      <c r="H546" s="14"/>
      <c r="I546" s="11"/>
      <c r="J546" s="4"/>
      <c r="K546" s="4"/>
      <c r="L546" s="7"/>
      <c r="M546" s="7"/>
      <c r="N546" s="4"/>
    </row>
    <row r="547" spans="1:14" x14ac:dyDescent="0.3">
      <c r="A547" s="10"/>
      <c r="B547" s="4"/>
      <c r="C547" s="11"/>
      <c r="D547" s="12"/>
      <c r="E547" s="12"/>
      <c r="F547" s="4"/>
      <c r="G547" s="13"/>
      <c r="H547" s="14"/>
      <c r="I547" s="11"/>
      <c r="J547" s="4"/>
      <c r="K547" s="4"/>
      <c r="L547" s="7"/>
      <c r="M547" s="7"/>
      <c r="N547" s="4"/>
    </row>
    <row r="548" spans="1:14" x14ac:dyDescent="0.3">
      <c r="A548" s="10"/>
      <c r="B548" s="4"/>
      <c r="C548" s="11"/>
      <c r="D548" s="12"/>
      <c r="E548" s="12"/>
      <c r="F548" s="4"/>
      <c r="G548" s="13"/>
      <c r="H548" s="14"/>
      <c r="I548" s="11"/>
      <c r="J548" s="4"/>
      <c r="K548" s="4"/>
      <c r="L548" s="7"/>
      <c r="M548" s="7"/>
      <c r="N548" s="4"/>
    </row>
    <row r="549" spans="1:14" x14ac:dyDescent="0.3">
      <c r="A549" s="10"/>
      <c r="B549" s="4"/>
      <c r="C549" s="11"/>
      <c r="D549" s="12"/>
      <c r="E549" s="12"/>
      <c r="F549" s="4"/>
      <c r="G549" s="13"/>
      <c r="H549" s="14"/>
      <c r="I549" s="11"/>
      <c r="J549" s="4"/>
      <c r="K549" s="4"/>
      <c r="L549" s="7"/>
      <c r="M549" s="7"/>
      <c r="N549" s="4"/>
    </row>
    <row r="550" spans="1:14" x14ac:dyDescent="0.3">
      <c r="A550" s="10"/>
      <c r="B550" s="4"/>
      <c r="C550" s="11"/>
      <c r="D550" s="12"/>
      <c r="E550" s="12"/>
      <c r="F550" s="4"/>
      <c r="G550" s="13"/>
      <c r="H550" s="14"/>
      <c r="I550" s="11"/>
      <c r="J550" s="4"/>
      <c r="K550" s="4"/>
      <c r="L550" s="7"/>
      <c r="M550" s="7"/>
      <c r="N550" s="4"/>
    </row>
    <row r="551" spans="1:14" x14ac:dyDescent="0.3">
      <c r="A551" s="10"/>
      <c r="B551" s="4"/>
      <c r="C551" s="11"/>
      <c r="D551" s="12"/>
      <c r="E551" s="12"/>
      <c r="F551" s="4"/>
      <c r="G551" s="13"/>
      <c r="H551" s="14"/>
      <c r="I551" s="11"/>
      <c r="J551" s="4"/>
      <c r="K551" s="4"/>
      <c r="L551" s="7"/>
      <c r="M551" s="7"/>
      <c r="N551" s="4"/>
    </row>
    <row r="552" spans="1:14" x14ac:dyDescent="0.3">
      <c r="A552" s="10"/>
      <c r="B552" s="4"/>
      <c r="C552" s="11"/>
      <c r="D552" s="12"/>
      <c r="E552" s="12"/>
      <c r="F552" s="4"/>
      <c r="G552" s="13"/>
      <c r="H552" s="14"/>
      <c r="I552" s="11"/>
      <c r="J552" s="4"/>
      <c r="K552" s="4"/>
      <c r="L552" s="7"/>
      <c r="M552" s="7"/>
      <c r="N552" s="4"/>
    </row>
    <row r="553" spans="1:14" x14ac:dyDescent="0.3">
      <c r="A553" s="10"/>
      <c r="B553" s="4"/>
      <c r="C553" s="11"/>
      <c r="D553" s="12"/>
      <c r="E553" s="12"/>
      <c r="F553" s="4"/>
      <c r="G553" s="13"/>
      <c r="H553" s="14"/>
      <c r="I553" s="11"/>
      <c r="J553" s="4"/>
      <c r="K553" s="4"/>
      <c r="L553" s="7"/>
      <c r="M553" s="7"/>
      <c r="N553" s="4"/>
    </row>
    <row r="557" spans="1:14" ht="28.8" x14ac:dyDescent="0.3">
      <c r="A557" s="1" t="s">
        <v>0</v>
      </c>
      <c r="B557" s="1" t="s">
        <v>1</v>
      </c>
      <c r="C557" s="1" t="s">
        <v>2</v>
      </c>
      <c r="D557" s="1" t="s">
        <v>3</v>
      </c>
      <c r="E557" s="1" t="s">
        <v>4</v>
      </c>
      <c r="F557" s="1" t="s">
        <v>5</v>
      </c>
      <c r="G557" s="1" t="s">
        <v>6</v>
      </c>
      <c r="H557" s="1" t="s">
        <v>7</v>
      </c>
      <c r="I557" s="1" t="s">
        <v>8</v>
      </c>
      <c r="J557" s="1" t="s">
        <v>9</v>
      </c>
      <c r="K557" s="1" t="s">
        <v>10</v>
      </c>
      <c r="L557" s="2"/>
      <c r="M557" s="2"/>
      <c r="N557" s="2"/>
    </row>
    <row r="558" spans="1:14" x14ac:dyDescent="0.3">
      <c r="A558" s="4" t="s">
        <v>11</v>
      </c>
      <c r="B558" s="3" t="str">
        <f>_xlfn.XLOOKUP($C558,'[1]Basic EMP Data - 2025'!$D$3:$D$216,'[1]Basic EMP Data - 2025'!$C$3:$C$216)</f>
        <v>VB2118</v>
      </c>
      <c r="C558" s="5" t="s">
        <v>48</v>
      </c>
      <c r="D558" s="4" t="str">
        <f>VLOOKUP($B558,'[1]Basic EMP Data - 2025'!$C$3:$F$216,3,0)</f>
        <v>Abhishek Yadav</v>
      </c>
      <c r="E558" s="4">
        <f>VLOOKUP($B558,'[1]Basic EMP Data - 2025'!$C$3:$I$216,5,0)</f>
        <v>5</v>
      </c>
      <c r="F558" s="4">
        <f>VLOOKUP($B558,'[1]Basic EMP Data - 2025'!$C$3:$I$216,6,0)</f>
        <v>2</v>
      </c>
      <c r="G558" s="6">
        <f>F558/E558</f>
        <v>0.4</v>
      </c>
      <c r="H558" s="7">
        <f>SUM(L560:L578)</f>
        <v>0</v>
      </c>
      <c r="I558" s="8" cm="1">
        <f t="array" ref="I558">_xlfn.IFS($G558&lt;=34%,0%,$G558&lt;=75%,3%,$G558&lt;=120%,4%,$G558&gt;120%,5%)</f>
        <v>0.03</v>
      </c>
      <c r="J558" s="7" cm="1">
        <f t="array" ref="J558">SUMPRODUCT((C560:C578=2024)*M560:M578) + SUMPRODUCT((C560:C578=2025)*M560:M578*2)</f>
        <v>0</v>
      </c>
      <c r="K558" s="4">
        <f>SUM(N560:N578)</f>
        <v>0</v>
      </c>
      <c r="M558" s="2"/>
      <c r="N558" s="2"/>
    </row>
    <row r="559" spans="1:14" ht="28.8" x14ac:dyDescent="0.3">
      <c r="A559" s="9" t="s">
        <v>2</v>
      </c>
      <c r="B559" s="9" t="s">
        <v>13</v>
      </c>
      <c r="C559" s="9" t="s">
        <v>14</v>
      </c>
      <c r="D559" s="9" t="s">
        <v>15</v>
      </c>
      <c r="E559" s="9" t="s">
        <v>16</v>
      </c>
      <c r="F559" s="9" t="s">
        <v>17</v>
      </c>
      <c r="G559" s="9" t="s">
        <v>18</v>
      </c>
      <c r="H559" s="9" t="s">
        <v>19</v>
      </c>
      <c r="I559" s="9" t="s">
        <v>20</v>
      </c>
      <c r="J559" s="9" t="s">
        <v>21</v>
      </c>
      <c r="K559" s="9" t="s">
        <v>22</v>
      </c>
      <c r="L559" s="9" t="s">
        <v>23</v>
      </c>
      <c r="M559" s="9" t="s">
        <v>24</v>
      </c>
      <c r="N559" s="9" t="s">
        <v>25</v>
      </c>
    </row>
    <row r="560" spans="1:14" x14ac:dyDescent="0.3">
      <c r="A560" s="10" t="str">
        <f>C558</f>
        <v>Dheeraj Verma</v>
      </c>
      <c r="B560" s="4" t="e" cm="1" vm="1">
        <f t="array" ref="B560">_xlfn.LET(
  _xlpm.data, _xlfn._xlws.FILTER('[1]Incentive Data'!A:BV, '[1]Incentive Data'!H:H=$C558),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60" s="11"/>
      <c r="D560" s="12"/>
      <c r="E560" s="12"/>
      <c r="F560" s="4"/>
      <c r="G560" s="13"/>
      <c r="H560" s="14"/>
      <c r="I560" s="11"/>
      <c r="J560" s="4"/>
      <c r="K560" s="4"/>
      <c r="L560" s="7"/>
      <c r="M560" s="7"/>
      <c r="N560" s="4"/>
    </row>
    <row r="561" spans="1:14" x14ac:dyDescent="0.3">
      <c r="A561" s="10"/>
      <c r="B561" s="4"/>
      <c r="C561" s="11"/>
      <c r="D561" s="12"/>
      <c r="E561" s="12"/>
      <c r="F561" s="4"/>
      <c r="G561" s="13"/>
      <c r="H561" s="14"/>
      <c r="I561" s="11"/>
      <c r="J561" s="4"/>
      <c r="K561" s="4"/>
      <c r="L561" s="7"/>
      <c r="M561" s="7"/>
      <c r="N561" s="4"/>
    </row>
    <row r="562" spans="1:14" x14ac:dyDescent="0.3">
      <c r="A562" s="10"/>
      <c r="B562" s="4"/>
      <c r="C562" s="11"/>
      <c r="D562" s="12"/>
      <c r="E562" s="12"/>
      <c r="F562" s="4"/>
      <c r="G562" s="13"/>
      <c r="H562" s="14"/>
      <c r="I562" s="11"/>
      <c r="J562" s="4"/>
      <c r="K562" s="4"/>
      <c r="L562" s="7"/>
      <c r="M562" s="7"/>
      <c r="N562" s="4"/>
    </row>
    <row r="563" spans="1:14" x14ac:dyDescent="0.3">
      <c r="A563" s="10"/>
      <c r="B563" s="4"/>
      <c r="C563" s="11"/>
      <c r="D563" s="12"/>
      <c r="E563" s="12"/>
      <c r="F563" s="4"/>
      <c r="G563" s="13"/>
      <c r="H563" s="14"/>
      <c r="I563" s="11"/>
      <c r="J563" s="4"/>
      <c r="K563" s="4"/>
      <c r="L563" s="7"/>
      <c r="M563" s="7"/>
      <c r="N563" s="4"/>
    </row>
    <row r="564" spans="1:14" x14ac:dyDescent="0.3">
      <c r="A564" s="10"/>
      <c r="B564" s="4"/>
      <c r="C564" s="11"/>
      <c r="D564" s="12"/>
      <c r="E564" s="12"/>
      <c r="F564" s="4"/>
      <c r="G564" s="13"/>
      <c r="H564" s="14"/>
      <c r="I564" s="11"/>
      <c r="J564" s="4"/>
      <c r="K564" s="4"/>
      <c r="L564" s="7"/>
      <c r="M564" s="7"/>
      <c r="N564" s="4"/>
    </row>
    <row r="565" spans="1:14" x14ac:dyDescent="0.3">
      <c r="A565" s="10"/>
      <c r="B565" s="4"/>
      <c r="C565" s="11"/>
      <c r="D565" s="12"/>
      <c r="E565" s="12"/>
      <c r="F565" s="4"/>
      <c r="G565" s="13"/>
      <c r="H565" s="14"/>
      <c r="I565" s="11"/>
      <c r="J565" s="4"/>
      <c r="K565" s="4"/>
      <c r="L565" s="7"/>
      <c r="M565" s="7"/>
      <c r="N565" s="4"/>
    </row>
    <row r="566" spans="1:14" x14ac:dyDescent="0.3">
      <c r="A566" s="10"/>
      <c r="B566" s="4"/>
      <c r="C566" s="11"/>
      <c r="D566" s="12"/>
      <c r="E566" s="12"/>
      <c r="F566" s="4"/>
      <c r="G566" s="13"/>
      <c r="H566" s="14"/>
      <c r="I566" s="11"/>
      <c r="J566" s="4"/>
      <c r="K566" s="4"/>
      <c r="L566" s="7"/>
      <c r="M566" s="7"/>
      <c r="N566" s="4"/>
    </row>
    <row r="567" spans="1:14" x14ac:dyDescent="0.3">
      <c r="A567" s="10"/>
      <c r="B567" s="4"/>
      <c r="C567" s="11"/>
      <c r="D567" s="12"/>
      <c r="E567" s="12"/>
      <c r="F567" s="4"/>
      <c r="G567" s="13"/>
      <c r="H567" s="14"/>
      <c r="I567" s="11"/>
      <c r="J567" s="4"/>
      <c r="K567" s="4"/>
      <c r="L567" s="7"/>
      <c r="M567" s="7"/>
      <c r="N567" s="4"/>
    </row>
    <row r="568" spans="1:14" x14ac:dyDescent="0.3">
      <c r="A568" s="10"/>
      <c r="B568" s="4"/>
      <c r="C568" s="11"/>
      <c r="D568" s="12"/>
      <c r="E568" s="12"/>
      <c r="F568" s="4"/>
      <c r="G568" s="13"/>
      <c r="H568" s="14"/>
      <c r="I568" s="11"/>
      <c r="J568" s="4"/>
      <c r="K568" s="4"/>
      <c r="L568" s="7"/>
      <c r="M568" s="7"/>
      <c r="N568" s="4"/>
    </row>
    <row r="569" spans="1:14" x14ac:dyDescent="0.3">
      <c r="A569" s="10"/>
      <c r="B569" s="4"/>
      <c r="C569" s="11"/>
      <c r="D569" s="12"/>
      <c r="E569" s="12"/>
      <c r="F569" s="4"/>
      <c r="G569" s="13"/>
      <c r="H569" s="14"/>
      <c r="I569" s="11"/>
      <c r="J569" s="4"/>
      <c r="K569" s="4"/>
      <c r="L569" s="7"/>
      <c r="M569" s="7"/>
      <c r="N569" s="4"/>
    </row>
    <row r="570" spans="1:14" x14ac:dyDescent="0.3">
      <c r="A570" s="10"/>
      <c r="B570" s="4"/>
      <c r="C570" s="11"/>
      <c r="D570" s="12"/>
      <c r="E570" s="12"/>
      <c r="F570" s="4"/>
      <c r="G570" s="13"/>
      <c r="H570" s="14"/>
      <c r="I570" s="11"/>
      <c r="J570" s="4"/>
      <c r="K570" s="4"/>
      <c r="L570" s="7"/>
      <c r="M570" s="7"/>
      <c r="N570" s="4"/>
    </row>
    <row r="571" spans="1:14" x14ac:dyDescent="0.3">
      <c r="A571" s="10"/>
      <c r="B571" s="4"/>
      <c r="C571" s="11"/>
      <c r="D571" s="12"/>
      <c r="E571" s="12"/>
      <c r="F571" s="4"/>
      <c r="G571" s="13"/>
      <c r="H571" s="14"/>
      <c r="I571" s="11"/>
      <c r="J571" s="4"/>
      <c r="K571" s="4"/>
      <c r="L571" s="7"/>
      <c r="M571" s="7"/>
      <c r="N571" s="4"/>
    </row>
    <row r="572" spans="1:14" x14ac:dyDescent="0.3">
      <c r="A572" s="10"/>
      <c r="B572" s="4"/>
      <c r="C572" s="11"/>
      <c r="D572" s="12"/>
      <c r="E572" s="12"/>
      <c r="F572" s="4"/>
      <c r="G572" s="13"/>
      <c r="H572" s="14"/>
      <c r="I572" s="11"/>
      <c r="J572" s="4"/>
      <c r="K572" s="4"/>
      <c r="L572" s="7"/>
      <c r="M572" s="7"/>
      <c r="N572" s="4"/>
    </row>
    <row r="573" spans="1:14" x14ac:dyDescent="0.3">
      <c r="A573" s="10"/>
      <c r="B573" s="4"/>
      <c r="C573" s="11"/>
      <c r="D573" s="12"/>
      <c r="E573" s="12"/>
      <c r="F573" s="4"/>
      <c r="G573" s="13"/>
      <c r="H573" s="14"/>
      <c r="I573" s="11"/>
      <c r="J573" s="4"/>
      <c r="K573" s="4"/>
      <c r="L573" s="7"/>
      <c r="M573" s="7"/>
      <c r="N573" s="4"/>
    </row>
    <row r="574" spans="1:14" x14ac:dyDescent="0.3">
      <c r="A574" s="10"/>
      <c r="B574" s="4"/>
      <c r="C574" s="11"/>
      <c r="D574" s="12"/>
      <c r="E574" s="12"/>
      <c r="F574" s="4"/>
      <c r="G574" s="13"/>
      <c r="H574" s="14"/>
      <c r="I574" s="11"/>
      <c r="J574" s="4"/>
      <c r="K574" s="4"/>
      <c r="L574" s="7"/>
      <c r="M574" s="7"/>
      <c r="N574" s="4"/>
    </row>
    <row r="575" spans="1:14" x14ac:dyDescent="0.3">
      <c r="A575" s="10"/>
      <c r="B575" s="4"/>
      <c r="C575" s="11"/>
      <c r="D575" s="12"/>
      <c r="E575" s="12"/>
      <c r="F575" s="4"/>
      <c r="G575" s="13"/>
      <c r="H575" s="14"/>
      <c r="I575" s="11"/>
      <c r="J575" s="4"/>
      <c r="K575" s="4"/>
      <c r="L575" s="7"/>
      <c r="M575" s="7"/>
      <c r="N575" s="4"/>
    </row>
    <row r="576" spans="1:14" x14ac:dyDescent="0.3">
      <c r="A576" s="10"/>
      <c r="B576" s="4"/>
      <c r="C576" s="11"/>
      <c r="D576" s="12"/>
      <c r="E576" s="12"/>
      <c r="F576" s="4"/>
      <c r="G576" s="13"/>
      <c r="H576" s="14"/>
      <c r="I576" s="11"/>
      <c r="J576" s="4"/>
      <c r="K576" s="4"/>
      <c r="L576" s="7"/>
      <c r="M576" s="7"/>
      <c r="N576" s="4"/>
    </row>
    <row r="577" spans="1:14" x14ac:dyDescent="0.3">
      <c r="A577" s="10"/>
      <c r="B577" s="4"/>
      <c r="C577" s="11"/>
      <c r="D577" s="12"/>
      <c r="E577" s="12"/>
      <c r="F577" s="4"/>
      <c r="G577" s="13"/>
      <c r="H577" s="14"/>
      <c r="I577" s="11"/>
      <c r="J577" s="4"/>
      <c r="K577" s="4"/>
      <c r="L577" s="7"/>
      <c r="M577" s="7"/>
      <c r="N577" s="4"/>
    </row>
    <row r="578" spans="1:14" x14ac:dyDescent="0.3">
      <c r="A578" s="10"/>
      <c r="B578" s="4"/>
      <c r="C578" s="11"/>
      <c r="D578" s="12"/>
      <c r="E578" s="12"/>
      <c r="F578" s="4"/>
      <c r="G578" s="13"/>
      <c r="H578" s="14"/>
      <c r="I578" s="11"/>
      <c r="J578" s="4"/>
      <c r="K578" s="4"/>
      <c r="L578" s="7"/>
      <c r="M578" s="7"/>
      <c r="N578" s="4"/>
    </row>
    <row r="581" spans="1:14" ht="28.8" x14ac:dyDescent="0.3">
      <c r="A581" s="1" t="s">
        <v>0</v>
      </c>
      <c r="B581" s="1" t="s">
        <v>1</v>
      </c>
      <c r="C581" s="1" t="s">
        <v>2</v>
      </c>
      <c r="D581" s="1" t="s">
        <v>3</v>
      </c>
      <c r="E581" s="1" t="s">
        <v>4</v>
      </c>
      <c r="F581" s="1" t="s">
        <v>5</v>
      </c>
      <c r="G581" s="1" t="s">
        <v>6</v>
      </c>
      <c r="H581" s="1" t="s">
        <v>7</v>
      </c>
      <c r="I581" s="1" t="s">
        <v>8</v>
      </c>
      <c r="J581" s="1" t="s">
        <v>9</v>
      </c>
      <c r="K581" s="1" t="s">
        <v>10</v>
      </c>
      <c r="L581" s="2"/>
      <c r="M581" s="2"/>
      <c r="N581" s="2"/>
    </row>
    <row r="582" spans="1:14" x14ac:dyDescent="0.3">
      <c r="A582" s="4" t="s">
        <v>11</v>
      </c>
      <c r="B582" s="3" t="str">
        <f>_xlfn.XLOOKUP($C582,'[1]Basic EMP Data - 2025'!$D$3:$D$216,'[1]Basic EMP Data - 2025'!$C$3:$C$216)</f>
        <v xml:space="preserve">VB2089 </v>
      </c>
      <c r="C582" s="5" t="s">
        <v>49</v>
      </c>
      <c r="D582" s="4" t="str">
        <f>VLOOKUP($B582,'[1]Basic EMP Data - 2025'!$C$3:$F$216,3,0)</f>
        <v>Abhishek Yadav</v>
      </c>
      <c r="E582" s="4">
        <f>VLOOKUP($B582,'[1]Basic EMP Data - 2025'!$C$3:$I$216,5,0)</f>
        <v>4</v>
      </c>
      <c r="F582" s="4">
        <f>VLOOKUP($B582,'[1]Basic EMP Data - 2025'!$C$3:$I$216,6,0)</f>
        <v>1</v>
      </c>
      <c r="G582" s="6">
        <f>F582/E582</f>
        <v>0.25</v>
      </c>
      <c r="H582" s="7">
        <f>SUM(L584:L602)</f>
        <v>0</v>
      </c>
      <c r="I582" s="8" cm="1">
        <f t="array" ref="I582">_xlfn.IFS($G582&lt;=34%,0%,$G582&lt;=75%,3%,$G582&lt;=120%,4%,$G582&gt;120%,5%)</f>
        <v>0</v>
      </c>
      <c r="J582" s="7" cm="1">
        <f t="array" ref="J582">SUMPRODUCT((C584:C602=2024)*M584:M602) + SUMPRODUCT((C584:C602=2025)*M584:M602*2)</f>
        <v>0</v>
      </c>
      <c r="K582" s="4">
        <f>SUM(N584:N602)</f>
        <v>0</v>
      </c>
      <c r="M582" s="2"/>
      <c r="N582" s="2"/>
    </row>
    <row r="583" spans="1:14" ht="28.8" x14ac:dyDescent="0.3">
      <c r="A583" s="9" t="s">
        <v>2</v>
      </c>
      <c r="B583" s="9" t="s">
        <v>13</v>
      </c>
      <c r="C583" s="9" t="s">
        <v>14</v>
      </c>
      <c r="D583" s="9" t="s">
        <v>15</v>
      </c>
      <c r="E583" s="9" t="s">
        <v>16</v>
      </c>
      <c r="F583" s="9" t="s">
        <v>17</v>
      </c>
      <c r="G583" s="9" t="s">
        <v>18</v>
      </c>
      <c r="H583" s="9" t="s">
        <v>19</v>
      </c>
      <c r="I583" s="9" t="s">
        <v>20</v>
      </c>
      <c r="J583" s="9" t="s">
        <v>21</v>
      </c>
      <c r="K583" s="9" t="s">
        <v>22</v>
      </c>
      <c r="L583" s="9" t="s">
        <v>23</v>
      </c>
      <c r="M583" s="9" t="s">
        <v>24</v>
      </c>
      <c r="N583" s="9" t="s">
        <v>25</v>
      </c>
    </row>
    <row r="584" spans="1:14" x14ac:dyDescent="0.3">
      <c r="A584" s="10" t="str">
        <f>C582</f>
        <v>Raj Chaudhary</v>
      </c>
      <c r="B584" s="4" t="e" cm="1" vm="1">
        <f t="array" ref="B584">_xlfn.LET(
  _xlpm.data, _xlfn._xlws.FILTER('[1]Incentive Data'!A:BV, '[1]Incentive Data'!H:H=$C582),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84" s="11"/>
      <c r="D584" s="12"/>
      <c r="E584" s="12"/>
      <c r="F584" s="4"/>
      <c r="G584" s="13"/>
      <c r="H584" s="14"/>
      <c r="I584" s="11"/>
      <c r="J584" s="4"/>
      <c r="K584" s="4"/>
      <c r="L584" s="7"/>
      <c r="M584" s="7"/>
      <c r="N584" s="4"/>
    </row>
    <row r="585" spans="1:14" x14ac:dyDescent="0.3">
      <c r="A585" s="10"/>
      <c r="B585" s="4"/>
      <c r="C585" s="11"/>
      <c r="D585" s="12"/>
      <c r="E585" s="12"/>
      <c r="F585" s="4"/>
      <c r="G585" s="13"/>
      <c r="H585" s="14"/>
      <c r="I585" s="11"/>
      <c r="J585" s="4"/>
      <c r="K585" s="4"/>
      <c r="L585" s="7"/>
      <c r="M585" s="7"/>
      <c r="N585" s="4"/>
    </row>
    <row r="586" spans="1:14" x14ac:dyDescent="0.3">
      <c r="A586" s="10"/>
      <c r="B586" s="4"/>
      <c r="C586" s="11"/>
      <c r="D586" s="12"/>
      <c r="E586" s="12"/>
      <c r="F586" s="4"/>
      <c r="G586" s="13"/>
      <c r="H586" s="14"/>
      <c r="I586" s="11"/>
      <c r="J586" s="4"/>
      <c r="K586" s="4"/>
      <c r="L586" s="7"/>
      <c r="M586" s="7"/>
      <c r="N586" s="4"/>
    </row>
    <row r="587" spans="1:14" x14ac:dyDescent="0.3">
      <c r="A587" s="10"/>
      <c r="B587" s="4"/>
      <c r="C587" s="11"/>
      <c r="D587" s="12"/>
      <c r="E587" s="12"/>
      <c r="F587" s="4"/>
      <c r="G587" s="13"/>
      <c r="H587" s="14"/>
      <c r="I587" s="11"/>
      <c r="J587" s="4"/>
      <c r="K587" s="4"/>
      <c r="L587" s="7"/>
      <c r="M587" s="7"/>
      <c r="N587" s="4"/>
    </row>
    <row r="588" spans="1:14" x14ac:dyDescent="0.3">
      <c r="A588" s="10"/>
      <c r="B588" s="4"/>
      <c r="C588" s="11"/>
      <c r="D588" s="12"/>
      <c r="E588" s="12"/>
      <c r="F588" s="4"/>
      <c r="G588" s="13"/>
      <c r="H588" s="14"/>
      <c r="I588" s="11"/>
      <c r="J588" s="4"/>
      <c r="K588" s="4"/>
      <c r="L588" s="7"/>
      <c r="M588" s="7"/>
      <c r="N588" s="4"/>
    </row>
    <row r="589" spans="1:14" x14ac:dyDescent="0.3">
      <c r="A589" s="10"/>
      <c r="B589" s="4"/>
      <c r="C589" s="11"/>
      <c r="D589" s="12"/>
      <c r="E589" s="12"/>
      <c r="F589" s="4"/>
      <c r="G589" s="13"/>
      <c r="H589" s="14"/>
      <c r="I589" s="11"/>
      <c r="J589" s="4"/>
      <c r="K589" s="4"/>
      <c r="L589" s="7"/>
      <c r="M589" s="7"/>
      <c r="N589" s="4"/>
    </row>
    <row r="590" spans="1:14" x14ac:dyDescent="0.3">
      <c r="A590" s="10"/>
      <c r="B590" s="4"/>
      <c r="C590" s="11"/>
      <c r="D590" s="12"/>
      <c r="E590" s="12"/>
      <c r="F590" s="4"/>
      <c r="G590" s="13"/>
      <c r="H590" s="14"/>
      <c r="I590" s="11"/>
      <c r="J590" s="4"/>
      <c r="K590" s="4"/>
      <c r="L590" s="7"/>
      <c r="M590" s="7"/>
      <c r="N590" s="4"/>
    </row>
    <row r="591" spans="1:14" x14ac:dyDescent="0.3">
      <c r="A591" s="10"/>
      <c r="B591" s="4"/>
      <c r="C591" s="11"/>
      <c r="D591" s="12"/>
      <c r="E591" s="12"/>
      <c r="F591" s="4"/>
      <c r="G591" s="13"/>
      <c r="H591" s="14"/>
      <c r="I591" s="11"/>
      <c r="J591" s="4"/>
      <c r="K591" s="4"/>
      <c r="L591" s="7"/>
      <c r="M591" s="7"/>
      <c r="N591" s="4"/>
    </row>
    <row r="592" spans="1:14" x14ac:dyDescent="0.3">
      <c r="A592" s="10"/>
      <c r="B592" s="4"/>
      <c r="C592" s="11"/>
      <c r="D592" s="12"/>
      <c r="E592" s="12"/>
      <c r="F592" s="4"/>
      <c r="G592" s="13"/>
      <c r="H592" s="14"/>
      <c r="I592" s="11"/>
      <c r="J592" s="4"/>
      <c r="K592" s="4"/>
      <c r="L592" s="7"/>
      <c r="M592" s="7"/>
      <c r="N592" s="4"/>
    </row>
    <row r="593" spans="1:14" x14ac:dyDescent="0.3">
      <c r="A593" s="10"/>
      <c r="B593" s="4"/>
      <c r="C593" s="11"/>
      <c r="D593" s="12"/>
      <c r="E593" s="12"/>
      <c r="F593" s="4"/>
      <c r="G593" s="13"/>
      <c r="H593" s="14"/>
      <c r="I593" s="11"/>
      <c r="J593" s="4"/>
      <c r="K593" s="4"/>
      <c r="L593" s="7"/>
      <c r="M593" s="7"/>
      <c r="N593" s="4"/>
    </row>
    <row r="594" spans="1:14" x14ac:dyDescent="0.3">
      <c r="A594" s="10"/>
      <c r="B594" s="4"/>
      <c r="C594" s="11"/>
      <c r="D594" s="12"/>
      <c r="E594" s="12"/>
      <c r="F594" s="4"/>
      <c r="G594" s="13"/>
      <c r="H594" s="14"/>
      <c r="I594" s="11"/>
      <c r="J594" s="4"/>
      <c r="K594" s="4"/>
      <c r="L594" s="7"/>
      <c r="M594" s="7"/>
      <c r="N594" s="4"/>
    </row>
    <row r="595" spans="1:14" x14ac:dyDescent="0.3">
      <c r="A595" s="10"/>
      <c r="B595" s="4"/>
      <c r="C595" s="11"/>
      <c r="D595" s="12"/>
      <c r="E595" s="12"/>
      <c r="F595" s="4"/>
      <c r="G595" s="13"/>
      <c r="H595" s="14"/>
      <c r="I595" s="11"/>
      <c r="J595" s="4"/>
      <c r="K595" s="4"/>
      <c r="L595" s="7"/>
      <c r="M595" s="7"/>
      <c r="N595" s="4"/>
    </row>
    <row r="596" spans="1:14" x14ac:dyDescent="0.3">
      <c r="A596" s="10"/>
      <c r="B596" s="4"/>
      <c r="C596" s="11"/>
      <c r="D596" s="12"/>
      <c r="E596" s="12"/>
      <c r="F596" s="4"/>
      <c r="G596" s="13"/>
      <c r="H596" s="14"/>
      <c r="I596" s="11"/>
      <c r="J596" s="4"/>
      <c r="K596" s="4"/>
      <c r="L596" s="7"/>
      <c r="M596" s="7"/>
      <c r="N596" s="4"/>
    </row>
    <row r="597" spans="1:14" x14ac:dyDescent="0.3">
      <c r="A597" s="10"/>
      <c r="B597" s="4"/>
      <c r="C597" s="11"/>
      <c r="D597" s="12"/>
      <c r="E597" s="12"/>
      <c r="F597" s="4"/>
      <c r="G597" s="13"/>
      <c r="H597" s="14"/>
      <c r="I597" s="11"/>
      <c r="J597" s="4"/>
      <c r="K597" s="4"/>
      <c r="L597" s="7"/>
      <c r="M597" s="7"/>
      <c r="N597" s="4"/>
    </row>
    <row r="598" spans="1:14" x14ac:dyDescent="0.3">
      <c r="A598" s="10"/>
      <c r="B598" s="4"/>
      <c r="C598" s="11"/>
      <c r="D598" s="12"/>
      <c r="E598" s="12"/>
      <c r="F598" s="4"/>
      <c r="G598" s="13"/>
      <c r="H598" s="14"/>
      <c r="I598" s="11"/>
      <c r="J598" s="4"/>
      <c r="K598" s="4"/>
      <c r="L598" s="7"/>
      <c r="M598" s="7"/>
      <c r="N598" s="4"/>
    </row>
    <row r="599" spans="1:14" x14ac:dyDescent="0.3">
      <c r="A599" s="10"/>
      <c r="B599" s="4"/>
      <c r="C599" s="11"/>
      <c r="D599" s="12"/>
      <c r="E599" s="12"/>
      <c r="F599" s="4"/>
      <c r="G599" s="13"/>
      <c r="H599" s="14"/>
      <c r="I599" s="11"/>
      <c r="J599" s="4"/>
      <c r="K599" s="4"/>
      <c r="L599" s="7"/>
      <c r="M599" s="7"/>
      <c r="N599" s="4"/>
    </row>
    <row r="600" spans="1:14" x14ac:dyDescent="0.3">
      <c r="A600" s="10"/>
      <c r="B600" s="4"/>
      <c r="C600" s="11"/>
      <c r="D600" s="12"/>
      <c r="E600" s="12"/>
      <c r="F600" s="4"/>
      <c r="G600" s="13"/>
      <c r="H600" s="14"/>
      <c r="I600" s="11"/>
      <c r="J600" s="4"/>
      <c r="K600" s="4"/>
      <c r="L600" s="7"/>
      <c r="M600" s="7"/>
      <c r="N600" s="4"/>
    </row>
    <row r="601" spans="1:14" x14ac:dyDescent="0.3">
      <c r="A601" s="10"/>
      <c r="B601" s="4"/>
      <c r="C601" s="11"/>
      <c r="D601" s="12"/>
      <c r="E601" s="12"/>
      <c r="F601" s="4"/>
      <c r="G601" s="13"/>
      <c r="H601" s="14"/>
      <c r="I601" s="11"/>
      <c r="J601" s="4"/>
      <c r="K601" s="4"/>
      <c r="L601" s="7"/>
      <c r="M601" s="7"/>
      <c r="N601" s="4"/>
    </row>
    <row r="602" spans="1:14" x14ac:dyDescent="0.3">
      <c r="A602" s="10"/>
      <c r="B602" s="4"/>
      <c r="C602" s="11"/>
      <c r="D602" s="12"/>
      <c r="E602" s="12"/>
      <c r="F602" s="4"/>
      <c r="G602" s="13"/>
      <c r="H602" s="14"/>
      <c r="I602" s="11"/>
      <c r="J602" s="4"/>
      <c r="K602" s="4"/>
      <c r="L602" s="7"/>
      <c r="M602" s="7"/>
      <c r="N602" s="4"/>
    </row>
  </sheetData>
  <mergeCells count="25">
    <mergeCell ref="A584:A602"/>
    <mergeCell ref="A438:A456"/>
    <mergeCell ref="A463:A481"/>
    <mergeCell ref="A487:A505"/>
    <mergeCell ref="A511:A529"/>
    <mergeCell ref="A535:A553"/>
    <mergeCell ref="A560:A578"/>
    <mergeCell ref="A288:A306"/>
    <mergeCell ref="A314:A332"/>
    <mergeCell ref="A339:A357"/>
    <mergeCell ref="A364:A382"/>
    <mergeCell ref="A389:A407"/>
    <mergeCell ref="A413:A431"/>
    <mergeCell ref="A143:A161"/>
    <mergeCell ref="A167:A185"/>
    <mergeCell ref="A192:A210"/>
    <mergeCell ref="A216:A234"/>
    <mergeCell ref="A240:A258"/>
    <mergeCell ref="A264:A282"/>
    <mergeCell ref="A4:A16"/>
    <mergeCell ref="A24:A42"/>
    <mergeCell ref="A48:A66"/>
    <mergeCell ref="A71:A89"/>
    <mergeCell ref="A95:A113"/>
    <mergeCell ref="A119:A137"/>
  </mergeCells>
  <conditionalFormatting sqref="B5:B16">
    <cfRule type="duplicateValues" dxfId="251" priority="301"/>
  </conditionalFormatting>
  <conditionalFormatting sqref="B17:B20 B43:B44 B67 B90:B91 B114:B115 B138:B139 B162:B163 B186:B188 B211:B212 B235:B236 B259:B260 B283:B284 B307:B310 B333:B335 B358:B360 B383:B385 B408:B409 B432:B434 B457:B459 B482:B483 B506:B507 B530:B531 B554:B556 B579:B580 B603:B1048576">
    <cfRule type="duplicateValues" dxfId="250" priority="302"/>
  </conditionalFormatting>
  <conditionalFormatting sqref="B24:B42">
    <cfRule type="duplicateValues" dxfId="249" priority="286"/>
  </conditionalFormatting>
  <conditionalFormatting sqref="B48:B66">
    <cfRule type="duplicateValues" dxfId="248" priority="274"/>
  </conditionalFormatting>
  <conditionalFormatting sqref="B71:B89">
    <cfRule type="duplicateValues" dxfId="247" priority="262"/>
  </conditionalFormatting>
  <conditionalFormatting sqref="B95:B113">
    <cfRule type="duplicateValues" dxfId="246" priority="250"/>
  </conditionalFormatting>
  <conditionalFormatting sqref="B119:B137">
    <cfRule type="duplicateValues" dxfId="245" priority="238"/>
  </conditionalFormatting>
  <conditionalFormatting sqref="B143:B161">
    <cfRule type="duplicateValues" dxfId="244" priority="226"/>
  </conditionalFormatting>
  <conditionalFormatting sqref="B167:B185">
    <cfRule type="duplicateValues" dxfId="243" priority="214"/>
  </conditionalFormatting>
  <conditionalFormatting sqref="B192:B210">
    <cfRule type="duplicateValues" dxfId="242" priority="202"/>
  </conditionalFormatting>
  <conditionalFormatting sqref="B216:B234">
    <cfRule type="duplicateValues" dxfId="241" priority="190"/>
  </conditionalFormatting>
  <conditionalFormatting sqref="B240:B258">
    <cfRule type="duplicateValues" dxfId="240" priority="178"/>
  </conditionalFormatting>
  <conditionalFormatting sqref="B264:B282">
    <cfRule type="duplicateValues" dxfId="239" priority="166"/>
  </conditionalFormatting>
  <conditionalFormatting sqref="B288:B306">
    <cfRule type="duplicateValues" dxfId="238" priority="154"/>
  </conditionalFormatting>
  <conditionalFormatting sqref="B314:B332">
    <cfRule type="duplicateValues" dxfId="237" priority="142"/>
  </conditionalFormatting>
  <conditionalFormatting sqref="B339:B357">
    <cfRule type="duplicateValues" dxfId="236" priority="130"/>
  </conditionalFormatting>
  <conditionalFormatting sqref="B364:B382">
    <cfRule type="duplicateValues" dxfId="235" priority="118"/>
  </conditionalFormatting>
  <conditionalFormatting sqref="B389:B407">
    <cfRule type="duplicateValues" dxfId="234" priority="106"/>
  </conditionalFormatting>
  <conditionalFormatting sqref="B413:B431">
    <cfRule type="duplicateValues" dxfId="233" priority="94"/>
  </conditionalFormatting>
  <conditionalFormatting sqref="B438:B456">
    <cfRule type="duplicateValues" dxfId="232" priority="82"/>
  </conditionalFormatting>
  <conditionalFormatting sqref="B463:B481">
    <cfRule type="duplicateValues" dxfId="231" priority="70"/>
  </conditionalFormatting>
  <conditionalFormatting sqref="B487:B505">
    <cfRule type="duplicateValues" dxfId="230" priority="58"/>
  </conditionalFormatting>
  <conditionalFormatting sqref="B511:B529">
    <cfRule type="duplicateValues" dxfId="229" priority="46"/>
  </conditionalFormatting>
  <conditionalFormatting sqref="B535:B553">
    <cfRule type="duplicateValues" dxfId="228" priority="34"/>
  </conditionalFormatting>
  <conditionalFormatting sqref="B560:B578">
    <cfRule type="duplicateValues" dxfId="227" priority="22"/>
  </conditionalFormatting>
  <conditionalFormatting sqref="B584:B602">
    <cfRule type="duplicateValues" dxfId="226" priority="10"/>
  </conditionalFormatting>
  <conditionalFormatting sqref="G71:G87">
    <cfRule type="duplicateValues" dxfId="225" priority="1"/>
  </conditionalFormatting>
  <conditionalFormatting sqref="H4:H16">
    <cfRule type="containsText" dxfId="222" priority="297" operator="containsText" text="No Bill No Pay">
      <formula>NOT(ISERROR(SEARCH("No Bill No Pay",H4)))</formula>
    </cfRule>
    <cfRule type="cellIs" priority="298" operator="equal">
      <formula>"No Bill No Pay"</formula>
    </cfRule>
    <cfRule type="containsText" dxfId="223" priority="299" operator="containsText" text="Pending">
      <formula>NOT(ISERROR(SEARCH("Pending",H4)))</formula>
    </cfRule>
    <cfRule type="containsText" dxfId="224" priority="300" operator="containsText" text="Done">
      <formula>NOT(ISERROR(SEARCH("Done",H4)))</formula>
    </cfRule>
  </conditionalFormatting>
  <conditionalFormatting sqref="H24:H42">
    <cfRule type="containsText" dxfId="219" priority="282" operator="containsText" text="No Bill No Pay">
      <formula>NOT(ISERROR(SEARCH("No Bill No Pay",H24)))</formula>
    </cfRule>
    <cfRule type="cellIs" priority="283" operator="equal">
      <formula>"No Bill No Pay"</formula>
    </cfRule>
    <cfRule type="containsText" dxfId="220" priority="284" operator="containsText" text="Pending">
      <formula>NOT(ISERROR(SEARCH("Pending",H24)))</formula>
    </cfRule>
    <cfRule type="containsText" dxfId="221" priority="285" operator="containsText" text="Done">
      <formula>NOT(ISERROR(SEARCH("Done",H24)))</formula>
    </cfRule>
  </conditionalFormatting>
  <conditionalFormatting sqref="H48:H66">
    <cfRule type="containsText" dxfId="216" priority="270" operator="containsText" text="No Bill No Pay">
      <formula>NOT(ISERROR(SEARCH("No Bill No Pay",H48)))</formula>
    </cfRule>
    <cfRule type="cellIs" priority="271" operator="equal">
      <formula>"No Bill No Pay"</formula>
    </cfRule>
    <cfRule type="containsText" dxfId="217" priority="272" operator="containsText" text="Pending">
      <formula>NOT(ISERROR(SEARCH("Pending",H48)))</formula>
    </cfRule>
    <cfRule type="containsText" dxfId="218" priority="273" operator="containsText" text="Done">
      <formula>NOT(ISERROR(SEARCH("Done",H48)))</formula>
    </cfRule>
  </conditionalFormatting>
  <conditionalFormatting sqref="H71:H89">
    <cfRule type="containsText" dxfId="213" priority="258" operator="containsText" text="No Bill No Pay">
      <formula>NOT(ISERROR(SEARCH("No Bill No Pay",H71)))</formula>
    </cfRule>
    <cfRule type="cellIs" priority="259" operator="equal">
      <formula>"No Bill No Pay"</formula>
    </cfRule>
    <cfRule type="containsText" dxfId="214" priority="260" operator="containsText" text="Pending">
      <formula>NOT(ISERROR(SEARCH("Pending",H71)))</formula>
    </cfRule>
    <cfRule type="containsText" dxfId="215" priority="261" operator="containsText" text="Done">
      <formula>NOT(ISERROR(SEARCH("Done",H71)))</formula>
    </cfRule>
  </conditionalFormatting>
  <conditionalFormatting sqref="H95:H113">
    <cfRule type="containsText" dxfId="212" priority="246" operator="containsText" text="No Bill No Pay">
      <formula>NOT(ISERROR(SEARCH("No Bill No Pay",H95)))</formula>
    </cfRule>
    <cfRule type="cellIs" priority="247" operator="equal">
      <formula>"No Bill No Pay"</formula>
    </cfRule>
    <cfRule type="containsText" dxfId="210" priority="248" operator="containsText" text="Pending">
      <formula>NOT(ISERROR(SEARCH("Pending",H95)))</formula>
    </cfRule>
    <cfRule type="containsText" dxfId="211" priority="249" operator="containsText" text="Done">
      <formula>NOT(ISERROR(SEARCH("Done",H95)))</formula>
    </cfRule>
  </conditionalFormatting>
  <conditionalFormatting sqref="H119:H137">
    <cfRule type="containsText" dxfId="207" priority="234" operator="containsText" text="No Bill No Pay">
      <formula>NOT(ISERROR(SEARCH("No Bill No Pay",H119)))</formula>
    </cfRule>
    <cfRule type="cellIs" priority="235" operator="equal">
      <formula>"No Bill No Pay"</formula>
    </cfRule>
    <cfRule type="containsText" dxfId="208" priority="236" operator="containsText" text="Pending">
      <formula>NOT(ISERROR(SEARCH("Pending",H119)))</formula>
    </cfRule>
    <cfRule type="containsText" dxfId="209" priority="237" operator="containsText" text="Done">
      <formula>NOT(ISERROR(SEARCH("Done",H119)))</formula>
    </cfRule>
  </conditionalFormatting>
  <conditionalFormatting sqref="H143:H161">
    <cfRule type="containsText" dxfId="204" priority="222" operator="containsText" text="No Bill No Pay">
      <formula>NOT(ISERROR(SEARCH("No Bill No Pay",H143)))</formula>
    </cfRule>
    <cfRule type="cellIs" priority="223" operator="equal">
      <formula>"No Bill No Pay"</formula>
    </cfRule>
    <cfRule type="containsText" dxfId="205" priority="224" operator="containsText" text="Pending">
      <formula>NOT(ISERROR(SEARCH("Pending",H143)))</formula>
    </cfRule>
    <cfRule type="containsText" dxfId="206" priority="225" operator="containsText" text="Done">
      <formula>NOT(ISERROR(SEARCH("Done",H143)))</formula>
    </cfRule>
  </conditionalFormatting>
  <conditionalFormatting sqref="H167:H185">
    <cfRule type="containsText" dxfId="201" priority="210" operator="containsText" text="No Bill No Pay">
      <formula>NOT(ISERROR(SEARCH("No Bill No Pay",H167)))</formula>
    </cfRule>
    <cfRule type="cellIs" priority="211" operator="equal">
      <formula>"No Bill No Pay"</formula>
    </cfRule>
    <cfRule type="containsText" dxfId="202" priority="212" operator="containsText" text="Pending">
      <formula>NOT(ISERROR(SEARCH("Pending",H167)))</formula>
    </cfRule>
    <cfRule type="containsText" dxfId="203" priority="213" operator="containsText" text="Done">
      <formula>NOT(ISERROR(SEARCH("Done",H167)))</formula>
    </cfRule>
  </conditionalFormatting>
  <conditionalFormatting sqref="H192:H210">
    <cfRule type="containsText" dxfId="199" priority="198" operator="containsText" text="No Bill No Pay">
      <formula>NOT(ISERROR(SEARCH("No Bill No Pay",H192)))</formula>
    </cfRule>
    <cfRule type="cellIs" priority="199" operator="equal">
      <formula>"No Bill No Pay"</formula>
    </cfRule>
    <cfRule type="containsText" dxfId="200" priority="200" operator="containsText" text="Pending">
      <formula>NOT(ISERROR(SEARCH("Pending",H192)))</formula>
    </cfRule>
    <cfRule type="containsText" dxfId="198" priority="201" operator="containsText" text="Done">
      <formula>NOT(ISERROR(SEARCH("Done",H192)))</formula>
    </cfRule>
  </conditionalFormatting>
  <conditionalFormatting sqref="H216:H234">
    <cfRule type="containsText" dxfId="195" priority="186" operator="containsText" text="No Bill No Pay">
      <formula>NOT(ISERROR(SEARCH("No Bill No Pay",H216)))</formula>
    </cfRule>
    <cfRule type="cellIs" priority="187" operator="equal">
      <formula>"No Bill No Pay"</formula>
    </cfRule>
    <cfRule type="containsText" dxfId="196" priority="188" operator="containsText" text="Pending">
      <formula>NOT(ISERROR(SEARCH("Pending",H216)))</formula>
    </cfRule>
    <cfRule type="containsText" dxfId="197" priority="189" operator="containsText" text="Done">
      <formula>NOT(ISERROR(SEARCH("Done",H216)))</formula>
    </cfRule>
  </conditionalFormatting>
  <conditionalFormatting sqref="H240:H258">
    <cfRule type="containsText" dxfId="192" priority="174" operator="containsText" text="No Bill No Pay">
      <formula>NOT(ISERROR(SEARCH("No Bill No Pay",H240)))</formula>
    </cfRule>
    <cfRule type="cellIs" priority="175" operator="equal">
      <formula>"No Bill No Pay"</formula>
    </cfRule>
    <cfRule type="containsText" dxfId="193" priority="176" operator="containsText" text="Pending">
      <formula>NOT(ISERROR(SEARCH("Pending",H240)))</formula>
    </cfRule>
    <cfRule type="containsText" dxfId="194" priority="177" operator="containsText" text="Done">
      <formula>NOT(ISERROR(SEARCH("Done",H240)))</formula>
    </cfRule>
  </conditionalFormatting>
  <conditionalFormatting sqref="H264:H282">
    <cfRule type="containsText" dxfId="191" priority="162" operator="containsText" text="No Bill No Pay">
      <formula>NOT(ISERROR(SEARCH("No Bill No Pay",H264)))</formula>
    </cfRule>
    <cfRule type="cellIs" priority="163" operator="equal">
      <formula>"No Bill No Pay"</formula>
    </cfRule>
    <cfRule type="containsText" dxfId="190" priority="164" operator="containsText" text="Pending">
      <formula>NOT(ISERROR(SEARCH("Pending",H264)))</formula>
    </cfRule>
    <cfRule type="containsText" dxfId="189" priority="165" operator="containsText" text="Done">
      <formula>NOT(ISERROR(SEARCH("Done",H264)))</formula>
    </cfRule>
  </conditionalFormatting>
  <conditionalFormatting sqref="H288:H306">
    <cfRule type="containsText" dxfId="188" priority="150" operator="containsText" text="No Bill No Pay">
      <formula>NOT(ISERROR(SEARCH("No Bill No Pay",H288)))</formula>
    </cfRule>
    <cfRule type="cellIs" priority="151" operator="equal">
      <formula>"No Bill No Pay"</formula>
    </cfRule>
    <cfRule type="containsText" dxfId="186" priority="152" operator="containsText" text="Pending">
      <formula>NOT(ISERROR(SEARCH("Pending",H288)))</formula>
    </cfRule>
    <cfRule type="containsText" dxfId="187" priority="153" operator="containsText" text="Done">
      <formula>NOT(ISERROR(SEARCH("Done",H288)))</formula>
    </cfRule>
  </conditionalFormatting>
  <conditionalFormatting sqref="H314:H332">
    <cfRule type="containsText" dxfId="185" priority="138" operator="containsText" text="No Bill No Pay">
      <formula>NOT(ISERROR(SEARCH("No Bill No Pay",H314)))</formula>
    </cfRule>
    <cfRule type="cellIs" priority="139" operator="equal">
      <formula>"No Bill No Pay"</formula>
    </cfRule>
    <cfRule type="containsText" dxfId="184" priority="140" operator="containsText" text="Pending">
      <formula>NOT(ISERROR(SEARCH("Pending",H314)))</formula>
    </cfRule>
    <cfRule type="containsText" dxfId="183" priority="141" operator="containsText" text="Done">
      <formula>NOT(ISERROR(SEARCH("Done",H314)))</formula>
    </cfRule>
  </conditionalFormatting>
  <conditionalFormatting sqref="H339:H357">
    <cfRule type="containsText" dxfId="182" priority="126" operator="containsText" text="No Bill No Pay">
      <formula>NOT(ISERROR(SEARCH("No Bill No Pay",H339)))</formula>
    </cfRule>
    <cfRule type="cellIs" priority="127" operator="equal">
      <formula>"No Bill No Pay"</formula>
    </cfRule>
    <cfRule type="containsText" dxfId="180" priority="128" operator="containsText" text="Pending">
      <formula>NOT(ISERROR(SEARCH("Pending",H339)))</formula>
    </cfRule>
    <cfRule type="containsText" dxfId="181" priority="129" operator="containsText" text="Done">
      <formula>NOT(ISERROR(SEARCH("Done",H339)))</formula>
    </cfRule>
  </conditionalFormatting>
  <conditionalFormatting sqref="H364:H382">
    <cfRule type="containsText" dxfId="179" priority="114" operator="containsText" text="No Bill No Pay">
      <formula>NOT(ISERROR(SEARCH("No Bill No Pay",H364)))</formula>
    </cfRule>
    <cfRule type="cellIs" priority="115" operator="equal">
      <formula>"No Bill No Pay"</formula>
    </cfRule>
    <cfRule type="containsText" dxfId="178" priority="116" operator="containsText" text="Pending">
      <formula>NOT(ISERROR(SEARCH("Pending",H364)))</formula>
    </cfRule>
    <cfRule type="containsText" dxfId="177" priority="117" operator="containsText" text="Done">
      <formula>NOT(ISERROR(SEARCH("Done",H364)))</formula>
    </cfRule>
  </conditionalFormatting>
  <conditionalFormatting sqref="H389:H407">
    <cfRule type="containsText" dxfId="174" priority="102" operator="containsText" text="No Bill No Pay">
      <formula>NOT(ISERROR(SEARCH("No Bill No Pay",H389)))</formula>
    </cfRule>
    <cfRule type="cellIs" priority="103" operator="equal">
      <formula>"No Bill No Pay"</formula>
    </cfRule>
    <cfRule type="containsText" dxfId="176" priority="104" operator="containsText" text="Pending">
      <formula>NOT(ISERROR(SEARCH("Pending",H389)))</formula>
    </cfRule>
    <cfRule type="containsText" dxfId="175" priority="105" operator="containsText" text="Done">
      <formula>NOT(ISERROR(SEARCH("Done",H389)))</formula>
    </cfRule>
  </conditionalFormatting>
  <conditionalFormatting sqref="H413:H431">
    <cfRule type="containsText" dxfId="172" priority="90" operator="containsText" text="No Bill No Pay">
      <formula>NOT(ISERROR(SEARCH("No Bill No Pay",H413)))</formula>
    </cfRule>
    <cfRule type="cellIs" priority="91" operator="equal">
      <formula>"No Bill No Pay"</formula>
    </cfRule>
    <cfRule type="containsText" dxfId="171" priority="92" operator="containsText" text="Pending">
      <formula>NOT(ISERROR(SEARCH("Pending",H413)))</formula>
    </cfRule>
    <cfRule type="containsText" dxfId="173" priority="93" operator="containsText" text="Done">
      <formula>NOT(ISERROR(SEARCH("Done",H413)))</formula>
    </cfRule>
  </conditionalFormatting>
  <conditionalFormatting sqref="H438:H456">
    <cfRule type="containsText" dxfId="169" priority="78" operator="containsText" text="No Bill No Pay">
      <formula>NOT(ISERROR(SEARCH("No Bill No Pay",H438)))</formula>
    </cfRule>
    <cfRule type="cellIs" priority="79" operator="equal">
      <formula>"No Bill No Pay"</formula>
    </cfRule>
    <cfRule type="containsText" dxfId="168" priority="80" operator="containsText" text="Pending">
      <formula>NOT(ISERROR(SEARCH("Pending",H438)))</formula>
    </cfRule>
    <cfRule type="containsText" dxfId="170" priority="81" operator="containsText" text="Done">
      <formula>NOT(ISERROR(SEARCH("Done",H438)))</formula>
    </cfRule>
  </conditionalFormatting>
  <conditionalFormatting sqref="H463:H481">
    <cfRule type="containsText" dxfId="166" priority="66" operator="containsText" text="No Bill No Pay">
      <formula>NOT(ISERROR(SEARCH("No Bill No Pay",H463)))</formula>
    </cfRule>
    <cfRule type="cellIs" priority="67" operator="equal">
      <formula>"No Bill No Pay"</formula>
    </cfRule>
    <cfRule type="containsText" dxfId="165" priority="68" operator="containsText" text="Pending">
      <formula>NOT(ISERROR(SEARCH("Pending",H463)))</formula>
    </cfRule>
    <cfRule type="containsText" dxfId="167" priority="69" operator="containsText" text="Done">
      <formula>NOT(ISERROR(SEARCH("Done",H463)))</formula>
    </cfRule>
  </conditionalFormatting>
  <conditionalFormatting sqref="H487:H505">
    <cfRule type="containsText" dxfId="163" priority="54" operator="containsText" text="No Bill No Pay">
      <formula>NOT(ISERROR(SEARCH("No Bill No Pay",H487)))</formula>
    </cfRule>
    <cfRule type="cellIs" priority="55" operator="equal">
      <formula>"No Bill No Pay"</formula>
    </cfRule>
    <cfRule type="containsText" dxfId="162" priority="56" operator="containsText" text="Pending">
      <formula>NOT(ISERROR(SEARCH("Pending",H487)))</formula>
    </cfRule>
    <cfRule type="containsText" dxfId="164" priority="57" operator="containsText" text="Done">
      <formula>NOT(ISERROR(SEARCH("Done",H487)))</formula>
    </cfRule>
  </conditionalFormatting>
  <conditionalFormatting sqref="H511:H529">
    <cfRule type="containsText" dxfId="159" priority="42" operator="containsText" text="No Bill No Pay">
      <formula>NOT(ISERROR(SEARCH("No Bill No Pay",H511)))</formula>
    </cfRule>
    <cfRule type="cellIs" priority="43" operator="equal">
      <formula>"No Bill No Pay"</formula>
    </cfRule>
    <cfRule type="containsText" dxfId="160" priority="44" operator="containsText" text="Pending">
      <formula>NOT(ISERROR(SEARCH("Pending",H511)))</formula>
    </cfRule>
    <cfRule type="containsText" dxfId="161" priority="45" operator="containsText" text="Done">
      <formula>NOT(ISERROR(SEARCH("Done",H511)))</formula>
    </cfRule>
  </conditionalFormatting>
  <conditionalFormatting sqref="H535:H553">
    <cfRule type="containsText" dxfId="156" priority="30" operator="containsText" text="No Bill No Pay">
      <formula>NOT(ISERROR(SEARCH("No Bill No Pay",H535)))</formula>
    </cfRule>
    <cfRule type="cellIs" priority="31" operator="equal">
      <formula>"No Bill No Pay"</formula>
    </cfRule>
    <cfRule type="containsText" dxfId="157" priority="32" operator="containsText" text="Pending">
      <formula>NOT(ISERROR(SEARCH("Pending",H535)))</formula>
    </cfRule>
    <cfRule type="containsText" dxfId="158" priority="33" operator="containsText" text="Done">
      <formula>NOT(ISERROR(SEARCH("Done",H535)))</formula>
    </cfRule>
  </conditionalFormatting>
  <conditionalFormatting sqref="H560:H578">
    <cfRule type="containsText" dxfId="155" priority="18" operator="containsText" text="No Bill No Pay">
      <formula>NOT(ISERROR(SEARCH("No Bill No Pay",H560)))</formula>
    </cfRule>
    <cfRule type="cellIs" priority="19" operator="equal">
      <formula>"No Bill No Pay"</formula>
    </cfRule>
    <cfRule type="containsText" dxfId="153" priority="20" operator="containsText" text="Pending">
      <formula>NOT(ISERROR(SEARCH("Pending",H560)))</formula>
    </cfRule>
    <cfRule type="containsText" dxfId="154" priority="21" operator="containsText" text="Done">
      <formula>NOT(ISERROR(SEARCH("Done",H560)))</formula>
    </cfRule>
  </conditionalFormatting>
  <conditionalFormatting sqref="H584:H602">
    <cfRule type="containsText" dxfId="151" priority="6" operator="containsText" text="No Bill No Pay">
      <formula>NOT(ISERROR(SEARCH("No Bill No Pay",H584)))</formula>
    </cfRule>
    <cfRule type="cellIs" priority="7" operator="equal">
      <formula>"No Bill No Pay"</formula>
    </cfRule>
    <cfRule type="containsText" dxfId="150" priority="8" operator="containsText" text="Pending">
      <formula>NOT(ISERROR(SEARCH("Pending",H584)))</formula>
    </cfRule>
    <cfRule type="containsText" dxfId="152" priority="9" operator="containsText" text="Done">
      <formula>NOT(ISERROR(SEARCH("Done",H584)))</formula>
    </cfRule>
  </conditionalFormatting>
  <conditionalFormatting sqref="J3:L3">
    <cfRule type="containsText" dxfId="149" priority="292" operator="containsText" text="No Bill No Pay">
      <formula>NOT(ISERROR(SEARCH("No Bill No Pay",J3)))</formula>
    </cfRule>
    <cfRule type="cellIs" priority="293" operator="equal">
      <formula>"No Bill No Pay"</formula>
    </cfRule>
    <cfRule type="containsText" dxfId="148" priority="294" operator="containsText" text="Pending">
      <formula>NOT(ISERROR(SEARCH("Pending",J3)))</formula>
    </cfRule>
  </conditionalFormatting>
  <conditionalFormatting sqref="J23:L23">
    <cfRule type="containsText" dxfId="147" priority="287" operator="containsText" text="No Bill No Pay">
      <formula>NOT(ISERROR(SEARCH("No Bill No Pay",J23)))</formula>
    </cfRule>
    <cfRule type="cellIs" priority="288" operator="equal">
      <formula>"No Bill No Pay"</formula>
    </cfRule>
    <cfRule type="containsText" dxfId="146" priority="289" operator="containsText" text="Pending">
      <formula>NOT(ISERROR(SEARCH("Pending",J23)))</formula>
    </cfRule>
  </conditionalFormatting>
  <conditionalFormatting sqref="J47:L47">
    <cfRule type="containsText" dxfId="144" priority="275" operator="containsText" text="No Bill No Pay">
      <formula>NOT(ISERROR(SEARCH("No Bill No Pay",J47)))</formula>
    </cfRule>
    <cfRule type="cellIs" priority="276" operator="equal">
      <formula>"No Bill No Pay"</formula>
    </cfRule>
    <cfRule type="containsText" dxfId="145" priority="277" operator="containsText" text="Pending">
      <formula>NOT(ISERROR(SEARCH("Pending",J47)))</formula>
    </cfRule>
  </conditionalFormatting>
  <conditionalFormatting sqref="J70:L70">
    <cfRule type="containsText" dxfId="142" priority="263" operator="containsText" text="No Bill No Pay">
      <formula>NOT(ISERROR(SEARCH("No Bill No Pay",J70)))</formula>
    </cfRule>
    <cfRule type="cellIs" priority="264" operator="equal">
      <formula>"No Bill No Pay"</formula>
    </cfRule>
    <cfRule type="containsText" dxfId="143" priority="265" operator="containsText" text="Pending">
      <formula>NOT(ISERROR(SEARCH("Pending",J70)))</formula>
    </cfRule>
  </conditionalFormatting>
  <conditionalFormatting sqref="J94:L94">
    <cfRule type="containsText" dxfId="140" priority="251" operator="containsText" text="No Bill No Pay">
      <formula>NOT(ISERROR(SEARCH("No Bill No Pay",J94)))</formula>
    </cfRule>
    <cfRule type="cellIs" priority="252" operator="equal">
      <formula>"No Bill No Pay"</formula>
    </cfRule>
    <cfRule type="containsText" dxfId="141" priority="253" operator="containsText" text="Pending">
      <formula>NOT(ISERROR(SEARCH("Pending",J94)))</formula>
    </cfRule>
  </conditionalFormatting>
  <conditionalFormatting sqref="J118:L118">
    <cfRule type="containsText" dxfId="138" priority="239" operator="containsText" text="No Bill No Pay">
      <formula>NOT(ISERROR(SEARCH("No Bill No Pay",J118)))</formula>
    </cfRule>
    <cfRule type="cellIs" priority="240" operator="equal">
      <formula>"No Bill No Pay"</formula>
    </cfRule>
    <cfRule type="containsText" dxfId="139" priority="241" operator="containsText" text="Pending">
      <formula>NOT(ISERROR(SEARCH("Pending",J118)))</formula>
    </cfRule>
  </conditionalFormatting>
  <conditionalFormatting sqref="J142:L142">
    <cfRule type="containsText" dxfId="137" priority="227" operator="containsText" text="No Bill No Pay">
      <formula>NOT(ISERROR(SEARCH("No Bill No Pay",J142)))</formula>
    </cfRule>
    <cfRule type="cellIs" priority="228" operator="equal">
      <formula>"No Bill No Pay"</formula>
    </cfRule>
    <cfRule type="containsText" dxfId="136" priority="229" operator="containsText" text="Pending">
      <formula>NOT(ISERROR(SEARCH("Pending",J142)))</formula>
    </cfRule>
  </conditionalFormatting>
  <conditionalFormatting sqref="J166:L166">
    <cfRule type="containsText" dxfId="134" priority="215" operator="containsText" text="No Bill No Pay">
      <formula>NOT(ISERROR(SEARCH("No Bill No Pay",J166)))</formula>
    </cfRule>
    <cfRule type="cellIs" priority="216" operator="equal">
      <formula>"No Bill No Pay"</formula>
    </cfRule>
    <cfRule type="containsText" dxfId="135" priority="217" operator="containsText" text="Pending">
      <formula>NOT(ISERROR(SEARCH("Pending",J166)))</formula>
    </cfRule>
  </conditionalFormatting>
  <conditionalFormatting sqref="J191:L191">
    <cfRule type="containsText" dxfId="132" priority="203" operator="containsText" text="No Bill No Pay">
      <formula>NOT(ISERROR(SEARCH("No Bill No Pay",J191)))</formula>
    </cfRule>
    <cfRule type="cellIs" priority="204" operator="equal">
      <formula>"No Bill No Pay"</formula>
    </cfRule>
    <cfRule type="containsText" dxfId="133" priority="205" operator="containsText" text="Pending">
      <formula>NOT(ISERROR(SEARCH("Pending",J191)))</formula>
    </cfRule>
  </conditionalFormatting>
  <conditionalFormatting sqref="J215:L215">
    <cfRule type="containsText" dxfId="131" priority="191" operator="containsText" text="No Bill No Pay">
      <formula>NOT(ISERROR(SEARCH("No Bill No Pay",J215)))</formula>
    </cfRule>
    <cfRule type="cellIs" priority="192" operator="equal">
      <formula>"No Bill No Pay"</formula>
    </cfRule>
    <cfRule type="containsText" dxfId="130" priority="193" operator="containsText" text="Pending">
      <formula>NOT(ISERROR(SEARCH("Pending",J215)))</formula>
    </cfRule>
  </conditionalFormatting>
  <conditionalFormatting sqref="J239:L239">
    <cfRule type="containsText" dxfId="128" priority="179" operator="containsText" text="No Bill No Pay">
      <formula>NOT(ISERROR(SEARCH("No Bill No Pay",J239)))</formula>
    </cfRule>
    <cfRule type="cellIs" priority="180" operator="equal">
      <formula>"No Bill No Pay"</formula>
    </cfRule>
    <cfRule type="containsText" dxfId="129" priority="181" operator="containsText" text="Pending">
      <formula>NOT(ISERROR(SEARCH("Pending",J239)))</formula>
    </cfRule>
  </conditionalFormatting>
  <conditionalFormatting sqref="J263:L263">
    <cfRule type="containsText" dxfId="127" priority="167" operator="containsText" text="No Bill No Pay">
      <formula>NOT(ISERROR(SEARCH("No Bill No Pay",J263)))</formula>
    </cfRule>
    <cfRule type="cellIs" priority="168" operator="equal">
      <formula>"No Bill No Pay"</formula>
    </cfRule>
    <cfRule type="containsText" dxfId="126" priority="169" operator="containsText" text="Pending">
      <formula>NOT(ISERROR(SEARCH("Pending",J263)))</formula>
    </cfRule>
  </conditionalFormatting>
  <conditionalFormatting sqref="J287:L287">
    <cfRule type="containsText" dxfId="124" priority="155" operator="containsText" text="No Bill No Pay">
      <formula>NOT(ISERROR(SEARCH("No Bill No Pay",J287)))</formula>
    </cfRule>
    <cfRule type="cellIs" priority="156" operator="equal">
      <formula>"No Bill No Pay"</formula>
    </cfRule>
    <cfRule type="containsText" dxfId="125" priority="157" operator="containsText" text="Pending">
      <formula>NOT(ISERROR(SEARCH("Pending",J287)))</formula>
    </cfRule>
  </conditionalFormatting>
  <conditionalFormatting sqref="J313:L313">
    <cfRule type="containsText" dxfId="122" priority="143" operator="containsText" text="No Bill No Pay">
      <formula>NOT(ISERROR(SEARCH("No Bill No Pay",J313)))</formula>
    </cfRule>
    <cfRule type="cellIs" priority="144" operator="equal">
      <formula>"No Bill No Pay"</formula>
    </cfRule>
    <cfRule type="containsText" dxfId="123" priority="145" operator="containsText" text="Pending">
      <formula>NOT(ISERROR(SEARCH("Pending",J313)))</formula>
    </cfRule>
  </conditionalFormatting>
  <conditionalFormatting sqref="J338:L338">
    <cfRule type="containsText" dxfId="121" priority="131" operator="containsText" text="No Bill No Pay">
      <formula>NOT(ISERROR(SEARCH("No Bill No Pay",J338)))</formula>
    </cfRule>
    <cfRule type="cellIs" priority="132" operator="equal">
      <formula>"No Bill No Pay"</formula>
    </cfRule>
    <cfRule type="containsText" dxfId="120" priority="133" operator="containsText" text="Pending">
      <formula>NOT(ISERROR(SEARCH("Pending",J338)))</formula>
    </cfRule>
  </conditionalFormatting>
  <conditionalFormatting sqref="J363:L363">
    <cfRule type="containsText" dxfId="118" priority="119" operator="containsText" text="No Bill No Pay">
      <formula>NOT(ISERROR(SEARCH("No Bill No Pay",J363)))</formula>
    </cfRule>
    <cfRule type="cellIs" priority="120" operator="equal">
      <formula>"No Bill No Pay"</formula>
    </cfRule>
    <cfRule type="containsText" dxfId="119" priority="121" operator="containsText" text="Pending">
      <formula>NOT(ISERROR(SEARCH("Pending",J363)))</formula>
    </cfRule>
  </conditionalFormatting>
  <conditionalFormatting sqref="J388:L388">
    <cfRule type="containsText" dxfId="117" priority="107" operator="containsText" text="No Bill No Pay">
      <formula>NOT(ISERROR(SEARCH("No Bill No Pay",J388)))</formula>
    </cfRule>
    <cfRule type="cellIs" priority="108" operator="equal">
      <formula>"No Bill No Pay"</formula>
    </cfRule>
    <cfRule type="containsText" dxfId="116" priority="109" operator="containsText" text="Pending">
      <formula>NOT(ISERROR(SEARCH("Pending",J388)))</formula>
    </cfRule>
  </conditionalFormatting>
  <conditionalFormatting sqref="J412:L412">
    <cfRule type="containsText" dxfId="114" priority="95" operator="containsText" text="No Bill No Pay">
      <formula>NOT(ISERROR(SEARCH("No Bill No Pay",J412)))</formula>
    </cfRule>
    <cfRule type="cellIs" priority="96" operator="equal">
      <formula>"No Bill No Pay"</formula>
    </cfRule>
    <cfRule type="containsText" dxfId="115" priority="97" operator="containsText" text="Pending">
      <formula>NOT(ISERROR(SEARCH("Pending",J412)))</formula>
    </cfRule>
  </conditionalFormatting>
  <conditionalFormatting sqref="J437:L437">
    <cfRule type="containsText" dxfId="113" priority="83" operator="containsText" text="No Bill No Pay">
      <formula>NOT(ISERROR(SEARCH("No Bill No Pay",J437)))</formula>
    </cfRule>
    <cfRule type="cellIs" priority="84" operator="equal">
      <formula>"No Bill No Pay"</formula>
    </cfRule>
    <cfRule type="containsText" dxfId="112" priority="85" operator="containsText" text="Pending">
      <formula>NOT(ISERROR(SEARCH("Pending",J437)))</formula>
    </cfRule>
  </conditionalFormatting>
  <conditionalFormatting sqref="J462:L462">
    <cfRule type="containsText" dxfId="110" priority="71" operator="containsText" text="No Bill No Pay">
      <formula>NOT(ISERROR(SEARCH("No Bill No Pay",J462)))</formula>
    </cfRule>
    <cfRule type="cellIs" priority="72" operator="equal">
      <formula>"No Bill No Pay"</formula>
    </cfRule>
    <cfRule type="containsText" dxfId="111" priority="73" operator="containsText" text="Pending">
      <formula>NOT(ISERROR(SEARCH("Pending",J462)))</formula>
    </cfRule>
  </conditionalFormatting>
  <conditionalFormatting sqref="J486:L486">
    <cfRule type="containsText" dxfId="109" priority="59" operator="containsText" text="No Bill No Pay">
      <formula>NOT(ISERROR(SEARCH("No Bill No Pay",J486)))</formula>
    </cfRule>
    <cfRule type="cellIs" priority="60" operator="equal">
      <formula>"No Bill No Pay"</formula>
    </cfRule>
    <cfRule type="containsText" dxfId="108" priority="61" operator="containsText" text="Pending">
      <formula>NOT(ISERROR(SEARCH("Pending",J486)))</formula>
    </cfRule>
  </conditionalFormatting>
  <conditionalFormatting sqref="J510:L510">
    <cfRule type="containsText" dxfId="106" priority="47" operator="containsText" text="No Bill No Pay">
      <formula>NOT(ISERROR(SEARCH("No Bill No Pay",J510)))</formula>
    </cfRule>
    <cfRule type="cellIs" priority="48" operator="equal">
      <formula>"No Bill No Pay"</formula>
    </cfRule>
    <cfRule type="containsText" dxfId="107" priority="49" operator="containsText" text="Pending">
      <formula>NOT(ISERROR(SEARCH("Pending",J510)))</formula>
    </cfRule>
  </conditionalFormatting>
  <conditionalFormatting sqref="J534:L534">
    <cfRule type="containsText" dxfId="104" priority="35" operator="containsText" text="No Bill No Pay">
      <formula>NOT(ISERROR(SEARCH("No Bill No Pay",J534)))</formula>
    </cfRule>
    <cfRule type="cellIs" priority="36" operator="equal">
      <formula>"No Bill No Pay"</formula>
    </cfRule>
    <cfRule type="containsText" dxfId="105" priority="37" operator="containsText" text="Pending">
      <formula>NOT(ISERROR(SEARCH("Pending",J534)))</formula>
    </cfRule>
  </conditionalFormatting>
  <conditionalFormatting sqref="J559:L559">
    <cfRule type="containsText" dxfId="103" priority="23" operator="containsText" text="No Bill No Pay">
      <formula>NOT(ISERROR(SEARCH("No Bill No Pay",J559)))</formula>
    </cfRule>
    <cfRule type="cellIs" priority="24" operator="equal">
      <formula>"No Bill No Pay"</formula>
    </cfRule>
    <cfRule type="containsText" dxfId="102" priority="25" operator="containsText" text="Pending">
      <formula>NOT(ISERROR(SEARCH("Pending",J559)))</formula>
    </cfRule>
  </conditionalFormatting>
  <conditionalFormatting sqref="J583:L583">
    <cfRule type="containsText" dxfId="101" priority="11" operator="containsText" text="No Bill No Pay">
      <formula>NOT(ISERROR(SEARCH("No Bill No Pay",J583)))</formula>
    </cfRule>
    <cfRule type="cellIs" priority="12" operator="equal">
      <formula>"No Bill No Pay"</formula>
    </cfRule>
    <cfRule type="containsText" dxfId="100" priority="13" operator="containsText" text="Pending">
      <formula>NOT(ISERROR(SEARCH("Pending",J583)))</formula>
    </cfRule>
  </conditionalFormatting>
  <conditionalFormatting sqref="K4:K16">
    <cfRule type="containsText" dxfId="98" priority="295" operator="containsText" text="No">
      <formula>NOT(ISERROR(SEARCH("No",K4)))</formula>
    </cfRule>
    <cfRule type="containsText" dxfId="99" priority="296" operator="containsText" text="Yes">
      <formula>NOT(ISERROR(SEARCH("Yes",K4)))</formula>
    </cfRule>
  </conditionalFormatting>
  <conditionalFormatting sqref="K24:K42">
    <cfRule type="containsText" dxfId="97" priority="280" operator="containsText" text="No">
      <formula>NOT(ISERROR(SEARCH("No",K24)))</formula>
    </cfRule>
    <cfRule type="containsText" dxfId="96" priority="281" operator="containsText" text="Yes">
      <formula>NOT(ISERROR(SEARCH("Yes",K24)))</formula>
    </cfRule>
  </conditionalFormatting>
  <conditionalFormatting sqref="K48:K66">
    <cfRule type="containsText" dxfId="94" priority="268" operator="containsText" text="No">
      <formula>NOT(ISERROR(SEARCH("No",K48)))</formula>
    </cfRule>
    <cfRule type="containsText" dxfId="95" priority="269" operator="containsText" text="Yes">
      <formula>NOT(ISERROR(SEARCH("Yes",K48)))</formula>
    </cfRule>
  </conditionalFormatting>
  <conditionalFormatting sqref="K71:K89">
    <cfRule type="containsText" dxfId="92" priority="256" operator="containsText" text="No">
      <formula>NOT(ISERROR(SEARCH("No",K71)))</formula>
    </cfRule>
    <cfRule type="containsText" dxfId="93" priority="257" operator="containsText" text="Yes">
      <formula>NOT(ISERROR(SEARCH("Yes",K71)))</formula>
    </cfRule>
  </conditionalFormatting>
  <conditionalFormatting sqref="K95:K113">
    <cfRule type="containsText" dxfId="90" priority="244" operator="containsText" text="No">
      <formula>NOT(ISERROR(SEARCH("No",K95)))</formula>
    </cfRule>
    <cfRule type="containsText" dxfId="91" priority="245" operator="containsText" text="Yes">
      <formula>NOT(ISERROR(SEARCH("Yes",K95)))</formula>
    </cfRule>
  </conditionalFormatting>
  <conditionalFormatting sqref="K119:K137">
    <cfRule type="containsText" dxfId="88" priority="232" operator="containsText" text="No">
      <formula>NOT(ISERROR(SEARCH("No",K119)))</formula>
    </cfRule>
    <cfRule type="containsText" dxfId="89" priority="233" operator="containsText" text="Yes">
      <formula>NOT(ISERROR(SEARCH("Yes",K119)))</formula>
    </cfRule>
  </conditionalFormatting>
  <conditionalFormatting sqref="K143:K161">
    <cfRule type="containsText" dxfId="87" priority="220" operator="containsText" text="No">
      <formula>NOT(ISERROR(SEARCH("No",K143)))</formula>
    </cfRule>
    <cfRule type="containsText" dxfId="86" priority="221" operator="containsText" text="Yes">
      <formula>NOT(ISERROR(SEARCH("Yes",K143)))</formula>
    </cfRule>
  </conditionalFormatting>
  <conditionalFormatting sqref="K167:K185">
    <cfRule type="containsText" dxfId="84" priority="208" operator="containsText" text="No">
      <formula>NOT(ISERROR(SEARCH("No",K167)))</formula>
    </cfRule>
    <cfRule type="containsText" dxfId="85" priority="209" operator="containsText" text="Yes">
      <formula>NOT(ISERROR(SEARCH("Yes",K167)))</formula>
    </cfRule>
  </conditionalFormatting>
  <conditionalFormatting sqref="K192:K210">
    <cfRule type="containsText" dxfId="83" priority="196" operator="containsText" text="No">
      <formula>NOT(ISERROR(SEARCH("No",K192)))</formula>
    </cfRule>
    <cfRule type="containsText" dxfId="82" priority="197" operator="containsText" text="Yes">
      <formula>NOT(ISERROR(SEARCH("Yes",K192)))</formula>
    </cfRule>
  </conditionalFormatting>
  <conditionalFormatting sqref="K216:K234">
    <cfRule type="containsText" dxfId="81" priority="184" operator="containsText" text="No">
      <formula>NOT(ISERROR(SEARCH("No",K216)))</formula>
    </cfRule>
    <cfRule type="containsText" dxfId="80" priority="185" operator="containsText" text="Yes">
      <formula>NOT(ISERROR(SEARCH("Yes",K216)))</formula>
    </cfRule>
  </conditionalFormatting>
  <conditionalFormatting sqref="K240:K258">
    <cfRule type="containsText" dxfId="78" priority="172" operator="containsText" text="No">
      <formula>NOT(ISERROR(SEARCH("No",K240)))</formula>
    </cfRule>
    <cfRule type="containsText" dxfId="79" priority="173" operator="containsText" text="Yes">
      <formula>NOT(ISERROR(SEARCH("Yes",K240)))</formula>
    </cfRule>
  </conditionalFormatting>
  <conditionalFormatting sqref="K264:K282">
    <cfRule type="containsText" dxfId="77" priority="160" operator="containsText" text="No">
      <formula>NOT(ISERROR(SEARCH("No",K264)))</formula>
    </cfRule>
    <cfRule type="containsText" dxfId="76" priority="161" operator="containsText" text="Yes">
      <formula>NOT(ISERROR(SEARCH("Yes",K264)))</formula>
    </cfRule>
  </conditionalFormatting>
  <conditionalFormatting sqref="K288:K306">
    <cfRule type="containsText" dxfId="75" priority="148" operator="containsText" text="No">
      <formula>NOT(ISERROR(SEARCH("No",K288)))</formula>
    </cfRule>
    <cfRule type="containsText" dxfId="74" priority="149" operator="containsText" text="Yes">
      <formula>NOT(ISERROR(SEARCH("Yes",K288)))</formula>
    </cfRule>
  </conditionalFormatting>
  <conditionalFormatting sqref="K314:K332">
    <cfRule type="containsText" dxfId="72" priority="136" operator="containsText" text="No">
      <formula>NOT(ISERROR(SEARCH("No",K314)))</formula>
    </cfRule>
    <cfRule type="containsText" dxfId="73" priority="137" operator="containsText" text="Yes">
      <formula>NOT(ISERROR(SEARCH("Yes",K314)))</formula>
    </cfRule>
  </conditionalFormatting>
  <conditionalFormatting sqref="K339:K357">
    <cfRule type="containsText" dxfId="70" priority="124" operator="containsText" text="No">
      <formula>NOT(ISERROR(SEARCH("No",K339)))</formula>
    </cfRule>
    <cfRule type="containsText" dxfId="71" priority="125" operator="containsText" text="Yes">
      <formula>NOT(ISERROR(SEARCH("Yes",K339)))</formula>
    </cfRule>
  </conditionalFormatting>
  <conditionalFormatting sqref="K364:K382">
    <cfRule type="containsText" dxfId="69" priority="112" operator="containsText" text="No">
      <formula>NOT(ISERROR(SEARCH("No",K364)))</formula>
    </cfRule>
    <cfRule type="containsText" dxfId="68" priority="113" operator="containsText" text="Yes">
      <formula>NOT(ISERROR(SEARCH("Yes",K364)))</formula>
    </cfRule>
  </conditionalFormatting>
  <conditionalFormatting sqref="K389:K407">
    <cfRule type="containsText" dxfId="66" priority="100" operator="containsText" text="No">
      <formula>NOT(ISERROR(SEARCH("No",K389)))</formula>
    </cfRule>
    <cfRule type="containsText" dxfId="67" priority="101" operator="containsText" text="Yes">
      <formula>NOT(ISERROR(SEARCH("Yes",K389)))</formula>
    </cfRule>
  </conditionalFormatting>
  <conditionalFormatting sqref="K413:K431">
    <cfRule type="containsText" dxfId="65" priority="88" operator="containsText" text="No">
      <formula>NOT(ISERROR(SEARCH("No",K413)))</formula>
    </cfRule>
    <cfRule type="containsText" dxfId="64" priority="89" operator="containsText" text="Yes">
      <formula>NOT(ISERROR(SEARCH("Yes",K413)))</formula>
    </cfRule>
  </conditionalFormatting>
  <conditionalFormatting sqref="K438:K456">
    <cfRule type="containsText" dxfId="63" priority="76" operator="containsText" text="No">
      <formula>NOT(ISERROR(SEARCH("No",K438)))</formula>
    </cfRule>
    <cfRule type="containsText" dxfId="62" priority="77" operator="containsText" text="Yes">
      <formula>NOT(ISERROR(SEARCH("Yes",K438)))</formula>
    </cfRule>
  </conditionalFormatting>
  <conditionalFormatting sqref="K463:K481">
    <cfRule type="containsText" dxfId="60" priority="64" operator="containsText" text="No">
      <formula>NOT(ISERROR(SEARCH("No",K463)))</formula>
    </cfRule>
    <cfRule type="containsText" dxfId="61" priority="65" operator="containsText" text="Yes">
      <formula>NOT(ISERROR(SEARCH("Yes",K463)))</formula>
    </cfRule>
  </conditionalFormatting>
  <conditionalFormatting sqref="K487:K505">
    <cfRule type="containsText" dxfId="59" priority="52" operator="containsText" text="No">
      <formula>NOT(ISERROR(SEARCH("No",K487)))</formula>
    </cfRule>
    <cfRule type="containsText" dxfId="58" priority="53" operator="containsText" text="Yes">
      <formula>NOT(ISERROR(SEARCH("Yes",K487)))</formula>
    </cfRule>
  </conditionalFormatting>
  <conditionalFormatting sqref="K511:K529">
    <cfRule type="containsText" dxfId="56" priority="40" operator="containsText" text="No">
      <formula>NOT(ISERROR(SEARCH("No",K511)))</formula>
    </cfRule>
    <cfRule type="containsText" dxfId="57" priority="41" operator="containsText" text="Yes">
      <formula>NOT(ISERROR(SEARCH("Yes",K511)))</formula>
    </cfRule>
  </conditionalFormatting>
  <conditionalFormatting sqref="K535:K553">
    <cfRule type="containsText" dxfId="55" priority="28" operator="containsText" text="No">
      <formula>NOT(ISERROR(SEARCH("No",K535)))</formula>
    </cfRule>
    <cfRule type="containsText" dxfId="54" priority="29" operator="containsText" text="Yes">
      <formula>NOT(ISERROR(SEARCH("Yes",K535)))</formula>
    </cfRule>
  </conditionalFormatting>
  <conditionalFormatting sqref="K560:K578">
    <cfRule type="containsText" dxfId="53" priority="16" operator="containsText" text="No">
      <formula>NOT(ISERROR(SEARCH("No",K560)))</formula>
    </cfRule>
    <cfRule type="containsText" dxfId="52" priority="17" operator="containsText" text="Yes">
      <formula>NOT(ISERROR(SEARCH("Yes",K560)))</formula>
    </cfRule>
  </conditionalFormatting>
  <conditionalFormatting sqref="K584:K602">
    <cfRule type="containsText" dxfId="50" priority="4" operator="containsText" text="No">
      <formula>NOT(ISERROR(SEARCH("No",K584)))</formula>
    </cfRule>
    <cfRule type="containsText" dxfId="51" priority="5" operator="containsText" text="Yes">
      <formula>NOT(ISERROR(SEARCH("Yes",K584)))</formula>
    </cfRule>
  </conditionalFormatting>
  <conditionalFormatting sqref="N4:N16">
    <cfRule type="containsText" dxfId="49" priority="290" operator="containsText" text="No">
      <formula>NOT(ISERROR(SEARCH("No",N4)))</formula>
    </cfRule>
    <cfRule type="containsText" dxfId="48" priority="291" operator="containsText" text="Yes">
      <formula>NOT(ISERROR(SEARCH("Yes",N4)))</formula>
    </cfRule>
  </conditionalFormatting>
  <conditionalFormatting sqref="N24:N42">
    <cfRule type="containsText" dxfId="46" priority="278" operator="containsText" text="No">
      <formula>NOT(ISERROR(SEARCH("No",N24)))</formula>
    </cfRule>
    <cfRule type="containsText" dxfId="47" priority="279" operator="containsText" text="Yes">
      <formula>NOT(ISERROR(SEARCH("Yes",N24)))</formula>
    </cfRule>
  </conditionalFormatting>
  <conditionalFormatting sqref="N48:N66">
    <cfRule type="containsText" dxfId="45" priority="266" operator="containsText" text="No">
      <formula>NOT(ISERROR(SEARCH("No",N48)))</formula>
    </cfRule>
    <cfRule type="containsText" dxfId="44" priority="267" operator="containsText" text="Yes">
      <formula>NOT(ISERROR(SEARCH("Yes",N48)))</formula>
    </cfRule>
  </conditionalFormatting>
  <conditionalFormatting sqref="N71:N89">
    <cfRule type="containsText" dxfId="42" priority="254" operator="containsText" text="No">
      <formula>NOT(ISERROR(SEARCH("No",N71)))</formula>
    </cfRule>
    <cfRule type="containsText" dxfId="43" priority="255" operator="containsText" text="Yes">
      <formula>NOT(ISERROR(SEARCH("Yes",N71)))</formula>
    </cfRule>
  </conditionalFormatting>
  <conditionalFormatting sqref="N95:N113">
    <cfRule type="containsText" dxfId="41" priority="242" operator="containsText" text="No">
      <formula>NOT(ISERROR(SEARCH("No",N95)))</formula>
    </cfRule>
    <cfRule type="containsText" dxfId="40" priority="243" operator="containsText" text="Yes">
      <formula>NOT(ISERROR(SEARCH("Yes",N95)))</formula>
    </cfRule>
  </conditionalFormatting>
  <conditionalFormatting sqref="N119:N137">
    <cfRule type="containsText" dxfId="38" priority="230" operator="containsText" text="No">
      <formula>NOT(ISERROR(SEARCH("No",N119)))</formula>
    </cfRule>
    <cfRule type="containsText" dxfId="39" priority="231" operator="containsText" text="Yes">
      <formula>NOT(ISERROR(SEARCH("Yes",N119)))</formula>
    </cfRule>
  </conditionalFormatting>
  <conditionalFormatting sqref="N143:N161">
    <cfRule type="containsText" dxfId="37" priority="218" operator="containsText" text="No">
      <formula>NOT(ISERROR(SEARCH("No",N143)))</formula>
    </cfRule>
    <cfRule type="containsText" dxfId="36" priority="219" operator="containsText" text="Yes">
      <formula>NOT(ISERROR(SEARCH("Yes",N143)))</formula>
    </cfRule>
  </conditionalFormatting>
  <conditionalFormatting sqref="N167:N185">
    <cfRule type="containsText" dxfId="34" priority="206" operator="containsText" text="No">
      <formula>NOT(ISERROR(SEARCH("No",N167)))</formula>
    </cfRule>
    <cfRule type="containsText" dxfId="35" priority="207" operator="containsText" text="Yes">
      <formula>NOT(ISERROR(SEARCH("Yes",N167)))</formula>
    </cfRule>
  </conditionalFormatting>
  <conditionalFormatting sqref="N192:N210">
    <cfRule type="containsText" dxfId="33" priority="194" operator="containsText" text="No">
      <formula>NOT(ISERROR(SEARCH("No",N192)))</formula>
    </cfRule>
    <cfRule type="containsText" dxfId="32" priority="195" operator="containsText" text="Yes">
      <formula>NOT(ISERROR(SEARCH("Yes",N192)))</formula>
    </cfRule>
  </conditionalFormatting>
  <conditionalFormatting sqref="N216:N234">
    <cfRule type="containsText" dxfId="31" priority="182" operator="containsText" text="No">
      <formula>NOT(ISERROR(SEARCH("No",N216)))</formula>
    </cfRule>
    <cfRule type="containsText" dxfId="30" priority="183" operator="containsText" text="Yes">
      <formula>NOT(ISERROR(SEARCH("Yes",N216)))</formula>
    </cfRule>
  </conditionalFormatting>
  <conditionalFormatting sqref="N240:N258">
    <cfRule type="containsText" dxfId="28" priority="170" operator="containsText" text="No">
      <formula>NOT(ISERROR(SEARCH("No",N240)))</formula>
    </cfRule>
    <cfRule type="containsText" dxfId="29" priority="171" operator="containsText" text="Yes">
      <formula>NOT(ISERROR(SEARCH("Yes",N240)))</formula>
    </cfRule>
  </conditionalFormatting>
  <conditionalFormatting sqref="N264:N282">
    <cfRule type="containsText" dxfId="26" priority="158" operator="containsText" text="No">
      <formula>NOT(ISERROR(SEARCH("No",N264)))</formula>
    </cfRule>
    <cfRule type="containsText" dxfId="27" priority="159" operator="containsText" text="Yes">
      <formula>NOT(ISERROR(SEARCH("Yes",N264)))</formula>
    </cfRule>
  </conditionalFormatting>
  <conditionalFormatting sqref="N288:N306">
    <cfRule type="containsText" dxfId="25" priority="146" operator="containsText" text="No">
      <formula>NOT(ISERROR(SEARCH("No",N288)))</formula>
    </cfRule>
    <cfRule type="containsText" dxfId="24" priority="147" operator="containsText" text="Yes">
      <formula>NOT(ISERROR(SEARCH("Yes",N288)))</formula>
    </cfRule>
  </conditionalFormatting>
  <conditionalFormatting sqref="N314:N332">
    <cfRule type="containsText" dxfId="23" priority="134" operator="containsText" text="No">
      <formula>NOT(ISERROR(SEARCH("No",N314)))</formula>
    </cfRule>
    <cfRule type="containsText" dxfId="22" priority="135" operator="containsText" text="Yes">
      <formula>NOT(ISERROR(SEARCH("Yes",N314)))</formula>
    </cfRule>
  </conditionalFormatting>
  <conditionalFormatting sqref="N339:N357">
    <cfRule type="containsText" dxfId="21" priority="122" operator="containsText" text="No">
      <formula>NOT(ISERROR(SEARCH("No",N339)))</formula>
    </cfRule>
    <cfRule type="containsText" dxfId="20" priority="123" operator="containsText" text="Yes">
      <formula>NOT(ISERROR(SEARCH("Yes",N339)))</formula>
    </cfRule>
  </conditionalFormatting>
  <conditionalFormatting sqref="N364:N382">
    <cfRule type="containsText" dxfId="19" priority="110" operator="containsText" text="No">
      <formula>NOT(ISERROR(SEARCH("No",N364)))</formula>
    </cfRule>
    <cfRule type="containsText" dxfId="18" priority="111" operator="containsText" text="Yes">
      <formula>NOT(ISERROR(SEARCH("Yes",N364)))</formula>
    </cfRule>
  </conditionalFormatting>
  <conditionalFormatting sqref="N389:N407">
    <cfRule type="containsText" dxfId="17" priority="98" operator="containsText" text="No">
      <formula>NOT(ISERROR(SEARCH("No",N389)))</formula>
    </cfRule>
    <cfRule type="containsText" dxfId="16" priority="99" operator="containsText" text="Yes">
      <formula>NOT(ISERROR(SEARCH("Yes",N389)))</formula>
    </cfRule>
  </conditionalFormatting>
  <conditionalFormatting sqref="N413:N431">
    <cfRule type="containsText" dxfId="15" priority="86" operator="containsText" text="No">
      <formula>NOT(ISERROR(SEARCH("No",N413)))</formula>
    </cfRule>
    <cfRule type="containsText" dxfId="14" priority="87" operator="containsText" text="Yes">
      <formula>NOT(ISERROR(SEARCH("Yes",N413)))</formula>
    </cfRule>
  </conditionalFormatting>
  <conditionalFormatting sqref="N438:N456">
    <cfRule type="containsText" dxfId="12" priority="74" operator="containsText" text="No">
      <formula>NOT(ISERROR(SEARCH("No",N438)))</formula>
    </cfRule>
    <cfRule type="containsText" dxfId="13" priority="75" operator="containsText" text="Yes">
      <formula>NOT(ISERROR(SEARCH("Yes",N438)))</formula>
    </cfRule>
  </conditionalFormatting>
  <conditionalFormatting sqref="N463:N481">
    <cfRule type="containsText" dxfId="10" priority="62" operator="containsText" text="No">
      <formula>NOT(ISERROR(SEARCH("No",N463)))</formula>
    </cfRule>
    <cfRule type="containsText" dxfId="11" priority="63" operator="containsText" text="Yes">
      <formula>NOT(ISERROR(SEARCH("Yes",N463)))</formula>
    </cfRule>
  </conditionalFormatting>
  <conditionalFormatting sqref="N487:N505">
    <cfRule type="containsText" dxfId="9" priority="50" operator="containsText" text="No">
      <formula>NOT(ISERROR(SEARCH("No",N487)))</formula>
    </cfRule>
    <cfRule type="containsText" dxfId="8" priority="51" operator="containsText" text="Yes">
      <formula>NOT(ISERROR(SEARCH("Yes",N487)))</formula>
    </cfRule>
  </conditionalFormatting>
  <conditionalFormatting sqref="N511:N529">
    <cfRule type="containsText" dxfId="6" priority="38" operator="containsText" text="No">
      <formula>NOT(ISERROR(SEARCH("No",N511)))</formula>
    </cfRule>
    <cfRule type="containsText" dxfId="7" priority="39" operator="containsText" text="Yes">
      <formula>NOT(ISERROR(SEARCH("Yes",N511)))</formula>
    </cfRule>
  </conditionalFormatting>
  <conditionalFormatting sqref="N535:N553">
    <cfRule type="containsText" dxfId="5" priority="26" operator="containsText" text="No">
      <formula>NOT(ISERROR(SEARCH("No",N535)))</formula>
    </cfRule>
    <cfRule type="containsText" dxfId="4" priority="27" operator="containsText" text="Yes">
      <formula>NOT(ISERROR(SEARCH("Yes",N535)))</formula>
    </cfRule>
  </conditionalFormatting>
  <conditionalFormatting sqref="N560:N578">
    <cfRule type="containsText" dxfId="3" priority="14" operator="containsText" text="No">
      <formula>NOT(ISERROR(SEARCH("No",N560)))</formula>
    </cfRule>
    <cfRule type="containsText" dxfId="2" priority="15" operator="containsText" text="Yes">
      <formula>NOT(ISERROR(SEARCH("Yes",N560)))</formula>
    </cfRule>
  </conditionalFormatting>
  <conditionalFormatting sqref="N584:N602">
    <cfRule type="containsText" dxfId="0" priority="2" operator="containsText" text="No">
      <formula>NOT(ISERROR(SEARCH("No",N584)))</formula>
    </cfRule>
    <cfRule type="containsText" dxfId="1" priority="3" operator="containsText" text="Yes">
      <formula>NOT(ISERROR(SEARCH("Yes",N584)))</formula>
    </cfRule>
  </conditionalFormatting>
  <dataValidations count="2">
    <dataValidation type="list" allowBlank="1" showInputMessage="1" showErrorMessage="1" errorTitle="Recruiter Name not correct" error="Please enter correct recruiter name" sqref="C2 C22 C46 C69 C93 C117 C141 C165 C190 C214 C238 C262 C286 C312 C337 C362 C387 C411 C436 C461 C485 C509 C533 C558 C582" xr:uid="{3976C01D-B7AB-43A7-90E8-9DE8D5C9BB5F}">
      <formula1>INDIRECT($A$2)</formula1>
    </dataValidation>
    <dataValidation type="list" allowBlank="1" showInputMessage="1" showErrorMessage="1" errorTitle="Wrong Team Name" error="Please enter correct name" sqref="A2 A22 A46 A69 A93 A117 A141 A165 A190 A214 A238 A262 A286 A312 A337 A362 A387 A411 A436 A461 A485 A509 A533 A558 A582" xr:uid="{AC6E9981-15A4-4AF7-A532-7A2DF9F754CB}">
      <formula1>TeamName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2026-02-12T11:17:59Z</dcterms:created>
  <dcterms:modified xsi:type="dcterms:W3CDTF">2026-02-12T11:18:27Z</dcterms:modified>
</cp:coreProperties>
</file>