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DEBBE674-CE98-41EC-A810-E5A813DB4A58}" xr6:coauthVersionLast="47" xr6:coauthVersionMax="47" xr10:uidLastSave="{00000000-0000-0000-0000-000000000000}"/>
  <bookViews>
    <workbookView xWindow="-108" yWindow="-108" windowWidth="23256" windowHeight="13176" xr2:uid="{DE851FF2-45EC-4E1D-A40B-C0559553685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26" i="1" l="1"/>
  <c r="N526" i="1"/>
  <c r="M526" i="1"/>
  <c r="O525" i="1"/>
  <c r="N525" i="1"/>
  <c r="M525" i="1"/>
  <c r="M524" i="1"/>
  <c r="N524" i="1" s="1"/>
  <c r="O524" i="1" s="1"/>
  <c r="O523" i="1"/>
  <c r="N523" i="1"/>
  <c r="M523" i="1"/>
  <c r="M522" i="1"/>
  <c r="N522" i="1" s="1"/>
  <c r="O522" i="1" s="1"/>
  <c r="O521" i="1"/>
  <c r="N521" i="1"/>
  <c r="M521" i="1"/>
  <c r="M520" i="1"/>
  <c r="N520" i="1" s="1"/>
  <c r="O520" i="1" s="1"/>
  <c r="O519" i="1"/>
  <c r="N519" i="1"/>
  <c r="M519" i="1"/>
  <c r="M518" i="1"/>
  <c r="N518" i="1" s="1"/>
  <c r="O518" i="1" s="1"/>
  <c r="N517" i="1"/>
  <c r="O517" i="1" s="1"/>
  <c r="M517" i="1"/>
  <c r="M516" i="1"/>
  <c r="N516" i="1" s="1"/>
  <c r="O516" i="1" s="1"/>
  <c r="M515" i="1"/>
  <c r="N515" i="1" s="1"/>
  <c r="O515" i="1" s="1"/>
  <c r="O514" i="1"/>
  <c r="N514" i="1"/>
  <c r="M514" i="1"/>
  <c r="M513" i="1"/>
  <c r="N513" i="1" s="1"/>
  <c r="O513" i="1" s="1"/>
  <c r="M512" i="1"/>
  <c r="N512" i="1" s="1"/>
  <c r="O512" i="1" s="1"/>
  <c r="O511" i="1"/>
  <c r="N511" i="1"/>
  <c r="M511" i="1"/>
  <c r="N510" i="1"/>
  <c r="O510" i="1" s="1"/>
  <c r="M510" i="1"/>
  <c r="N509" i="1"/>
  <c r="O509" i="1" s="1"/>
  <c r="M509" i="1"/>
  <c r="B508" i="1" a="1"/>
  <c r="M508" i="1" s="1"/>
  <c r="A508" i="1"/>
  <c r="H506" i="1"/>
  <c r="F506" i="1"/>
  <c r="G506" i="1" s="1"/>
  <c r="J506" i="1" s="1" a="1"/>
  <c r="J506" i="1" s="1"/>
  <c r="E506" i="1"/>
  <c r="D506" i="1"/>
  <c r="B506" i="1"/>
  <c r="A506" i="1"/>
  <c r="N500" i="1"/>
  <c r="O500" i="1" s="1"/>
  <c r="M500" i="1"/>
  <c r="M499" i="1"/>
  <c r="N499" i="1" s="1"/>
  <c r="O499" i="1" s="1"/>
  <c r="N498" i="1"/>
  <c r="O498" i="1" s="1"/>
  <c r="M498" i="1"/>
  <c r="M497" i="1"/>
  <c r="N497" i="1" s="1"/>
  <c r="O497" i="1" s="1"/>
  <c r="N496" i="1"/>
  <c r="O496" i="1" s="1"/>
  <c r="M496" i="1"/>
  <c r="M495" i="1"/>
  <c r="N495" i="1" s="1"/>
  <c r="O495" i="1" s="1"/>
  <c r="M494" i="1"/>
  <c r="N494" i="1" s="1"/>
  <c r="O494" i="1" s="1"/>
  <c r="M493" i="1"/>
  <c r="N493" i="1" s="1"/>
  <c r="O493" i="1" s="1"/>
  <c r="N492" i="1"/>
  <c r="O492" i="1" s="1"/>
  <c r="M492" i="1"/>
  <c r="M491" i="1"/>
  <c r="N491" i="1" s="1"/>
  <c r="O491" i="1" s="1"/>
  <c r="N490" i="1"/>
  <c r="O490" i="1" s="1"/>
  <c r="M490" i="1"/>
  <c r="M489" i="1"/>
  <c r="N489" i="1" s="1"/>
  <c r="O489" i="1" s="1"/>
  <c r="N488" i="1"/>
  <c r="O488" i="1" s="1"/>
  <c r="M488" i="1"/>
  <c r="M487" i="1"/>
  <c r="N487" i="1" s="1"/>
  <c r="O487" i="1" s="1"/>
  <c r="M486" i="1"/>
  <c r="N486" i="1" s="1"/>
  <c r="O486" i="1" s="1"/>
  <c r="M485" i="1"/>
  <c r="N485" i="1" s="1"/>
  <c r="O485" i="1" s="1"/>
  <c r="B482" i="1"/>
  <c r="B482" i="1" a="1"/>
  <c r="A482" i="1"/>
  <c r="H480" i="1"/>
  <c r="F480" i="1"/>
  <c r="G480" i="1" s="1"/>
  <c r="J480" i="1" s="1" a="1"/>
  <c r="J480" i="1" s="1"/>
  <c r="E480" i="1"/>
  <c r="D480" i="1"/>
  <c r="B480" i="1"/>
  <c r="A480" i="1"/>
  <c r="O471" i="1"/>
  <c r="N471" i="1"/>
  <c r="M471" i="1"/>
  <c r="N470" i="1"/>
  <c r="O470" i="1" s="1"/>
  <c r="M470" i="1"/>
  <c r="M469" i="1"/>
  <c r="N469" i="1" s="1"/>
  <c r="O469" i="1" s="1"/>
  <c r="M468" i="1"/>
  <c r="N468" i="1" s="1"/>
  <c r="O468" i="1" s="1"/>
  <c r="M467" i="1"/>
  <c r="N467" i="1" s="1"/>
  <c r="O467" i="1" s="1"/>
  <c r="N466" i="1"/>
  <c r="O466" i="1" s="1"/>
  <c r="M466" i="1"/>
  <c r="M465" i="1"/>
  <c r="N465" i="1" s="1"/>
  <c r="O465" i="1" s="1"/>
  <c r="M464" i="1"/>
  <c r="N464" i="1" s="1"/>
  <c r="O464" i="1" s="1"/>
  <c r="N463" i="1"/>
  <c r="O463" i="1" s="1"/>
  <c r="M463" i="1"/>
  <c r="N462" i="1"/>
  <c r="O462" i="1" s="1"/>
  <c r="M462" i="1"/>
  <c r="M461" i="1"/>
  <c r="N461" i="1" s="1"/>
  <c r="O461" i="1" s="1"/>
  <c r="O460" i="1"/>
  <c r="M460" i="1"/>
  <c r="N460" i="1" s="1"/>
  <c r="M459" i="1"/>
  <c r="N459" i="1" s="1"/>
  <c r="O459" i="1" s="1"/>
  <c r="M458" i="1"/>
  <c r="N458" i="1" s="1"/>
  <c r="O458" i="1" s="1"/>
  <c r="M453" i="1"/>
  <c r="B453" i="1"/>
  <c r="B453" i="1" a="1"/>
  <c r="A453" i="1"/>
  <c r="H451" i="1"/>
  <c r="F451" i="1"/>
  <c r="G451" i="1" s="1"/>
  <c r="J451" i="1" s="1" a="1"/>
  <c r="J451" i="1" s="1"/>
  <c r="E451" i="1"/>
  <c r="D451" i="1"/>
  <c r="B451" i="1"/>
  <c r="A451" i="1"/>
  <c r="O444" i="1"/>
  <c r="N444" i="1"/>
  <c r="M444" i="1"/>
  <c r="M443" i="1"/>
  <c r="N443" i="1" s="1"/>
  <c r="O443" i="1" s="1"/>
  <c r="M442" i="1"/>
  <c r="N442" i="1" s="1"/>
  <c r="O442" i="1" s="1"/>
  <c r="M441" i="1"/>
  <c r="N441" i="1" s="1"/>
  <c r="O441" i="1" s="1"/>
  <c r="M440" i="1"/>
  <c r="N440" i="1" s="1"/>
  <c r="O440" i="1" s="1"/>
  <c r="N439" i="1"/>
  <c r="O439" i="1" s="1"/>
  <c r="M439" i="1"/>
  <c r="N438" i="1"/>
  <c r="O438" i="1" s="1"/>
  <c r="M438" i="1"/>
  <c r="M437" i="1"/>
  <c r="N437" i="1" s="1"/>
  <c r="O437" i="1" s="1"/>
  <c r="O436" i="1"/>
  <c r="N436" i="1"/>
  <c r="M436" i="1"/>
  <c r="M435" i="1"/>
  <c r="N435" i="1" s="1"/>
  <c r="O435" i="1" s="1"/>
  <c r="N434" i="1"/>
  <c r="O434" i="1" s="1"/>
  <c r="M434" i="1"/>
  <c r="M433" i="1"/>
  <c r="N433" i="1" s="1"/>
  <c r="O433" i="1" s="1"/>
  <c r="M432" i="1"/>
  <c r="N432" i="1" s="1"/>
  <c r="O432" i="1" s="1"/>
  <c r="N431" i="1"/>
  <c r="O431" i="1" s="1"/>
  <c r="M431" i="1"/>
  <c r="N430" i="1"/>
  <c r="O430" i="1" s="1"/>
  <c r="M430" i="1"/>
  <c r="M429" i="1"/>
  <c r="N429" i="1" s="1"/>
  <c r="O429" i="1" s="1"/>
  <c r="N426" i="1"/>
  <c r="M426" i="1"/>
  <c r="B426" i="1" a="1"/>
  <c r="M427" i="1" s="1"/>
  <c r="A426" i="1"/>
  <c r="J424" i="1" a="1"/>
  <c r="J424" i="1" s="1"/>
  <c r="H424" i="1"/>
  <c r="G424" i="1"/>
  <c r="F424" i="1"/>
  <c r="E424" i="1"/>
  <c r="D424" i="1"/>
  <c r="B424" i="1"/>
  <c r="A424" i="1"/>
  <c r="N418" i="1"/>
  <c r="O418" i="1" s="1"/>
  <c r="M418" i="1"/>
  <c r="M417" i="1"/>
  <c r="N417" i="1" s="1"/>
  <c r="O417" i="1" s="1"/>
  <c r="O416" i="1"/>
  <c r="N416" i="1"/>
  <c r="M416" i="1"/>
  <c r="O415" i="1"/>
  <c r="N415" i="1"/>
  <c r="M415" i="1"/>
  <c r="M414" i="1"/>
  <c r="N414" i="1" s="1"/>
  <c r="O414" i="1" s="1"/>
  <c r="M413" i="1"/>
  <c r="N413" i="1" s="1"/>
  <c r="O413" i="1" s="1"/>
  <c r="M412" i="1"/>
  <c r="N412" i="1" s="1"/>
  <c r="O412" i="1" s="1"/>
  <c r="N411" i="1"/>
  <c r="O411" i="1" s="1"/>
  <c r="M411" i="1"/>
  <c r="N410" i="1"/>
  <c r="O410" i="1" s="1"/>
  <c r="M410" i="1"/>
  <c r="M409" i="1"/>
  <c r="N409" i="1" s="1"/>
  <c r="O409" i="1" s="1"/>
  <c r="N408" i="1"/>
  <c r="O408" i="1" s="1"/>
  <c r="M408" i="1"/>
  <c r="O407" i="1"/>
  <c r="N407" i="1"/>
  <c r="M407" i="1"/>
  <c r="M406" i="1"/>
  <c r="N406" i="1" s="1"/>
  <c r="O406" i="1" s="1"/>
  <c r="M403" i="1"/>
  <c r="N403" i="1" s="1"/>
  <c r="O403" i="1" s="1"/>
  <c r="B400" i="1" a="1"/>
  <c r="M404" i="1" s="1"/>
  <c r="A400" i="1"/>
  <c r="H398" i="1"/>
  <c r="F398" i="1"/>
  <c r="G398" i="1" s="1"/>
  <c r="J398" i="1" s="1" a="1"/>
  <c r="J398" i="1" s="1"/>
  <c r="E398" i="1"/>
  <c r="D398" i="1"/>
  <c r="B398" i="1"/>
  <c r="A398" i="1"/>
  <c r="N392" i="1"/>
  <c r="O392" i="1" s="1"/>
  <c r="M392" i="1"/>
  <c r="M391" i="1"/>
  <c r="N391" i="1" s="1"/>
  <c r="O391" i="1" s="1"/>
  <c r="O390" i="1"/>
  <c r="M390" i="1"/>
  <c r="N390" i="1" s="1"/>
  <c r="M389" i="1"/>
  <c r="N389" i="1" s="1"/>
  <c r="O389" i="1" s="1"/>
  <c r="M388" i="1"/>
  <c r="N388" i="1" s="1"/>
  <c r="O388" i="1" s="1"/>
  <c r="M387" i="1"/>
  <c r="N387" i="1" s="1"/>
  <c r="O387" i="1" s="1"/>
  <c r="M386" i="1"/>
  <c r="N386" i="1" s="1"/>
  <c r="O386" i="1" s="1"/>
  <c r="O385" i="1"/>
  <c r="N385" i="1"/>
  <c r="M385" i="1"/>
  <c r="N384" i="1"/>
  <c r="O384" i="1" s="1"/>
  <c r="M384" i="1"/>
  <c r="M383" i="1"/>
  <c r="N383" i="1" s="1"/>
  <c r="O383" i="1" s="1"/>
  <c r="O382" i="1"/>
  <c r="M382" i="1"/>
  <c r="N382" i="1" s="1"/>
  <c r="O381" i="1"/>
  <c r="M381" i="1"/>
  <c r="N381" i="1" s="1"/>
  <c r="M380" i="1"/>
  <c r="N380" i="1" s="1"/>
  <c r="O380" i="1" s="1"/>
  <c r="M379" i="1"/>
  <c r="N379" i="1" s="1"/>
  <c r="O379" i="1" s="1"/>
  <c r="M375" i="1"/>
  <c r="M374" i="1"/>
  <c r="B374" i="1"/>
  <c r="B374" i="1" a="1"/>
  <c r="A374" i="1"/>
  <c r="H372" i="1"/>
  <c r="F372" i="1"/>
  <c r="E372" i="1"/>
  <c r="D372" i="1"/>
  <c r="B372" i="1"/>
  <c r="A372" i="1"/>
  <c r="O366" i="1"/>
  <c r="N366" i="1"/>
  <c r="M366" i="1"/>
  <c r="M365" i="1"/>
  <c r="N365" i="1" s="1"/>
  <c r="O365" i="1" s="1"/>
  <c r="M364" i="1"/>
  <c r="N364" i="1" s="1"/>
  <c r="O364" i="1" s="1"/>
  <c r="M363" i="1"/>
  <c r="N363" i="1" s="1"/>
  <c r="O363" i="1" s="1"/>
  <c r="O362" i="1"/>
  <c r="N362" i="1"/>
  <c r="M362" i="1"/>
  <c r="N361" i="1"/>
  <c r="O361" i="1" s="1"/>
  <c r="M361" i="1"/>
  <c r="M360" i="1"/>
  <c r="N360" i="1" s="1"/>
  <c r="O360" i="1" s="1"/>
  <c r="M359" i="1"/>
  <c r="N359" i="1" s="1"/>
  <c r="O359" i="1" s="1"/>
  <c r="O358" i="1"/>
  <c r="N358" i="1"/>
  <c r="M358" i="1"/>
  <c r="M357" i="1"/>
  <c r="N357" i="1" s="1"/>
  <c r="O357" i="1" s="1"/>
  <c r="M356" i="1"/>
  <c r="N356" i="1" s="1"/>
  <c r="O356" i="1" s="1"/>
  <c r="M355" i="1"/>
  <c r="N355" i="1" s="1"/>
  <c r="O355" i="1" s="1"/>
  <c r="O354" i="1"/>
  <c r="N354" i="1"/>
  <c r="M354" i="1"/>
  <c r="N353" i="1"/>
  <c r="O353" i="1" s="1"/>
  <c r="M353" i="1"/>
  <c r="M352" i="1"/>
  <c r="N352" i="1" s="1"/>
  <c r="O352" i="1" s="1"/>
  <c r="M351" i="1"/>
  <c r="N351" i="1" s="1"/>
  <c r="O351" i="1" s="1"/>
  <c r="O350" i="1"/>
  <c r="N350" i="1"/>
  <c r="M350" i="1"/>
  <c r="N349" i="1"/>
  <c r="O349" i="1" s="1"/>
  <c r="M349" i="1"/>
  <c r="M348" i="1"/>
  <c r="N348" i="1" s="1"/>
  <c r="B348" i="1" a="1"/>
  <c r="B348" i="1" s="1"/>
  <c r="A348" i="1"/>
  <c r="H346" i="1"/>
  <c r="F346" i="1"/>
  <c r="G346" i="1" s="1"/>
  <c r="J346" i="1" s="1" a="1"/>
  <c r="J346" i="1" s="1"/>
  <c r="E346" i="1"/>
  <c r="D346" i="1"/>
  <c r="B346" i="1"/>
  <c r="A346" i="1"/>
  <c r="N339" i="1"/>
  <c r="O339" i="1" s="1"/>
  <c r="M339" i="1"/>
  <c r="O338" i="1"/>
  <c r="N338" i="1"/>
  <c r="M338" i="1"/>
  <c r="N337" i="1"/>
  <c r="O337" i="1" s="1"/>
  <c r="M337" i="1"/>
  <c r="M336" i="1"/>
  <c r="N336" i="1" s="1"/>
  <c r="O336" i="1" s="1"/>
  <c r="O335" i="1"/>
  <c r="M335" i="1"/>
  <c r="N335" i="1" s="1"/>
  <c r="O334" i="1"/>
  <c r="M334" i="1"/>
  <c r="N334" i="1" s="1"/>
  <c r="M333" i="1"/>
  <c r="N333" i="1" s="1"/>
  <c r="O333" i="1" s="1"/>
  <c r="M332" i="1"/>
  <c r="N332" i="1" s="1"/>
  <c r="O332" i="1" s="1"/>
  <c r="N331" i="1"/>
  <c r="O331" i="1" s="1"/>
  <c r="M331" i="1"/>
  <c r="N330" i="1"/>
  <c r="O330" i="1" s="1"/>
  <c r="M330" i="1"/>
  <c r="N329" i="1"/>
  <c r="O329" i="1" s="1"/>
  <c r="M329" i="1"/>
  <c r="M328" i="1"/>
  <c r="N328" i="1" s="1"/>
  <c r="O328" i="1" s="1"/>
  <c r="O327" i="1"/>
  <c r="M327" i="1"/>
  <c r="N327" i="1" s="1"/>
  <c r="M326" i="1"/>
  <c r="N326" i="1" s="1"/>
  <c r="O326" i="1" s="1"/>
  <c r="N325" i="1"/>
  <c r="O325" i="1" s="1"/>
  <c r="M325" i="1"/>
  <c r="M324" i="1"/>
  <c r="N324" i="1" s="1"/>
  <c r="O324" i="1" s="1"/>
  <c r="N323" i="1"/>
  <c r="O323" i="1" s="1"/>
  <c r="M323" i="1"/>
  <c r="O322" i="1"/>
  <c r="N322" i="1"/>
  <c r="M322" i="1"/>
  <c r="B321" i="1" a="1"/>
  <c r="B321" i="1" s="1"/>
  <c r="A321" i="1"/>
  <c r="H319" i="1"/>
  <c r="F319" i="1"/>
  <c r="G319" i="1" s="1"/>
  <c r="J319" i="1" s="1" a="1"/>
  <c r="J319" i="1" s="1"/>
  <c r="E319" i="1"/>
  <c r="D319" i="1"/>
  <c r="B319" i="1"/>
  <c r="A319" i="1"/>
  <c r="M313" i="1"/>
  <c r="N313" i="1" s="1"/>
  <c r="O313" i="1" s="1"/>
  <c r="O312" i="1"/>
  <c r="M312" i="1"/>
  <c r="N312" i="1" s="1"/>
  <c r="O311" i="1"/>
  <c r="M311" i="1"/>
  <c r="N311" i="1" s="1"/>
  <c r="M310" i="1"/>
  <c r="N310" i="1" s="1"/>
  <c r="O310" i="1" s="1"/>
  <c r="M309" i="1"/>
  <c r="N309" i="1" s="1"/>
  <c r="O309" i="1" s="1"/>
  <c r="M308" i="1"/>
  <c r="N308" i="1" s="1"/>
  <c r="O308" i="1" s="1"/>
  <c r="O307" i="1"/>
  <c r="N307" i="1"/>
  <c r="M307" i="1"/>
  <c r="N306" i="1"/>
  <c r="O306" i="1" s="1"/>
  <c r="M306" i="1"/>
  <c r="M305" i="1"/>
  <c r="N305" i="1" s="1"/>
  <c r="O305" i="1" s="1"/>
  <c r="M304" i="1"/>
  <c r="N304" i="1" s="1"/>
  <c r="O304" i="1" s="1"/>
  <c r="M303" i="1"/>
  <c r="N303" i="1" s="1"/>
  <c r="O303" i="1" s="1"/>
  <c r="N302" i="1"/>
  <c r="O302" i="1" s="1"/>
  <c r="M302" i="1"/>
  <c r="M301" i="1"/>
  <c r="N301" i="1" s="1"/>
  <c r="O301" i="1" s="1"/>
  <c r="M300" i="1"/>
  <c r="N300" i="1" s="1"/>
  <c r="O300" i="1" s="1"/>
  <c r="N299" i="1"/>
  <c r="O299" i="1" s="1"/>
  <c r="M299" i="1"/>
  <c r="N298" i="1"/>
  <c r="O298" i="1" s="1"/>
  <c r="M298" i="1"/>
  <c r="M297" i="1"/>
  <c r="N297" i="1" s="1"/>
  <c r="O297" i="1" s="1"/>
  <c r="M296" i="1"/>
  <c r="N296" i="1" s="1"/>
  <c r="O296" i="1" s="1"/>
  <c r="B295" i="1" a="1"/>
  <c r="A295" i="1"/>
  <c r="H293" i="1"/>
  <c r="G293" i="1"/>
  <c r="J293" i="1" s="1" a="1"/>
  <c r="J293" i="1" s="1"/>
  <c r="F293" i="1"/>
  <c r="E293" i="1"/>
  <c r="D293" i="1"/>
  <c r="B293" i="1"/>
  <c r="A293" i="1"/>
  <c r="M287" i="1"/>
  <c r="N287" i="1" s="1"/>
  <c r="O287" i="1" s="1"/>
  <c r="M286" i="1"/>
  <c r="N286" i="1" s="1"/>
  <c r="O286" i="1" s="1"/>
  <c r="M285" i="1"/>
  <c r="N285" i="1" s="1"/>
  <c r="O285" i="1" s="1"/>
  <c r="N284" i="1"/>
  <c r="O284" i="1" s="1"/>
  <c r="M284" i="1"/>
  <c r="N283" i="1"/>
  <c r="O283" i="1" s="1"/>
  <c r="M283" i="1"/>
  <c r="M282" i="1"/>
  <c r="N282" i="1" s="1"/>
  <c r="O282" i="1" s="1"/>
  <c r="O281" i="1"/>
  <c r="M281" i="1"/>
  <c r="N281" i="1" s="1"/>
  <c r="M280" i="1"/>
  <c r="N280" i="1" s="1"/>
  <c r="O280" i="1" s="1"/>
  <c r="N279" i="1"/>
  <c r="O279" i="1" s="1"/>
  <c r="M279" i="1"/>
  <c r="M278" i="1"/>
  <c r="N278" i="1" s="1"/>
  <c r="O278" i="1" s="1"/>
  <c r="M277" i="1"/>
  <c r="N277" i="1" s="1"/>
  <c r="O277" i="1" s="1"/>
  <c r="O276" i="1"/>
  <c r="N276" i="1"/>
  <c r="M276" i="1"/>
  <c r="N275" i="1"/>
  <c r="O275" i="1" s="1"/>
  <c r="M275" i="1"/>
  <c r="M274" i="1"/>
  <c r="N274" i="1" s="1"/>
  <c r="O274" i="1" s="1"/>
  <c r="M273" i="1"/>
  <c r="N273" i="1" s="1"/>
  <c r="O273" i="1" s="1"/>
  <c r="B269" i="1" a="1"/>
  <c r="A269" i="1"/>
  <c r="F267" i="1"/>
  <c r="E267" i="1"/>
  <c r="D267" i="1"/>
  <c r="B267" i="1"/>
  <c r="A267" i="1"/>
  <c r="O261" i="1"/>
  <c r="N261" i="1"/>
  <c r="M261" i="1"/>
  <c r="N260" i="1"/>
  <c r="O260" i="1" s="1"/>
  <c r="M260" i="1"/>
  <c r="M259" i="1"/>
  <c r="N259" i="1" s="1"/>
  <c r="O259" i="1" s="1"/>
  <c r="O258" i="1"/>
  <c r="M258" i="1"/>
  <c r="N258" i="1" s="1"/>
  <c r="O257" i="1"/>
  <c r="M257" i="1"/>
  <c r="N257" i="1" s="1"/>
  <c r="M256" i="1"/>
  <c r="N256" i="1" s="1"/>
  <c r="O256" i="1" s="1"/>
  <c r="M255" i="1"/>
  <c r="N255" i="1" s="1"/>
  <c r="O255" i="1" s="1"/>
  <c r="M254" i="1"/>
  <c r="N254" i="1" s="1"/>
  <c r="O254" i="1" s="1"/>
  <c r="O253" i="1"/>
  <c r="N253" i="1"/>
  <c r="M253" i="1"/>
  <c r="N252" i="1"/>
  <c r="O252" i="1" s="1"/>
  <c r="M252" i="1"/>
  <c r="M251" i="1"/>
  <c r="N251" i="1" s="1"/>
  <c r="O251" i="1" s="1"/>
  <c r="M250" i="1"/>
  <c r="N250" i="1" s="1"/>
  <c r="O250" i="1" s="1"/>
  <c r="O249" i="1"/>
  <c r="M249" i="1"/>
  <c r="N249" i="1" s="1"/>
  <c r="N248" i="1"/>
  <c r="O248" i="1" s="1"/>
  <c r="M248" i="1"/>
  <c r="M247" i="1"/>
  <c r="N247" i="1" s="1"/>
  <c r="O247" i="1" s="1"/>
  <c r="M246" i="1"/>
  <c r="N246" i="1" s="1"/>
  <c r="O246" i="1" s="1"/>
  <c r="M243" i="1"/>
  <c r="B243" i="1"/>
  <c r="B243" i="1" a="1"/>
  <c r="N243" i="1" s="1"/>
  <c r="O243" i="1" s="1"/>
  <c r="A243" i="1"/>
  <c r="J241" i="1" a="1"/>
  <c r="J241" i="1" s="1"/>
  <c r="H241" i="1"/>
  <c r="F241" i="1"/>
  <c r="G241" i="1" s="1"/>
  <c r="E241" i="1"/>
  <c r="D241" i="1"/>
  <c r="B241" i="1"/>
  <c r="A241" i="1"/>
  <c r="N235" i="1"/>
  <c r="O235" i="1" s="1"/>
  <c r="M235" i="1"/>
  <c r="M234" i="1"/>
  <c r="N234" i="1" s="1"/>
  <c r="O234" i="1" s="1"/>
  <c r="N233" i="1"/>
  <c r="O233" i="1" s="1"/>
  <c r="M233" i="1"/>
  <c r="M232" i="1"/>
  <c r="N232" i="1" s="1"/>
  <c r="O232" i="1" s="1"/>
  <c r="M231" i="1"/>
  <c r="N231" i="1" s="1"/>
  <c r="O231" i="1" s="1"/>
  <c r="O230" i="1"/>
  <c r="M230" i="1"/>
  <c r="N230" i="1" s="1"/>
  <c r="N229" i="1"/>
  <c r="O229" i="1" s="1"/>
  <c r="M229" i="1"/>
  <c r="M228" i="1"/>
  <c r="N228" i="1" s="1"/>
  <c r="O228" i="1" s="1"/>
  <c r="N227" i="1"/>
  <c r="O227" i="1" s="1"/>
  <c r="M227" i="1"/>
  <c r="M226" i="1"/>
  <c r="N226" i="1" s="1"/>
  <c r="O226" i="1" s="1"/>
  <c r="N225" i="1"/>
  <c r="O225" i="1" s="1"/>
  <c r="M225" i="1"/>
  <c r="M224" i="1"/>
  <c r="N224" i="1" s="1"/>
  <c r="O224" i="1" s="1"/>
  <c r="M223" i="1"/>
  <c r="N223" i="1" s="1"/>
  <c r="O223" i="1" s="1"/>
  <c r="M222" i="1"/>
  <c r="N222" i="1" s="1"/>
  <c r="O222" i="1" s="1"/>
  <c r="N221" i="1"/>
  <c r="O221" i="1" s="1"/>
  <c r="M221" i="1"/>
  <c r="M220" i="1"/>
  <c r="N220" i="1" s="1"/>
  <c r="O220" i="1" s="1"/>
  <c r="M217" i="1"/>
  <c r="N217" i="1" s="1"/>
  <c r="O217" i="1" s="1"/>
  <c r="B217" i="1"/>
  <c r="B217" i="1" a="1"/>
  <c r="M218" i="1" s="1"/>
  <c r="A217" i="1"/>
  <c r="H215" i="1"/>
  <c r="G215" i="1"/>
  <c r="J215" i="1" s="1" a="1"/>
  <c r="J215" i="1" s="1"/>
  <c r="F215" i="1"/>
  <c r="E215" i="1"/>
  <c r="D215" i="1"/>
  <c r="B215" i="1"/>
  <c r="A215" i="1"/>
  <c r="O207" i="1"/>
  <c r="M207" i="1"/>
  <c r="N207" i="1" s="1"/>
  <c r="M206" i="1"/>
  <c r="N206" i="1" s="1"/>
  <c r="O206" i="1" s="1"/>
  <c r="M205" i="1"/>
  <c r="N205" i="1" s="1"/>
  <c r="O205" i="1" s="1"/>
  <c r="N204" i="1"/>
  <c r="O204" i="1" s="1"/>
  <c r="M204" i="1"/>
  <c r="M203" i="1"/>
  <c r="N203" i="1" s="1"/>
  <c r="O203" i="1" s="1"/>
  <c r="M202" i="1"/>
  <c r="N202" i="1" s="1"/>
  <c r="O202" i="1" s="1"/>
  <c r="M201" i="1"/>
  <c r="N201" i="1" s="1"/>
  <c r="O201" i="1" s="1"/>
  <c r="N200" i="1"/>
  <c r="O200" i="1" s="1"/>
  <c r="M200" i="1"/>
  <c r="O199" i="1"/>
  <c r="N199" i="1"/>
  <c r="M199" i="1"/>
  <c r="M198" i="1"/>
  <c r="N198" i="1" s="1"/>
  <c r="O198" i="1" s="1"/>
  <c r="N197" i="1"/>
  <c r="O197" i="1" s="1"/>
  <c r="M197" i="1"/>
  <c r="N196" i="1"/>
  <c r="O196" i="1" s="1"/>
  <c r="M196" i="1"/>
  <c r="M195" i="1"/>
  <c r="N195" i="1" s="1"/>
  <c r="O195" i="1" s="1"/>
  <c r="M194" i="1"/>
  <c r="N194" i="1" s="1"/>
  <c r="O194" i="1" s="1"/>
  <c r="O193" i="1"/>
  <c r="M193" i="1"/>
  <c r="N193" i="1" s="1"/>
  <c r="N192" i="1"/>
  <c r="O192" i="1" s="1"/>
  <c r="M192" i="1"/>
  <c r="M191" i="1"/>
  <c r="N191" i="1" s="1"/>
  <c r="O191" i="1" s="1"/>
  <c r="M190" i="1"/>
  <c r="N190" i="1" s="1"/>
  <c r="O190" i="1" s="1"/>
  <c r="M189" i="1"/>
  <c r="N189" i="1" s="1"/>
  <c r="I187" i="1" s="1"/>
  <c r="K187" i="1" s="1"/>
  <c r="L187" i="1" s="1"/>
  <c r="M187" i="1" s="1"/>
  <c r="B189" i="1" a="1"/>
  <c r="B189" i="1" s="1"/>
  <c r="A189" i="1"/>
  <c r="J187" i="1"/>
  <c r="J187" i="1" a="1"/>
  <c r="H187" i="1"/>
  <c r="F187" i="1"/>
  <c r="G187" i="1" s="1"/>
  <c r="E187" i="1"/>
  <c r="D187" i="1"/>
  <c r="B187" i="1"/>
  <c r="A187" i="1"/>
  <c r="O181" i="1"/>
  <c r="N181" i="1"/>
  <c r="M181" i="1"/>
  <c r="M180" i="1"/>
  <c r="N180" i="1" s="1"/>
  <c r="O180" i="1" s="1"/>
  <c r="M179" i="1"/>
  <c r="N179" i="1" s="1"/>
  <c r="O179" i="1" s="1"/>
  <c r="M178" i="1"/>
  <c r="N178" i="1" s="1"/>
  <c r="O178" i="1" s="1"/>
  <c r="M177" i="1"/>
  <c r="N177" i="1" s="1"/>
  <c r="O177" i="1" s="1"/>
  <c r="N176" i="1"/>
  <c r="O176" i="1" s="1"/>
  <c r="M176" i="1"/>
  <c r="M175" i="1"/>
  <c r="N175" i="1" s="1"/>
  <c r="O175" i="1" s="1"/>
  <c r="O174" i="1"/>
  <c r="N174" i="1"/>
  <c r="M174" i="1"/>
  <c r="O173" i="1"/>
  <c r="N173" i="1"/>
  <c r="M173" i="1"/>
  <c r="M172" i="1"/>
  <c r="N172" i="1" s="1"/>
  <c r="O172" i="1" s="1"/>
  <c r="M171" i="1"/>
  <c r="N171" i="1" s="1"/>
  <c r="O171" i="1" s="1"/>
  <c r="M170" i="1"/>
  <c r="N170" i="1" s="1"/>
  <c r="O170" i="1" s="1"/>
  <c r="M169" i="1"/>
  <c r="N169" i="1" s="1"/>
  <c r="O169" i="1" s="1"/>
  <c r="M168" i="1"/>
  <c r="N168" i="1" s="1"/>
  <c r="O168" i="1" s="1"/>
  <c r="M167" i="1"/>
  <c r="N167" i="1" s="1"/>
  <c r="O167" i="1" s="1"/>
  <c r="N166" i="1"/>
  <c r="O166" i="1" s="1"/>
  <c r="M166" i="1"/>
  <c r="O165" i="1"/>
  <c r="N165" i="1"/>
  <c r="M165" i="1"/>
  <c r="M164" i="1"/>
  <c r="N164" i="1" s="1"/>
  <c r="O164" i="1" s="1"/>
  <c r="O163" i="1"/>
  <c r="M163" i="1"/>
  <c r="N163" i="1" s="1"/>
  <c r="B163" i="1"/>
  <c r="B163" i="1" a="1"/>
  <c r="A163" i="1"/>
  <c r="H161" i="1"/>
  <c r="F161" i="1"/>
  <c r="G161" i="1" s="1"/>
  <c r="J161" i="1" s="1" a="1"/>
  <c r="J161" i="1" s="1"/>
  <c r="E161" i="1"/>
  <c r="D161" i="1"/>
  <c r="B161" i="1"/>
  <c r="A161" i="1"/>
  <c r="N153" i="1"/>
  <c r="O153" i="1" s="1"/>
  <c r="M153" i="1"/>
  <c r="N152" i="1"/>
  <c r="O152" i="1" s="1"/>
  <c r="M152" i="1"/>
  <c r="N151" i="1"/>
  <c r="O151" i="1" s="1"/>
  <c r="M151" i="1"/>
  <c r="M150" i="1"/>
  <c r="N150" i="1" s="1"/>
  <c r="O150" i="1" s="1"/>
  <c r="N149" i="1"/>
  <c r="O149" i="1" s="1"/>
  <c r="M149" i="1"/>
  <c r="M148" i="1"/>
  <c r="N148" i="1" s="1"/>
  <c r="O148" i="1" s="1"/>
  <c r="M147" i="1"/>
  <c r="N147" i="1" s="1"/>
  <c r="O147" i="1" s="1"/>
  <c r="N146" i="1"/>
  <c r="O146" i="1" s="1"/>
  <c r="M146" i="1"/>
  <c r="N145" i="1"/>
  <c r="O145" i="1" s="1"/>
  <c r="M145" i="1"/>
  <c r="N144" i="1"/>
  <c r="O144" i="1" s="1"/>
  <c r="M144" i="1"/>
  <c r="M143" i="1"/>
  <c r="N143" i="1" s="1"/>
  <c r="O143" i="1" s="1"/>
  <c r="M142" i="1"/>
  <c r="N142" i="1" s="1"/>
  <c r="O142" i="1" s="1"/>
  <c r="N141" i="1"/>
  <c r="O141" i="1" s="1"/>
  <c r="M141" i="1"/>
  <c r="M140" i="1"/>
  <c r="N140" i="1" s="1"/>
  <c r="O140" i="1" s="1"/>
  <c r="M139" i="1"/>
  <c r="N139" i="1" s="1"/>
  <c r="O139" i="1" s="1"/>
  <c r="N138" i="1"/>
  <c r="O138" i="1" s="1"/>
  <c r="M138" i="1"/>
  <c r="O137" i="1"/>
  <c r="N137" i="1"/>
  <c r="M137" i="1"/>
  <c r="O136" i="1"/>
  <c r="N136" i="1"/>
  <c r="M136" i="1"/>
  <c r="O135" i="1"/>
  <c r="M135" i="1"/>
  <c r="N135" i="1" s="1"/>
  <c r="B135" i="1"/>
  <c r="B135" i="1" a="1"/>
  <c r="A135" i="1"/>
  <c r="H133" i="1"/>
  <c r="G133" i="1"/>
  <c r="J133" i="1" s="1" a="1"/>
  <c r="J133" i="1" s="1"/>
  <c r="F133" i="1"/>
  <c r="E133" i="1"/>
  <c r="D133" i="1"/>
  <c r="B133" i="1"/>
  <c r="A133" i="1"/>
  <c r="M126" i="1"/>
  <c r="N126" i="1" s="1"/>
  <c r="O126" i="1" s="1"/>
  <c r="M125" i="1"/>
  <c r="N125" i="1" s="1"/>
  <c r="O125" i="1" s="1"/>
  <c r="N124" i="1"/>
  <c r="O124" i="1" s="1"/>
  <c r="M124" i="1"/>
  <c r="N123" i="1"/>
  <c r="O123" i="1" s="1"/>
  <c r="M123" i="1"/>
  <c r="N122" i="1"/>
  <c r="O122" i="1" s="1"/>
  <c r="M122" i="1"/>
  <c r="M121" i="1"/>
  <c r="N121" i="1" s="1"/>
  <c r="O121" i="1" s="1"/>
  <c r="O120" i="1"/>
  <c r="N120" i="1"/>
  <c r="M120" i="1"/>
  <c r="O119" i="1"/>
  <c r="M119" i="1"/>
  <c r="N119" i="1" s="1"/>
  <c r="M118" i="1"/>
  <c r="N118" i="1" s="1"/>
  <c r="O118" i="1" s="1"/>
  <c r="M117" i="1"/>
  <c r="N117" i="1" s="1"/>
  <c r="O117" i="1" s="1"/>
  <c r="N116" i="1"/>
  <c r="O116" i="1" s="1"/>
  <c r="M116" i="1"/>
  <c r="M115" i="1"/>
  <c r="N115" i="1" s="1"/>
  <c r="O115" i="1" s="1"/>
  <c r="N114" i="1"/>
  <c r="O114" i="1" s="1"/>
  <c r="M114" i="1"/>
  <c r="M113" i="1"/>
  <c r="N113" i="1" s="1"/>
  <c r="O113" i="1" s="1"/>
  <c r="N112" i="1"/>
  <c r="O112" i="1" s="1"/>
  <c r="M112" i="1"/>
  <c r="M111" i="1"/>
  <c r="N111" i="1" s="1"/>
  <c r="O111" i="1" s="1"/>
  <c r="M110" i="1"/>
  <c r="N110" i="1" s="1"/>
  <c r="O110" i="1" s="1"/>
  <c r="O109" i="1"/>
  <c r="M109" i="1"/>
  <c r="N109" i="1" s="1"/>
  <c r="B108" i="1" a="1"/>
  <c r="A108" i="1"/>
  <c r="F106" i="1"/>
  <c r="E106" i="1"/>
  <c r="G106" i="1" s="1"/>
  <c r="J106" i="1" s="1" a="1"/>
  <c r="J106" i="1" s="1"/>
  <c r="D106" i="1"/>
  <c r="B106" i="1"/>
  <c r="A106" i="1"/>
  <c r="N100" i="1"/>
  <c r="O100" i="1" s="1"/>
  <c r="M100" i="1"/>
  <c r="N99" i="1"/>
  <c r="O99" i="1" s="1"/>
  <c r="M99" i="1"/>
  <c r="M98" i="1"/>
  <c r="N98" i="1" s="1"/>
  <c r="O98" i="1" s="1"/>
  <c r="N97" i="1"/>
  <c r="O97" i="1" s="1"/>
  <c r="M97" i="1"/>
  <c r="O96" i="1"/>
  <c r="M96" i="1"/>
  <c r="N96" i="1" s="1"/>
  <c r="M95" i="1"/>
  <c r="N95" i="1" s="1"/>
  <c r="O95" i="1" s="1"/>
  <c r="M94" i="1"/>
  <c r="N94" i="1" s="1"/>
  <c r="O94" i="1" s="1"/>
  <c r="N93" i="1"/>
  <c r="O93" i="1" s="1"/>
  <c r="M93" i="1"/>
  <c r="N92" i="1"/>
  <c r="O92" i="1" s="1"/>
  <c r="M92" i="1"/>
  <c r="N91" i="1"/>
  <c r="O91" i="1" s="1"/>
  <c r="M91" i="1"/>
  <c r="M90" i="1"/>
  <c r="N90" i="1" s="1"/>
  <c r="O90" i="1" s="1"/>
  <c r="O89" i="1"/>
  <c r="N89" i="1"/>
  <c r="M89" i="1"/>
  <c r="O88" i="1"/>
  <c r="M88" i="1"/>
  <c r="N88" i="1" s="1"/>
  <c r="M87" i="1"/>
  <c r="N87" i="1" s="1"/>
  <c r="O87" i="1" s="1"/>
  <c r="B82" i="1" a="1"/>
  <c r="M86" i="1" s="1"/>
  <c r="A82" i="1"/>
  <c r="F80" i="1"/>
  <c r="G80" i="1" s="1"/>
  <c r="J80" i="1" s="1" a="1"/>
  <c r="J80" i="1" s="1"/>
  <c r="E80" i="1"/>
  <c r="D80" i="1"/>
  <c r="B80" i="1"/>
  <c r="A80" i="1"/>
  <c r="M72" i="1"/>
  <c r="M71" i="1"/>
  <c r="N69" i="1"/>
  <c r="M69" i="1"/>
  <c r="M64" i="1"/>
  <c r="M63" i="1"/>
  <c r="M61" i="1"/>
  <c r="N61" i="1" s="1"/>
  <c r="M56" i="1"/>
  <c r="B56" i="1"/>
  <c r="B56" i="1" a="1"/>
  <c r="M74" i="1" s="1"/>
  <c r="N74" i="1" s="1"/>
  <c r="A56" i="1"/>
  <c r="H54" i="1"/>
  <c r="G54" i="1"/>
  <c r="J54" i="1" s="1" a="1"/>
  <c r="J54" i="1" s="1"/>
  <c r="F54" i="1"/>
  <c r="E54" i="1"/>
  <c r="D54" i="1"/>
  <c r="B54" i="1"/>
  <c r="A54" i="1"/>
  <c r="M49" i="1"/>
  <c r="N49" i="1" s="1"/>
  <c r="O49" i="1" s="1"/>
  <c r="N48" i="1"/>
  <c r="O48" i="1" s="1"/>
  <c r="M48" i="1"/>
  <c r="M47" i="1"/>
  <c r="N47" i="1" s="1"/>
  <c r="O47" i="1" s="1"/>
  <c r="N46" i="1"/>
  <c r="O46" i="1" s="1"/>
  <c r="M46" i="1"/>
  <c r="M45" i="1"/>
  <c r="N45" i="1" s="1"/>
  <c r="O45" i="1" s="1"/>
  <c r="N44" i="1"/>
  <c r="O44" i="1" s="1"/>
  <c r="M44" i="1"/>
  <c r="O43" i="1"/>
  <c r="M43" i="1"/>
  <c r="N43" i="1" s="1"/>
  <c r="B39" i="1" a="1"/>
  <c r="H37" i="1" s="1"/>
  <c r="A39" i="1"/>
  <c r="J37" i="1" a="1"/>
  <c r="J37" i="1" s="1"/>
  <c r="F37" i="1"/>
  <c r="G37" i="1" s="1"/>
  <c r="E37" i="1"/>
  <c r="D37" i="1"/>
  <c r="B37" i="1"/>
  <c r="A37" i="1"/>
  <c r="N31" i="1"/>
  <c r="O31" i="1" s="1"/>
  <c r="M31" i="1"/>
  <c r="O30" i="1"/>
  <c r="O29" i="1"/>
  <c r="B21" i="1" a="1"/>
  <c r="A21" i="1"/>
  <c r="F19" i="1"/>
  <c r="E19" i="1"/>
  <c r="G19" i="1" s="1"/>
  <c r="J19" i="1" s="1" a="1"/>
  <c r="J19" i="1" s="1"/>
  <c r="D19" i="1"/>
  <c r="B19" i="1"/>
  <c r="A19" i="1"/>
  <c r="H14" i="1" a="1"/>
  <c r="H14" i="1" s="1"/>
  <c r="N9" i="1"/>
  <c r="O9" i="1" s="1"/>
  <c r="M9" i="1"/>
  <c r="M7" i="1"/>
  <c r="N7" i="1" s="1"/>
  <c r="O7" i="1" s="1"/>
  <c r="B6" i="1" a="1"/>
  <c r="M6" i="1" s="1"/>
  <c r="N6" i="1" s="1"/>
  <c r="A6" i="1"/>
  <c r="F4" i="1"/>
  <c r="G4" i="1" s="1"/>
  <c r="J4" i="1" s="1" a="1"/>
  <c r="J4" i="1" s="1"/>
  <c r="E4" i="1"/>
  <c r="D4" i="1"/>
  <c r="B4" i="1"/>
  <c r="A4" i="1"/>
  <c r="O6" i="1" l="1"/>
  <c r="O61" i="1"/>
  <c r="O74" i="1"/>
  <c r="N108" i="1"/>
  <c r="M108" i="1"/>
  <c r="B108" i="1"/>
  <c r="I161" i="1"/>
  <c r="K161" i="1" s="1"/>
  <c r="L161" i="1" s="1"/>
  <c r="M161" i="1" s="1"/>
  <c r="M27" i="1"/>
  <c r="M24" i="1"/>
  <c r="N24" i="1" s="1"/>
  <c r="O24" i="1" s="1"/>
  <c r="N26" i="1"/>
  <c r="O26" i="1" s="1"/>
  <c r="M21" i="1"/>
  <c r="N21" i="1" s="1"/>
  <c r="M26" i="1"/>
  <c r="B21" i="1"/>
  <c r="M41" i="1"/>
  <c r="B82" i="1"/>
  <c r="M22" i="1"/>
  <c r="N27" i="1"/>
  <c r="O27" i="1" s="1"/>
  <c r="N41" i="1"/>
  <c r="O41" i="1" s="1"/>
  <c r="N22" i="1"/>
  <c r="O22" i="1" s="1"/>
  <c r="M84" i="1"/>
  <c r="O189" i="1"/>
  <c r="H80" i="1"/>
  <c r="N84" i="1"/>
  <c r="O84" i="1" s="1"/>
  <c r="N40" i="1"/>
  <c r="O40" i="1" s="1"/>
  <c r="M40" i="1"/>
  <c r="B39" i="1"/>
  <c r="O69" i="1"/>
  <c r="M28" i="1"/>
  <c r="N28" i="1" s="1"/>
  <c r="O28" i="1" s="1"/>
  <c r="M42" i="1"/>
  <c r="N42" i="1" s="1"/>
  <c r="O42" i="1" s="1"/>
  <c r="H19" i="1"/>
  <c r="M23" i="1"/>
  <c r="N23" i="1" s="1"/>
  <c r="O23" i="1" s="1"/>
  <c r="M25" i="1"/>
  <c r="N25" i="1" s="1"/>
  <c r="O25" i="1" s="1"/>
  <c r="M39" i="1"/>
  <c r="N39" i="1" s="1"/>
  <c r="H106" i="1"/>
  <c r="O426" i="1"/>
  <c r="N86" i="1"/>
  <c r="O86" i="1" s="1"/>
  <c r="M83" i="1"/>
  <c r="N83" i="1" s="1"/>
  <c r="O83" i="1" s="1"/>
  <c r="N85" i="1"/>
  <c r="O85" i="1" s="1"/>
  <c r="M85" i="1"/>
  <c r="M82" i="1"/>
  <c r="N82" i="1" s="1"/>
  <c r="I133" i="1"/>
  <c r="K133" i="1" s="1"/>
  <c r="L133" i="1" s="1"/>
  <c r="M133" i="1" s="1"/>
  <c r="M272" i="1"/>
  <c r="N272" i="1" s="1"/>
  <c r="O272" i="1" s="1"/>
  <c r="M269" i="1"/>
  <c r="N269" i="1" s="1"/>
  <c r="N270" i="1"/>
  <c r="O270" i="1" s="1"/>
  <c r="M295" i="1"/>
  <c r="B295" i="1"/>
  <c r="N295" i="1"/>
  <c r="N56" i="1"/>
  <c r="M59" i="1"/>
  <c r="N64" i="1"/>
  <c r="O64" i="1" s="1"/>
  <c r="M67" i="1"/>
  <c r="N72" i="1"/>
  <c r="O72" i="1" s="1"/>
  <c r="M270" i="1"/>
  <c r="N378" i="1"/>
  <c r="O378" i="1" s="1"/>
  <c r="M8" i="1"/>
  <c r="N59" i="1"/>
  <c r="O59" i="1" s="1"/>
  <c r="M62" i="1"/>
  <c r="N62" i="1" s="1"/>
  <c r="O62" i="1" s="1"/>
  <c r="N67" i="1"/>
  <c r="O67" i="1" s="1"/>
  <c r="M70" i="1"/>
  <c r="G267" i="1"/>
  <c r="J267" i="1" s="1" a="1"/>
  <c r="J267" i="1" s="1"/>
  <c r="M271" i="1"/>
  <c r="H267" i="1"/>
  <c r="N271" i="1"/>
  <c r="O271" i="1" s="1"/>
  <c r="O348" i="1"/>
  <c r="I346" i="1"/>
  <c r="K346" i="1" s="1"/>
  <c r="L346" i="1" s="1"/>
  <c r="M346" i="1" s="1"/>
  <c r="G372" i="1"/>
  <c r="J372" i="1" s="1" a="1"/>
  <c r="J372" i="1" s="1"/>
  <c r="B269" i="1"/>
  <c r="H4" i="1"/>
  <c r="B6" i="1"/>
  <c r="N8" i="1"/>
  <c r="O8" i="1" s="1"/>
  <c r="M57" i="1"/>
  <c r="N57" i="1" s="1"/>
  <c r="O57" i="1" s="1"/>
  <c r="M65" i="1"/>
  <c r="N70" i="1"/>
  <c r="O70" i="1" s="1"/>
  <c r="M73" i="1"/>
  <c r="M60" i="1"/>
  <c r="N60" i="1" s="1"/>
  <c r="O60" i="1" s="1"/>
  <c r="N65" i="1"/>
  <c r="O65" i="1" s="1"/>
  <c r="M68" i="1"/>
  <c r="N68" i="1" s="1"/>
  <c r="O68" i="1" s="1"/>
  <c r="N73" i="1"/>
  <c r="O73" i="1" s="1"/>
  <c r="M58" i="1"/>
  <c r="N58" i="1" s="1"/>
  <c r="O58" i="1" s="1"/>
  <c r="N63" i="1"/>
  <c r="O63" i="1" s="1"/>
  <c r="M66" i="1"/>
  <c r="N66" i="1" s="1"/>
  <c r="O66" i="1" s="1"/>
  <c r="N71" i="1"/>
  <c r="O71" i="1" s="1"/>
  <c r="N218" i="1"/>
  <c r="O218" i="1" s="1"/>
  <c r="M244" i="1"/>
  <c r="N244" i="1" s="1"/>
  <c r="M321" i="1"/>
  <c r="N321" i="1" s="1"/>
  <c r="M376" i="1"/>
  <c r="N376" i="1" s="1"/>
  <c r="O376" i="1" s="1"/>
  <c r="N404" i="1"/>
  <c r="O404" i="1" s="1"/>
  <c r="N427" i="1"/>
  <c r="O427" i="1" s="1"/>
  <c r="M454" i="1"/>
  <c r="N508" i="1"/>
  <c r="M402" i="1"/>
  <c r="N402" i="1" s="1"/>
  <c r="O402" i="1" s="1"/>
  <c r="N454" i="1"/>
  <c r="O454" i="1" s="1"/>
  <c r="M457" i="1"/>
  <c r="M483" i="1"/>
  <c r="N483" i="1" s="1"/>
  <c r="O483" i="1" s="1"/>
  <c r="M219" i="1"/>
  <c r="N219" i="1" s="1"/>
  <c r="O219" i="1" s="1"/>
  <c r="B400" i="1"/>
  <c r="M405" i="1"/>
  <c r="M428" i="1"/>
  <c r="N428" i="1" s="1"/>
  <c r="N457" i="1"/>
  <c r="O457" i="1" s="1"/>
  <c r="M245" i="1"/>
  <c r="N245" i="1" s="1"/>
  <c r="O245" i="1" s="1"/>
  <c r="N374" i="1"/>
  <c r="M377" i="1"/>
  <c r="N377" i="1" s="1"/>
  <c r="O377" i="1" s="1"/>
  <c r="M400" i="1"/>
  <c r="N400" i="1" s="1"/>
  <c r="N405" i="1"/>
  <c r="O405" i="1" s="1"/>
  <c r="B426" i="1"/>
  <c r="M455" i="1"/>
  <c r="N455" i="1" s="1"/>
  <c r="O455" i="1" s="1"/>
  <c r="M484" i="1"/>
  <c r="N484" i="1" s="1"/>
  <c r="O484" i="1" s="1"/>
  <c r="N375" i="1"/>
  <c r="O375" i="1" s="1"/>
  <c r="M378" i="1"/>
  <c r="M401" i="1"/>
  <c r="N453" i="1"/>
  <c r="M456" i="1"/>
  <c r="N456" i="1" s="1"/>
  <c r="O456" i="1" s="1"/>
  <c r="M482" i="1"/>
  <c r="N482" i="1" s="1"/>
  <c r="B508" i="1"/>
  <c r="N401" i="1"/>
  <c r="O401" i="1" s="1"/>
  <c r="O82" i="1" l="1"/>
  <c r="I80" i="1"/>
  <c r="K80" i="1" s="1"/>
  <c r="L80" i="1" s="1"/>
  <c r="M80" i="1" s="1"/>
  <c r="O269" i="1"/>
  <c r="I267" i="1"/>
  <c r="K267" i="1" s="1"/>
  <c r="L267" i="1" s="1"/>
  <c r="M267" i="1" s="1"/>
  <c r="O21" i="1"/>
  <c r="I19" i="1"/>
  <c r="K19" i="1" s="1"/>
  <c r="L19" i="1" s="1"/>
  <c r="M19" i="1" s="1"/>
  <c r="O428" i="1"/>
  <c r="I424" i="1"/>
  <c r="K424" i="1" s="1"/>
  <c r="L424" i="1" s="1"/>
  <c r="M424" i="1" s="1"/>
  <c r="O482" i="1"/>
  <c r="I480" i="1"/>
  <c r="K480" i="1" s="1"/>
  <c r="L480" i="1" s="1"/>
  <c r="M480" i="1" s="1"/>
  <c r="O39" i="1"/>
  <c r="I37" i="1"/>
  <c r="K37" i="1" s="1"/>
  <c r="L37" i="1" s="1"/>
  <c r="M37" i="1" s="1"/>
  <c r="I319" i="1"/>
  <c r="K319" i="1" s="1"/>
  <c r="L319" i="1" s="1"/>
  <c r="M319" i="1" s="1"/>
  <c r="O321" i="1"/>
  <c r="O244" i="1"/>
  <c r="I241" i="1"/>
  <c r="K241" i="1" s="1"/>
  <c r="L241" i="1" s="1"/>
  <c r="M241" i="1" s="1"/>
  <c r="O56" i="1"/>
  <c r="I54" i="1"/>
  <c r="K54" i="1" s="1"/>
  <c r="L54" i="1" s="1"/>
  <c r="M54" i="1" s="1"/>
  <c r="I293" i="1"/>
  <c r="K293" i="1" s="1"/>
  <c r="L293" i="1" s="1"/>
  <c r="M293" i="1" s="1"/>
  <c r="O295" i="1"/>
  <c r="O108" i="1"/>
  <c r="I106" i="1"/>
  <c r="K106" i="1" s="1"/>
  <c r="L106" i="1" s="1"/>
  <c r="M106" i="1" s="1"/>
  <c r="O453" i="1"/>
  <c r="I451" i="1"/>
  <c r="K451" i="1" s="1"/>
  <c r="L451" i="1" s="1"/>
  <c r="M451" i="1" s="1"/>
  <c r="I506" i="1"/>
  <c r="K506" i="1" s="1"/>
  <c r="L506" i="1" s="1"/>
  <c r="M506" i="1" s="1"/>
  <c r="O508" i="1"/>
  <c r="I398" i="1"/>
  <c r="K398" i="1" s="1"/>
  <c r="L398" i="1" s="1"/>
  <c r="M398" i="1" s="1"/>
  <c r="O400" i="1"/>
  <c r="O374" i="1"/>
  <c r="I372" i="1"/>
  <c r="K372" i="1" s="1"/>
  <c r="L372" i="1" s="1"/>
  <c r="M372" i="1" s="1"/>
  <c r="I215" i="1"/>
  <c r="K215" i="1" s="1"/>
  <c r="L215" i="1" s="1"/>
  <c r="M215" i="1" s="1"/>
  <c r="I4" i="1"/>
  <c r="K4" i="1" s="1"/>
  <c r="L4" i="1" s="1"/>
  <c r="M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<sst xmlns="http://schemas.openxmlformats.org/spreadsheetml/2006/main" count="652" uniqueCount="50">
  <si>
    <t>L4 Level - Midlevel</t>
  </si>
  <si>
    <t>Team</t>
  </si>
  <si>
    <t>VB Code</t>
  </si>
  <si>
    <t>Recruiter Name</t>
  </si>
  <si>
    <t>Team Lead</t>
  </si>
  <si>
    <t>Yearly Placement Target</t>
  </si>
  <si>
    <t>Placement Done</t>
  </si>
  <si>
    <t>Target Achieved %</t>
  </si>
  <si>
    <t>Revenue Generated</t>
  </si>
  <si>
    <t>Revenue Billed</t>
  </si>
  <si>
    <t>Slab qualified</t>
  </si>
  <si>
    <t>Total Incentive in USD</t>
  </si>
  <si>
    <t>Total Incentive in INR</t>
  </si>
  <si>
    <t>Last Incentive Released (INR)</t>
  </si>
  <si>
    <t>Incentive to be released (INR)</t>
  </si>
  <si>
    <t>Aviral Shukla</t>
  </si>
  <si>
    <t>Candidate Name</t>
  </si>
  <si>
    <t>DOJ</t>
  </si>
  <si>
    <t>DOQ</t>
  </si>
  <si>
    <t>Client</t>
  </si>
  <si>
    <t>Client ID</t>
  </si>
  <si>
    <t>JPC ID</t>
  </si>
  <si>
    <t>Placement Type</t>
  </si>
  <si>
    <t>Margin</t>
  </si>
  <si>
    <t>Billed Hours</t>
  </si>
  <si>
    <t>Billing Status</t>
  </si>
  <si>
    <t>Days Completed</t>
  </si>
  <si>
    <t>qualifier</t>
  </si>
  <si>
    <t>Incentive amount (INR)</t>
  </si>
  <si>
    <t>Incentive Paid (INR)</t>
  </si>
  <si>
    <t>Samad Quraishi</t>
  </si>
  <si>
    <t>Ratnesh Kashyap</t>
  </si>
  <si>
    <t>Hamza</t>
  </si>
  <si>
    <t>Aman Bajpai</t>
  </si>
  <si>
    <t>Anshita Dwivedi</t>
  </si>
  <si>
    <t>Shruti Kumari</t>
  </si>
  <si>
    <t>Ambresh Tripathi</t>
  </si>
  <si>
    <t>Anurag Mishra</t>
  </si>
  <si>
    <t>Aditya Yadav</t>
  </si>
  <si>
    <t>Santosh Singh</t>
  </si>
  <si>
    <t>Aastha Tiwari</t>
  </si>
  <si>
    <t>Shubham Yadav</t>
  </si>
  <si>
    <t>Shagun Jaiswal</t>
  </si>
  <si>
    <t>Shagun Tewari</t>
  </si>
  <si>
    <t>Abhishek Yadav</t>
  </si>
  <si>
    <t>Manish Kumar Dhiman</t>
  </si>
  <si>
    <t>Heena Akshay Pandey</t>
  </si>
  <si>
    <t>Priya Yadav</t>
  </si>
  <si>
    <t>Shubham Tripathi</t>
  </si>
  <si>
    <t>Shubham Srivastava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</si>
</sst>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0" fontId="0" fillId="0" borderId="4" xfId="1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" fontId="0" fillId="0" borderId="4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25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41a8fbbf86cd6596/Desktop/Data%20Sheet%20Incentive%20Calculator%20(4).xlsx" TargetMode="External"/><Relationship Id="rId1" Type="http://schemas.openxmlformats.org/officeDocument/2006/relationships/externalLinkPath" Target="Data%20Sheet%20Incentive%20Calculator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tor - L4 Vantedge"/>
      <sheetName val="Calculator-L4 Midlevel (FTE+Con"/>
      <sheetName val="Calculator-L4 Midlevel"/>
      <sheetName val="Calculator-L4 Midlevel - Titans"/>
      <sheetName val="Calculator - L2 Midlevel"/>
      <sheetName val="Calculator - L2 Vantedge"/>
      <sheetName val="L4 dummy data"/>
      <sheetName val="Vantedge - dummy Placement data"/>
      <sheetName val="Vantedge - dummy Placement"/>
      <sheetName val="Vantedge - dummy Slabs "/>
      <sheetName val="Ach % - L4"/>
      <sheetName val="Ach % - L2"/>
      <sheetName val="Data Validation (2)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</row>
        <row r="2">
          <cell r="A2" t="str">
            <v>S.no</v>
          </cell>
          <cell r="B2" t="str">
            <v>Team</v>
          </cell>
          <cell r="C2" t="str">
            <v>Placement Name</v>
          </cell>
          <cell r="D2" t="str">
            <v>Recruiter Name</v>
          </cell>
          <cell r="E2" t="str">
            <v>VB Code</v>
          </cell>
          <cell r="F2" t="str">
            <v>VB Account Manager</v>
          </cell>
          <cell r="G2" t="str">
            <v>TL Name</v>
          </cell>
          <cell r="H2" t="str">
            <v>Sub TL (if any)</v>
          </cell>
          <cell r="I2" t="str">
            <v>Individual or Split</v>
          </cell>
          <cell r="J2" t="str">
            <v>Placement Band or ID</v>
          </cell>
          <cell r="K2" t="str">
            <v>Location of Workplace</v>
          </cell>
          <cell r="L2" t="str">
            <v>Job Title/Position</v>
          </cell>
          <cell r="M2" t="str">
            <v>Month</v>
          </cell>
          <cell r="N2" t="str">
            <v>DOJ (MM/DD/YYYY)</v>
          </cell>
          <cell r="O2" t="str">
            <v>DOQ</v>
          </cell>
          <cell r="P2" t="str">
            <v>Client Name</v>
          </cell>
          <cell r="Q2" t="str">
            <v>Client Resource Manager</v>
          </cell>
          <cell r="R2" t="str">
            <v>Placement Type</v>
          </cell>
          <cell r="S2" t="str">
            <v>Contract Type(W2/1099/C2C/Referral)</v>
          </cell>
          <cell r="T2" t="str">
            <v>Pay currency</v>
          </cell>
          <cell r="U2" t="str">
            <v>Rate - Hourly/Daily/Weekly</v>
          </cell>
          <cell r="V2" t="str">
            <v>Client Bill rate</v>
          </cell>
          <cell r="W2" t="str">
            <v>Billable currency</v>
          </cell>
          <cell r="X2" t="str">
            <v>One time overhead</v>
          </cell>
          <cell r="Y2" t="str">
            <v>Hourly overhead</v>
          </cell>
          <cell r="Z2" t="str">
            <v>Total cost</v>
          </cell>
          <cell r="AA2" t="str">
            <v>Net Margin</v>
          </cell>
          <cell r="AB2" t="str">
            <v>Jan</v>
          </cell>
          <cell r="AC2" t="str">
            <v>Feb</v>
          </cell>
          <cell r="AD2" t="str">
            <v>Mar</v>
          </cell>
          <cell r="AE2" t="str">
            <v>Apr</v>
          </cell>
          <cell r="AF2" t="str">
            <v>May</v>
          </cell>
          <cell r="AG2" t="str">
            <v>Jun</v>
          </cell>
          <cell r="AH2" t="str">
            <v>Jul</v>
          </cell>
          <cell r="AI2" t="str">
            <v>Aug</v>
          </cell>
          <cell r="AJ2" t="str">
            <v>Sep</v>
          </cell>
          <cell r="AK2" t="str">
            <v>Oct</v>
          </cell>
          <cell r="AL2" t="str">
            <v>Nov</v>
          </cell>
          <cell r="AM2" t="str">
            <v>Dec</v>
          </cell>
          <cell r="AN2" t="str">
            <v>Billed Hours</v>
          </cell>
          <cell r="AO2" t="str">
            <v>Revenue Generated</v>
          </cell>
          <cell r="AP2" t="str">
            <v>Billing Status</v>
          </cell>
          <cell r="AQ2" t="str">
            <v>Billing Status</v>
          </cell>
          <cell r="AR2" t="str">
            <v>Client ID</v>
          </cell>
          <cell r="AS2" t="str">
            <v>JPC Id</v>
          </cell>
        </row>
        <row r="3">
          <cell r="B3" t="str">
            <v>CSK</v>
          </cell>
          <cell r="C3" t="str">
            <v>Usha Keerthi Vaddem</v>
          </cell>
          <cell r="D3" t="str">
            <v>Dinesh Veluchamy</v>
          </cell>
          <cell r="E3" t="str">
            <v>VB1069</v>
          </cell>
          <cell r="F3" t="str">
            <v>Vinoth.L</v>
          </cell>
          <cell r="G3" t="str">
            <v>Vinoth.L</v>
          </cell>
          <cell r="H3" t="str">
            <v>-</v>
          </cell>
          <cell r="I3" t="str">
            <v>Individual</v>
          </cell>
          <cell r="J3" t="str">
            <v>-</v>
          </cell>
          <cell r="K3" t="str">
            <v>Remote</v>
          </cell>
          <cell r="L3" t="str">
            <v>ETL Tester</v>
          </cell>
          <cell r="M3" t="str">
            <v>Jan</v>
          </cell>
          <cell r="N3">
            <v>45663</v>
          </cell>
          <cell r="O3">
            <v>45680</v>
          </cell>
          <cell r="P3" t="str">
            <v>Citius Tech</v>
          </cell>
          <cell r="Q3" t="str">
            <v>Srinivasa</v>
          </cell>
          <cell r="R3" t="str">
            <v>Contract</v>
          </cell>
          <cell r="S3" t="str">
            <v>W2</v>
          </cell>
          <cell r="T3" t="str">
            <v>USD</v>
          </cell>
          <cell r="U3" t="str">
            <v>Hourly</v>
          </cell>
          <cell r="V3">
            <v>62</v>
          </cell>
          <cell r="W3" t="str">
            <v>USD</v>
          </cell>
          <cell r="X3" t="str">
            <v>-</v>
          </cell>
          <cell r="Y3" t="str">
            <v>-</v>
          </cell>
          <cell r="AA3">
            <v>7.95</v>
          </cell>
          <cell r="AN3">
            <v>0</v>
          </cell>
          <cell r="AO3">
            <v>0</v>
          </cell>
          <cell r="AP3" t="str">
            <v>No Bill No Pay</v>
          </cell>
          <cell r="AQ3" t="str">
            <v>No bill no pay</v>
          </cell>
          <cell r="AR3">
            <v>150</v>
          </cell>
          <cell r="AS3" t="str">
            <v>JPC - 224892</v>
          </cell>
        </row>
        <row r="4">
          <cell r="A4">
            <v>1</v>
          </cell>
          <cell r="B4" t="str">
            <v>CSK</v>
          </cell>
          <cell r="C4" t="str">
            <v>Amar Deep Gautam</v>
          </cell>
          <cell r="D4" t="str">
            <v>Tejaswini Kanaparthi</v>
          </cell>
          <cell r="E4" t="str">
            <v>VB1612</v>
          </cell>
          <cell r="F4" t="str">
            <v>Vinoth.L</v>
          </cell>
          <cell r="G4" t="str">
            <v>Vinoth.L</v>
          </cell>
          <cell r="H4" t="str">
            <v>-</v>
          </cell>
          <cell r="I4" t="str">
            <v>Individual</v>
          </cell>
          <cell r="J4" t="str">
            <v>-</v>
          </cell>
          <cell r="K4" t="str">
            <v>Remote</v>
          </cell>
          <cell r="L4" t="str">
            <v>Neo4j Consultant</v>
          </cell>
          <cell r="M4" t="str">
            <v>Feb</v>
          </cell>
          <cell r="N4">
            <v>45691</v>
          </cell>
          <cell r="O4">
            <v>45807</v>
          </cell>
          <cell r="P4" t="str">
            <v>Citius Tech</v>
          </cell>
          <cell r="Q4" t="str">
            <v>Srinivasa</v>
          </cell>
          <cell r="R4" t="str">
            <v>Contract</v>
          </cell>
          <cell r="S4" t="str">
            <v>W2</v>
          </cell>
          <cell r="T4" t="str">
            <v>USD</v>
          </cell>
          <cell r="U4" t="str">
            <v>Hourly</v>
          </cell>
          <cell r="V4">
            <v>75</v>
          </cell>
          <cell r="W4" t="str">
            <v>USD</v>
          </cell>
          <cell r="X4" t="str">
            <v>-</v>
          </cell>
          <cell r="Y4" t="str">
            <v>-</v>
          </cell>
          <cell r="AA4">
            <v>6</v>
          </cell>
          <cell r="AN4">
            <v>664</v>
          </cell>
          <cell r="AO4">
            <v>3984</v>
          </cell>
          <cell r="AP4" t="str">
            <v>Active</v>
          </cell>
          <cell r="AQ4" t="str">
            <v>May</v>
          </cell>
          <cell r="AR4">
            <v>438</v>
          </cell>
          <cell r="AS4" t="str">
            <v>JPC - 224893</v>
          </cell>
        </row>
        <row r="5">
          <cell r="A5">
            <v>1</v>
          </cell>
          <cell r="B5" t="str">
            <v>CSK</v>
          </cell>
          <cell r="C5" t="str">
            <v>Sekhar Pogula</v>
          </cell>
          <cell r="D5" t="str">
            <v>R Richardson Richardson</v>
          </cell>
          <cell r="E5" t="str">
            <v>VB1525</v>
          </cell>
          <cell r="F5" t="str">
            <v>Vinoth.L</v>
          </cell>
          <cell r="G5" t="str">
            <v>Vinoth.L</v>
          </cell>
          <cell r="H5" t="str">
            <v>-</v>
          </cell>
          <cell r="I5" t="str">
            <v>Individual</v>
          </cell>
          <cell r="J5" t="str">
            <v>-</v>
          </cell>
          <cell r="K5" t="str">
            <v>Remote</v>
          </cell>
          <cell r="L5" t="str">
            <v>Lead AI Ops Engineer</v>
          </cell>
          <cell r="M5" t="str">
            <v>Mar</v>
          </cell>
          <cell r="N5">
            <v>45729</v>
          </cell>
          <cell r="O5" t="str">
            <v>NA</v>
          </cell>
          <cell r="P5" t="str">
            <v>Apexon</v>
          </cell>
          <cell r="Q5" t="str">
            <v>Muthu</v>
          </cell>
          <cell r="R5" t="str">
            <v>Contract</v>
          </cell>
          <cell r="S5" t="str">
            <v>C2C</v>
          </cell>
          <cell r="T5" t="str">
            <v>USD</v>
          </cell>
          <cell r="U5" t="str">
            <v>Hourly</v>
          </cell>
          <cell r="V5">
            <v>115</v>
          </cell>
          <cell r="W5" t="str">
            <v>USD</v>
          </cell>
          <cell r="X5" t="str">
            <v>-</v>
          </cell>
          <cell r="Y5" t="str">
            <v>-</v>
          </cell>
          <cell r="AA5">
            <v>5</v>
          </cell>
          <cell r="AN5">
            <v>824</v>
          </cell>
          <cell r="AO5">
            <v>4120</v>
          </cell>
          <cell r="AP5" t="str">
            <v>Active</v>
          </cell>
          <cell r="AQ5" t="str">
            <v>Sep</v>
          </cell>
          <cell r="AR5">
            <v>432</v>
          </cell>
          <cell r="AS5" t="str">
            <v>JPC - 224894</v>
          </cell>
        </row>
        <row r="6">
          <cell r="A6">
            <v>1</v>
          </cell>
          <cell r="B6" t="str">
            <v>CSK</v>
          </cell>
          <cell r="C6" t="str">
            <v>Hithaishi Ramakrishna</v>
          </cell>
          <cell r="D6" t="str">
            <v>Pass thru</v>
          </cell>
          <cell r="E6" t="str">
            <v>-</v>
          </cell>
          <cell r="F6" t="str">
            <v>Vinoth.L</v>
          </cell>
          <cell r="G6" t="str">
            <v>Vinoth.L</v>
          </cell>
          <cell r="H6" t="str">
            <v>-</v>
          </cell>
          <cell r="I6" t="str">
            <v>Pass thru</v>
          </cell>
          <cell r="J6" t="str">
            <v>-</v>
          </cell>
          <cell r="K6" t="str">
            <v>Remote</v>
          </cell>
          <cell r="L6" t="str">
            <v>Java Developer</v>
          </cell>
          <cell r="M6" t="str">
            <v>Mar</v>
          </cell>
          <cell r="N6">
            <v>45733</v>
          </cell>
          <cell r="O6" t="str">
            <v>NA</v>
          </cell>
          <cell r="P6" t="str">
            <v>Citius Tech</v>
          </cell>
          <cell r="Q6" t="str">
            <v>Srinivasa</v>
          </cell>
          <cell r="R6" t="str">
            <v>Contract</v>
          </cell>
          <cell r="S6" t="str">
            <v>C2C</v>
          </cell>
          <cell r="T6" t="str">
            <v>USD</v>
          </cell>
          <cell r="U6" t="str">
            <v>Hourly</v>
          </cell>
          <cell r="V6">
            <v>57</v>
          </cell>
          <cell r="W6" t="str">
            <v>USD</v>
          </cell>
          <cell r="X6" t="str">
            <v>-</v>
          </cell>
          <cell r="Y6" t="str">
            <v>-</v>
          </cell>
          <cell r="AA6">
            <v>2</v>
          </cell>
          <cell r="AN6">
            <v>1012</v>
          </cell>
          <cell r="AO6">
            <v>2024</v>
          </cell>
          <cell r="AP6" t="str">
            <v>Active</v>
          </cell>
          <cell r="AQ6" t="str">
            <v>Sep</v>
          </cell>
          <cell r="AR6">
            <v>136</v>
          </cell>
          <cell r="AS6" t="str">
            <v>JPC - 224895</v>
          </cell>
        </row>
        <row r="7">
          <cell r="B7" t="str">
            <v>CSK</v>
          </cell>
          <cell r="C7" t="str">
            <v>Shanmukhananda Reddy Mutyala</v>
          </cell>
          <cell r="D7" t="str">
            <v>Dinesh Veluchamy</v>
          </cell>
          <cell r="E7" t="str">
            <v>VB1069</v>
          </cell>
          <cell r="F7" t="str">
            <v>Vinoth.L</v>
          </cell>
          <cell r="G7" t="str">
            <v>Vinoth.L</v>
          </cell>
          <cell r="H7" t="str">
            <v>-</v>
          </cell>
          <cell r="I7" t="str">
            <v>Individual</v>
          </cell>
          <cell r="J7" t="str">
            <v>-</v>
          </cell>
          <cell r="K7" t="str">
            <v>Remote</v>
          </cell>
          <cell r="L7" t="str">
            <v>Data Engineer</v>
          </cell>
          <cell r="M7" t="str">
            <v>Mar</v>
          </cell>
          <cell r="N7">
            <v>45719</v>
          </cell>
          <cell r="O7">
            <v>45775</v>
          </cell>
          <cell r="P7" t="str">
            <v>Citius Tech</v>
          </cell>
          <cell r="Q7" t="str">
            <v>Srinivasa</v>
          </cell>
          <cell r="R7" t="str">
            <v>Contract</v>
          </cell>
          <cell r="S7" t="str">
            <v>C2C</v>
          </cell>
          <cell r="T7" t="str">
            <v>USD</v>
          </cell>
          <cell r="U7" t="str">
            <v>Hourly</v>
          </cell>
          <cell r="V7">
            <v>68</v>
          </cell>
          <cell r="W7" t="str">
            <v>USD</v>
          </cell>
          <cell r="X7" t="str">
            <v>-</v>
          </cell>
          <cell r="Y7" t="str">
            <v>-</v>
          </cell>
          <cell r="AA7">
            <v>4</v>
          </cell>
          <cell r="AN7">
            <v>12</v>
          </cell>
          <cell r="AO7">
            <v>48</v>
          </cell>
          <cell r="AP7" t="str">
            <v>Quit</v>
          </cell>
          <cell r="AQ7">
            <v>45775</v>
          </cell>
          <cell r="AR7">
            <v>438</v>
          </cell>
          <cell r="AS7" t="str">
            <v>JPC - 224896</v>
          </cell>
        </row>
        <row r="8">
          <cell r="A8">
            <v>1</v>
          </cell>
          <cell r="B8" t="str">
            <v>Mavericks/CSK</v>
          </cell>
          <cell r="C8" t="str">
            <v>Rosa Itzel Ortiz Quezada</v>
          </cell>
          <cell r="D8" t="str">
            <v>Himanshu Gupta Mavericks</v>
          </cell>
          <cell r="E8" t="str">
            <v>VB1466</v>
          </cell>
          <cell r="F8" t="str">
            <v>Akbar Ibrahim</v>
          </cell>
          <cell r="G8" t="str">
            <v>Rohit Gupta</v>
          </cell>
          <cell r="H8" t="str">
            <v>-</v>
          </cell>
          <cell r="I8" t="str">
            <v>Split</v>
          </cell>
          <cell r="J8" t="str">
            <v>-</v>
          </cell>
          <cell r="K8" t="str">
            <v>San Diego, CA</v>
          </cell>
          <cell r="L8" t="str">
            <v>Computer Systems Analyst</v>
          </cell>
          <cell r="M8" t="str">
            <v>Mar</v>
          </cell>
          <cell r="N8">
            <v>45747</v>
          </cell>
          <cell r="O8" t="str">
            <v>NA</v>
          </cell>
          <cell r="P8" t="str">
            <v>Cigniti</v>
          </cell>
          <cell r="Q8" t="str">
            <v>Raghav Soleti</v>
          </cell>
          <cell r="R8" t="str">
            <v>Contract</v>
          </cell>
          <cell r="S8" t="str">
            <v>W2</v>
          </cell>
          <cell r="T8" t="str">
            <v>USD</v>
          </cell>
          <cell r="U8" t="str">
            <v>Hourly</v>
          </cell>
          <cell r="V8">
            <v>46</v>
          </cell>
          <cell r="W8" t="str">
            <v>USD</v>
          </cell>
          <cell r="X8" t="str">
            <v>-</v>
          </cell>
          <cell r="Y8" t="str">
            <v>-</v>
          </cell>
          <cell r="AA8">
            <v>8.0500000000000007</v>
          </cell>
          <cell r="AN8">
            <v>1032</v>
          </cell>
          <cell r="AO8">
            <v>8307.6</v>
          </cell>
          <cell r="AP8" t="str">
            <v>Active</v>
          </cell>
          <cell r="AQ8" t="str">
            <v>Sep</v>
          </cell>
          <cell r="AR8">
            <v>406</v>
          </cell>
          <cell r="AS8" t="str">
            <v>JPC - 224897</v>
          </cell>
        </row>
        <row r="9">
          <cell r="A9">
            <v>1</v>
          </cell>
          <cell r="B9" t="str">
            <v>CSK</v>
          </cell>
          <cell r="C9" t="str">
            <v>Robert Feldman</v>
          </cell>
          <cell r="D9" t="str">
            <v>Dinesh Veluchamy</v>
          </cell>
          <cell r="E9" t="str">
            <v>VB1069</v>
          </cell>
          <cell r="F9" t="str">
            <v>Vinoth.L</v>
          </cell>
          <cell r="G9" t="str">
            <v>Vinoth.L</v>
          </cell>
          <cell r="H9" t="str">
            <v>-</v>
          </cell>
          <cell r="I9" t="str">
            <v>Individual</v>
          </cell>
          <cell r="J9" t="str">
            <v>-</v>
          </cell>
          <cell r="K9" t="str">
            <v>Mountain View, CA</v>
          </cell>
          <cell r="L9" t="str">
            <v>Hardware Debug Engineer</v>
          </cell>
          <cell r="M9" t="str">
            <v>Apr</v>
          </cell>
          <cell r="N9">
            <v>45764</v>
          </cell>
          <cell r="O9" t="str">
            <v>NA</v>
          </cell>
          <cell r="P9" t="str">
            <v>LTI Mindtree</v>
          </cell>
          <cell r="Q9" t="str">
            <v>Saurabh</v>
          </cell>
          <cell r="R9" t="str">
            <v>Contract</v>
          </cell>
          <cell r="S9" t="str">
            <v>W2</v>
          </cell>
          <cell r="T9" t="str">
            <v>USD</v>
          </cell>
          <cell r="U9" t="str">
            <v>Hourly</v>
          </cell>
          <cell r="V9">
            <v>62</v>
          </cell>
          <cell r="W9" t="str">
            <v>USD</v>
          </cell>
          <cell r="X9" t="str">
            <v>-</v>
          </cell>
          <cell r="Y9" t="str">
            <v>-</v>
          </cell>
          <cell r="AA9">
            <v>5.65</v>
          </cell>
          <cell r="AN9">
            <v>979</v>
          </cell>
          <cell r="AO9">
            <v>5531.35</v>
          </cell>
          <cell r="AP9" t="str">
            <v>Active</v>
          </cell>
          <cell r="AQ9" t="str">
            <v>Sep</v>
          </cell>
          <cell r="AR9">
            <v>393</v>
          </cell>
          <cell r="AS9" t="str">
            <v>JPC - 224898</v>
          </cell>
        </row>
        <row r="10">
          <cell r="A10">
            <v>1</v>
          </cell>
          <cell r="B10" t="str">
            <v>CSK</v>
          </cell>
          <cell r="C10" t="str">
            <v>Rajeshkannan Mohan</v>
          </cell>
          <cell r="D10" t="str">
            <v>J Gayathri</v>
          </cell>
          <cell r="E10" t="str">
            <v>VB1298</v>
          </cell>
          <cell r="F10" t="str">
            <v>Vinoth.L</v>
          </cell>
          <cell r="G10" t="str">
            <v>Vinoth.L</v>
          </cell>
          <cell r="H10" t="str">
            <v>-</v>
          </cell>
          <cell r="I10" t="str">
            <v>Individual</v>
          </cell>
          <cell r="J10" t="str">
            <v>-</v>
          </cell>
          <cell r="K10" t="str">
            <v>Remote</v>
          </cell>
          <cell r="L10" t="str">
            <v>Mainframe Developer</v>
          </cell>
          <cell r="M10" t="str">
            <v>Apr</v>
          </cell>
          <cell r="N10">
            <v>45765</v>
          </cell>
          <cell r="O10" t="str">
            <v>NA</v>
          </cell>
          <cell r="P10" t="str">
            <v>Citius Tech</v>
          </cell>
          <cell r="Q10" t="str">
            <v>Pam</v>
          </cell>
          <cell r="R10" t="str">
            <v>Contract</v>
          </cell>
          <cell r="S10" t="str">
            <v>C2C</v>
          </cell>
          <cell r="T10" t="str">
            <v>USD</v>
          </cell>
          <cell r="U10" t="str">
            <v>Hourly</v>
          </cell>
          <cell r="V10">
            <v>73</v>
          </cell>
          <cell r="W10" t="str">
            <v>USD</v>
          </cell>
          <cell r="X10" t="str">
            <v>-</v>
          </cell>
          <cell r="Y10" t="str">
            <v>-</v>
          </cell>
          <cell r="AA10">
            <v>8</v>
          </cell>
          <cell r="AN10">
            <v>912</v>
          </cell>
          <cell r="AO10">
            <v>7296</v>
          </cell>
          <cell r="AP10" t="str">
            <v>Active</v>
          </cell>
          <cell r="AQ10" t="str">
            <v>Sep</v>
          </cell>
          <cell r="AR10">
            <v>380</v>
          </cell>
          <cell r="AS10" t="str">
            <v>JPC - 224899</v>
          </cell>
        </row>
        <row r="11">
          <cell r="A11">
            <v>1</v>
          </cell>
          <cell r="B11" t="str">
            <v>CSK</v>
          </cell>
          <cell r="C11" t="str">
            <v xml:space="preserve"> Bharathi Kota</v>
          </cell>
          <cell r="D11" t="str">
            <v>R Richardson Richardson</v>
          </cell>
          <cell r="E11" t="str">
            <v>VB1525</v>
          </cell>
          <cell r="F11" t="str">
            <v>Vinoth.L</v>
          </cell>
          <cell r="G11" t="str">
            <v>Vinoth.L</v>
          </cell>
          <cell r="H11" t="str">
            <v>-</v>
          </cell>
          <cell r="I11" t="str">
            <v>Individual</v>
          </cell>
          <cell r="J11" t="str">
            <v>-</v>
          </cell>
          <cell r="K11" t="str">
            <v>NYC , NY</v>
          </cell>
          <cell r="L11" t="str">
            <v>Devops Engineer</v>
          </cell>
          <cell r="M11" t="str">
            <v>Apr</v>
          </cell>
          <cell r="N11">
            <v>45768</v>
          </cell>
          <cell r="O11" t="str">
            <v>NA</v>
          </cell>
          <cell r="P11" t="str">
            <v>Apexon</v>
          </cell>
          <cell r="Q11" t="str">
            <v>Muthu</v>
          </cell>
          <cell r="R11" t="str">
            <v>Contract</v>
          </cell>
          <cell r="S11" t="str">
            <v>C2C</v>
          </cell>
          <cell r="T11" t="str">
            <v>USD</v>
          </cell>
          <cell r="U11" t="str">
            <v>Hourly</v>
          </cell>
          <cell r="V11">
            <v>72</v>
          </cell>
          <cell r="W11" t="str">
            <v>USD</v>
          </cell>
          <cell r="X11" t="str">
            <v>-</v>
          </cell>
          <cell r="Y11" t="str">
            <v>-</v>
          </cell>
          <cell r="AA11">
            <v>6</v>
          </cell>
          <cell r="AN11">
            <v>904</v>
          </cell>
          <cell r="AO11">
            <v>5424</v>
          </cell>
          <cell r="AP11" t="str">
            <v>Active</v>
          </cell>
          <cell r="AQ11" t="str">
            <v>Sep</v>
          </cell>
          <cell r="AR11">
            <v>367</v>
          </cell>
          <cell r="AS11" t="str">
            <v>JPC - 224900</v>
          </cell>
        </row>
        <row r="12">
          <cell r="A12">
            <v>1</v>
          </cell>
          <cell r="B12" t="str">
            <v>CSK</v>
          </cell>
          <cell r="C12" t="str">
            <v>Bhargava Kommineni</v>
          </cell>
          <cell r="D12" t="str">
            <v>Pass thru</v>
          </cell>
          <cell r="E12" t="str">
            <v>-</v>
          </cell>
          <cell r="F12" t="str">
            <v>Vinoth.L</v>
          </cell>
          <cell r="G12" t="str">
            <v>Vinoth.L</v>
          </cell>
          <cell r="H12" t="str">
            <v>-</v>
          </cell>
          <cell r="I12" t="str">
            <v>Pass thru</v>
          </cell>
          <cell r="J12" t="str">
            <v>-</v>
          </cell>
          <cell r="K12" t="str">
            <v>Remote</v>
          </cell>
          <cell r="L12" t="str">
            <v>EDI Developer</v>
          </cell>
          <cell r="M12" t="str">
            <v>Apr</v>
          </cell>
          <cell r="N12">
            <v>45768</v>
          </cell>
          <cell r="O12" t="str">
            <v>NA</v>
          </cell>
          <cell r="P12" t="str">
            <v>Citius Tech</v>
          </cell>
          <cell r="Q12" t="str">
            <v>Pam</v>
          </cell>
          <cell r="R12" t="str">
            <v>Contract</v>
          </cell>
          <cell r="S12" t="str">
            <v>C2C</v>
          </cell>
          <cell r="T12" t="str">
            <v>USD</v>
          </cell>
          <cell r="U12" t="str">
            <v>Hourly</v>
          </cell>
          <cell r="V12">
            <v>82</v>
          </cell>
          <cell r="W12" t="str">
            <v>USD</v>
          </cell>
          <cell r="X12" t="str">
            <v>-</v>
          </cell>
          <cell r="Y12" t="str">
            <v>-</v>
          </cell>
          <cell r="AA12">
            <v>2</v>
          </cell>
          <cell r="AN12">
            <v>264</v>
          </cell>
          <cell r="AO12">
            <v>528</v>
          </cell>
          <cell r="AP12" t="str">
            <v>Active</v>
          </cell>
          <cell r="AQ12" t="str">
            <v>Jun</v>
          </cell>
          <cell r="AR12">
            <v>354</v>
          </cell>
          <cell r="AS12" t="str">
            <v>JPC - 224901</v>
          </cell>
        </row>
        <row r="13">
          <cell r="A13">
            <v>1</v>
          </cell>
          <cell r="B13" t="str">
            <v>CSK</v>
          </cell>
          <cell r="C13" t="str">
            <v>Aditya Madala</v>
          </cell>
          <cell r="D13" t="str">
            <v>Dinesh Veluchamy</v>
          </cell>
          <cell r="E13" t="str">
            <v>VB1069</v>
          </cell>
          <cell r="F13" t="str">
            <v>Vinoth.L</v>
          </cell>
          <cell r="G13" t="str">
            <v>Vinoth.L</v>
          </cell>
          <cell r="H13" t="str">
            <v>-</v>
          </cell>
          <cell r="I13" t="str">
            <v>Individual</v>
          </cell>
          <cell r="J13" t="str">
            <v>-</v>
          </cell>
          <cell r="K13" t="str">
            <v>Remote</v>
          </cell>
          <cell r="L13" t="str">
            <v>Data Engineer</v>
          </cell>
          <cell r="M13" t="str">
            <v>Apr</v>
          </cell>
          <cell r="N13">
            <v>45777</v>
          </cell>
          <cell r="O13" t="str">
            <v>NA</v>
          </cell>
          <cell r="P13" t="str">
            <v>Citius Tech</v>
          </cell>
          <cell r="Q13" t="str">
            <v>Srinivasa</v>
          </cell>
          <cell r="R13" t="str">
            <v>Contract</v>
          </cell>
          <cell r="S13" t="str">
            <v>C2C</v>
          </cell>
          <cell r="T13" t="str">
            <v>USD</v>
          </cell>
          <cell r="U13" t="str">
            <v>Hourly</v>
          </cell>
          <cell r="V13">
            <v>66</v>
          </cell>
          <cell r="W13" t="str">
            <v>USD</v>
          </cell>
          <cell r="X13" t="str">
            <v>-</v>
          </cell>
          <cell r="Y13" t="str">
            <v>-</v>
          </cell>
          <cell r="AA13">
            <v>2</v>
          </cell>
          <cell r="AN13">
            <v>848</v>
          </cell>
          <cell r="AO13">
            <v>1696</v>
          </cell>
          <cell r="AP13" t="str">
            <v>Active</v>
          </cell>
          <cell r="AQ13" t="str">
            <v>Sep</v>
          </cell>
          <cell r="AR13">
            <v>341</v>
          </cell>
          <cell r="AS13" t="str">
            <v>JPC - 224902</v>
          </cell>
        </row>
        <row r="14">
          <cell r="A14">
            <v>1</v>
          </cell>
          <cell r="B14" t="str">
            <v>Pioneer</v>
          </cell>
          <cell r="C14" t="str">
            <v xml:space="preserve">Srinath Rayadurg Kristappa </v>
          </cell>
          <cell r="D14" t="str">
            <v>Ansh Singh Rathore</v>
          </cell>
          <cell r="E14" t="str">
            <v>VB2046</v>
          </cell>
          <cell r="F14" t="str">
            <v>Vinay Kumar Pandey</v>
          </cell>
          <cell r="G14" t="str">
            <v>Lucky Jain</v>
          </cell>
          <cell r="I14" t="str">
            <v>Individual</v>
          </cell>
          <cell r="J14" t="str">
            <v>-</v>
          </cell>
          <cell r="K14" t="str">
            <v>Houston, TX</v>
          </cell>
          <cell r="L14" t="str">
            <v>Scrum Master</v>
          </cell>
          <cell r="M14" t="str">
            <v>May</v>
          </cell>
          <cell r="N14">
            <v>45790</v>
          </cell>
          <cell r="O14" t="str">
            <v>NA</v>
          </cell>
          <cell r="P14" t="str">
            <v>Mphasis</v>
          </cell>
          <cell r="Q14" t="str">
            <v>Rishabh Sinha</v>
          </cell>
          <cell r="R14" t="str">
            <v>Contract</v>
          </cell>
          <cell r="S14" t="str">
            <v>C2C</v>
          </cell>
          <cell r="T14" t="str">
            <v>USD</v>
          </cell>
          <cell r="U14" t="str">
            <v>Hourly</v>
          </cell>
          <cell r="V14">
            <v>75</v>
          </cell>
          <cell r="W14" t="str">
            <v>USD</v>
          </cell>
          <cell r="X14" t="str">
            <v>-</v>
          </cell>
          <cell r="Y14" t="str">
            <v>-</v>
          </cell>
          <cell r="AA14">
            <v>10</v>
          </cell>
          <cell r="AN14">
            <v>776</v>
          </cell>
          <cell r="AO14">
            <v>7760</v>
          </cell>
          <cell r="AP14" t="str">
            <v>Active</v>
          </cell>
          <cell r="AQ14" t="str">
            <v>Sep</v>
          </cell>
          <cell r="AR14">
            <v>328</v>
          </cell>
          <cell r="AS14" t="str">
            <v>JPC - 224903</v>
          </cell>
        </row>
        <row r="15">
          <cell r="A15">
            <v>1</v>
          </cell>
          <cell r="B15" t="str">
            <v>Pioneer</v>
          </cell>
          <cell r="C15" t="str">
            <v>Percival Powers</v>
          </cell>
          <cell r="D15" t="str">
            <v>Arpit Juneja</v>
          </cell>
          <cell r="E15" t="str">
            <v>VB1887</v>
          </cell>
          <cell r="F15" t="str">
            <v>Lucky Jain</v>
          </cell>
          <cell r="G15" t="str">
            <v>Lucky Jain</v>
          </cell>
          <cell r="I15" t="str">
            <v>Individual</v>
          </cell>
          <cell r="J15" t="str">
            <v>NA</v>
          </cell>
          <cell r="K15" t="str">
            <v>Remote</v>
          </cell>
          <cell r="L15" t="str">
            <v>Report Developer</v>
          </cell>
          <cell r="M15" t="str">
            <v>May</v>
          </cell>
          <cell r="N15">
            <v>45806</v>
          </cell>
          <cell r="O15" t="str">
            <v>NA</v>
          </cell>
          <cell r="P15" t="str">
            <v>Visionet</v>
          </cell>
          <cell r="Q15" t="str">
            <v>Santosh Mrg</v>
          </cell>
          <cell r="R15" t="str">
            <v>Contract</v>
          </cell>
          <cell r="S15" t="str">
            <v>W2</v>
          </cell>
          <cell r="T15" t="str">
            <v>USD</v>
          </cell>
          <cell r="U15" t="str">
            <v>Hourly</v>
          </cell>
          <cell r="V15">
            <v>75</v>
          </cell>
          <cell r="W15" t="str">
            <v>USD</v>
          </cell>
          <cell r="X15">
            <v>0</v>
          </cell>
          <cell r="Y15">
            <v>0</v>
          </cell>
          <cell r="Z15">
            <v>0</v>
          </cell>
          <cell r="AA15">
            <v>15</v>
          </cell>
          <cell r="AB15">
            <v>17.5</v>
          </cell>
          <cell r="AN15">
            <v>688</v>
          </cell>
          <cell r="AO15">
            <v>10320</v>
          </cell>
          <cell r="AP15" t="str">
            <v>Active</v>
          </cell>
          <cell r="AQ15" t="str">
            <v>Sep</v>
          </cell>
          <cell r="AR15">
            <v>315</v>
          </cell>
          <cell r="AS15" t="str">
            <v>JPC - 224904</v>
          </cell>
        </row>
        <row r="16">
          <cell r="A16">
            <v>1</v>
          </cell>
          <cell r="B16" t="str">
            <v>CSK</v>
          </cell>
          <cell r="C16" t="str">
            <v>Trivikram Kota</v>
          </cell>
          <cell r="D16" t="str">
            <v>J Gayathri</v>
          </cell>
          <cell r="E16" t="str">
            <v>VB1298</v>
          </cell>
          <cell r="F16" t="str">
            <v>Vinoth.L</v>
          </cell>
          <cell r="G16" t="str">
            <v>Vinoth.L</v>
          </cell>
          <cell r="H16" t="str">
            <v>-</v>
          </cell>
          <cell r="I16" t="str">
            <v>Individual</v>
          </cell>
          <cell r="J16" t="str">
            <v>-</v>
          </cell>
          <cell r="K16" t="str">
            <v>Remote</v>
          </cell>
          <cell r="L16" t="str">
            <v>Data Engineer</v>
          </cell>
          <cell r="M16" t="str">
            <v>May</v>
          </cell>
          <cell r="N16">
            <v>45778</v>
          </cell>
          <cell r="O16" t="str">
            <v>NA</v>
          </cell>
          <cell r="P16" t="str">
            <v>Citius Tech</v>
          </cell>
          <cell r="Q16" t="str">
            <v>Srinivasa</v>
          </cell>
          <cell r="R16" t="str">
            <v>Contract</v>
          </cell>
          <cell r="S16" t="str">
            <v>C2C</v>
          </cell>
          <cell r="T16" t="str">
            <v>USD</v>
          </cell>
          <cell r="U16" t="str">
            <v>Hourly</v>
          </cell>
          <cell r="V16">
            <v>71</v>
          </cell>
          <cell r="W16" t="str">
            <v>USD</v>
          </cell>
          <cell r="Y16" t="str">
            <v>-</v>
          </cell>
          <cell r="Z16" t="str">
            <v>-</v>
          </cell>
          <cell r="AA16">
            <v>3</v>
          </cell>
          <cell r="AN16">
            <v>848</v>
          </cell>
          <cell r="AO16">
            <v>2544</v>
          </cell>
          <cell r="AP16" t="str">
            <v>Active</v>
          </cell>
          <cell r="AQ16" t="str">
            <v>Sep</v>
          </cell>
          <cell r="AR16">
            <v>302</v>
          </cell>
          <cell r="AS16" t="str">
            <v>JPC - 224905</v>
          </cell>
        </row>
        <row r="17">
          <cell r="B17" t="str">
            <v>CSK</v>
          </cell>
          <cell r="C17" t="str">
            <v>Biswajit Ghosh</v>
          </cell>
          <cell r="D17" t="str">
            <v>Kishore Gopi</v>
          </cell>
          <cell r="E17" t="str">
            <v>VB1862</v>
          </cell>
          <cell r="F17" t="str">
            <v>Vinoth.L</v>
          </cell>
          <cell r="G17" t="str">
            <v>Akbar Ibrahim</v>
          </cell>
          <cell r="H17" t="str">
            <v>-</v>
          </cell>
          <cell r="I17" t="str">
            <v>Split</v>
          </cell>
          <cell r="J17" t="str">
            <v>-</v>
          </cell>
          <cell r="K17" t="str">
            <v>Berkley Heights, NJ</v>
          </cell>
          <cell r="L17" t="str">
            <v>Sr.Data Engineer</v>
          </cell>
          <cell r="M17" t="str">
            <v>May</v>
          </cell>
          <cell r="N17">
            <v>45778</v>
          </cell>
          <cell r="O17">
            <v>45783</v>
          </cell>
          <cell r="P17" t="str">
            <v>Apexon</v>
          </cell>
          <cell r="Q17" t="str">
            <v>Muthu</v>
          </cell>
          <cell r="R17" t="str">
            <v>Contract</v>
          </cell>
          <cell r="S17" t="str">
            <v>C2C</v>
          </cell>
          <cell r="T17" t="str">
            <v>USD</v>
          </cell>
          <cell r="U17" t="str">
            <v>Hourly</v>
          </cell>
          <cell r="V17">
            <v>85</v>
          </cell>
          <cell r="W17" t="str">
            <v>USD</v>
          </cell>
          <cell r="Y17" t="str">
            <v>-</v>
          </cell>
          <cell r="Z17" t="str">
            <v>-</v>
          </cell>
          <cell r="AA17">
            <v>8</v>
          </cell>
          <cell r="AN17">
            <v>0</v>
          </cell>
          <cell r="AO17">
            <v>0</v>
          </cell>
          <cell r="AP17" t="str">
            <v>No Bill No Pay</v>
          </cell>
          <cell r="AQ17" t="str">
            <v>No bill no pay</v>
          </cell>
          <cell r="AR17">
            <v>289</v>
          </cell>
          <cell r="AS17" t="str">
            <v>JPC - 224906</v>
          </cell>
        </row>
        <row r="18">
          <cell r="A18">
            <v>1</v>
          </cell>
          <cell r="B18" t="str">
            <v>CSK</v>
          </cell>
          <cell r="C18" t="str">
            <v>David William Fourney</v>
          </cell>
          <cell r="D18" t="str">
            <v>Ajith Gunasekar</v>
          </cell>
          <cell r="E18" t="str">
            <v>VB1068</v>
          </cell>
          <cell r="F18" t="str">
            <v>Akbar Ibrahim</v>
          </cell>
          <cell r="G18" t="str">
            <v>Akbar Ibrahim</v>
          </cell>
          <cell r="H18" t="str">
            <v>-</v>
          </cell>
          <cell r="I18" t="str">
            <v>Individual</v>
          </cell>
          <cell r="J18" t="str">
            <v>-</v>
          </cell>
          <cell r="K18" t="str">
            <v>Toronto , Ontario</v>
          </cell>
          <cell r="L18" t="str">
            <v>Accessibility Tester</v>
          </cell>
          <cell r="M18" t="str">
            <v>May</v>
          </cell>
          <cell r="N18">
            <v>45782</v>
          </cell>
          <cell r="O18" t="str">
            <v>NA</v>
          </cell>
          <cell r="P18" t="str">
            <v>Cigniti Coforge</v>
          </cell>
          <cell r="Q18" t="str">
            <v>Harsha Pommineni</v>
          </cell>
          <cell r="R18" t="str">
            <v>Contract</v>
          </cell>
          <cell r="S18" t="str">
            <v>C2C</v>
          </cell>
          <cell r="T18" t="str">
            <v>CAD</v>
          </cell>
          <cell r="U18" t="str">
            <v>Hourly</v>
          </cell>
          <cell r="V18">
            <v>70</v>
          </cell>
          <cell r="W18" t="str">
            <v>CAD</v>
          </cell>
          <cell r="Y18" t="str">
            <v>-</v>
          </cell>
          <cell r="Z18" t="str">
            <v>-</v>
          </cell>
          <cell r="AA18">
            <v>5</v>
          </cell>
          <cell r="AN18">
            <v>912</v>
          </cell>
          <cell r="AO18">
            <v>4560</v>
          </cell>
          <cell r="AP18" t="str">
            <v>Active</v>
          </cell>
          <cell r="AQ18" t="str">
            <v>Sep</v>
          </cell>
          <cell r="AR18">
            <v>276</v>
          </cell>
          <cell r="AS18" t="str">
            <v>JPC - 224907</v>
          </cell>
        </row>
        <row r="19">
          <cell r="A19">
            <v>1</v>
          </cell>
          <cell r="B19" t="str">
            <v>CSK+Trust</v>
          </cell>
          <cell r="C19" t="str">
            <v>John Henry Warford</v>
          </cell>
          <cell r="D19" t="str">
            <v>Rahul Srivastava</v>
          </cell>
          <cell r="E19" t="str">
            <v>VB1869</v>
          </cell>
          <cell r="F19" t="str">
            <v>Akbar Ibrahim</v>
          </cell>
          <cell r="G19" t="str">
            <v>Vivek Mishra</v>
          </cell>
          <cell r="H19" t="str">
            <v>-</v>
          </cell>
          <cell r="I19" t="str">
            <v>Split</v>
          </cell>
          <cell r="J19" t="str">
            <v>-</v>
          </cell>
          <cell r="K19" t="str">
            <v>New Westminster, BC</v>
          </cell>
          <cell r="L19" t="str">
            <v>SDET</v>
          </cell>
          <cell r="M19" t="str">
            <v>May</v>
          </cell>
          <cell r="N19">
            <v>45789</v>
          </cell>
          <cell r="O19" t="str">
            <v>NA</v>
          </cell>
          <cell r="P19" t="str">
            <v>Cigniti Coforge</v>
          </cell>
          <cell r="Q19" t="str">
            <v>Harsha Pommineni</v>
          </cell>
          <cell r="R19" t="str">
            <v>Contract</v>
          </cell>
          <cell r="S19" t="str">
            <v>C2C</v>
          </cell>
          <cell r="T19" t="str">
            <v>CAD</v>
          </cell>
          <cell r="U19" t="str">
            <v>Hourly</v>
          </cell>
          <cell r="V19">
            <v>62</v>
          </cell>
          <cell r="W19" t="str">
            <v>CAD</v>
          </cell>
          <cell r="Y19" t="str">
            <v>-</v>
          </cell>
          <cell r="Z19" t="str">
            <v>-</v>
          </cell>
          <cell r="AA19">
            <v>7</v>
          </cell>
          <cell r="AN19">
            <v>457.5</v>
          </cell>
          <cell r="AO19">
            <v>3202.5</v>
          </cell>
          <cell r="AP19" t="str">
            <v>Active</v>
          </cell>
          <cell r="AQ19" t="str">
            <v>Sep</v>
          </cell>
          <cell r="AR19">
            <v>263</v>
          </cell>
          <cell r="AS19" t="str">
            <v>JPC - 224908</v>
          </cell>
        </row>
        <row r="20">
          <cell r="A20">
            <v>1</v>
          </cell>
          <cell r="B20" t="str">
            <v>CSK</v>
          </cell>
          <cell r="C20" t="str">
            <v>Shravanthi Polu</v>
          </cell>
          <cell r="D20" t="str">
            <v>Rubini Mohan</v>
          </cell>
          <cell r="E20" t="str">
            <v>VB2067</v>
          </cell>
          <cell r="F20" t="str">
            <v>Vinoth.L</v>
          </cell>
          <cell r="G20" t="str">
            <v>Akbar Ibrahim</v>
          </cell>
          <cell r="H20" t="str">
            <v>-</v>
          </cell>
          <cell r="I20" t="str">
            <v>Split</v>
          </cell>
          <cell r="J20" t="str">
            <v>-</v>
          </cell>
          <cell r="K20" t="str">
            <v>Remote</v>
          </cell>
          <cell r="L20" t="str">
            <v>Data Engineer</v>
          </cell>
          <cell r="M20" t="str">
            <v>June</v>
          </cell>
          <cell r="N20">
            <v>45817</v>
          </cell>
          <cell r="O20" t="str">
            <v>NA</v>
          </cell>
          <cell r="P20" t="str">
            <v>Citius Tech</v>
          </cell>
          <cell r="Q20" t="str">
            <v>Srinivasa</v>
          </cell>
          <cell r="R20" t="str">
            <v>Contract</v>
          </cell>
          <cell r="S20" t="str">
            <v>C2C</v>
          </cell>
          <cell r="T20" t="str">
            <v>USD</v>
          </cell>
          <cell r="U20" t="str">
            <v>Hourly</v>
          </cell>
          <cell r="V20">
            <v>71</v>
          </cell>
          <cell r="W20" t="str">
            <v>USD</v>
          </cell>
          <cell r="Y20" t="str">
            <v>-</v>
          </cell>
          <cell r="Z20" t="str">
            <v>-</v>
          </cell>
          <cell r="AA20">
            <v>8</v>
          </cell>
          <cell r="AN20">
            <v>632</v>
          </cell>
          <cell r="AO20">
            <v>5056</v>
          </cell>
          <cell r="AP20" t="str">
            <v>Active</v>
          </cell>
          <cell r="AQ20" t="str">
            <v>sep</v>
          </cell>
          <cell r="AR20">
            <v>250</v>
          </cell>
          <cell r="AS20" t="str">
            <v>JPC - 224909</v>
          </cell>
        </row>
        <row r="21">
          <cell r="B21" t="str">
            <v>Pioneer</v>
          </cell>
          <cell r="C21" t="str">
            <v>Pankaj Gupta</v>
          </cell>
          <cell r="D21" t="str">
            <v>Ansh Singh Rathore</v>
          </cell>
          <cell r="E21" t="str">
            <v>VB2046</v>
          </cell>
          <cell r="F21" t="str">
            <v>Lucky Jain</v>
          </cell>
          <cell r="G21" t="str">
            <v>Lucky Jain</v>
          </cell>
          <cell r="I21" t="str">
            <v>Individual</v>
          </cell>
          <cell r="J21" t="str">
            <v>NA</v>
          </cell>
          <cell r="K21" t="str">
            <v>Litchfield MI</v>
          </cell>
          <cell r="L21" t="str">
            <v>SAP B1 Consultant</v>
          </cell>
          <cell r="M21" t="str">
            <v>June</v>
          </cell>
          <cell r="N21">
            <v>45826</v>
          </cell>
          <cell r="O21">
            <v>45856</v>
          </cell>
          <cell r="P21" t="str">
            <v>Visionet</v>
          </cell>
          <cell r="Q21" t="str">
            <v>Shane Lee</v>
          </cell>
          <cell r="R21" t="str">
            <v>Contract</v>
          </cell>
          <cell r="S21" t="str">
            <v>C2C</v>
          </cell>
          <cell r="T21" t="str">
            <v>USD</v>
          </cell>
          <cell r="U21" t="str">
            <v>Hourly</v>
          </cell>
          <cell r="V21">
            <v>105</v>
          </cell>
          <cell r="W21" t="str">
            <v>USD</v>
          </cell>
          <cell r="X21">
            <v>0</v>
          </cell>
          <cell r="Y21">
            <v>0</v>
          </cell>
          <cell r="Z21">
            <v>0</v>
          </cell>
          <cell r="AA21">
            <v>7.25</v>
          </cell>
          <cell r="AO21">
            <v>0</v>
          </cell>
          <cell r="AP21" t="str">
            <v>No Bill No Pay</v>
          </cell>
          <cell r="AQ21" t="str">
            <v>No bill no pay</v>
          </cell>
          <cell r="AR21">
            <v>237</v>
          </cell>
          <cell r="AS21" t="str">
            <v>JPC - 224910</v>
          </cell>
        </row>
        <row r="22">
          <cell r="B22" t="str">
            <v>Pioneer</v>
          </cell>
          <cell r="C22" t="str">
            <v>Balwan Singh</v>
          </cell>
          <cell r="D22" t="str">
            <v>Rishabh Singh</v>
          </cell>
          <cell r="E22" t="str">
            <v>VB1240</v>
          </cell>
          <cell r="F22" t="str">
            <v>Lucky Jain</v>
          </cell>
          <cell r="G22" t="str">
            <v>Lucky Jain</v>
          </cell>
          <cell r="I22" t="str">
            <v>Individual</v>
          </cell>
          <cell r="J22" t="str">
            <v>NA</v>
          </cell>
          <cell r="K22" t="str">
            <v>Remote</v>
          </cell>
          <cell r="L22" t="str">
            <v>Snowflake Architect</v>
          </cell>
          <cell r="M22" t="str">
            <v>June</v>
          </cell>
          <cell r="N22">
            <v>45831</v>
          </cell>
          <cell r="O22">
            <v>45937</v>
          </cell>
          <cell r="P22" t="str">
            <v>Visionet</v>
          </cell>
          <cell r="Q22" t="str">
            <v>Santosh Mrg</v>
          </cell>
          <cell r="R22" t="str">
            <v>Contract</v>
          </cell>
          <cell r="S22" t="str">
            <v>C2C</v>
          </cell>
          <cell r="T22" t="str">
            <v>USD</v>
          </cell>
          <cell r="U22" t="str">
            <v>Hourly</v>
          </cell>
          <cell r="V22">
            <v>98</v>
          </cell>
          <cell r="W22" t="str">
            <v>USD</v>
          </cell>
          <cell r="X22">
            <v>0</v>
          </cell>
          <cell r="Y22">
            <v>0</v>
          </cell>
          <cell r="Z22">
            <v>0</v>
          </cell>
          <cell r="AA22">
            <v>15</v>
          </cell>
          <cell r="AB22">
            <v>16</v>
          </cell>
          <cell r="AN22">
            <v>536</v>
          </cell>
          <cell r="AO22">
            <v>8040</v>
          </cell>
          <cell r="AP22" t="str">
            <v>Done</v>
          </cell>
          <cell r="AQ22" t="str">
            <v>Sep</v>
          </cell>
          <cell r="AR22">
            <v>224</v>
          </cell>
          <cell r="AS22" t="str">
            <v>JPC - 224911</v>
          </cell>
        </row>
        <row r="23">
          <cell r="A23">
            <v>1</v>
          </cell>
          <cell r="B23" t="str">
            <v>CSK</v>
          </cell>
          <cell r="C23" t="str">
            <v>Navin Kumar Vishwakarma</v>
          </cell>
          <cell r="D23" t="str">
            <v>Sriram Arasu</v>
          </cell>
          <cell r="E23" t="str">
            <v>VB2055</v>
          </cell>
          <cell r="F23" t="str">
            <v>Vinoth.L</v>
          </cell>
          <cell r="G23" t="str">
            <v>Vinoth.L</v>
          </cell>
          <cell r="H23" t="str">
            <v>-</v>
          </cell>
          <cell r="I23" t="str">
            <v>Individual</v>
          </cell>
          <cell r="J23" t="str">
            <v>-</v>
          </cell>
          <cell r="K23" t="str">
            <v>Remote</v>
          </cell>
          <cell r="L23" t="str">
            <v>Data Engineer</v>
          </cell>
          <cell r="M23" t="str">
            <v>June</v>
          </cell>
          <cell r="N23">
            <v>45817</v>
          </cell>
          <cell r="O23" t="str">
            <v>NA</v>
          </cell>
          <cell r="P23" t="str">
            <v>Citius Tech</v>
          </cell>
          <cell r="Q23" t="str">
            <v>Srinivasa</v>
          </cell>
          <cell r="R23" t="str">
            <v>Contract</v>
          </cell>
          <cell r="S23" t="str">
            <v>C2C</v>
          </cell>
          <cell r="T23" t="str">
            <v>USD</v>
          </cell>
          <cell r="U23" t="str">
            <v>Hourly</v>
          </cell>
          <cell r="V23">
            <v>71</v>
          </cell>
          <cell r="W23" t="str">
            <v>USD</v>
          </cell>
          <cell r="Y23" t="str">
            <v>-</v>
          </cell>
          <cell r="Z23" t="str">
            <v>-</v>
          </cell>
          <cell r="AA23">
            <v>6</v>
          </cell>
          <cell r="AN23">
            <v>632</v>
          </cell>
          <cell r="AO23">
            <v>3792</v>
          </cell>
          <cell r="AP23" t="str">
            <v>Active</v>
          </cell>
          <cell r="AQ23" t="str">
            <v>Sep</v>
          </cell>
          <cell r="AR23">
            <v>211</v>
          </cell>
          <cell r="AS23" t="str">
            <v>JPC - 224912</v>
          </cell>
        </row>
        <row r="24">
          <cell r="A24">
            <v>1</v>
          </cell>
          <cell r="B24" t="str">
            <v>CSK</v>
          </cell>
          <cell r="C24" t="str">
            <v>Ayyappa Minnekanti</v>
          </cell>
          <cell r="D24" t="str">
            <v>J Gayathri</v>
          </cell>
          <cell r="E24" t="str">
            <v>VB1298</v>
          </cell>
          <cell r="F24" t="str">
            <v>Vinoth.L</v>
          </cell>
          <cell r="G24" t="str">
            <v>Vinoth.L</v>
          </cell>
          <cell r="H24" t="str">
            <v>-</v>
          </cell>
          <cell r="I24" t="str">
            <v>Individual</v>
          </cell>
          <cell r="J24" t="str">
            <v>-</v>
          </cell>
          <cell r="K24" t="str">
            <v>Remote</v>
          </cell>
          <cell r="L24" t="str">
            <v>Mulesoft Developer</v>
          </cell>
          <cell r="M24" t="str">
            <v>June</v>
          </cell>
          <cell r="N24">
            <v>45826</v>
          </cell>
          <cell r="O24" t="str">
            <v>NA</v>
          </cell>
          <cell r="P24" t="str">
            <v>Citius Tech</v>
          </cell>
          <cell r="Q24" t="str">
            <v>Srinivasa</v>
          </cell>
          <cell r="R24" t="str">
            <v>Contract</v>
          </cell>
          <cell r="S24" t="str">
            <v>C2C</v>
          </cell>
          <cell r="T24" t="str">
            <v>USD</v>
          </cell>
          <cell r="U24" t="str">
            <v>Hourly</v>
          </cell>
          <cell r="V24">
            <v>76</v>
          </cell>
          <cell r="W24" t="str">
            <v>USD</v>
          </cell>
          <cell r="Y24" t="str">
            <v>-</v>
          </cell>
          <cell r="Z24" t="str">
            <v>-</v>
          </cell>
          <cell r="AA24">
            <v>11</v>
          </cell>
          <cell r="AN24">
            <v>584</v>
          </cell>
          <cell r="AO24">
            <v>6424</v>
          </cell>
          <cell r="AP24" t="str">
            <v>Active</v>
          </cell>
          <cell r="AQ24" t="str">
            <v>Sep</v>
          </cell>
          <cell r="AR24">
            <v>150</v>
          </cell>
          <cell r="AS24" t="str">
            <v>JPC - 224913</v>
          </cell>
        </row>
        <row r="25">
          <cell r="A25">
            <v>1</v>
          </cell>
          <cell r="B25" t="str">
            <v>Pioneer</v>
          </cell>
          <cell r="C25" t="str">
            <v>Rajanikanth Bhamidipati</v>
          </cell>
          <cell r="D25" t="str">
            <v>Ansh Singh Rathore</v>
          </cell>
          <cell r="E25" t="str">
            <v>VB2046</v>
          </cell>
          <cell r="F25" t="str">
            <v>Lucky Jain</v>
          </cell>
          <cell r="G25" t="str">
            <v>Lucky Jain</v>
          </cell>
          <cell r="I25" t="str">
            <v>Individual</v>
          </cell>
          <cell r="J25" t="str">
            <v>NA</v>
          </cell>
          <cell r="K25" t="str">
            <v>Remote</v>
          </cell>
          <cell r="L25" t="str">
            <v>Lead Java Developer</v>
          </cell>
          <cell r="M25" t="str">
            <v>July</v>
          </cell>
          <cell r="N25">
            <v>45852</v>
          </cell>
          <cell r="O25" t="str">
            <v>NA</v>
          </cell>
          <cell r="P25" t="str">
            <v>Visionet</v>
          </cell>
          <cell r="Q25" t="str">
            <v>Santosh Mrg</v>
          </cell>
          <cell r="R25" t="str">
            <v>Contract</v>
          </cell>
          <cell r="S25" t="str">
            <v>C2C</v>
          </cell>
          <cell r="T25" t="str">
            <v>USD</v>
          </cell>
          <cell r="U25" t="str">
            <v>Hourly</v>
          </cell>
          <cell r="V25">
            <v>95</v>
          </cell>
          <cell r="W25" t="str">
            <v>USD</v>
          </cell>
          <cell r="X25">
            <v>0</v>
          </cell>
          <cell r="Y25">
            <v>0</v>
          </cell>
          <cell r="Z25">
            <v>0</v>
          </cell>
          <cell r="AA25">
            <v>15</v>
          </cell>
          <cell r="AB25">
            <v>20</v>
          </cell>
          <cell r="AN25">
            <v>424</v>
          </cell>
          <cell r="AO25">
            <v>6360</v>
          </cell>
          <cell r="AP25" t="str">
            <v>Active</v>
          </cell>
          <cell r="AQ25" t="str">
            <v>Sep</v>
          </cell>
          <cell r="AR25">
            <v>438</v>
          </cell>
          <cell r="AS25" t="str">
            <v>JPC - 224914</v>
          </cell>
        </row>
        <row r="26">
          <cell r="A26">
            <v>1</v>
          </cell>
          <cell r="B26" t="str">
            <v>Pioneer</v>
          </cell>
          <cell r="C26" t="str">
            <v>Terrance W. Robinson</v>
          </cell>
          <cell r="D26" t="str">
            <v>Abhishek Rajpoot</v>
          </cell>
          <cell r="E26" t="str">
            <v>VB0914</v>
          </cell>
          <cell r="F26" t="str">
            <v>Lucky Jain</v>
          </cell>
          <cell r="G26" t="str">
            <v>Lucky Jain</v>
          </cell>
          <cell r="I26" t="str">
            <v>Individual</v>
          </cell>
          <cell r="J26" t="str">
            <v>NA</v>
          </cell>
          <cell r="K26" t="str">
            <v>Remote</v>
          </cell>
          <cell r="L26" t="str">
            <v>Report Developer</v>
          </cell>
          <cell r="M26" t="str">
            <v>July</v>
          </cell>
          <cell r="N26">
            <v>45852</v>
          </cell>
          <cell r="O26" t="str">
            <v>NA</v>
          </cell>
          <cell r="P26" t="str">
            <v>Visionet</v>
          </cell>
          <cell r="Q26" t="str">
            <v>Santosh Mrg</v>
          </cell>
          <cell r="R26" t="str">
            <v>Contract</v>
          </cell>
          <cell r="S26" t="str">
            <v>W2</v>
          </cell>
          <cell r="T26" t="str">
            <v>USD</v>
          </cell>
          <cell r="U26" t="str">
            <v>Hourly</v>
          </cell>
          <cell r="V26">
            <v>75</v>
          </cell>
          <cell r="W26" t="str">
            <v>USD</v>
          </cell>
          <cell r="X26">
            <v>0</v>
          </cell>
          <cell r="Y26">
            <v>0</v>
          </cell>
          <cell r="Z26">
            <v>0</v>
          </cell>
          <cell r="AA26">
            <v>15</v>
          </cell>
          <cell r="AB26">
            <v>17.5</v>
          </cell>
          <cell r="AN26">
            <v>448</v>
          </cell>
          <cell r="AO26">
            <v>6720</v>
          </cell>
          <cell r="AP26" t="str">
            <v>Active</v>
          </cell>
          <cell r="AQ26" t="str">
            <v>Sep</v>
          </cell>
          <cell r="AR26">
            <v>432</v>
          </cell>
          <cell r="AS26" t="str">
            <v>JPC - 224915</v>
          </cell>
        </row>
        <row r="27">
          <cell r="A27">
            <v>1</v>
          </cell>
          <cell r="B27" t="str">
            <v>CSK</v>
          </cell>
          <cell r="C27" t="str">
            <v>Emmanuel Guilherme Junior      </v>
          </cell>
          <cell r="D27" t="str">
            <v>Ajith Gunasekar</v>
          </cell>
          <cell r="E27" t="str">
            <v>VB1068</v>
          </cell>
          <cell r="F27" t="str">
            <v>Akbar Ibrahim</v>
          </cell>
          <cell r="G27" t="str">
            <v>Akbar Ibrahim</v>
          </cell>
          <cell r="H27" t="str">
            <v>-</v>
          </cell>
          <cell r="I27" t="str">
            <v>Individual</v>
          </cell>
          <cell r="J27" t="str">
            <v>-</v>
          </cell>
          <cell r="K27" t="str">
            <v>Remote</v>
          </cell>
          <cell r="L27" t="str">
            <v>Security Advisor</v>
          </cell>
          <cell r="M27" t="str">
            <v>July</v>
          </cell>
          <cell r="N27">
            <v>45839</v>
          </cell>
          <cell r="O27">
            <v>45899</v>
          </cell>
          <cell r="P27" t="str">
            <v>Cigniti Coforge</v>
          </cell>
          <cell r="Q27" t="str">
            <v>Harsha Pommineni</v>
          </cell>
          <cell r="R27" t="str">
            <v>Contract</v>
          </cell>
          <cell r="S27" t="str">
            <v>C2C</v>
          </cell>
          <cell r="T27" t="str">
            <v>CAD</v>
          </cell>
          <cell r="U27" t="str">
            <v>Hourly</v>
          </cell>
          <cell r="V27">
            <v>95</v>
          </cell>
          <cell r="W27" t="str">
            <v>CAD</v>
          </cell>
          <cell r="X27" t="str">
            <v>-</v>
          </cell>
          <cell r="Y27" t="str">
            <v>-</v>
          </cell>
          <cell r="AA27">
            <v>6</v>
          </cell>
          <cell r="AN27">
            <v>354</v>
          </cell>
          <cell r="AO27">
            <v>2124</v>
          </cell>
          <cell r="AP27" t="str">
            <v>Active</v>
          </cell>
          <cell r="AQ27" t="str">
            <v>Sep</v>
          </cell>
          <cell r="AR27">
            <v>136</v>
          </cell>
          <cell r="AS27" t="str">
            <v>JPC - 224916</v>
          </cell>
        </row>
        <row r="28">
          <cell r="A28">
            <v>1</v>
          </cell>
          <cell r="B28" t="str">
            <v>CSK</v>
          </cell>
          <cell r="C28" t="str">
            <v>Kiran Kumar Yenni_</v>
          </cell>
          <cell r="D28" t="str">
            <v>Pass thru</v>
          </cell>
          <cell r="E28" t="str">
            <v>-</v>
          </cell>
          <cell r="F28" t="str">
            <v>Akbar Ibrahim</v>
          </cell>
          <cell r="G28" t="str">
            <v>Akbar Ibrahim</v>
          </cell>
          <cell r="I28" t="str">
            <v>Pass thru</v>
          </cell>
          <cell r="J28" t="str">
            <v>-</v>
          </cell>
          <cell r="K28" t="str">
            <v>Remote</v>
          </cell>
          <cell r="L28" t="str">
            <v>Fullstack .Net Developer</v>
          </cell>
          <cell r="M28" t="str">
            <v>July</v>
          </cell>
          <cell r="N28">
            <v>45846</v>
          </cell>
          <cell r="O28" t="str">
            <v>NA</v>
          </cell>
          <cell r="P28" t="str">
            <v>Apexon</v>
          </cell>
          <cell r="Q28" t="str">
            <v>Atharv Vivek Laddha</v>
          </cell>
          <cell r="R28" t="str">
            <v>Contract</v>
          </cell>
          <cell r="S28" t="str">
            <v>C2C</v>
          </cell>
          <cell r="T28" t="str">
            <v>USD</v>
          </cell>
          <cell r="U28" t="str">
            <v>Hourly</v>
          </cell>
          <cell r="V28">
            <v>74</v>
          </cell>
          <cell r="W28" t="str">
            <v>USD</v>
          </cell>
          <cell r="X28" t="str">
            <v>-</v>
          </cell>
          <cell r="Y28" t="str">
            <v>-</v>
          </cell>
          <cell r="AA28">
            <v>1</v>
          </cell>
          <cell r="AN28">
            <v>280</v>
          </cell>
          <cell r="AO28">
            <v>280</v>
          </cell>
          <cell r="AP28" t="str">
            <v>Active</v>
          </cell>
          <cell r="AQ28" t="str">
            <v>aug</v>
          </cell>
          <cell r="AR28">
            <v>438</v>
          </cell>
          <cell r="AS28" t="str">
            <v>JPC - 224917</v>
          </cell>
        </row>
        <row r="29">
          <cell r="A29">
            <v>1</v>
          </cell>
          <cell r="B29" t="str">
            <v>CSK</v>
          </cell>
          <cell r="C29" t="str">
            <v>Sumit Kumar Chahal</v>
          </cell>
          <cell r="D29" t="str">
            <v>Dinesh Veluchamy</v>
          </cell>
          <cell r="E29" t="str">
            <v>VB1069</v>
          </cell>
          <cell r="F29" t="str">
            <v>Vinoth.L</v>
          </cell>
          <cell r="G29" t="str">
            <v>Vinoth.L</v>
          </cell>
          <cell r="H29" t="str">
            <v>-</v>
          </cell>
          <cell r="I29" t="str">
            <v>Individual</v>
          </cell>
          <cell r="J29" t="str">
            <v>-</v>
          </cell>
          <cell r="K29" t="str">
            <v>Remote</v>
          </cell>
          <cell r="L29" t="str">
            <v>Business Process Consultant</v>
          </cell>
          <cell r="M29" t="str">
            <v>July</v>
          </cell>
          <cell r="N29">
            <v>45853</v>
          </cell>
          <cell r="O29" t="str">
            <v>NA</v>
          </cell>
          <cell r="P29" t="str">
            <v>Citius Tech</v>
          </cell>
          <cell r="Q29" t="str">
            <v>Srinivasa</v>
          </cell>
          <cell r="R29" t="str">
            <v>Contract</v>
          </cell>
          <cell r="S29" t="str">
            <v>C2C</v>
          </cell>
          <cell r="T29" t="str">
            <v>USD</v>
          </cell>
          <cell r="U29" t="str">
            <v>Hourly</v>
          </cell>
          <cell r="V29">
            <v>78</v>
          </cell>
          <cell r="W29" t="str">
            <v>USD</v>
          </cell>
          <cell r="X29" t="str">
            <v>-</v>
          </cell>
          <cell r="Y29" t="str">
            <v>-</v>
          </cell>
          <cell r="AA29">
            <v>8</v>
          </cell>
          <cell r="AN29">
            <v>440</v>
          </cell>
          <cell r="AO29">
            <v>3520</v>
          </cell>
          <cell r="AP29" t="str">
            <v>Active</v>
          </cell>
          <cell r="AQ29" t="str">
            <v>Sep</v>
          </cell>
          <cell r="AR29">
            <v>406</v>
          </cell>
          <cell r="AS29" t="str">
            <v>JPC - 224918</v>
          </cell>
        </row>
        <row r="30">
          <cell r="A30">
            <v>1</v>
          </cell>
          <cell r="B30" t="str">
            <v>Pioneer</v>
          </cell>
          <cell r="C30" t="str">
            <v>Sravanthi Mareddy</v>
          </cell>
          <cell r="D30" t="str">
            <v>Arpit Juneja</v>
          </cell>
          <cell r="E30" t="str">
            <v>VB1887</v>
          </cell>
          <cell r="F30" t="str">
            <v>Vinay Kumar Pandey</v>
          </cell>
          <cell r="G30" t="str">
            <v>Lucky Jain</v>
          </cell>
          <cell r="I30" t="str">
            <v>Individual</v>
          </cell>
          <cell r="J30" t="str">
            <v>NA</v>
          </cell>
          <cell r="K30" t="str">
            <v>Remote</v>
          </cell>
          <cell r="L30" t="str">
            <v>Oracle Docucorp Product Developer</v>
          </cell>
          <cell r="M30" t="str">
            <v>August</v>
          </cell>
          <cell r="N30">
            <v>45880</v>
          </cell>
          <cell r="O30" t="str">
            <v>NA</v>
          </cell>
          <cell r="P30" t="str">
            <v>Mphasis</v>
          </cell>
          <cell r="Q30" t="str">
            <v>Rishabh Sinha</v>
          </cell>
          <cell r="R30" t="str">
            <v>Contract</v>
          </cell>
          <cell r="S30" t="str">
            <v>C2C</v>
          </cell>
          <cell r="T30" t="str">
            <v>USD</v>
          </cell>
          <cell r="U30" t="str">
            <v>Hourly</v>
          </cell>
          <cell r="V30">
            <v>77</v>
          </cell>
          <cell r="W30" t="str">
            <v>USD</v>
          </cell>
          <cell r="X30" t="str">
            <v>Rs. 80000</v>
          </cell>
          <cell r="Y30">
            <v>0</v>
          </cell>
          <cell r="Z30">
            <v>0</v>
          </cell>
          <cell r="AA30">
            <v>10</v>
          </cell>
          <cell r="AN30">
            <v>288</v>
          </cell>
          <cell r="AO30">
            <v>2880</v>
          </cell>
          <cell r="AP30" t="str">
            <v>Active</v>
          </cell>
          <cell r="AQ30" t="str">
            <v>Sep</v>
          </cell>
          <cell r="AR30">
            <v>393</v>
          </cell>
          <cell r="AS30" t="str">
            <v>JPC - 224919</v>
          </cell>
        </row>
        <row r="31">
          <cell r="A31">
            <v>1</v>
          </cell>
          <cell r="B31" t="str">
            <v>Pioneer</v>
          </cell>
          <cell r="C31" t="str">
            <v>Andrea T. Kraus</v>
          </cell>
          <cell r="D31" t="str">
            <v>Abhishek Rajpoot</v>
          </cell>
          <cell r="E31" t="str">
            <v>VB0914</v>
          </cell>
          <cell r="F31" t="str">
            <v>Lucky Jain</v>
          </cell>
          <cell r="G31" t="str">
            <v>Lucky Jain</v>
          </cell>
          <cell r="I31" t="str">
            <v>Individual</v>
          </cell>
          <cell r="J31" t="str">
            <v>NA</v>
          </cell>
          <cell r="K31" t="str">
            <v>Remote</v>
          </cell>
          <cell r="L31" t="str">
            <v>Training &amp; Awareness SME – IT Security</v>
          </cell>
          <cell r="M31" t="str">
            <v>August</v>
          </cell>
          <cell r="N31">
            <v>45889</v>
          </cell>
          <cell r="O31" t="str">
            <v>NA</v>
          </cell>
          <cell r="P31" t="str">
            <v>Visionet</v>
          </cell>
          <cell r="Q31" t="str">
            <v>Santosh Mrg</v>
          </cell>
          <cell r="R31" t="str">
            <v>Contract</v>
          </cell>
          <cell r="S31" t="str">
            <v>W2</v>
          </cell>
          <cell r="T31" t="str">
            <v>USD</v>
          </cell>
          <cell r="U31" t="str">
            <v>Hourly</v>
          </cell>
          <cell r="V31">
            <v>82</v>
          </cell>
          <cell r="W31" t="str">
            <v>USD</v>
          </cell>
          <cell r="X31">
            <v>0</v>
          </cell>
          <cell r="Y31">
            <v>0</v>
          </cell>
          <cell r="Z31">
            <v>0</v>
          </cell>
          <cell r="AA31">
            <v>13</v>
          </cell>
          <cell r="AN31">
            <v>227</v>
          </cell>
          <cell r="AO31">
            <v>2951</v>
          </cell>
          <cell r="AP31" t="str">
            <v>Active</v>
          </cell>
          <cell r="AQ31" t="str">
            <v>Sep</v>
          </cell>
          <cell r="AR31">
            <v>380</v>
          </cell>
          <cell r="AS31" t="str">
            <v>JPC - 224920</v>
          </cell>
        </row>
        <row r="32">
          <cell r="A32">
            <v>1</v>
          </cell>
          <cell r="B32" t="str">
            <v>CSK</v>
          </cell>
          <cell r="C32" t="str">
            <v>Pukar Khadka</v>
          </cell>
          <cell r="D32" t="str">
            <v>Pass thru</v>
          </cell>
          <cell r="E32" t="str">
            <v>-</v>
          </cell>
          <cell r="F32" t="str">
            <v>Akbar Ibrahim</v>
          </cell>
          <cell r="G32" t="str">
            <v>Akbar Ibrahim</v>
          </cell>
          <cell r="H32" t="str">
            <v>-</v>
          </cell>
          <cell r="I32" t="str">
            <v>Pass thru</v>
          </cell>
          <cell r="J32" t="str">
            <v>-</v>
          </cell>
          <cell r="K32" t="str">
            <v>Remote</v>
          </cell>
          <cell r="L32" t="str">
            <v>BI / Reports Developer</v>
          </cell>
          <cell r="M32" t="str">
            <v>August</v>
          </cell>
          <cell r="N32">
            <v>45875</v>
          </cell>
          <cell r="O32" t="str">
            <v>NA</v>
          </cell>
          <cell r="P32" t="str">
            <v>Apexon</v>
          </cell>
          <cell r="Q32" t="str">
            <v>Bhavani Santhanam</v>
          </cell>
          <cell r="R32" t="str">
            <v>Contract</v>
          </cell>
          <cell r="S32" t="str">
            <v>C2C</v>
          </cell>
          <cell r="T32" t="str">
            <v>USD</v>
          </cell>
          <cell r="U32" t="str">
            <v>Hourly</v>
          </cell>
          <cell r="V32">
            <v>69</v>
          </cell>
          <cell r="W32" t="str">
            <v>USD</v>
          </cell>
          <cell r="Y32" t="str">
            <v>-</v>
          </cell>
          <cell r="Z32" t="str">
            <v>-</v>
          </cell>
          <cell r="AA32">
            <v>1</v>
          </cell>
          <cell r="AN32">
            <v>312</v>
          </cell>
          <cell r="AO32">
            <v>312</v>
          </cell>
          <cell r="AP32" t="str">
            <v>Active</v>
          </cell>
          <cell r="AQ32" t="str">
            <v>Sep</v>
          </cell>
          <cell r="AR32">
            <v>367</v>
          </cell>
          <cell r="AS32" t="str">
            <v>JPC - 224921</v>
          </cell>
        </row>
        <row r="33">
          <cell r="A33">
            <v>1</v>
          </cell>
          <cell r="B33" t="str">
            <v>CSK</v>
          </cell>
          <cell r="C33" t="str">
            <v xml:space="preserve">Manpreet Singh </v>
          </cell>
          <cell r="D33" t="str">
            <v>Pass thru</v>
          </cell>
          <cell r="E33" t="str">
            <v>-</v>
          </cell>
          <cell r="F33" t="str">
            <v>Vinoth.L</v>
          </cell>
          <cell r="G33" t="str">
            <v>Vinoth.L</v>
          </cell>
          <cell r="H33" t="str">
            <v>-</v>
          </cell>
          <cell r="I33" t="str">
            <v>Pass thru</v>
          </cell>
          <cell r="J33" t="str">
            <v>-</v>
          </cell>
          <cell r="K33" t="str">
            <v>Remote</v>
          </cell>
          <cell r="L33" t="str">
            <v>Technical product Owner</v>
          </cell>
          <cell r="M33" t="str">
            <v>August</v>
          </cell>
          <cell r="N33">
            <v>45880</v>
          </cell>
          <cell r="O33" t="str">
            <v>NA</v>
          </cell>
          <cell r="P33" t="str">
            <v>Citius Tech</v>
          </cell>
          <cell r="Q33" t="str">
            <v>Karan</v>
          </cell>
          <cell r="R33" t="str">
            <v>Contract</v>
          </cell>
          <cell r="S33" t="str">
            <v>C2C</v>
          </cell>
          <cell r="T33" t="str">
            <v>USD</v>
          </cell>
          <cell r="U33" t="str">
            <v>Hourly</v>
          </cell>
          <cell r="V33">
            <v>70</v>
          </cell>
          <cell r="W33" t="str">
            <v>USD</v>
          </cell>
          <cell r="Y33" t="str">
            <v>-</v>
          </cell>
          <cell r="Z33" t="str">
            <v>-</v>
          </cell>
          <cell r="AA33">
            <v>2</v>
          </cell>
          <cell r="AN33">
            <v>288</v>
          </cell>
          <cell r="AO33">
            <v>576</v>
          </cell>
          <cell r="AP33" t="str">
            <v>Active</v>
          </cell>
          <cell r="AQ33" t="str">
            <v>Sep</v>
          </cell>
          <cell r="AR33">
            <v>354</v>
          </cell>
          <cell r="AS33" t="str">
            <v>JPC - 224922</v>
          </cell>
        </row>
        <row r="34">
          <cell r="A34">
            <v>1</v>
          </cell>
          <cell r="B34" t="str">
            <v>CSK</v>
          </cell>
          <cell r="C34" t="str">
            <v>Thulasi Ram Ruppa Krishnan</v>
          </cell>
          <cell r="D34" t="str">
            <v>M Harinath</v>
          </cell>
          <cell r="E34" t="str">
            <v>VB0541</v>
          </cell>
          <cell r="F34" t="str">
            <v>Vinoth.L</v>
          </cell>
          <cell r="G34" t="str">
            <v>Vinoth.L</v>
          </cell>
          <cell r="H34" t="str">
            <v>-</v>
          </cell>
          <cell r="I34" t="str">
            <v>Individual</v>
          </cell>
          <cell r="J34" t="str">
            <v>-</v>
          </cell>
          <cell r="K34" t="str">
            <v>Remote</v>
          </cell>
          <cell r="L34" t="str">
            <v>Data Analyst</v>
          </cell>
          <cell r="M34" t="str">
            <v>August</v>
          </cell>
          <cell r="N34">
            <v>45894</v>
          </cell>
          <cell r="O34" t="str">
            <v>NA</v>
          </cell>
          <cell r="P34" t="str">
            <v>Exavalu</v>
          </cell>
          <cell r="Q34" t="str">
            <v>Vijay Manimaran</v>
          </cell>
          <cell r="R34" t="str">
            <v>Contract</v>
          </cell>
          <cell r="S34" t="str">
            <v>C2C</v>
          </cell>
          <cell r="T34" t="str">
            <v>USD</v>
          </cell>
          <cell r="U34" t="str">
            <v>Hourly</v>
          </cell>
          <cell r="V34">
            <v>82</v>
          </cell>
          <cell r="W34" t="str">
            <v>USD</v>
          </cell>
          <cell r="Y34" t="str">
            <v>-</v>
          </cell>
          <cell r="Z34" t="str">
            <v>-</v>
          </cell>
          <cell r="AA34">
            <v>10</v>
          </cell>
          <cell r="AO34">
            <v>0</v>
          </cell>
          <cell r="AP34" t="str">
            <v>No Bill No Pay</v>
          </cell>
          <cell r="AQ34" t="str">
            <v>No bill no pay</v>
          </cell>
          <cell r="AR34">
            <v>341</v>
          </cell>
          <cell r="AS34" t="str">
            <v>JPC - 224923</v>
          </cell>
        </row>
        <row r="35">
          <cell r="A35">
            <v>1</v>
          </cell>
          <cell r="B35" t="str">
            <v>CSK</v>
          </cell>
          <cell r="C35" t="str">
            <v>Vinayaseshu Kumar Ginjupalli</v>
          </cell>
          <cell r="D35" t="str">
            <v>Dinesh Veluchamy</v>
          </cell>
          <cell r="E35" t="str">
            <v>VB1069</v>
          </cell>
          <cell r="F35" t="str">
            <v>Vinoth.L</v>
          </cell>
          <cell r="G35" t="str">
            <v>Vinoth.L</v>
          </cell>
          <cell r="H35" t="str">
            <v>-</v>
          </cell>
          <cell r="I35" t="str">
            <v>Individual</v>
          </cell>
          <cell r="J35" t="str">
            <v>-</v>
          </cell>
          <cell r="K35" t="str">
            <v>Remote</v>
          </cell>
          <cell r="L35" t="str">
            <v>Data Engineer</v>
          </cell>
          <cell r="M35" t="str">
            <v>August</v>
          </cell>
          <cell r="N35">
            <v>45896</v>
          </cell>
          <cell r="O35">
            <v>45944</v>
          </cell>
          <cell r="P35" t="str">
            <v>Citius Tech</v>
          </cell>
          <cell r="Q35" t="str">
            <v>Srinivasa</v>
          </cell>
          <cell r="R35" t="str">
            <v>Contract</v>
          </cell>
          <cell r="S35" t="str">
            <v>C2C</v>
          </cell>
          <cell r="T35" t="str">
            <v>USD</v>
          </cell>
          <cell r="U35" t="str">
            <v>Hourly</v>
          </cell>
          <cell r="V35">
            <v>68</v>
          </cell>
          <cell r="W35" t="str">
            <v>USD</v>
          </cell>
          <cell r="Y35" t="str">
            <v>-</v>
          </cell>
          <cell r="Z35" t="str">
            <v>-</v>
          </cell>
          <cell r="AA35">
            <v>4</v>
          </cell>
          <cell r="AN35">
            <v>192</v>
          </cell>
          <cell r="AO35">
            <v>768</v>
          </cell>
          <cell r="AP35" t="str">
            <v>Active</v>
          </cell>
          <cell r="AQ35" t="str">
            <v>Sep</v>
          </cell>
          <cell r="AR35">
            <v>328</v>
          </cell>
          <cell r="AS35" t="str">
            <v>JPC - 224924</v>
          </cell>
        </row>
        <row r="36">
          <cell r="A36">
            <v>1</v>
          </cell>
          <cell r="B36" t="str">
            <v>Pioneer</v>
          </cell>
          <cell r="C36" t="str">
            <v>Anuroop Nair</v>
          </cell>
          <cell r="D36" t="str">
            <v>Arpit Juneja</v>
          </cell>
          <cell r="E36" t="str">
            <v>VB1887</v>
          </cell>
          <cell r="F36" t="str">
            <v>Vinay Kumar Pandey</v>
          </cell>
          <cell r="G36" t="str">
            <v>Lucky Jain</v>
          </cell>
          <cell r="I36" t="str">
            <v>Individual</v>
          </cell>
          <cell r="J36" t="str">
            <v>NA</v>
          </cell>
          <cell r="K36" t="str">
            <v>Hosuton TX</v>
          </cell>
          <cell r="L36" t="str">
            <v>Scrum Master</v>
          </cell>
          <cell r="M36" t="str">
            <v>September</v>
          </cell>
          <cell r="N36">
            <v>45912</v>
          </cell>
          <cell r="O36" t="str">
            <v>NA</v>
          </cell>
          <cell r="P36" t="str">
            <v>Mphasis</v>
          </cell>
          <cell r="Q36" t="str">
            <v>Rishabh Sinha</v>
          </cell>
          <cell r="R36" t="str">
            <v>Contract</v>
          </cell>
          <cell r="S36" t="str">
            <v>C2C</v>
          </cell>
          <cell r="T36" t="str">
            <v>USD</v>
          </cell>
          <cell r="U36" t="str">
            <v>Hourly</v>
          </cell>
          <cell r="V36">
            <v>78</v>
          </cell>
          <cell r="W36" t="str">
            <v>USD</v>
          </cell>
          <cell r="X36" t="str">
            <v>Rs. 80000</v>
          </cell>
          <cell r="Y36">
            <v>0</v>
          </cell>
          <cell r="Z36">
            <v>0</v>
          </cell>
          <cell r="AA36">
            <v>10</v>
          </cell>
          <cell r="AN36">
            <v>104</v>
          </cell>
          <cell r="AO36">
            <v>1040</v>
          </cell>
          <cell r="AP36" t="str">
            <v>Active</v>
          </cell>
          <cell r="AQ36" t="str">
            <v>Sep</v>
          </cell>
          <cell r="AR36">
            <v>315</v>
          </cell>
          <cell r="AS36" t="str">
            <v>JPC - 224925</v>
          </cell>
        </row>
        <row r="37">
          <cell r="A37">
            <v>1</v>
          </cell>
          <cell r="B37" t="str">
            <v>CSK</v>
          </cell>
          <cell r="C37" t="str">
            <v>Srinath Koppula</v>
          </cell>
          <cell r="D37" t="str">
            <v>Dinesh Veluchamy</v>
          </cell>
          <cell r="E37" t="str">
            <v>VB1069</v>
          </cell>
          <cell r="F37" t="str">
            <v>Vinoth.L</v>
          </cell>
          <cell r="G37" t="str">
            <v>Vinoth.L</v>
          </cell>
          <cell r="H37" t="str">
            <v>-</v>
          </cell>
          <cell r="I37" t="str">
            <v>Individual</v>
          </cell>
          <cell r="J37" t="str">
            <v>-</v>
          </cell>
          <cell r="K37" t="str">
            <v>Remote</v>
          </cell>
          <cell r="L37" t="str">
            <v>Data Engineer</v>
          </cell>
          <cell r="M37" t="str">
            <v>September</v>
          </cell>
          <cell r="N37">
            <v>45922</v>
          </cell>
          <cell r="O37" t="str">
            <v>NA</v>
          </cell>
          <cell r="P37" t="str">
            <v>Citius Tech</v>
          </cell>
          <cell r="Q37" t="str">
            <v>Srinivasa</v>
          </cell>
          <cell r="R37" t="str">
            <v>Contract</v>
          </cell>
          <cell r="S37" t="str">
            <v>C2C</v>
          </cell>
          <cell r="T37" t="str">
            <v>USD</v>
          </cell>
          <cell r="U37" t="str">
            <v>Hourly</v>
          </cell>
          <cell r="V37">
            <v>80</v>
          </cell>
          <cell r="W37" t="str">
            <v>USD</v>
          </cell>
          <cell r="Y37" t="str">
            <v>-</v>
          </cell>
          <cell r="Z37" t="str">
            <v>-</v>
          </cell>
          <cell r="AA37">
            <v>2</v>
          </cell>
          <cell r="AN37">
            <v>56</v>
          </cell>
          <cell r="AO37">
            <v>112</v>
          </cell>
          <cell r="AP37" t="str">
            <v>Active</v>
          </cell>
          <cell r="AQ37" t="str">
            <v>Sep</v>
          </cell>
          <cell r="AR37">
            <v>302</v>
          </cell>
          <cell r="AS37" t="str">
            <v>JPC - 224926</v>
          </cell>
        </row>
        <row r="38">
          <cell r="A38">
            <v>1</v>
          </cell>
          <cell r="B38" t="str">
            <v>CSK</v>
          </cell>
          <cell r="C38" t="str">
            <v>Ruparani Nandan</v>
          </cell>
          <cell r="D38" t="str">
            <v>Jagan Prabhu Vedhagiri</v>
          </cell>
          <cell r="E38" t="str">
            <v>VB2171</v>
          </cell>
          <cell r="F38" t="str">
            <v>Vinoth.L</v>
          </cell>
          <cell r="G38" t="str">
            <v>Akbar Ibrahim</v>
          </cell>
          <cell r="H38" t="str">
            <v>-</v>
          </cell>
          <cell r="I38" t="str">
            <v>Split</v>
          </cell>
          <cell r="J38" t="str">
            <v>-</v>
          </cell>
          <cell r="K38" t="str">
            <v>Austin, TX</v>
          </cell>
          <cell r="L38" t="str">
            <v>SDET</v>
          </cell>
          <cell r="M38" t="str">
            <v>September</v>
          </cell>
          <cell r="N38">
            <v>45922</v>
          </cell>
          <cell r="O38" t="str">
            <v>NA</v>
          </cell>
          <cell r="P38" t="str">
            <v>Altimetrik</v>
          </cell>
          <cell r="Q38" t="str">
            <v>Sangeetha</v>
          </cell>
          <cell r="R38" t="str">
            <v>Contract</v>
          </cell>
          <cell r="S38" t="str">
            <v>C2C</v>
          </cell>
          <cell r="T38" t="str">
            <v>USD</v>
          </cell>
          <cell r="U38" t="str">
            <v>Hourly</v>
          </cell>
          <cell r="V38">
            <v>69</v>
          </cell>
          <cell r="W38" t="str">
            <v>USD</v>
          </cell>
          <cell r="Y38" t="str">
            <v>-</v>
          </cell>
          <cell r="Z38" t="str">
            <v>-</v>
          </cell>
          <cell r="AA38">
            <v>9</v>
          </cell>
          <cell r="AN38">
            <v>56</v>
          </cell>
          <cell r="AO38">
            <v>504</v>
          </cell>
          <cell r="AP38" t="str">
            <v>Active</v>
          </cell>
          <cell r="AQ38" t="str">
            <v>Sep</v>
          </cell>
          <cell r="AR38">
            <v>289</v>
          </cell>
          <cell r="AS38" t="str">
            <v>JPC - 224927</v>
          </cell>
        </row>
        <row r="39">
          <cell r="A39">
            <v>1</v>
          </cell>
          <cell r="B39" t="str">
            <v>CSK</v>
          </cell>
          <cell r="C39" t="str">
            <v>Abhinav Reddy Bobba</v>
          </cell>
          <cell r="D39" t="str">
            <v>Pass thru</v>
          </cell>
          <cell r="E39" t="str">
            <v>-</v>
          </cell>
          <cell r="F39" t="str">
            <v>Vinoth.L</v>
          </cell>
          <cell r="G39" t="str">
            <v>Vinoth.L</v>
          </cell>
          <cell r="H39" t="str">
            <v>-</v>
          </cell>
          <cell r="I39" t="str">
            <v>Pass thru</v>
          </cell>
          <cell r="J39" t="str">
            <v>-</v>
          </cell>
          <cell r="K39" t="str">
            <v>Remote</v>
          </cell>
          <cell r="L39" t="str">
            <v>Senior Data Engineer</v>
          </cell>
          <cell r="M39" t="str">
            <v>September</v>
          </cell>
          <cell r="N39">
            <v>45924</v>
          </cell>
          <cell r="O39" t="str">
            <v>NA</v>
          </cell>
          <cell r="P39" t="str">
            <v>Apexon</v>
          </cell>
          <cell r="Q39" t="str">
            <v xml:space="preserve">Shantanu Giri </v>
          </cell>
          <cell r="R39" t="str">
            <v>Contract</v>
          </cell>
          <cell r="S39" t="str">
            <v>C2C</v>
          </cell>
          <cell r="T39" t="str">
            <v>USD</v>
          </cell>
          <cell r="U39" t="str">
            <v>Hourly</v>
          </cell>
          <cell r="V39">
            <v>84</v>
          </cell>
          <cell r="W39" t="str">
            <v>USD</v>
          </cell>
          <cell r="Y39" t="str">
            <v>-</v>
          </cell>
          <cell r="Z39" t="str">
            <v>-</v>
          </cell>
          <cell r="AA39">
            <v>1</v>
          </cell>
          <cell r="AN39">
            <v>40</v>
          </cell>
          <cell r="AO39">
            <v>40</v>
          </cell>
          <cell r="AP39" t="str">
            <v>Active</v>
          </cell>
          <cell r="AQ39" t="str">
            <v>Sep</v>
          </cell>
          <cell r="AR39">
            <v>276</v>
          </cell>
          <cell r="AS39" t="str">
            <v>JPC - 224928</v>
          </cell>
        </row>
        <row r="40">
          <cell r="A40">
            <v>1</v>
          </cell>
          <cell r="B40" t="str">
            <v>Pioneer</v>
          </cell>
          <cell r="C40" t="str">
            <v>Curtis Ding</v>
          </cell>
          <cell r="D40" t="str">
            <v>Abhishek Rajpoot</v>
          </cell>
          <cell r="E40" t="str">
            <v>VB0914</v>
          </cell>
          <cell r="F40" t="str">
            <v>Vinay Kumar Pandey</v>
          </cell>
          <cell r="G40" t="str">
            <v>Lucky Jain</v>
          </cell>
          <cell r="I40" t="str">
            <v>Individual</v>
          </cell>
          <cell r="J40" t="str">
            <v>NA</v>
          </cell>
          <cell r="K40" t="str">
            <v>Remote</v>
          </cell>
          <cell r="L40" t="str">
            <v>Blackline System Admin</v>
          </cell>
          <cell r="M40" t="str">
            <v>September</v>
          </cell>
          <cell r="N40">
            <v>45917</v>
          </cell>
          <cell r="O40" t="str">
            <v>NA</v>
          </cell>
          <cell r="P40" t="str">
            <v>Mphasis</v>
          </cell>
          <cell r="Q40" t="str">
            <v>Rishabh Sinha</v>
          </cell>
          <cell r="R40" t="str">
            <v>Contract</v>
          </cell>
          <cell r="S40" t="str">
            <v>W2</v>
          </cell>
          <cell r="T40" t="str">
            <v>USD</v>
          </cell>
          <cell r="U40" t="str">
            <v>Hourly</v>
          </cell>
          <cell r="V40">
            <v>82</v>
          </cell>
          <cell r="W40" t="str">
            <v>USD</v>
          </cell>
          <cell r="X40" t="str">
            <v>Rs. 80000</v>
          </cell>
          <cell r="Y40">
            <v>0</v>
          </cell>
          <cell r="Z40">
            <v>0</v>
          </cell>
          <cell r="AA40">
            <v>7.25</v>
          </cell>
          <cell r="AN40">
            <v>80</v>
          </cell>
          <cell r="AO40">
            <v>580</v>
          </cell>
          <cell r="AP40" t="str">
            <v>Active</v>
          </cell>
          <cell r="AQ40" t="str">
            <v>Sep</v>
          </cell>
          <cell r="AR40">
            <v>263</v>
          </cell>
          <cell r="AS40" t="str">
            <v>JPC - 224929</v>
          </cell>
        </row>
        <row r="41">
          <cell r="A41">
            <v>1</v>
          </cell>
          <cell r="B41" t="str">
            <v>Pioneer</v>
          </cell>
          <cell r="C41" t="str">
            <v xml:space="preserve">Asif Yasin </v>
          </cell>
          <cell r="D41" t="str">
            <v>Prachi Verma</v>
          </cell>
          <cell r="E41" t="str">
            <v>VB1837</v>
          </cell>
          <cell r="F41" t="str">
            <v>Vinay Kumar Pandey</v>
          </cell>
          <cell r="G41" t="str">
            <v>Lucky Jain</v>
          </cell>
          <cell r="I41" t="str">
            <v>Individual</v>
          </cell>
          <cell r="J41" t="str">
            <v>NA</v>
          </cell>
          <cell r="K41" t="str">
            <v>Remote</v>
          </cell>
          <cell r="L41" t="str">
            <v>Business System Analyst</v>
          </cell>
          <cell r="M41" t="str">
            <v>October</v>
          </cell>
          <cell r="N41">
            <v>45931</v>
          </cell>
          <cell r="O41" t="str">
            <v>NA</v>
          </cell>
          <cell r="P41" t="str">
            <v>Mphasis</v>
          </cell>
          <cell r="Q41" t="str">
            <v>Rishabh Sinha</v>
          </cell>
          <cell r="R41" t="str">
            <v>Contract</v>
          </cell>
          <cell r="S41">
            <v>1099</v>
          </cell>
          <cell r="T41" t="str">
            <v>USD</v>
          </cell>
          <cell r="U41" t="str">
            <v>Hourly</v>
          </cell>
          <cell r="V41">
            <v>78</v>
          </cell>
          <cell r="W41" t="str">
            <v>USD</v>
          </cell>
          <cell r="X41" t="str">
            <v>Rs. 80000</v>
          </cell>
          <cell r="Y41">
            <v>0</v>
          </cell>
          <cell r="Z41">
            <v>0</v>
          </cell>
          <cell r="AA41">
            <v>8.4499999999999993</v>
          </cell>
          <cell r="AO41">
            <v>0</v>
          </cell>
          <cell r="AP41" t="str">
            <v>Active</v>
          </cell>
          <cell r="AR41">
            <v>250</v>
          </cell>
          <cell r="AS41" t="str">
            <v>JPC - 224930</v>
          </cell>
        </row>
        <row r="42">
          <cell r="A42">
            <v>1</v>
          </cell>
          <cell r="B42" t="str">
            <v>CSK</v>
          </cell>
          <cell r="C42" t="str">
            <v>Abilash Subramaniam</v>
          </cell>
          <cell r="D42" t="str">
            <v>M Harinath</v>
          </cell>
          <cell r="E42" t="str">
            <v>VB0541</v>
          </cell>
          <cell r="F42" t="str">
            <v>Mayank Saxena</v>
          </cell>
          <cell r="G42" t="str">
            <v>Vinoth L</v>
          </cell>
          <cell r="H42" t="str">
            <v>-</v>
          </cell>
          <cell r="I42" t="str">
            <v>Individual</v>
          </cell>
          <cell r="J42" t="str">
            <v>-</v>
          </cell>
          <cell r="K42" t="str">
            <v>Remote</v>
          </cell>
          <cell r="L42" t="str">
            <v>Sr. Data Engineer</v>
          </cell>
          <cell r="M42" t="str">
            <v>October</v>
          </cell>
          <cell r="N42">
            <v>45937</v>
          </cell>
          <cell r="O42" t="str">
            <v>NA</v>
          </cell>
          <cell r="P42" t="str">
            <v>Tredence</v>
          </cell>
          <cell r="Q42" t="str">
            <v>Harshit Tiwari</v>
          </cell>
          <cell r="R42" t="str">
            <v>Contract</v>
          </cell>
          <cell r="S42" t="str">
            <v>C2C</v>
          </cell>
          <cell r="T42" t="str">
            <v>USD</v>
          </cell>
          <cell r="U42" t="str">
            <v>Hourly</v>
          </cell>
          <cell r="V42">
            <v>95</v>
          </cell>
          <cell r="W42" t="str">
            <v>USD</v>
          </cell>
          <cell r="X42" t="str">
            <v>-</v>
          </cell>
          <cell r="Y42" t="str">
            <v>-</v>
          </cell>
          <cell r="AA42">
            <v>9</v>
          </cell>
          <cell r="AO42">
            <v>0</v>
          </cell>
          <cell r="AP42" t="str">
            <v>Active</v>
          </cell>
          <cell r="AR42">
            <v>237</v>
          </cell>
          <cell r="AS42" t="str">
            <v>JPC - 224931</v>
          </cell>
        </row>
        <row r="43">
          <cell r="A43">
            <v>1</v>
          </cell>
          <cell r="B43" t="str">
            <v>CSK</v>
          </cell>
          <cell r="C43" t="str">
            <v>Surendar Kumar Amduri</v>
          </cell>
          <cell r="D43" t="str">
            <v>Dasive Prakash S</v>
          </cell>
          <cell r="E43" t="str">
            <v>VB2162</v>
          </cell>
          <cell r="F43" t="str">
            <v>Vinoth L</v>
          </cell>
          <cell r="G43" t="str">
            <v>Akbar Ibrahim</v>
          </cell>
          <cell r="H43" t="str">
            <v>-</v>
          </cell>
          <cell r="I43" t="str">
            <v>Individual</v>
          </cell>
          <cell r="J43" t="str">
            <v>-</v>
          </cell>
          <cell r="K43" t="str">
            <v>Remote</v>
          </cell>
          <cell r="L43" t="str">
            <v>Data Engineer</v>
          </cell>
          <cell r="M43" t="str">
            <v>October</v>
          </cell>
          <cell r="N43">
            <v>45950</v>
          </cell>
          <cell r="O43" t="str">
            <v>NA</v>
          </cell>
          <cell r="P43" t="str">
            <v>Citius Tech</v>
          </cell>
          <cell r="Q43" t="str">
            <v>Srinivasa</v>
          </cell>
          <cell r="R43" t="str">
            <v>Contract</v>
          </cell>
          <cell r="S43" t="str">
            <v>C2C</v>
          </cell>
          <cell r="T43" t="str">
            <v>USD</v>
          </cell>
          <cell r="U43" t="str">
            <v>Hourly</v>
          </cell>
          <cell r="V43">
            <v>72</v>
          </cell>
          <cell r="W43" t="str">
            <v>USD</v>
          </cell>
          <cell r="X43" t="str">
            <v>-</v>
          </cell>
          <cell r="Y43" t="str">
            <v>-</v>
          </cell>
          <cell r="AA43">
            <v>5</v>
          </cell>
          <cell r="AO43">
            <v>0</v>
          </cell>
          <cell r="AP43" t="str">
            <v>Active</v>
          </cell>
          <cell r="AR43">
            <v>224</v>
          </cell>
          <cell r="AS43" t="str">
            <v>JPC - 224932</v>
          </cell>
        </row>
        <row r="44">
          <cell r="A44">
            <v>1</v>
          </cell>
          <cell r="B44" t="str">
            <v>Pioneer - Lucky+Vantedge</v>
          </cell>
          <cell r="C44" t="str">
            <v>Rajeev Madan</v>
          </cell>
          <cell r="D44" t="str">
            <v>Abhishek Rajpoot</v>
          </cell>
          <cell r="E44" t="str">
            <v>VB0914</v>
          </cell>
          <cell r="F44" t="str">
            <v>Rashmi Bhatnagar</v>
          </cell>
          <cell r="G44" t="str">
            <v>Lucky Jain</v>
          </cell>
          <cell r="H44" t="str">
            <v>Rashmi Bhatnagar</v>
          </cell>
          <cell r="I44" t="str">
            <v>Individual</v>
          </cell>
          <cell r="K44" t="str">
            <v>Remote</v>
          </cell>
          <cell r="L44" t="str">
            <v>Salesforce Program Manager</v>
          </cell>
          <cell r="M44" t="str">
            <v>January</v>
          </cell>
          <cell r="N44">
            <v>45670</v>
          </cell>
          <cell r="O44" t="str">
            <v>NA</v>
          </cell>
          <cell r="P44" t="str">
            <v>Myridius</v>
          </cell>
          <cell r="Q44" t="str">
            <v>Abhinav Kolhe</v>
          </cell>
          <cell r="R44" t="str">
            <v>FTE</v>
          </cell>
          <cell r="S44" t="str">
            <v>FTE</v>
          </cell>
          <cell r="U44" t="str">
            <v>USD</v>
          </cell>
          <cell r="AA44" t="str">
            <v>NA</v>
          </cell>
          <cell r="AN44" t="str">
            <v>NA</v>
          </cell>
          <cell r="AO44">
            <v>5000</v>
          </cell>
          <cell r="AP44" t="str">
            <v>Done</v>
          </cell>
          <cell r="AQ44" t="str">
            <v>Done</v>
          </cell>
          <cell r="AR44">
            <v>211</v>
          </cell>
          <cell r="AS44" t="str">
            <v>JPC - 224933</v>
          </cell>
        </row>
        <row r="45">
          <cell r="A45">
            <v>1</v>
          </cell>
          <cell r="B45" t="str">
            <v>CSK+Vantedge</v>
          </cell>
          <cell r="C45" t="str">
            <v>Ashish Garg </v>
          </cell>
          <cell r="D45" t="str">
            <v>M Harinath</v>
          </cell>
          <cell r="E45" t="str">
            <v>VB0541</v>
          </cell>
          <cell r="F45" t="str">
            <v>Mayank Saxena</v>
          </cell>
          <cell r="G45" t="str">
            <v>Vinoth L</v>
          </cell>
          <cell r="H45" t="str">
            <v>Rashmi Bhatnagar</v>
          </cell>
          <cell r="I45" t="str">
            <v>Split</v>
          </cell>
          <cell r="K45" t="str">
            <v>Remote</v>
          </cell>
          <cell r="M45" t="str">
            <v>January</v>
          </cell>
          <cell r="N45">
            <v>45684</v>
          </cell>
          <cell r="O45" t="str">
            <v>NA</v>
          </cell>
          <cell r="P45" t="str">
            <v>Tredence</v>
          </cell>
          <cell r="Q45" t="str">
            <v>Asha Malviya</v>
          </cell>
          <cell r="R45" t="str">
            <v>FTE</v>
          </cell>
          <cell r="S45" t="str">
            <v>FTE</v>
          </cell>
          <cell r="U45" t="str">
            <v>USD</v>
          </cell>
          <cell r="AA45" t="str">
            <v>NA</v>
          </cell>
          <cell r="AN45" t="str">
            <v>NA</v>
          </cell>
          <cell r="AO45">
            <v>14000</v>
          </cell>
          <cell r="AP45" t="str">
            <v>Done</v>
          </cell>
          <cell r="AQ45" t="str">
            <v>Done</v>
          </cell>
          <cell r="AR45">
            <v>150</v>
          </cell>
          <cell r="AS45" t="str">
            <v>JPC - 224934</v>
          </cell>
        </row>
        <row r="46">
          <cell r="A46">
            <v>1</v>
          </cell>
          <cell r="B46" t="str">
            <v>CSK+Vantedge</v>
          </cell>
          <cell r="C46" t="str">
            <v>Kaleemullah Brohi</v>
          </cell>
          <cell r="D46" t="str">
            <v>Dinesh Veluchamy</v>
          </cell>
          <cell r="E46" t="str">
            <v>VB1069</v>
          </cell>
          <cell r="F46" t="str">
            <v>Mayank Saxena</v>
          </cell>
          <cell r="G46" t="str">
            <v>Vinoth L</v>
          </cell>
          <cell r="H46" t="str">
            <v>Rashmi Bhatnagar</v>
          </cell>
          <cell r="I46" t="str">
            <v>Split</v>
          </cell>
          <cell r="K46" t="str">
            <v>Remote</v>
          </cell>
          <cell r="L46" t="str">
            <v>Manager</v>
          </cell>
          <cell r="M46" t="str">
            <v>February</v>
          </cell>
          <cell r="N46">
            <v>45691</v>
          </cell>
          <cell r="O46" t="str">
            <v>NA</v>
          </cell>
          <cell r="P46" t="str">
            <v>Tredence</v>
          </cell>
          <cell r="Q46" t="str">
            <v>Asha</v>
          </cell>
          <cell r="R46" t="str">
            <v>FTE</v>
          </cell>
          <cell r="S46" t="str">
            <v>FTE</v>
          </cell>
          <cell r="U46" t="str">
            <v>USD</v>
          </cell>
          <cell r="AA46" t="str">
            <v>NA</v>
          </cell>
          <cell r="AN46" t="str">
            <v>NA</v>
          </cell>
          <cell r="AO46">
            <v>12400</v>
          </cell>
          <cell r="AP46" t="str">
            <v>Done</v>
          </cell>
          <cell r="AQ46" t="str">
            <v>Done</v>
          </cell>
          <cell r="AR46">
            <v>438</v>
          </cell>
          <cell r="AS46" t="str">
            <v>JPC - 224935</v>
          </cell>
        </row>
        <row r="47">
          <cell r="A47">
            <v>1</v>
          </cell>
          <cell r="B47" t="str">
            <v>CSK</v>
          </cell>
          <cell r="C47" t="str">
            <v xml:space="preserve">David Richter </v>
          </cell>
          <cell r="D47" t="str">
            <v>Archana K</v>
          </cell>
          <cell r="E47" t="str">
            <v>VB2018</v>
          </cell>
          <cell r="F47" t="str">
            <v>Vinoth L</v>
          </cell>
          <cell r="G47" t="str">
            <v>Akbar I</v>
          </cell>
          <cell r="I47" t="str">
            <v>Split</v>
          </cell>
          <cell r="K47" t="str">
            <v>Remote</v>
          </cell>
          <cell r="L47" t="str">
            <v>Resume Writer</v>
          </cell>
          <cell r="M47" t="str">
            <v>February</v>
          </cell>
          <cell r="N47">
            <v>45698</v>
          </cell>
          <cell r="O47" t="str">
            <v>NA</v>
          </cell>
          <cell r="P47" t="str">
            <v>Relevante</v>
          </cell>
          <cell r="R47" t="str">
            <v>FTE</v>
          </cell>
          <cell r="S47" t="str">
            <v>FTE</v>
          </cell>
          <cell r="U47" t="str">
            <v>USD</v>
          </cell>
          <cell r="AA47" t="str">
            <v>NA</v>
          </cell>
          <cell r="AN47" t="str">
            <v>NA</v>
          </cell>
          <cell r="AO47">
            <v>4200</v>
          </cell>
          <cell r="AP47" t="str">
            <v>Pending</v>
          </cell>
          <cell r="AQ47" t="str">
            <v>Pending</v>
          </cell>
          <cell r="AR47">
            <v>432</v>
          </cell>
          <cell r="AS47" t="str">
            <v>JPC - 224936</v>
          </cell>
        </row>
        <row r="48">
          <cell r="A48">
            <v>1</v>
          </cell>
          <cell r="B48" t="str">
            <v>CSK+Vantedge</v>
          </cell>
          <cell r="C48" t="str">
            <v>Yogendra Gijare</v>
          </cell>
          <cell r="D48" t="str">
            <v>M Harinath</v>
          </cell>
          <cell r="E48" t="str">
            <v>VB0541</v>
          </cell>
          <cell r="F48" t="str">
            <v>Mayank Saxena</v>
          </cell>
          <cell r="G48" t="str">
            <v>Vinoth L</v>
          </cell>
          <cell r="H48" t="str">
            <v>Rashmi Bhatnagar</v>
          </cell>
          <cell r="I48" t="str">
            <v>Split</v>
          </cell>
          <cell r="K48" t="str">
            <v>Remote</v>
          </cell>
          <cell r="L48" t="str">
            <v>Azure Data Architect</v>
          </cell>
          <cell r="M48" t="str">
            <v>March</v>
          </cell>
          <cell r="N48">
            <v>45726</v>
          </cell>
          <cell r="O48" t="str">
            <v>NA</v>
          </cell>
          <cell r="P48" t="str">
            <v>Tredence</v>
          </cell>
          <cell r="Q48" t="str">
            <v>Harshit</v>
          </cell>
          <cell r="R48" t="str">
            <v>FTE</v>
          </cell>
          <cell r="S48" t="str">
            <v>FTE</v>
          </cell>
          <cell r="U48" t="str">
            <v>USD</v>
          </cell>
          <cell r="AA48" t="str">
            <v>NA</v>
          </cell>
          <cell r="AN48" t="str">
            <v>NA</v>
          </cell>
          <cell r="AO48">
            <v>13600</v>
          </cell>
          <cell r="AP48" t="str">
            <v>Done</v>
          </cell>
          <cell r="AQ48" t="str">
            <v>Done</v>
          </cell>
          <cell r="AR48">
            <v>136</v>
          </cell>
          <cell r="AS48" t="str">
            <v>JPC - 224937</v>
          </cell>
        </row>
        <row r="49">
          <cell r="A49">
            <v>1</v>
          </cell>
          <cell r="B49" t="str">
            <v>CSK</v>
          </cell>
          <cell r="C49" t="str">
            <v>Jodi Homaune</v>
          </cell>
          <cell r="D49" t="str">
            <v>Ajith Gunasekar</v>
          </cell>
          <cell r="E49" t="str">
            <v>VB1068</v>
          </cell>
          <cell r="F49" t="str">
            <v>Vinoth L</v>
          </cell>
          <cell r="G49" t="str">
            <v>Akbar I</v>
          </cell>
          <cell r="I49" t="str">
            <v>Split</v>
          </cell>
          <cell r="K49" t="str">
            <v>Remote</v>
          </cell>
          <cell r="L49" t="str">
            <v>Resume Writer</v>
          </cell>
          <cell r="M49" t="str">
            <v>March</v>
          </cell>
          <cell r="N49">
            <v>45726</v>
          </cell>
          <cell r="O49" t="str">
            <v>NA</v>
          </cell>
          <cell r="P49" t="str">
            <v>Relevante</v>
          </cell>
          <cell r="R49" t="str">
            <v>FTE</v>
          </cell>
          <cell r="S49" t="str">
            <v>FTE</v>
          </cell>
          <cell r="U49" t="str">
            <v>USD</v>
          </cell>
          <cell r="AA49" t="str">
            <v>NA</v>
          </cell>
          <cell r="AN49" t="str">
            <v>NA</v>
          </cell>
          <cell r="AO49">
            <v>4515</v>
          </cell>
          <cell r="AP49" t="str">
            <v>Pending</v>
          </cell>
          <cell r="AQ49" t="str">
            <v>Pending</v>
          </cell>
          <cell r="AR49">
            <v>438</v>
          </cell>
          <cell r="AS49" t="str">
            <v>JPC - 224938</v>
          </cell>
        </row>
        <row r="50">
          <cell r="A50">
            <v>1</v>
          </cell>
          <cell r="B50" t="str">
            <v>CSK+Vantedge</v>
          </cell>
          <cell r="C50" t="str">
            <v>Scot Shields</v>
          </cell>
          <cell r="D50" t="str">
            <v>M Harinath</v>
          </cell>
          <cell r="E50" t="str">
            <v>VB0541</v>
          </cell>
          <cell r="F50" t="str">
            <v>Mayank Saxena</v>
          </cell>
          <cell r="G50" t="str">
            <v>Vinoth L</v>
          </cell>
          <cell r="H50" t="str">
            <v>Rashmi Bhatnagar</v>
          </cell>
          <cell r="I50" t="str">
            <v>Split</v>
          </cell>
          <cell r="K50" t="str">
            <v>Gen AI Engineer</v>
          </cell>
          <cell r="L50" t="str">
            <v>Jun</v>
          </cell>
          <cell r="M50" t="str">
            <v>June</v>
          </cell>
          <cell r="N50">
            <v>45817</v>
          </cell>
          <cell r="O50" t="str">
            <v>NA</v>
          </cell>
          <cell r="P50" t="str">
            <v>Tredence</v>
          </cell>
          <cell r="R50" t="str">
            <v>FTE</v>
          </cell>
          <cell r="S50" t="str">
            <v>FTE</v>
          </cell>
          <cell r="U50" t="str">
            <v>USD</v>
          </cell>
          <cell r="X50" t="str">
            <v>,</v>
          </cell>
          <cell r="AA50" t="str">
            <v>NA</v>
          </cell>
          <cell r="AN50" t="str">
            <v>NA</v>
          </cell>
          <cell r="AO50">
            <v>16800</v>
          </cell>
          <cell r="AP50" t="str">
            <v>Done</v>
          </cell>
          <cell r="AQ50" t="str">
            <v>Done</v>
          </cell>
          <cell r="AR50">
            <v>406</v>
          </cell>
          <cell r="AS50" t="str">
            <v>JPC - 224939</v>
          </cell>
        </row>
        <row r="51">
          <cell r="A51">
            <v>1</v>
          </cell>
          <cell r="B51" t="str">
            <v>CSK</v>
          </cell>
          <cell r="C51" t="str">
            <v>Phanichander Katakam</v>
          </cell>
          <cell r="D51" t="str">
            <v>M Harinath</v>
          </cell>
          <cell r="E51" t="str">
            <v>VB0541</v>
          </cell>
          <cell r="F51" t="str">
            <v>Vinoth L</v>
          </cell>
          <cell r="G51" t="str">
            <v>Vinoth L</v>
          </cell>
          <cell r="I51" t="str">
            <v>Individual</v>
          </cell>
          <cell r="K51" t="str">
            <v>Onsite</v>
          </cell>
          <cell r="L51" t="str">
            <v>React JS Developer</v>
          </cell>
          <cell r="M51" t="str">
            <v>June</v>
          </cell>
          <cell r="N51">
            <v>45824</v>
          </cell>
          <cell r="O51" t="str">
            <v>NA</v>
          </cell>
          <cell r="P51" t="str">
            <v>Apexon</v>
          </cell>
          <cell r="R51" t="str">
            <v>FTE</v>
          </cell>
          <cell r="S51" t="str">
            <v>FTE</v>
          </cell>
          <cell r="U51" t="str">
            <v>USD</v>
          </cell>
          <cell r="AA51" t="str">
            <v>NA</v>
          </cell>
          <cell r="AN51" t="str">
            <v>NA</v>
          </cell>
          <cell r="AO51">
            <v>2000</v>
          </cell>
          <cell r="AP51" t="str">
            <v>Pending</v>
          </cell>
          <cell r="AQ51" t="str">
            <v>Pending</v>
          </cell>
          <cell r="AR51">
            <v>393</v>
          </cell>
          <cell r="AS51" t="str">
            <v>JPC - 224940</v>
          </cell>
        </row>
        <row r="52">
          <cell r="A52">
            <v>1</v>
          </cell>
          <cell r="B52" t="str">
            <v>Pioneer - Lucky</v>
          </cell>
          <cell r="C52" t="str">
            <v>Sandeep Samrat Bendala.</v>
          </cell>
          <cell r="D52" t="str">
            <v>Pragati Mishra</v>
          </cell>
          <cell r="E52" t="str">
            <v>VB1276</v>
          </cell>
          <cell r="F52" t="str">
            <v>Lucky Jain</v>
          </cell>
          <cell r="G52" t="str">
            <v>Lucky Jain</v>
          </cell>
          <cell r="I52" t="str">
            <v>Individual</v>
          </cell>
          <cell r="K52" t="str">
            <v>Remote</v>
          </cell>
          <cell r="L52" t="str">
            <v>SIAM Delivery Lead</v>
          </cell>
          <cell r="M52" t="str">
            <v>July</v>
          </cell>
          <cell r="N52">
            <v>45845</v>
          </cell>
          <cell r="O52" t="str">
            <v>NA</v>
          </cell>
          <cell r="P52" t="str">
            <v>Mphasis</v>
          </cell>
          <cell r="Q52" t="str">
            <v>Rishabh Sinha</v>
          </cell>
          <cell r="R52" t="str">
            <v>FTE</v>
          </cell>
          <cell r="S52" t="str">
            <v>FTE</v>
          </cell>
          <cell r="U52" t="str">
            <v>USD</v>
          </cell>
          <cell r="AA52" t="str">
            <v>NA</v>
          </cell>
          <cell r="AN52" t="str">
            <v>NA</v>
          </cell>
          <cell r="AO52">
            <v>4000</v>
          </cell>
          <cell r="AP52" t="str">
            <v>Done</v>
          </cell>
          <cell r="AQ52" t="str">
            <v>Done</v>
          </cell>
          <cell r="AR52">
            <v>380</v>
          </cell>
          <cell r="AS52" t="str">
            <v>JPC - 224941</v>
          </cell>
        </row>
        <row r="53">
          <cell r="A53">
            <v>1</v>
          </cell>
          <cell r="B53" t="str">
            <v>CSK+Vantedge</v>
          </cell>
          <cell r="C53" t="str">
            <v>Kishore Babu Tenneti</v>
          </cell>
          <cell r="D53" t="str">
            <v>M Harinath</v>
          </cell>
          <cell r="E53" t="str">
            <v>VB0541</v>
          </cell>
          <cell r="F53" t="str">
            <v>Mayank Saxena</v>
          </cell>
          <cell r="G53" t="str">
            <v>Vinoth L</v>
          </cell>
          <cell r="H53" t="str">
            <v>Rashmi Bhatnagar</v>
          </cell>
          <cell r="I53" t="str">
            <v>Split</v>
          </cell>
          <cell r="K53" t="str">
            <v>Remote</v>
          </cell>
          <cell r="L53" t="str">
            <v>Data Architect</v>
          </cell>
          <cell r="M53" t="str">
            <v> September</v>
          </cell>
          <cell r="N53">
            <v>45903</v>
          </cell>
          <cell r="O53" t="str">
            <v>NA</v>
          </cell>
          <cell r="P53" t="str">
            <v>Tredence</v>
          </cell>
          <cell r="Q53" t="str">
            <v>Harshit</v>
          </cell>
          <cell r="R53" t="str">
            <v>FTE</v>
          </cell>
          <cell r="S53" t="str">
            <v>FTE</v>
          </cell>
          <cell r="U53" t="str">
            <v>USD</v>
          </cell>
          <cell r="AA53" t="str">
            <v>NA</v>
          </cell>
          <cell r="AN53" t="str">
            <v>NA</v>
          </cell>
          <cell r="AO53">
            <v>12400</v>
          </cell>
          <cell r="AP53" t="str">
            <v>Pending</v>
          </cell>
          <cell r="AQ53" t="str">
            <v>Pending</v>
          </cell>
          <cell r="AR53">
            <v>367</v>
          </cell>
          <cell r="AS53" t="str">
            <v>JPC - 224942</v>
          </cell>
        </row>
        <row r="54">
          <cell r="A54">
            <v>1</v>
          </cell>
          <cell r="B54" t="str">
            <v>CSK</v>
          </cell>
          <cell r="C54" t="str">
            <v xml:space="preserve">Taylor Fink </v>
          </cell>
          <cell r="D54" t="str">
            <v>Ajith Gunasekar</v>
          </cell>
          <cell r="E54" t="str">
            <v>VB1068</v>
          </cell>
          <cell r="F54" t="str">
            <v>Vinoth L</v>
          </cell>
          <cell r="G54" t="str">
            <v>Akbar I</v>
          </cell>
          <cell r="I54" t="str">
            <v>Split</v>
          </cell>
          <cell r="K54" t="str">
            <v>Remote</v>
          </cell>
          <cell r="L54" t="str">
            <v>Business Development Executive</v>
          </cell>
          <cell r="M54" t="str">
            <v>October</v>
          </cell>
          <cell r="N54">
            <v>45931</v>
          </cell>
          <cell r="O54" t="str">
            <v>NA</v>
          </cell>
          <cell r="P54" t="str">
            <v>Relevante</v>
          </cell>
          <cell r="R54" t="str">
            <v>FTE</v>
          </cell>
          <cell r="S54" t="str">
            <v>FTE</v>
          </cell>
          <cell r="U54" t="str">
            <v>USD</v>
          </cell>
          <cell r="AA54" t="str">
            <v>NA</v>
          </cell>
          <cell r="AN54" t="str">
            <v>NA</v>
          </cell>
          <cell r="AO54">
            <v>4200</v>
          </cell>
          <cell r="AP54" t="str">
            <v>Pending</v>
          </cell>
          <cell r="AQ54" t="str">
            <v>Pending</v>
          </cell>
          <cell r="AR54">
            <v>354</v>
          </cell>
          <cell r="AS54" t="str">
            <v>JPC - 224943</v>
          </cell>
        </row>
        <row r="55">
          <cell r="A55">
            <v>1</v>
          </cell>
          <cell r="B55" t="str">
            <v>CSK</v>
          </cell>
          <cell r="C55" t="str">
            <v>Giga Songulashvil</v>
          </cell>
          <cell r="D55" t="str">
            <v>M Harinath</v>
          </cell>
          <cell r="E55" t="str">
            <v>VB0541</v>
          </cell>
          <cell r="F55" t="str">
            <v>Vinoth L</v>
          </cell>
          <cell r="G55" t="str">
            <v>Vinoth L</v>
          </cell>
          <cell r="I55" t="str">
            <v>Individual</v>
          </cell>
          <cell r="K55" t="str">
            <v>Remote</v>
          </cell>
          <cell r="L55" t="str">
            <v>React JS Developer</v>
          </cell>
          <cell r="M55" t="str">
            <v>October</v>
          </cell>
          <cell r="N55">
            <v>45957</v>
          </cell>
          <cell r="O55" t="str">
            <v>NA</v>
          </cell>
          <cell r="P55" t="str">
            <v>Apexon</v>
          </cell>
          <cell r="R55" t="str">
            <v>FTE</v>
          </cell>
          <cell r="S55" t="str">
            <v>FTE</v>
          </cell>
          <cell r="U55" t="str">
            <v>USD</v>
          </cell>
          <cell r="AA55" t="str">
            <v>NA</v>
          </cell>
          <cell r="AN55" t="str">
            <v>NA</v>
          </cell>
          <cell r="AO55">
            <v>2500</v>
          </cell>
          <cell r="AP55" t="str">
            <v>Pending</v>
          </cell>
          <cell r="AQ55" t="str">
            <v>Pending</v>
          </cell>
          <cell r="AR55">
            <v>341</v>
          </cell>
          <cell r="AS55" t="str">
            <v>JPC - 224944</v>
          </cell>
        </row>
        <row r="56">
          <cell r="A56">
            <v>1</v>
          </cell>
          <cell r="B56" t="str">
            <v>Trust</v>
          </cell>
          <cell r="C56" t="str">
            <v>Wisdom Agbangba Primus</v>
          </cell>
          <cell r="D56" t="str">
            <v>Sana Zohra</v>
          </cell>
          <cell r="F56" t="str">
            <v>Harsh Agrawal</v>
          </cell>
          <cell r="G56" t="str">
            <v>Harsh Agrawal</v>
          </cell>
          <cell r="L56" t="str">
            <v xml:space="preserve">S/4 Hana Group Reporting Lead </v>
          </cell>
          <cell r="M56" t="str">
            <v>January</v>
          </cell>
          <cell r="N56">
            <v>45678</v>
          </cell>
          <cell r="O56">
            <v>45716</v>
          </cell>
          <cell r="P56" t="str">
            <v>BirlaSoft</v>
          </cell>
          <cell r="R56" t="str">
            <v>Contract</v>
          </cell>
          <cell r="S56" t="str">
            <v>W2</v>
          </cell>
          <cell r="V56">
            <v>105</v>
          </cell>
          <cell r="AA56">
            <v>7.95</v>
          </cell>
          <cell r="AN56">
            <v>0</v>
          </cell>
          <cell r="AO56">
            <v>0</v>
          </cell>
          <cell r="AP56" t="str">
            <v>No Bill No Pay</v>
          </cell>
          <cell r="AQ56" t="str">
            <v>No bill no pay</v>
          </cell>
          <cell r="AR56">
            <v>328</v>
          </cell>
          <cell r="AS56" t="str">
            <v>JPC - 224945</v>
          </cell>
        </row>
        <row r="57">
          <cell r="A57">
            <v>1</v>
          </cell>
          <cell r="B57" t="str">
            <v>Titans</v>
          </cell>
          <cell r="C57" t="str">
            <v>Krishna Priya Gadiraju</v>
          </cell>
          <cell r="D57" t="str">
            <v>Manish Kumar Dhiman</v>
          </cell>
          <cell r="F57" t="str">
            <v>Abhishek Yadav</v>
          </cell>
          <cell r="G57" t="str">
            <v>Abhishek Yadav</v>
          </cell>
          <cell r="L57" t="str">
            <v>Oracle D2K Forms Support Analyst</v>
          </cell>
          <cell r="M57" t="str">
            <v>February</v>
          </cell>
          <cell r="N57">
            <v>45691</v>
          </cell>
          <cell r="O57">
            <v>45883</v>
          </cell>
          <cell r="P57" t="str">
            <v>Genpact</v>
          </cell>
          <cell r="R57" t="str">
            <v>Contract</v>
          </cell>
          <cell r="S57" t="str">
            <v>W2</v>
          </cell>
          <cell r="V57">
            <v>65</v>
          </cell>
          <cell r="AA57">
            <v>6</v>
          </cell>
          <cell r="AN57">
            <v>664</v>
          </cell>
          <cell r="AO57">
            <v>3984</v>
          </cell>
          <cell r="AP57" t="str">
            <v>Active</v>
          </cell>
          <cell r="AQ57" t="str">
            <v>May</v>
          </cell>
          <cell r="AR57">
            <v>315</v>
          </cell>
          <cell r="AS57" t="str">
            <v>JPC - 224946</v>
          </cell>
        </row>
        <row r="58">
          <cell r="A58">
            <v>1</v>
          </cell>
          <cell r="B58" t="str">
            <v>Wellness Warriors-IT</v>
          </cell>
          <cell r="C58" t="str">
            <v>Jeffrey Ronaldo Ortiz</v>
          </cell>
          <cell r="D58" t="str">
            <v xml:space="preserve">Mohd Ateeq </v>
          </cell>
          <cell r="F58" t="str">
            <v xml:space="preserve">Abdul Rahman </v>
          </cell>
          <cell r="G58" t="str">
            <v xml:space="preserve">Abdul Rahman </v>
          </cell>
          <cell r="L58" t="str">
            <v xml:space="preserve">Data Engineer </v>
          </cell>
          <cell r="M58" t="str">
            <v>February</v>
          </cell>
          <cell r="N58">
            <v>45701</v>
          </cell>
          <cell r="O58">
            <v>45935</v>
          </cell>
          <cell r="P58" t="str">
            <v>Xebia</v>
          </cell>
          <cell r="R58" t="str">
            <v>Contract</v>
          </cell>
          <cell r="S58" t="str">
            <v>W2</v>
          </cell>
          <cell r="V58">
            <v>70</v>
          </cell>
          <cell r="AA58">
            <v>5</v>
          </cell>
          <cell r="AN58">
            <v>824</v>
          </cell>
          <cell r="AO58">
            <v>4120</v>
          </cell>
          <cell r="AP58" t="str">
            <v>Active</v>
          </cell>
          <cell r="AQ58" t="str">
            <v>Sep</v>
          </cell>
          <cell r="AR58">
            <v>302</v>
          </cell>
          <cell r="AS58" t="str">
            <v>JPC - 224947</v>
          </cell>
        </row>
        <row r="59">
          <cell r="A59">
            <v>1</v>
          </cell>
          <cell r="B59" t="str">
            <v>Trust</v>
          </cell>
          <cell r="C59" t="str">
            <v>Abdullah Sikandar</v>
          </cell>
          <cell r="D59" t="str">
            <v>Ashish Saxena</v>
          </cell>
          <cell r="F59" t="str">
            <v>Ashish Saxena</v>
          </cell>
          <cell r="G59" t="str">
            <v>Harsh Agarwal</v>
          </cell>
          <cell r="L59" t="str">
            <v>Cloud Security SME</v>
          </cell>
          <cell r="M59" t="str">
            <v>February</v>
          </cell>
          <cell r="N59">
            <v>45701</v>
          </cell>
          <cell r="O59">
            <v>45786</v>
          </cell>
          <cell r="P59" t="str">
            <v xml:space="preserve">Global Logic </v>
          </cell>
          <cell r="R59" t="str">
            <v>Contract</v>
          </cell>
          <cell r="S59" t="str">
            <v>W2</v>
          </cell>
          <cell r="V59">
            <v>100</v>
          </cell>
          <cell r="AA59">
            <v>2</v>
          </cell>
          <cell r="AN59">
            <v>1012</v>
          </cell>
          <cell r="AO59">
            <v>2024</v>
          </cell>
          <cell r="AP59" t="str">
            <v>Active</v>
          </cell>
          <cell r="AQ59" t="str">
            <v>Sep</v>
          </cell>
          <cell r="AR59">
            <v>289</v>
          </cell>
          <cell r="AS59" t="str">
            <v>JPC - 224948</v>
          </cell>
        </row>
        <row r="60">
          <cell r="A60">
            <v>1</v>
          </cell>
          <cell r="B60" t="str">
            <v>Mavericks</v>
          </cell>
          <cell r="C60" t="str">
            <v>Ja Love</v>
          </cell>
          <cell r="D60" t="str">
            <v xml:space="preserve">Vaibhav Kumar </v>
          </cell>
          <cell r="F60" t="str">
            <v xml:space="preserve">Saurabh Mishra </v>
          </cell>
          <cell r="G60" t="str">
            <v xml:space="preserve">Saurabh Mishra </v>
          </cell>
          <cell r="L60" t="str">
            <v>Guidewire System Analyst</v>
          </cell>
          <cell r="M60" t="str">
            <v>February</v>
          </cell>
          <cell r="N60">
            <v>45698</v>
          </cell>
          <cell r="O60">
            <v>45838</v>
          </cell>
          <cell r="P60" t="str">
            <v>Quess GTS</v>
          </cell>
          <cell r="R60" t="str">
            <v>Contract</v>
          </cell>
          <cell r="S60" t="str">
            <v>W2</v>
          </cell>
          <cell r="V60">
            <v>80</v>
          </cell>
          <cell r="AA60">
            <v>4</v>
          </cell>
          <cell r="AN60">
            <v>12</v>
          </cell>
          <cell r="AO60">
            <v>48</v>
          </cell>
          <cell r="AP60" t="str">
            <v>Quit</v>
          </cell>
          <cell r="AQ60">
            <v>45775</v>
          </cell>
          <cell r="AR60">
            <v>276</v>
          </cell>
          <cell r="AS60" t="str">
            <v>JPC - 224949</v>
          </cell>
        </row>
        <row r="61">
          <cell r="A61">
            <v>1</v>
          </cell>
          <cell r="B61" t="str">
            <v>Trust</v>
          </cell>
          <cell r="C61" t="str">
            <v>William Alexander  Fuentes</v>
          </cell>
          <cell r="D61" t="str">
            <v>Rishabh Kapoor</v>
          </cell>
          <cell r="F61" t="str">
            <v>Harsh Agrawal</v>
          </cell>
          <cell r="G61" t="str">
            <v>Harsh Agrawal</v>
          </cell>
          <cell r="L61" t="str">
            <v>Desktop Engineer -</v>
          </cell>
          <cell r="M61" t="str">
            <v>February</v>
          </cell>
          <cell r="N61">
            <v>45707</v>
          </cell>
          <cell r="O61">
            <v>45713</v>
          </cell>
          <cell r="P61" t="str">
            <v>Movate</v>
          </cell>
          <cell r="R61" t="str">
            <v>Contract</v>
          </cell>
          <cell r="S61" t="str">
            <v>W2</v>
          </cell>
          <cell r="V61">
            <v>30</v>
          </cell>
          <cell r="AA61">
            <v>8.0500000000000007</v>
          </cell>
          <cell r="AN61">
            <v>1032</v>
          </cell>
          <cell r="AO61">
            <v>8307.6</v>
          </cell>
          <cell r="AP61" t="str">
            <v>Active</v>
          </cell>
          <cell r="AQ61" t="str">
            <v>Sep</v>
          </cell>
          <cell r="AR61">
            <v>263</v>
          </cell>
          <cell r="AS61" t="str">
            <v>JPC - 224950</v>
          </cell>
        </row>
        <row r="62">
          <cell r="A62">
            <v>1</v>
          </cell>
          <cell r="B62" t="str">
            <v>Mavericks</v>
          </cell>
          <cell r="C62" t="str">
            <v xml:space="preserve">Mausamiben Patel </v>
          </cell>
          <cell r="D62" t="str">
            <v>Khatib Ur Rahman</v>
          </cell>
          <cell r="F62" t="str">
            <v>Kashif Nabi</v>
          </cell>
          <cell r="G62" t="str">
            <v>Kashif Nabi</v>
          </cell>
          <cell r="L62" t="str">
            <v>Salesforce Functional Lead</v>
          </cell>
          <cell r="M62" t="str">
            <v>April</v>
          </cell>
          <cell r="N62">
            <v>45754</v>
          </cell>
          <cell r="O62">
            <v>45884</v>
          </cell>
          <cell r="P62" t="str">
            <v>ReWorld</v>
          </cell>
          <cell r="R62" t="str">
            <v>Contract</v>
          </cell>
          <cell r="S62" t="str">
            <v>W2</v>
          </cell>
          <cell r="V62">
            <v>105</v>
          </cell>
          <cell r="AA62">
            <v>5.65</v>
          </cell>
          <cell r="AN62">
            <v>979</v>
          </cell>
          <cell r="AO62">
            <v>5531.35</v>
          </cell>
          <cell r="AP62" t="str">
            <v>Active</v>
          </cell>
          <cell r="AQ62" t="str">
            <v>Sep</v>
          </cell>
          <cell r="AR62">
            <v>250</v>
          </cell>
          <cell r="AS62" t="str">
            <v>JPC - 224951</v>
          </cell>
        </row>
        <row r="63">
          <cell r="A63">
            <v>1</v>
          </cell>
          <cell r="B63" t="str">
            <v>Titans</v>
          </cell>
          <cell r="C63" t="str">
            <v>Earl Samuel Wilkerson</v>
          </cell>
          <cell r="D63" t="str">
            <v>Priya Yadav</v>
          </cell>
          <cell r="F63" t="str">
            <v>Abhishek yadav</v>
          </cell>
          <cell r="G63" t="str">
            <v>Abhishek yadav</v>
          </cell>
          <cell r="L63" t="str">
            <v>Accounting &amp; Reconciliation Consultant</v>
          </cell>
          <cell r="M63" t="str">
            <v>May</v>
          </cell>
          <cell r="N63">
            <v>45789</v>
          </cell>
          <cell r="O63">
            <v>45839</v>
          </cell>
          <cell r="P63" t="str">
            <v>Genpact</v>
          </cell>
          <cell r="R63" t="str">
            <v>Contract</v>
          </cell>
          <cell r="S63" t="str">
            <v>W2</v>
          </cell>
          <cell r="V63">
            <v>45</v>
          </cell>
          <cell r="AA63">
            <v>8</v>
          </cell>
          <cell r="AN63">
            <v>912</v>
          </cell>
          <cell r="AO63">
            <v>7296</v>
          </cell>
          <cell r="AP63" t="str">
            <v>Active</v>
          </cell>
          <cell r="AQ63" t="str">
            <v>Sep</v>
          </cell>
          <cell r="AR63">
            <v>237</v>
          </cell>
          <cell r="AS63" t="str">
            <v>JPC - 224952</v>
          </cell>
        </row>
        <row r="64">
          <cell r="A64">
            <v>1</v>
          </cell>
          <cell r="B64" t="str">
            <v>Titans</v>
          </cell>
          <cell r="C64" t="str">
            <v>Vanil Rani Kurra</v>
          </cell>
          <cell r="D64" t="str">
            <v>Aditya Yadav</v>
          </cell>
          <cell r="F64" t="str">
            <v>Aditya Kumar Yadav </v>
          </cell>
          <cell r="G64" t="str">
            <v>Aditya Kumar Yadav </v>
          </cell>
          <cell r="L64" t="str">
            <v>Laboratory Technician</v>
          </cell>
          <cell r="M64" t="str">
            <v>June</v>
          </cell>
          <cell r="N64">
            <v>45817</v>
          </cell>
          <cell r="O64" t="str">
            <v>NA</v>
          </cell>
          <cell r="P64" t="str">
            <v>Cyient</v>
          </cell>
          <cell r="R64" t="str">
            <v>Contract</v>
          </cell>
          <cell r="S64" t="str">
            <v>W2</v>
          </cell>
          <cell r="V64">
            <v>55</v>
          </cell>
          <cell r="AA64">
            <v>6</v>
          </cell>
          <cell r="AN64">
            <v>904</v>
          </cell>
          <cell r="AO64">
            <v>5424</v>
          </cell>
          <cell r="AP64" t="str">
            <v>Active</v>
          </cell>
          <cell r="AQ64" t="str">
            <v>Sep</v>
          </cell>
          <cell r="AR64">
            <v>224</v>
          </cell>
          <cell r="AS64" t="str">
            <v>JPC - 224953</v>
          </cell>
        </row>
        <row r="65">
          <cell r="A65">
            <v>1</v>
          </cell>
          <cell r="B65" t="str">
            <v>Mavericks</v>
          </cell>
          <cell r="C65" t="str">
            <v>Joshua Tyrrel Mills</v>
          </cell>
          <cell r="D65" t="str">
            <v>Apurv Joshi</v>
          </cell>
          <cell r="F65" t="str">
            <v>MD Tariq</v>
          </cell>
          <cell r="G65" t="str">
            <v>TL Kashif Nabi</v>
          </cell>
          <cell r="L65" t="str">
            <v>PL/SQL Developer</v>
          </cell>
          <cell r="M65" t="str">
            <v>June</v>
          </cell>
          <cell r="N65">
            <v>45835</v>
          </cell>
          <cell r="O65">
            <v>45898</v>
          </cell>
          <cell r="P65" t="str">
            <v>Genpact</v>
          </cell>
          <cell r="R65" t="str">
            <v>Contract</v>
          </cell>
          <cell r="S65" t="str">
            <v>W2</v>
          </cell>
          <cell r="V65">
            <v>60</v>
          </cell>
          <cell r="AA65">
            <v>2</v>
          </cell>
          <cell r="AN65">
            <v>264</v>
          </cell>
          <cell r="AO65">
            <v>528</v>
          </cell>
          <cell r="AP65" t="str">
            <v>Active</v>
          </cell>
          <cell r="AQ65" t="str">
            <v>Jun</v>
          </cell>
          <cell r="AR65">
            <v>211</v>
          </cell>
          <cell r="AS65" t="str">
            <v>JPC - 224954</v>
          </cell>
        </row>
        <row r="66">
          <cell r="A66">
            <v>1</v>
          </cell>
          <cell r="B66" t="str">
            <v>Titans</v>
          </cell>
          <cell r="C66" t="str">
            <v>Marty Renard Williams</v>
          </cell>
          <cell r="D66" t="str">
            <v>Priya Yadav</v>
          </cell>
          <cell r="F66" t="str">
            <v>Abhishek Yadav</v>
          </cell>
          <cell r="G66" t="str">
            <v>Abhishek Yadav</v>
          </cell>
          <cell r="L66" t="str">
            <v xml:space="preserve">Oracle D2K forms Analyst </v>
          </cell>
          <cell r="M66" t="str">
            <v>July</v>
          </cell>
          <cell r="N66">
            <v>45859</v>
          </cell>
          <cell r="O66" t="str">
            <v>NA</v>
          </cell>
          <cell r="P66" t="str">
            <v>Genpact</v>
          </cell>
          <cell r="R66" t="str">
            <v>Contract</v>
          </cell>
          <cell r="S66" t="str">
            <v>W2</v>
          </cell>
          <cell r="V66">
            <v>64</v>
          </cell>
          <cell r="AA66">
            <v>2</v>
          </cell>
          <cell r="AN66">
            <v>848</v>
          </cell>
          <cell r="AO66">
            <v>1696</v>
          </cell>
          <cell r="AP66" t="str">
            <v>Active</v>
          </cell>
          <cell r="AQ66" t="str">
            <v>Sep</v>
          </cell>
          <cell r="AR66">
            <v>150</v>
          </cell>
          <cell r="AS66" t="str">
            <v>JPC - 224955</v>
          </cell>
        </row>
        <row r="67">
          <cell r="A67">
            <v>1</v>
          </cell>
          <cell r="B67" t="str">
            <v>Titans</v>
          </cell>
          <cell r="C67" t="str">
            <v>PARVATHI CHUNDURI</v>
          </cell>
          <cell r="D67" t="str">
            <v xml:space="preserve">Manish Diman </v>
          </cell>
          <cell r="F67" t="str">
            <v>Abhishek Yadav</v>
          </cell>
          <cell r="G67" t="str">
            <v>Abhishek Yadav</v>
          </cell>
          <cell r="L67" t="str">
            <v>Quality Assurance Tester</v>
          </cell>
          <cell r="M67" t="str">
            <v>July</v>
          </cell>
          <cell r="N67">
            <v>45862</v>
          </cell>
          <cell r="O67" t="str">
            <v>NA</v>
          </cell>
          <cell r="P67" t="str">
            <v>Genpact</v>
          </cell>
          <cell r="R67" t="str">
            <v>Contract</v>
          </cell>
          <cell r="S67" t="str">
            <v>W2</v>
          </cell>
          <cell r="V67">
            <v>65</v>
          </cell>
          <cell r="AA67">
            <v>10</v>
          </cell>
          <cell r="AN67">
            <v>776</v>
          </cell>
          <cell r="AO67">
            <v>7760</v>
          </cell>
          <cell r="AP67" t="str">
            <v>Active</v>
          </cell>
          <cell r="AQ67" t="str">
            <v>Sep</v>
          </cell>
          <cell r="AR67">
            <v>438</v>
          </cell>
          <cell r="AS67" t="str">
            <v>JPC - 224956</v>
          </cell>
        </row>
        <row r="68">
          <cell r="A68">
            <v>1</v>
          </cell>
          <cell r="B68" t="str">
            <v>Trust</v>
          </cell>
          <cell r="C68" t="str">
            <v>Jatinkumar Mansuklal Modi</v>
          </cell>
          <cell r="D68" t="str">
            <v>Neelendra Dwivedi</v>
          </cell>
          <cell r="F68" t="str">
            <v>Ashish Saxena</v>
          </cell>
          <cell r="G68" t="str">
            <v>Harsh Agarwal</v>
          </cell>
          <cell r="L68" t="str">
            <v>Driver for Engineering Support - Dashcam &amp; Device Testing</v>
          </cell>
          <cell r="M68" t="str">
            <v>August</v>
          </cell>
          <cell r="N68">
            <v>45875</v>
          </cell>
          <cell r="O68" t="str">
            <v>NA</v>
          </cell>
          <cell r="P68" t="str">
            <v>Global Logic</v>
          </cell>
          <cell r="R68" t="str">
            <v>Contract</v>
          </cell>
          <cell r="S68" t="str">
            <v>W2</v>
          </cell>
          <cell r="V68">
            <v>25</v>
          </cell>
          <cell r="AA68">
            <v>15</v>
          </cell>
          <cell r="AN68">
            <v>688</v>
          </cell>
          <cell r="AO68">
            <v>10320</v>
          </cell>
          <cell r="AP68" t="str">
            <v>Active</v>
          </cell>
          <cell r="AQ68" t="str">
            <v>Sep</v>
          </cell>
          <cell r="AR68">
            <v>432</v>
          </cell>
          <cell r="AS68" t="str">
            <v>JPC - 224957</v>
          </cell>
        </row>
        <row r="69">
          <cell r="A69">
            <v>1</v>
          </cell>
          <cell r="B69" t="str">
            <v>Mavericks/Titans</v>
          </cell>
          <cell r="C69" t="str">
            <v>Manaswiny Podduturi</v>
          </cell>
          <cell r="D69" t="str">
            <v>Samad Qureshi</v>
          </cell>
          <cell r="F69" t="str">
            <v xml:space="preserve">Kashif Nabi and Nitins </v>
          </cell>
          <cell r="G69" t="str">
            <v xml:space="preserve">Kashif Nabi and Nitins </v>
          </cell>
          <cell r="L69" t="str">
            <v>Warehouse IT Site Lead</v>
          </cell>
          <cell r="M69" t="str">
            <v>August</v>
          </cell>
          <cell r="N69">
            <v>45880</v>
          </cell>
          <cell r="O69" t="str">
            <v>NA</v>
          </cell>
          <cell r="P69" t="str">
            <v>Genpact</v>
          </cell>
          <cell r="R69" t="str">
            <v>Contract</v>
          </cell>
          <cell r="S69" t="str">
            <v>W2</v>
          </cell>
          <cell r="V69">
            <v>70</v>
          </cell>
          <cell r="AA69">
            <v>3</v>
          </cell>
          <cell r="AN69">
            <v>848</v>
          </cell>
          <cell r="AO69">
            <v>2544</v>
          </cell>
          <cell r="AP69" t="str">
            <v>Active</v>
          </cell>
          <cell r="AQ69" t="str">
            <v>Sep</v>
          </cell>
          <cell r="AR69">
            <v>136</v>
          </cell>
          <cell r="AS69" t="str">
            <v>JPC - 224958</v>
          </cell>
        </row>
        <row r="70">
          <cell r="A70">
            <v>1</v>
          </cell>
          <cell r="B70" t="str">
            <v>Mavericks</v>
          </cell>
          <cell r="C70" t="str">
            <v>Victor Hugo Garcia Gamez</v>
          </cell>
          <cell r="D70" t="str">
            <v>Vivek Yadav</v>
          </cell>
          <cell r="F70" t="str">
            <v>Rohit Gupta</v>
          </cell>
          <cell r="G70" t="str">
            <v>Rohit Gupta</v>
          </cell>
          <cell r="L70" t="str">
            <v xml:space="preserve">Salesforce Developer </v>
          </cell>
          <cell r="M70" t="str">
            <v>January</v>
          </cell>
          <cell r="N70">
            <v>45659</v>
          </cell>
          <cell r="O70" t="str">
            <v>NA</v>
          </cell>
          <cell r="P70" t="str">
            <v>VBeyond</v>
          </cell>
          <cell r="R70" t="str">
            <v>Contract</v>
          </cell>
          <cell r="S70" t="str">
            <v>C2C</v>
          </cell>
          <cell r="V70">
            <v>100</v>
          </cell>
          <cell r="AA70">
            <v>8</v>
          </cell>
          <cell r="AN70">
            <v>0</v>
          </cell>
          <cell r="AO70">
            <v>0</v>
          </cell>
          <cell r="AP70" t="str">
            <v>No Bill No Pay</v>
          </cell>
          <cell r="AQ70" t="str">
            <v>No bill no pay</v>
          </cell>
          <cell r="AR70">
            <v>438</v>
          </cell>
          <cell r="AS70" t="str">
            <v>JPC - 224959</v>
          </cell>
        </row>
        <row r="71">
          <cell r="A71">
            <v>1</v>
          </cell>
          <cell r="B71" t="str">
            <v>Mavericks</v>
          </cell>
          <cell r="C71" t="str">
            <v>Shawna Diane Calhoun</v>
          </cell>
          <cell r="D71" t="str">
            <v>Saurabh Mishra</v>
          </cell>
          <cell r="F71" t="str">
            <v>MD Fakhrul</v>
          </cell>
          <cell r="G71" t="str">
            <v>MD Fakhrul</v>
          </cell>
          <cell r="L71" t="str">
            <v>Senior Business Systems Analyst</v>
          </cell>
          <cell r="M71" t="str">
            <v>January</v>
          </cell>
          <cell r="N71">
            <v>45672</v>
          </cell>
          <cell r="O71">
            <v>45716</v>
          </cell>
          <cell r="P71" t="str">
            <v>VBeyond</v>
          </cell>
          <cell r="R71" t="str">
            <v>Contract</v>
          </cell>
          <cell r="S71" t="str">
            <v>C2C</v>
          </cell>
          <cell r="V71">
            <v>105</v>
          </cell>
          <cell r="AA71">
            <v>5</v>
          </cell>
          <cell r="AN71">
            <v>912</v>
          </cell>
          <cell r="AO71">
            <v>4560</v>
          </cell>
          <cell r="AP71" t="str">
            <v>Active</v>
          </cell>
          <cell r="AQ71" t="str">
            <v>Sep</v>
          </cell>
          <cell r="AR71">
            <v>406</v>
          </cell>
          <cell r="AS71" t="str">
            <v>JPC - 224960</v>
          </cell>
        </row>
        <row r="72">
          <cell r="A72">
            <v>1</v>
          </cell>
          <cell r="B72" t="str">
            <v>Mavericks</v>
          </cell>
          <cell r="C72" t="str">
            <v>Vamshi Krishna Bandaru</v>
          </cell>
          <cell r="D72" t="str">
            <v>Akhilesh Gupta</v>
          </cell>
          <cell r="F72" t="str">
            <v>Rohit Gupta</v>
          </cell>
          <cell r="G72" t="str">
            <v>Rohit Gupta</v>
          </cell>
          <cell r="L72" t="str">
            <v>Data Engineer</v>
          </cell>
          <cell r="M72" t="str">
            <v>January</v>
          </cell>
          <cell r="N72">
            <v>45684</v>
          </cell>
          <cell r="O72" t="str">
            <v>NA</v>
          </cell>
          <cell r="P72" t="str">
            <v>CoForge</v>
          </cell>
          <cell r="R72" t="str">
            <v>Contract</v>
          </cell>
          <cell r="S72" t="str">
            <v>C2C</v>
          </cell>
          <cell r="V72">
            <v>75</v>
          </cell>
          <cell r="AA72">
            <v>7</v>
          </cell>
          <cell r="AN72">
            <v>457.5</v>
          </cell>
          <cell r="AO72">
            <v>3202.5</v>
          </cell>
          <cell r="AP72" t="str">
            <v>Active</v>
          </cell>
          <cell r="AQ72" t="str">
            <v>Sep</v>
          </cell>
          <cell r="AR72">
            <v>393</v>
          </cell>
          <cell r="AS72" t="str">
            <v>JPC - 224961</v>
          </cell>
        </row>
        <row r="73">
          <cell r="A73">
            <v>1</v>
          </cell>
          <cell r="B73" t="str">
            <v>Wellness Warriors-IT</v>
          </cell>
          <cell r="C73" t="str">
            <v>Shourya Ravula</v>
          </cell>
          <cell r="D73" t="str">
            <v>Hemanth Kumar</v>
          </cell>
          <cell r="F73" t="str">
            <v>Abdul Rahman</v>
          </cell>
          <cell r="G73" t="str">
            <v xml:space="preserve"> Akash Saxena</v>
          </cell>
          <cell r="L73" t="str">
            <v xml:space="preserve">Sr. Data Engineer </v>
          </cell>
          <cell r="M73" t="str">
            <v>February</v>
          </cell>
          <cell r="N73">
            <v>45706</v>
          </cell>
          <cell r="O73">
            <v>45841</v>
          </cell>
          <cell r="P73" t="str">
            <v>Xebia</v>
          </cell>
          <cell r="R73" t="str">
            <v>Contract</v>
          </cell>
          <cell r="S73" t="str">
            <v>C2C</v>
          </cell>
          <cell r="V73">
            <v>75</v>
          </cell>
          <cell r="AA73">
            <v>8</v>
          </cell>
          <cell r="AN73">
            <v>632</v>
          </cell>
          <cell r="AO73">
            <v>5056</v>
          </cell>
          <cell r="AP73" t="str">
            <v>Active</v>
          </cell>
          <cell r="AQ73" t="str">
            <v>sep</v>
          </cell>
          <cell r="AR73">
            <v>380</v>
          </cell>
          <cell r="AS73" t="str">
            <v>JPC - 224962</v>
          </cell>
        </row>
        <row r="74">
          <cell r="A74">
            <v>1</v>
          </cell>
          <cell r="B74" t="str">
            <v>Wellness Warriors-IT</v>
          </cell>
          <cell r="C74" t="str">
            <v>Robert Bartlett Baron</v>
          </cell>
          <cell r="D74" t="str">
            <v xml:space="preserve">Ravi Yadav </v>
          </cell>
          <cell r="F74" t="str">
            <v>Akash Saxena</v>
          </cell>
          <cell r="G74" t="str">
            <v>Akash Saxena</v>
          </cell>
          <cell r="L74" t="str">
            <v>Program Manager</v>
          </cell>
          <cell r="M74" t="str">
            <v>January</v>
          </cell>
          <cell r="N74">
            <v>45677</v>
          </cell>
          <cell r="O74">
            <v>45688</v>
          </cell>
          <cell r="P74" t="str">
            <v>Citius Tech</v>
          </cell>
          <cell r="R74" t="str">
            <v>Contract</v>
          </cell>
          <cell r="S74" t="str">
            <v>C2C</v>
          </cell>
          <cell r="V74">
            <v>118</v>
          </cell>
          <cell r="AA74">
            <v>7.25</v>
          </cell>
          <cell r="AO74">
            <v>0</v>
          </cell>
          <cell r="AP74" t="str">
            <v>No Bill No Pay</v>
          </cell>
          <cell r="AQ74" t="str">
            <v>No bill no pay</v>
          </cell>
          <cell r="AR74">
            <v>367</v>
          </cell>
          <cell r="AS74" t="str">
            <v>JPC - 224963</v>
          </cell>
        </row>
        <row r="75">
          <cell r="A75">
            <v>1</v>
          </cell>
          <cell r="B75" t="str">
            <v>Mavericks</v>
          </cell>
          <cell r="C75" t="str">
            <v>Andrew James Tevis</v>
          </cell>
          <cell r="D75" t="str">
            <v>Akhilesh Gupta</v>
          </cell>
          <cell r="F75" t="str">
            <v>Rohit Gupta</v>
          </cell>
          <cell r="G75" t="str">
            <v>Rohit Gupta</v>
          </cell>
          <cell r="L75" t="str">
            <v>Mobile IOS Tester</v>
          </cell>
          <cell r="M75" t="str">
            <v>February</v>
          </cell>
          <cell r="N75">
            <v>45691</v>
          </cell>
          <cell r="O75">
            <v>45838</v>
          </cell>
          <cell r="P75" t="str">
            <v>CoForge</v>
          </cell>
          <cell r="R75" t="str">
            <v>Contract</v>
          </cell>
          <cell r="S75" t="str">
            <v>C2C</v>
          </cell>
          <cell r="V75">
            <v>73</v>
          </cell>
          <cell r="AA75">
            <v>15</v>
          </cell>
          <cell r="AN75">
            <v>536</v>
          </cell>
          <cell r="AO75">
            <v>8040</v>
          </cell>
          <cell r="AP75" t="str">
            <v>Done</v>
          </cell>
          <cell r="AQ75" t="str">
            <v>Sep</v>
          </cell>
          <cell r="AR75">
            <v>354</v>
          </cell>
          <cell r="AS75" t="str">
            <v>JPC - 224964</v>
          </cell>
        </row>
        <row r="76">
          <cell r="A76">
            <v>1</v>
          </cell>
          <cell r="B76" t="str">
            <v>Mavericks</v>
          </cell>
          <cell r="C76" t="str">
            <v>Shruti Maini</v>
          </cell>
          <cell r="D76" t="str">
            <v>Himanshu Gupta Mavericks</v>
          </cell>
          <cell r="F76" t="str">
            <v>Rohit Gupta</v>
          </cell>
          <cell r="G76" t="str">
            <v>Rohit Gupta</v>
          </cell>
          <cell r="L76" t="str">
            <v>Mobile IOS Tester</v>
          </cell>
          <cell r="M76" t="str">
            <v>February</v>
          </cell>
          <cell r="N76">
            <v>45691</v>
          </cell>
          <cell r="O76">
            <v>45838</v>
          </cell>
          <cell r="P76" t="str">
            <v>CoForge</v>
          </cell>
          <cell r="R76" t="str">
            <v>Contract</v>
          </cell>
          <cell r="S76" t="str">
            <v>C2C</v>
          </cell>
          <cell r="V76">
            <v>73</v>
          </cell>
          <cell r="AA76">
            <v>6</v>
          </cell>
          <cell r="AN76">
            <v>632</v>
          </cell>
          <cell r="AO76">
            <v>3792</v>
          </cell>
          <cell r="AP76" t="str">
            <v>Active</v>
          </cell>
          <cell r="AQ76" t="str">
            <v>Sep</v>
          </cell>
          <cell r="AR76">
            <v>341</v>
          </cell>
          <cell r="AS76" t="str">
            <v>JPC - 224965</v>
          </cell>
        </row>
        <row r="77">
          <cell r="A77">
            <v>1</v>
          </cell>
          <cell r="B77" t="str">
            <v>Mavericks</v>
          </cell>
          <cell r="C77" t="str">
            <v>Pravallika Nalluri</v>
          </cell>
          <cell r="D77" t="str">
            <v>Priyanka Sharma</v>
          </cell>
          <cell r="F77" t="str">
            <v>Kashif Nabi</v>
          </cell>
          <cell r="G77" t="str">
            <v>Kashif Nabi</v>
          </cell>
          <cell r="L77" t="str">
            <v>Fortran Developer</v>
          </cell>
          <cell r="M77" t="str">
            <v>February</v>
          </cell>
          <cell r="N77">
            <v>45712</v>
          </cell>
          <cell r="O77">
            <v>45961</v>
          </cell>
          <cell r="P77" t="str">
            <v>Genpact</v>
          </cell>
          <cell r="R77" t="str">
            <v>Contract</v>
          </cell>
          <cell r="S77" t="str">
            <v>C2C</v>
          </cell>
          <cell r="V77">
            <v>76</v>
          </cell>
          <cell r="AA77">
            <v>11</v>
          </cell>
          <cell r="AN77">
            <v>584</v>
          </cell>
          <cell r="AO77">
            <v>6424</v>
          </cell>
          <cell r="AP77" t="str">
            <v>Active</v>
          </cell>
          <cell r="AQ77" t="str">
            <v>Sep</v>
          </cell>
          <cell r="AR77">
            <v>328</v>
          </cell>
          <cell r="AS77" t="str">
            <v>JPC - 224966</v>
          </cell>
        </row>
        <row r="78">
          <cell r="A78">
            <v>1</v>
          </cell>
          <cell r="B78" t="str">
            <v>Mavericks</v>
          </cell>
          <cell r="C78" t="str">
            <v>Amit Jain</v>
          </cell>
          <cell r="D78" t="str">
            <v>Ubaid Rahman</v>
          </cell>
          <cell r="F78" t="str">
            <v>Kashif Nabi</v>
          </cell>
          <cell r="G78" t="str">
            <v>Kashif Nabi</v>
          </cell>
          <cell r="L78" t="str">
            <v>Fortran Developer</v>
          </cell>
          <cell r="M78" t="str">
            <v>February</v>
          </cell>
          <cell r="N78">
            <v>45706</v>
          </cell>
          <cell r="O78">
            <v>45961</v>
          </cell>
          <cell r="P78" t="str">
            <v>Genpact</v>
          </cell>
          <cell r="R78" t="str">
            <v>Contract</v>
          </cell>
          <cell r="S78" t="str">
            <v>C2C</v>
          </cell>
          <cell r="V78">
            <v>75</v>
          </cell>
          <cell r="AA78">
            <v>15</v>
          </cell>
          <cell r="AN78">
            <v>424</v>
          </cell>
          <cell r="AO78">
            <v>6360</v>
          </cell>
          <cell r="AP78" t="str">
            <v>Active</v>
          </cell>
          <cell r="AQ78" t="str">
            <v>Sep</v>
          </cell>
          <cell r="AR78">
            <v>315</v>
          </cell>
          <cell r="AS78" t="str">
            <v>JPC - 224967</v>
          </cell>
        </row>
        <row r="79">
          <cell r="A79">
            <v>1</v>
          </cell>
          <cell r="B79" t="str">
            <v>Mavericks</v>
          </cell>
          <cell r="C79" t="str">
            <v>Hrithik Chowdary Kampally</v>
          </cell>
          <cell r="D79" t="str">
            <v>Purnima Mishra</v>
          </cell>
          <cell r="F79" t="str">
            <v>Kashif Nabi</v>
          </cell>
          <cell r="G79" t="str">
            <v>Kashif Nabi</v>
          </cell>
          <cell r="L79" t="str">
            <v>Payments - SME</v>
          </cell>
          <cell r="M79" t="str">
            <v>February</v>
          </cell>
          <cell r="N79">
            <v>45712</v>
          </cell>
          <cell r="O79" t="str">
            <v>NA</v>
          </cell>
          <cell r="P79" t="str">
            <v>Nous Infosystems</v>
          </cell>
          <cell r="R79" t="str">
            <v>Contract</v>
          </cell>
          <cell r="S79" t="str">
            <v>C2C</v>
          </cell>
          <cell r="V79">
            <v>90</v>
          </cell>
          <cell r="AA79">
            <v>15</v>
          </cell>
          <cell r="AN79">
            <v>448</v>
          </cell>
          <cell r="AO79">
            <v>6720</v>
          </cell>
          <cell r="AP79" t="str">
            <v>Active</v>
          </cell>
          <cell r="AQ79" t="str">
            <v>Sep</v>
          </cell>
          <cell r="AR79">
            <v>302</v>
          </cell>
          <cell r="AS79" t="str">
            <v>JPC - 224968</v>
          </cell>
        </row>
        <row r="80">
          <cell r="A80">
            <v>1</v>
          </cell>
          <cell r="B80" t="str">
            <v>Mavericks</v>
          </cell>
          <cell r="C80" t="str">
            <v>Afzal Ahmad Khan</v>
          </cell>
          <cell r="D80" t="str">
            <v>Anuj Tewari</v>
          </cell>
          <cell r="F80" t="str">
            <v>Rohit Gupta</v>
          </cell>
          <cell r="G80" t="str">
            <v>Rohit Gupta</v>
          </cell>
          <cell r="L80" t="str">
            <v>.Net Developer</v>
          </cell>
          <cell r="M80" t="str">
            <v>March</v>
          </cell>
          <cell r="N80">
            <v>45719</v>
          </cell>
          <cell r="O80" t="str">
            <v>NA</v>
          </cell>
          <cell r="P80" t="str">
            <v>CoForge</v>
          </cell>
          <cell r="R80" t="str">
            <v>Contract</v>
          </cell>
          <cell r="S80" t="str">
            <v>C2C</v>
          </cell>
          <cell r="V80">
            <v>70</v>
          </cell>
          <cell r="AA80">
            <v>6</v>
          </cell>
          <cell r="AN80">
            <v>354</v>
          </cell>
          <cell r="AO80">
            <v>2124</v>
          </cell>
          <cell r="AP80" t="str">
            <v>Active</v>
          </cell>
          <cell r="AQ80" t="str">
            <v>Sep</v>
          </cell>
          <cell r="AR80">
            <v>289</v>
          </cell>
          <cell r="AS80" t="str">
            <v>JPC - 224969</v>
          </cell>
        </row>
        <row r="81">
          <cell r="A81">
            <v>1</v>
          </cell>
          <cell r="B81" t="str">
            <v>Trust</v>
          </cell>
          <cell r="C81" t="str">
            <v>Abhimanyu Singh</v>
          </cell>
          <cell r="D81" t="str">
            <v>Rishabh Kapoor</v>
          </cell>
          <cell r="F81" t="str">
            <v>Ashish Saxena</v>
          </cell>
          <cell r="G81" t="str">
            <v>Harsh Agarwal</v>
          </cell>
          <cell r="L81" t="str">
            <v>GraphDB Architect</v>
          </cell>
          <cell r="M81" t="str">
            <v>March</v>
          </cell>
          <cell r="N81">
            <v>45720</v>
          </cell>
          <cell r="O81">
            <v>45849</v>
          </cell>
          <cell r="P81" t="str">
            <v>Global Logic</v>
          </cell>
          <cell r="R81" t="str">
            <v>Contract</v>
          </cell>
          <cell r="S81" t="str">
            <v>C2C</v>
          </cell>
          <cell r="V81">
            <v>92</v>
          </cell>
          <cell r="AA81">
            <v>1</v>
          </cell>
          <cell r="AN81">
            <v>280</v>
          </cell>
          <cell r="AO81">
            <v>280</v>
          </cell>
          <cell r="AP81" t="str">
            <v>Active</v>
          </cell>
          <cell r="AQ81" t="str">
            <v>aug</v>
          </cell>
          <cell r="AR81">
            <v>276</v>
          </cell>
          <cell r="AS81" t="str">
            <v>JPC - 224970</v>
          </cell>
        </row>
        <row r="82">
          <cell r="A82">
            <v>1</v>
          </cell>
          <cell r="B82" t="str">
            <v>Mavericks</v>
          </cell>
          <cell r="C82" t="str">
            <v xml:space="preserve">Leonid Lamburt </v>
          </cell>
          <cell r="D82" t="str">
            <v>Ubaid Rahman</v>
          </cell>
          <cell r="F82" t="str">
            <v>Kashif Nabi</v>
          </cell>
          <cell r="G82" t="str">
            <v>Kashif Nabi</v>
          </cell>
          <cell r="L82" t="str">
            <v>Atlassian Engineer</v>
          </cell>
          <cell r="M82" t="str">
            <v>March</v>
          </cell>
          <cell r="N82">
            <v>45726</v>
          </cell>
          <cell r="O82">
            <v>45806</v>
          </cell>
          <cell r="P82" t="str">
            <v>Genpact</v>
          </cell>
          <cell r="R82" t="str">
            <v>Contract</v>
          </cell>
          <cell r="S82" t="str">
            <v>C2C</v>
          </cell>
          <cell r="V82">
            <v>65</v>
          </cell>
          <cell r="AA82">
            <v>8</v>
          </cell>
          <cell r="AN82">
            <v>440</v>
          </cell>
          <cell r="AO82">
            <v>3520</v>
          </cell>
          <cell r="AP82" t="str">
            <v>Active</v>
          </cell>
          <cell r="AQ82" t="str">
            <v>Sep</v>
          </cell>
          <cell r="AR82">
            <v>263</v>
          </cell>
          <cell r="AS82" t="str">
            <v>JPC - 224971</v>
          </cell>
        </row>
        <row r="83">
          <cell r="A83">
            <v>1</v>
          </cell>
          <cell r="B83" t="str">
            <v>Mavericks</v>
          </cell>
          <cell r="C83" t="str">
            <v>Srinivas Pulkaram</v>
          </cell>
          <cell r="D83" t="str">
            <v>Khatib Rahman</v>
          </cell>
          <cell r="F83" t="str">
            <v>Kashif Nabi</v>
          </cell>
          <cell r="G83" t="str">
            <v>Kashif Nabi</v>
          </cell>
          <cell r="L83" t="str">
            <v>Solution Architect</v>
          </cell>
          <cell r="M83" t="str">
            <v>March</v>
          </cell>
          <cell r="N83">
            <v>45742</v>
          </cell>
          <cell r="O83" t="str">
            <v>NA</v>
          </cell>
          <cell r="P83" t="str">
            <v>Genpact</v>
          </cell>
          <cell r="R83" t="str">
            <v>Contract</v>
          </cell>
          <cell r="S83" t="str">
            <v>C2C</v>
          </cell>
          <cell r="V83">
            <v>75</v>
          </cell>
          <cell r="AA83">
            <v>10</v>
          </cell>
          <cell r="AN83">
            <v>288</v>
          </cell>
          <cell r="AO83">
            <v>2880</v>
          </cell>
          <cell r="AP83" t="str">
            <v>Active</v>
          </cell>
          <cell r="AQ83" t="str">
            <v>Sep</v>
          </cell>
          <cell r="AR83">
            <v>250</v>
          </cell>
          <cell r="AS83" t="str">
            <v>JPC - 224972</v>
          </cell>
        </row>
        <row r="84">
          <cell r="A84">
            <v>1</v>
          </cell>
          <cell r="B84" t="str">
            <v>Mavericks</v>
          </cell>
          <cell r="C84" t="str">
            <v>Frederic Pascal Denis Jubier</v>
          </cell>
          <cell r="D84" t="str">
            <v>Ekta Singh</v>
          </cell>
          <cell r="F84" t="str">
            <v>Rohit Gupta</v>
          </cell>
          <cell r="G84" t="str">
            <v>Rohit Gupta</v>
          </cell>
          <cell r="L84" t="str">
            <v>Mobile iOS Tester</v>
          </cell>
          <cell r="M84" t="str">
            <v>March</v>
          </cell>
          <cell r="N84">
            <v>45733</v>
          </cell>
          <cell r="O84" t="str">
            <v>NA</v>
          </cell>
          <cell r="P84" t="str">
            <v>CoForge</v>
          </cell>
          <cell r="R84" t="str">
            <v>Contract</v>
          </cell>
          <cell r="S84" t="str">
            <v>C2C</v>
          </cell>
          <cell r="V84">
            <v>73</v>
          </cell>
          <cell r="AA84">
            <v>13</v>
          </cell>
          <cell r="AN84">
            <v>227</v>
          </cell>
          <cell r="AO84">
            <v>2951</v>
          </cell>
          <cell r="AP84" t="str">
            <v>Active</v>
          </cell>
          <cell r="AQ84" t="str">
            <v>Sep</v>
          </cell>
          <cell r="AR84">
            <v>237</v>
          </cell>
          <cell r="AS84" t="str">
            <v>JPC - 224973</v>
          </cell>
        </row>
        <row r="85">
          <cell r="A85">
            <v>1</v>
          </cell>
          <cell r="B85" t="str">
            <v>Mavericks</v>
          </cell>
          <cell r="C85" t="str">
            <v>Timothy Douglas Scott</v>
          </cell>
          <cell r="D85" t="str">
            <v>Yogesh Bisht</v>
          </cell>
          <cell r="F85" t="str">
            <v>Rohit Gupta</v>
          </cell>
          <cell r="G85" t="str">
            <v>Rohit Gupta</v>
          </cell>
          <cell r="L85" t="str">
            <v>Advent Geneva RSL Developer</v>
          </cell>
          <cell r="M85" t="str">
            <v>March</v>
          </cell>
          <cell r="N85">
            <v>45727</v>
          </cell>
          <cell r="O85" t="str">
            <v>NA</v>
          </cell>
          <cell r="P85" t="str">
            <v>CoForge</v>
          </cell>
          <cell r="R85" t="str">
            <v>Contract</v>
          </cell>
          <cell r="S85" t="str">
            <v>C2C</v>
          </cell>
          <cell r="V85">
            <v>100</v>
          </cell>
          <cell r="AA85">
            <v>1</v>
          </cell>
          <cell r="AN85">
            <v>312</v>
          </cell>
          <cell r="AO85">
            <v>312</v>
          </cell>
          <cell r="AP85" t="str">
            <v>Active</v>
          </cell>
          <cell r="AQ85" t="str">
            <v>Sep</v>
          </cell>
          <cell r="AR85">
            <v>224</v>
          </cell>
          <cell r="AS85" t="str">
            <v>JPC - 224974</v>
          </cell>
        </row>
        <row r="86">
          <cell r="A86">
            <v>1</v>
          </cell>
          <cell r="B86" t="str">
            <v>Trust</v>
          </cell>
          <cell r="C86" t="str">
            <v>Douglas Campbell</v>
          </cell>
          <cell r="D86" t="str">
            <v>Sana Zohra</v>
          </cell>
          <cell r="F86" t="str">
            <v>Harsh Agrawal</v>
          </cell>
          <cell r="G86" t="str">
            <v>Harsh Agrawal</v>
          </cell>
          <cell r="L86" t="str">
            <v>Sap Production Logistics Consultant</v>
          </cell>
          <cell r="M86" t="str">
            <v>March</v>
          </cell>
          <cell r="N86">
            <v>45729</v>
          </cell>
          <cell r="O86">
            <v>45919</v>
          </cell>
          <cell r="P86" t="str">
            <v>Birlasoft</v>
          </cell>
          <cell r="R86" t="str">
            <v>Contract</v>
          </cell>
          <cell r="S86" t="str">
            <v>C2C</v>
          </cell>
          <cell r="V86">
            <v>117</v>
          </cell>
          <cell r="AA86">
            <v>2</v>
          </cell>
          <cell r="AN86">
            <v>288</v>
          </cell>
          <cell r="AO86">
            <v>576</v>
          </cell>
          <cell r="AP86" t="str">
            <v>Active</v>
          </cell>
          <cell r="AQ86" t="str">
            <v>Sep</v>
          </cell>
          <cell r="AR86">
            <v>211</v>
          </cell>
          <cell r="AS86" t="str">
            <v>JPC - 224975</v>
          </cell>
        </row>
        <row r="87">
          <cell r="A87">
            <v>1</v>
          </cell>
          <cell r="B87" t="str">
            <v>Trust</v>
          </cell>
          <cell r="C87" t="str">
            <v>Raja Pamisetty</v>
          </cell>
          <cell r="D87" t="str">
            <v>Virendra Vikram Singh</v>
          </cell>
          <cell r="F87" t="str">
            <v>Harsh Agrawal</v>
          </cell>
          <cell r="G87" t="str">
            <v>Harsh Agrawal</v>
          </cell>
          <cell r="L87" t="str">
            <v>Senior Project Manager</v>
          </cell>
          <cell r="M87" t="str">
            <v>March</v>
          </cell>
          <cell r="N87">
            <v>45743</v>
          </cell>
          <cell r="O87">
            <v>45839</v>
          </cell>
          <cell r="P87" t="str">
            <v>Birlasoft</v>
          </cell>
          <cell r="R87" t="str">
            <v>Contract</v>
          </cell>
          <cell r="S87" t="str">
            <v>C2C</v>
          </cell>
          <cell r="V87">
            <v>98</v>
          </cell>
          <cell r="AA87">
            <v>10</v>
          </cell>
          <cell r="AO87">
            <v>0</v>
          </cell>
          <cell r="AP87" t="str">
            <v>No Bill No Pay</v>
          </cell>
          <cell r="AQ87" t="str">
            <v>No bill no pay</v>
          </cell>
          <cell r="AR87">
            <v>150</v>
          </cell>
          <cell r="AS87" t="str">
            <v>JPC - 224976</v>
          </cell>
        </row>
        <row r="88">
          <cell r="A88">
            <v>1</v>
          </cell>
          <cell r="B88" t="str">
            <v>Trust</v>
          </cell>
          <cell r="C88" t="str">
            <v>Suchithira Vijayaraghavan</v>
          </cell>
          <cell r="D88" t="str">
            <v>Aarzoo Khan</v>
          </cell>
          <cell r="F88" t="str">
            <v>Harsh Agrawal</v>
          </cell>
          <cell r="G88" t="str">
            <v>Harsh Agrawal</v>
          </cell>
          <cell r="L88" t="str">
            <v>Senior Project Manager- Copilot Rollout</v>
          </cell>
          <cell r="M88" t="str">
            <v>April</v>
          </cell>
          <cell r="N88">
            <v>45754</v>
          </cell>
          <cell r="O88" t="str">
            <v>NA</v>
          </cell>
          <cell r="P88" t="str">
            <v>Birlasoft</v>
          </cell>
          <cell r="R88" t="str">
            <v>Contract</v>
          </cell>
          <cell r="S88" t="str">
            <v>C2C</v>
          </cell>
          <cell r="V88">
            <v>85</v>
          </cell>
          <cell r="AA88">
            <v>4</v>
          </cell>
          <cell r="AN88">
            <v>192</v>
          </cell>
          <cell r="AO88">
            <v>768</v>
          </cell>
          <cell r="AP88" t="str">
            <v>Active</v>
          </cell>
          <cell r="AQ88" t="str">
            <v>Sep</v>
          </cell>
          <cell r="AR88">
            <v>438</v>
          </cell>
          <cell r="AS88" t="str">
            <v>JPC - 224977</v>
          </cell>
        </row>
        <row r="89">
          <cell r="A89">
            <v>1</v>
          </cell>
          <cell r="B89" t="str">
            <v>Trust</v>
          </cell>
          <cell r="C89" t="str">
            <v>Kevin Scott Campbell</v>
          </cell>
          <cell r="D89" t="str">
            <v xml:space="preserve">Sana Zohra </v>
          </cell>
          <cell r="F89" t="str">
            <v>Ashish Saxena</v>
          </cell>
          <cell r="G89" t="str">
            <v>Harsh Agarwal</v>
          </cell>
          <cell r="L89" t="str">
            <v>Agile Coach</v>
          </cell>
          <cell r="M89" t="str">
            <v>April</v>
          </cell>
          <cell r="N89">
            <v>45762</v>
          </cell>
          <cell r="O89">
            <v>45863</v>
          </cell>
          <cell r="P89" t="str">
            <v>Global logic</v>
          </cell>
          <cell r="R89" t="str">
            <v>Contract</v>
          </cell>
          <cell r="S89" t="str">
            <v>C2C</v>
          </cell>
          <cell r="V89">
            <v>85</v>
          </cell>
          <cell r="AA89">
            <v>10</v>
          </cell>
          <cell r="AN89">
            <v>104</v>
          </cell>
          <cell r="AO89">
            <v>1040</v>
          </cell>
          <cell r="AP89" t="str">
            <v>Active</v>
          </cell>
          <cell r="AQ89" t="str">
            <v>Sep</v>
          </cell>
          <cell r="AR89">
            <v>432</v>
          </cell>
          <cell r="AS89" t="str">
            <v>JPC - 224978</v>
          </cell>
        </row>
        <row r="90">
          <cell r="A90">
            <v>1</v>
          </cell>
          <cell r="B90" t="str">
            <v>Trust</v>
          </cell>
          <cell r="C90" t="str">
            <v>Narendra Bevinahalli Ramachandra Rao</v>
          </cell>
          <cell r="D90" t="str">
            <v>Pushpendra Kumar  </v>
          </cell>
          <cell r="F90" t="str">
            <v>Bhanu Pratap Singh</v>
          </cell>
          <cell r="G90" t="str">
            <v>Harsh Agarwal</v>
          </cell>
          <cell r="L90" t="str">
            <v>Oracle Fusion Technical Developer</v>
          </cell>
          <cell r="M90" t="str">
            <v>April</v>
          </cell>
          <cell r="N90">
            <v>45748</v>
          </cell>
          <cell r="O90">
            <v>45926</v>
          </cell>
          <cell r="P90" t="str">
            <v>Fanatics</v>
          </cell>
          <cell r="R90" t="str">
            <v>Contract</v>
          </cell>
          <cell r="S90" t="str">
            <v>C2C</v>
          </cell>
          <cell r="V90">
            <v>135</v>
          </cell>
          <cell r="AA90">
            <v>2</v>
          </cell>
          <cell r="AN90">
            <v>56</v>
          </cell>
          <cell r="AO90">
            <v>112</v>
          </cell>
          <cell r="AP90" t="str">
            <v>Active</v>
          </cell>
          <cell r="AQ90" t="str">
            <v>Sep</v>
          </cell>
          <cell r="AR90">
            <v>136</v>
          </cell>
          <cell r="AS90" t="str">
            <v>JPC - 224979</v>
          </cell>
        </row>
        <row r="91">
          <cell r="A91">
            <v>1</v>
          </cell>
          <cell r="B91" t="str">
            <v>Mavericks</v>
          </cell>
          <cell r="C91" t="str">
            <v>Jeremy Jacob Ziegler</v>
          </cell>
          <cell r="D91" t="str">
            <v>Anuj Tewari</v>
          </cell>
          <cell r="F91" t="str">
            <v>Rohit Gupta</v>
          </cell>
          <cell r="G91" t="str">
            <v>Vivek Kumar Yadav</v>
          </cell>
          <cell r="L91" t="str">
            <v>Data Analyst with Alteryx</v>
          </cell>
          <cell r="M91" t="str">
            <v>April</v>
          </cell>
          <cell r="N91">
            <v>45749</v>
          </cell>
          <cell r="O91" t="str">
            <v>NA</v>
          </cell>
          <cell r="P91" t="str">
            <v>Fanatics</v>
          </cell>
          <cell r="R91" t="str">
            <v>Contract</v>
          </cell>
          <cell r="S91" t="str">
            <v>C2C</v>
          </cell>
          <cell r="V91">
            <v>125</v>
          </cell>
          <cell r="AA91">
            <v>9</v>
          </cell>
          <cell r="AN91">
            <v>56</v>
          </cell>
          <cell r="AO91">
            <v>504</v>
          </cell>
          <cell r="AP91" t="str">
            <v>Active</v>
          </cell>
          <cell r="AQ91" t="str">
            <v>Sep</v>
          </cell>
          <cell r="AR91">
            <v>438</v>
          </cell>
          <cell r="AS91" t="str">
            <v>JPC - 224980</v>
          </cell>
        </row>
        <row r="92">
          <cell r="A92">
            <v>1</v>
          </cell>
          <cell r="B92" t="str">
            <v>Mavericks</v>
          </cell>
          <cell r="C92" t="str">
            <v>Balachander Sundaresan</v>
          </cell>
          <cell r="D92" t="str">
            <v>Ubaid Rahman</v>
          </cell>
          <cell r="F92" t="str">
            <v>Kashif Nabi</v>
          </cell>
          <cell r="G92" t="str">
            <v>Kashif Nabi</v>
          </cell>
          <cell r="L92" t="str">
            <v>Cybersecurity SME</v>
          </cell>
          <cell r="M92" t="str">
            <v>April</v>
          </cell>
          <cell r="N92">
            <v>45768</v>
          </cell>
          <cell r="O92">
            <v>45930</v>
          </cell>
          <cell r="P92" t="str">
            <v>Genpact</v>
          </cell>
          <cell r="R92" t="str">
            <v>Contract</v>
          </cell>
          <cell r="S92" t="str">
            <v>C2C</v>
          </cell>
          <cell r="V92">
            <v>75</v>
          </cell>
          <cell r="AA92">
            <v>1</v>
          </cell>
          <cell r="AN92">
            <v>40</v>
          </cell>
          <cell r="AO92">
            <v>40</v>
          </cell>
          <cell r="AP92" t="str">
            <v>Active</v>
          </cell>
          <cell r="AQ92" t="str">
            <v>Sep</v>
          </cell>
          <cell r="AR92">
            <v>406</v>
          </cell>
          <cell r="AS92" t="str">
            <v>JPC - 224981</v>
          </cell>
        </row>
        <row r="93">
          <cell r="A93">
            <v>1</v>
          </cell>
          <cell r="B93" t="str">
            <v>Trust</v>
          </cell>
          <cell r="C93" t="str">
            <v>Karthik Kumar Reddy Gouni</v>
          </cell>
          <cell r="D93" t="str">
            <v xml:space="preserve">Virendra Vikram Singh </v>
          </cell>
          <cell r="F93" t="str">
            <v>Harsh Agrawal</v>
          </cell>
          <cell r="G93" t="str">
            <v>Harsh Agrawal</v>
          </cell>
          <cell r="L93" t="str">
            <v>SAP SuccessFactors Employee Central Payroll (ECP) consultant</v>
          </cell>
          <cell r="M93" t="str">
            <v>April</v>
          </cell>
          <cell r="N93">
            <v>45775</v>
          </cell>
          <cell r="O93" t="str">
            <v>NA</v>
          </cell>
          <cell r="P93" t="str">
            <v>Birlasoft</v>
          </cell>
          <cell r="R93" t="str">
            <v>Contract</v>
          </cell>
          <cell r="S93" t="str">
            <v>C2C</v>
          </cell>
          <cell r="V93">
            <v>102</v>
          </cell>
          <cell r="AA93">
            <v>7.25</v>
          </cell>
          <cell r="AN93">
            <v>80</v>
          </cell>
          <cell r="AO93">
            <v>580</v>
          </cell>
          <cell r="AP93" t="str">
            <v>Active</v>
          </cell>
          <cell r="AQ93" t="str">
            <v>Sep</v>
          </cell>
          <cell r="AR93">
            <v>393</v>
          </cell>
          <cell r="AS93" t="str">
            <v>JPC - 224982</v>
          </cell>
        </row>
        <row r="94">
          <cell r="A94">
            <v>1</v>
          </cell>
          <cell r="B94" t="str">
            <v>Trust</v>
          </cell>
          <cell r="C94" t="str">
            <v>Aparna Koranne 2nd</v>
          </cell>
          <cell r="D94" t="str">
            <v xml:space="preserve">Rajat Arora </v>
          </cell>
          <cell r="F94" t="str">
            <v>Harsh Agrawal</v>
          </cell>
          <cell r="G94" t="str">
            <v>Harsh Agrawal</v>
          </cell>
          <cell r="L94" t="str">
            <v>AI, Data &amp; Automation Architect</v>
          </cell>
          <cell r="M94" t="str">
            <v>May</v>
          </cell>
          <cell r="N94">
            <v>45782</v>
          </cell>
          <cell r="O94">
            <v>45807</v>
          </cell>
          <cell r="P94" t="str">
            <v>Birlasoft</v>
          </cell>
          <cell r="R94" t="str">
            <v>Contract</v>
          </cell>
          <cell r="S94" t="str">
            <v>C2C</v>
          </cell>
          <cell r="V94">
            <v>101</v>
          </cell>
          <cell r="AA94">
            <v>8.4499999999999993</v>
          </cell>
          <cell r="AN94">
            <v>0</v>
          </cell>
          <cell r="AO94">
            <v>0</v>
          </cell>
          <cell r="AP94" t="str">
            <v>Active</v>
          </cell>
          <cell r="AR94">
            <v>380</v>
          </cell>
          <cell r="AS94" t="str">
            <v>JPC - 224983</v>
          </cell>
        </row>
        <row r="95">
          <cell r="A95">
            <v>1</v>
          </cell>
          <cell r="B95" t="str">
            <v>Mavericks</v>
          </cell>
          <cell r="C95" t="str">
            <v>Kalyani Chittoju</v>
          </cell>
          <cell r="D95" t="str">
            <v>Vasudev Srivastava</v>
          </cell>
          <cell r="F95" t="str">
            <v>Kashif Nabi</v>
          </cell>
          <cell r="G95" t="str">
            <v>Khatib Rahman-TL</v>
          </cell>
          <cell r="L95" t="str">
            <v>SAP TMS Consultant</v>
          </cell>
          <cell r="M95" t="str">
            <v>April</v>
          </cell>
          <cell r="N95">
            <v>45770</v>
          </cell>
          <cell r="O95">
            <v>45930</v>
          </cell>
          <cell r="P95" t="str">
            <v>Genpact</v>
          </cell>
          <cell r="R95" t="str">
            <v>Contract</v>
          </cell>
          <cell r="S95" t="str">
            <v>C2C</v>
          </cell>
          <cell r="V95">
            <v>106</v>
          </cell>
          <cell r="AA95">
            <v>9</v>
          </cell>
          <cell r="AN95">
            <v>664</v>
          </cell>
          <cell r="AO95">
            <v>5976</v>
          </cell>
          <cell r="AP95" t="str">
            <v>Active</v>
          </cell>
          <cell r="AR95">
            <v>367</v>
          </cell>
          <cell r="AS95" t="str">
            <v>JPC - 224984</v>
          </cell>
        </row>
        <row r="96">
          <cell r="A96">
            <v>1</v>
          </cell>
          <cell r="B96" t="str">
            <v>Mavericks</v>
          </cell>
          <cell r="C96" t="str">
            <v>Karthik Polisetty</v>
          </cell>
          <cell r="D96" t="str">
            <v>Mohammad Tariq</v>
          </cell>
          <cell r="F96" t="str">
            <v>Kashif Nabi</v>
          </cell>
          <cell r="G96" t="str">
            <v>Kashif Nabi</v>
          </cell>
          <cell r="L96" t="str">
            <v>SAP EWM Consultant</v>
          </cell>
          <cell r="M96" t="str">
            <v>May</v>
          </cell>
          <cell r="N96">
            <v>45784</v>
          </cell>
          <cell r="O96">
            <v>45917</v>
          </cell>
          <cell r="P96" t="str">
            <v>Genpact</v>
          </cell>
          <cell r="R96" t="str">
            <v>Contract</v>
          </cell>
          <cell r="S96" t="str">
            <v>C2C</v>
          </cell>
          <cell r="V96">
            <v>84</v>
          </cell>
          <cell r="AA96">
            <v>5</v>
          </cell>
          <cell r="AN96">
            <v>824</v>
          </cell>
          <cell r="AO96">
            <v>4120</v>
          </cell>
          <cell r="AP96" t="str">
            <v>Active</v>
          </cell>
          <cell r="AR96">
            <v>354</v>
          </cell>
          <cell r="AS96" t="str">
            <v>JPC - 224985</v>
          </cell>
        </row>
        <row r="97">
          <cell r="A97">
            <v>1</v>
          </cell>
          <cell r="B97" t="str">
            <v>Wellness Warriors-IT</v>
          </cell>
          <cell r="C97" t="str">
            <v>Parameshwar Reddy Chilukuri</v>
          </cell>
          <cell r="D97" t="str">
            <v xml:space="preserve">Mohd Ateeq </v>
          </cell>
          <cell r="F97" t="str">
            <v>Abdul Rahman</v>
          </cell>
          <cell r="G97" t="str">
            <v>Abdul Rahman</v>
          </cell>
          <cell r="L97" t="str">
            <v>Salesforce QA Engineer  </v>
          </cell>
          <cell r="M97" t="str">
            <v>May</v>
          </cell>
          <cell r="N97">
            <v>45782</v>
          </cell>
          <cell r="O97">
            <v>45821</v>
          </cell>
          <cell r="P97" t="str">
            <v>Xebia</v>
          </cell>
          <cell r="R97" t="str">
            <v>Contract</v>
          </cell>
          <cell r="S97" t="str">
            <v>C2C</v>
          </cell>
          <cell r="V97">
            <v>55</v>
          </cell>
          <cell r="AA97">
            <v>6</v>
          </cell>
          <cell r="AN97">
            <v>1012</v>
          </cell>
          <cell r="AO97">
            <v>6072</v>
          </cell>
          <cell r="AP97" t="str">
            <v>Done</v>
          </cell>
          <cell r="AQ97" t="str">
            <v>Done</v>
          </cell>
          <cell r="AR97">
            <v>341</v>
          </cell>
          <cell r="AS97" t="str">
            <v>JPC - 224986</v>
          </cell>
        </row>
        <row r="98">
          <cell r="A98">
            <v>1</v>
          </cell>
          <cell r="B98" t="str">
            <v>Mavericks</v>
          </cell>
          <cell r="C98" t="str">
            <v>Srinivasarao Bude</v>
          </cell>
          <cell r="D98" t="str">
            <v>Mohd Danish</v>
          </cell>
          <cell r="F98" t="str">
            <v>Rohit Gupta</v>
          </cell>
          <cell r="G98" t="str">
            <v>Rohit Gupta</v>
          </cell>
          <cell r="L98" t="str">
            <v>Mainframe Developer</v>
          </cell>
          <cell r="M98" t="str">
            <v>June</v>
          </cell>
          <cell r="N98">
            <v>45817</v>
          </cell>
          <cell r="O98" t="str">
            <v>NA</v>
          </cell>
          <cell r="P98" t="str">
            <v>CoForge</v>
          </cell>
          <cell r="R98" t="str">
            <v>Contract</v>
          </cell>
          <cell r="S98" t="str">
            <v>C2C</v>
          </cell>
          <cell r="V98">
            <v>75</v>
          </cell>
          <cell r="AA98">
            <v>7.95</v>
          </cell>
          <cell r="AN98">
            <v>12</v>
          </cell>
          <cell r="AO98">
            <v>95.4</v>
          </cell>
          <cell r="AP98" t="str">
            <v>Done</v>
          </cell>
          <cell r="AQ98" t="str">
            <v>Done</v>
          </cell>
          <cell r="AR98">
            <v>328</v>
          </cell>
          <cell r="AS98" t="str">
            <v>JPC - 224987</v>
          </cell>
        </row>
        <row r="99">
          <cell r="A99">
            <v>1</v>
          </cell>
          <cell r="B99" t="str">
            <v>Wellness Warriors-IT</v>
          </cell>
          <cell r="C99" t="str">
            <v>Anwaruddin</v>
          </cell>
          <cell r="D99" t="str">
            <v xml:space="preserve">Mohd Ateeq </v>
          </cell>
          <cell r="F99" t="str">
            <v>Abdul Rahman</v>
          </cell>
          <cell r="G99" t="str">
            <v>Abdul Rahman</v>
          </cell>
          <cell r="L99" t="str">
            <v xml:space="preserve">Data Engineer/Analyst </v>
          </cell>
          <cell r="M99" t="str">
            <v>June</v>
          </cell>
          <cell r="N99">
            <v>45810</v>
          </cell>
          <cell r="O99">
            <v>45935</v>
          </cell>
          <cell r="P99" t="str">
            <v>Xebia</v>
          </cell>
          <cell r="R99" t="str">
            <v>Contract</v>
          </cell>
          <cell r="S99" t="str">
            <v>C2C</v>
          </cell>
          <cell r="V99">
            <v>76</v>
          </cell>
          <cell r="AA99">
            <v>6</v>
          </cell>
          <cell r="AN99">
            <v>1032</v>
          </cell>
          <cell r="AO99">
            <v>6192</v>
          </cell>
          <cell r="AP99" t="str">
            <v>Done</v>
          </cell>
          <cell r="AQ99" t="str">
            <v>Done</v>
          </cell>
          <cell r="AR99">
            <v>315</v>
          </cell>
          <cell r="AS99" t="str">
            <v>JPC - 224988</v>
          </cell>
        </row>
        <row r="100">
          <cell r="A100">
            <v>1</v>
          </cell>
          <cell r="B100" t="str">
            <v>Trust</v>
          </cell>
          <cell r="C100" t="str">
            <v xml:space="preserve">Mounika Reddem </v>
          </cell>
          <cell r="D100" t="str">
            <v>Rishabh Kapoor</v>
          </cell>
          <cell r="F100" t="str">
            <v>Harsh Agrawal</v>
          </cell>
          <cell r="G100" t="str">
            <v>Harsh Agrawal</v>
          </cell>
          <cell r="L100" t="str">
            <v>SAP S4 OTC Consultant</v>
          </cell>
          <cell r="M100" t="str">
            <v>June</v>
          </cell>
          <cell r="N100">
            <v>45810</v>
          </cell>
          <cell r="O100">
            <v>45891</v>
          </cell>
          <cell r="P100" t="str">
            <v>Birlasoft</v>
          </cell>
          <cell r="R100" t="str">
            <v>Contract</v>
          </cell>
          <cell r="S100" t="str">
            <v>C2C</v>
          </cell>
          <cell r="V100">
            <v>105</v>
          </cell>
          <cell r="AA100">
            <v>5</v>
          </cell>
          <cell r="AN100">
            <v>979</v>
          </cell>
          <cell r="AO100">
            <v>4895</v>
          </cell>
          <cell r="AP100" t="str">
            <v>Pending</v>
          </cell>
          <cell r="AQ100" t="str">
            <v>Pending</v>
          </cell>
          <cell r="AR100">
            <v>302</v>
          </cell>
          <cell r="AS100" t="str">
            <v>JPC - 224989</v>
          </cell>
        </row>
        <row r="101">
          <cell r="A101">
            <v>1</v>
          </cell>
          <cell r="B101" t="str">
            <v>Mavericks</v>
          </cell>
          <cell r="C101" t="str">
            <v>Satya Swaroop Devarakonda</v>
          </cell>
          <cell r="D101" t="str">
            <v>Purnima Mishra</v>
          </cell>
          <cell r="F101" t="str">
            <v>Kashif Nabi</v>
          </cell>
          <cell r="G101" t="str">
            <v>Kashif Nabi</v>
          </cell>
          <cell r="L101" t="str">
            <v>Peoplesoft Integration Developer</v>
          </cell>
          <cell r="M101" t="str">
            <v>May</v>
          </cell>
          <cell r="N101">
            <v>45806</v>
          </cell>
          <cell r="O101">
            <v>45930</v>
          </cell>
          <cell r="P101" t="str">
            <v>Genpact</v>
          </cell>
          <cell r="R101" t="str">
            <v>Contract</v>
          </cell>
          <cell r="S101" t="str">
            <v>C2C</v>
          </cell>
          <cell r="V101">
            <v>96</v>
          </cell>
          <cell r="AA101">
            <v>2</v>
          </cell>
          <cell r="AN101">
            <v>912</v>
          </cell>
          <cell r="AO101">
            <v>1824</v>
          </cell>
          <cell r="AP101" t="str">
            <v>Done</v>
          </cell>
          <cell r="AQ101" t="str">
            <v>Done</v>
          </cell>
          <cell r="AR101">
            <v>289</v>
          </cell>
          <cell r="AS101" t="str">
            <v>JPC - 224990</v>
          </cell>
        </row>
        <row r="102">
          <cell r="A102">
            <v>1</v>
          </cell>
          <cell r="B102" t="str">
            <v>Trust</v>
          </cell>
          <cell r="C102" t="str">
            <v>Anji Reddy Chilipi</v>
          </cell>
          <cell r="D102" t="str">
            <v>Purneshwar Mishra</v>
          </cell>
          <cell r="F102" t="str">
            <v>Shashank Yadav</v>
          </cell>
          <cell r="G102" t="str">
            <v>Shashank Yadav</v>
          </cell>
          <cell r="L102" t="str">
            <v>Cloud Platform Infrastructure Engineer</v>
          </cell>
          <cell r="M102" t="str">
            <v>May</v>
          </cell>
          <cell r="N102">
            <v>45799</v>
          </cell>
          <cell r="O102" t="str">
            <v>NA</v>
          </cell>
          <cell r="P102" t="str">
            <v>Birlasoft</v>
          </cell>
          <cell r="R102" t="str">
            <v>Contract</v>
          </cell>
          <cell r="S102" t="str">
            <v>C2C</v>
          </cell>
          <cell r="V102">
            <v>78</v>
          </cell>
          <cell r="AA102">
            <v>4</v>
          </cell>
          <cell r="AN102">
            <v>904</v>
          </cell>
          <cell r="AO102">
            <v>3616</v>
          </cell>
          <cell r="AP102" t="str">
            <v>Pending</v>
          </cell>
          <cell r="AQ102" t="str">
            <v>Pending</v>
          </cell>
          <cell r="AR102">
            <v>276</v>
          </cell>
          <cell r="AS102" t="str">
            <v>JPC - 224991</v>
          </cell>
        </row>
        <row r="103">
          <cell r="A103">
            <v>1</v>
          </cell>
          <cell r="B103" t="str">
            <v>Titans</v>
          </cell>
          <cell r="C103" t="str">
            <v>Tuhinaanshu Shekhar</v>
          </cell>
          <cell r="D103" t="str">
            <v xml:space="preserve">Shubham Srivastava </v>
          </cell>
          <cell r="F103" t="str">
            <v xml:space="preserve">Abhishek Yadav </v>
          </cell>
          <cell r="G103" t="str">
            <v xml:space="preserve">Abhishek Yadav </v>
          </cell>
          <cell r="L103" t="str">
            <v xml:space="preserve">Business Analyst -Product Development </v>
          </cell>
          <cell r="M103" t="str">
            <v>June</v>
          </cell>
          <cell r="N103">
            <v>45812</v>
          </cell>
          <cell r="O103" t="str">
            <v>NA</v>
          </cell>
          <cell r="P103" t="str">
            <v>Genpact</v>
          </cell>
          <cell r="R103" t="str">
            <v>Contract</v>
          </cell>
          <cell r="S103" t="str">
            <v>C2C</v>
          </cell>
          <cell r="V103">
            <v>63</v>
          </cell>
          <cell r="AA103">
            <v>8.0500000000000007</v>
          </cell>
          <cell r="AN103">
            <v>264</v>
          </cell>
          <cell r="AO103">
            <v>2125.2000000000003</v>
          </cell>
          <cell r="AP103" t="str">
            <v>Done</v>
          </cell>
          <cell r="AQ103" t="str">
            <v>Done</v>
          </cell>
          <cell r="AR103">
            <v>263</v>
          </cell>
          <cell r="AS103" t="str">
            <v>JPC - 224992</v>
          </cell>
        </row>
        <row r="104">
          <cell r="A104">
            <v>1</v>
          </cell>
          <cell r="B104" t="str">
            <v>Mavericks</v>
          </cell>
          <cell r="C104" t="str">
            <v>Dharma Teja Raavi</v>
          </cell>
          <cell r="D104" t="str">
            <v>Priyanka Sharma</v>
          </cell>
          <cell r="F104" t="str">
            <v>Kashif Nabi</v>
          </cell>
          <cell r="G104" t="str">
            <v>Kashif Nabi</v>
          </cell>
          <cell r="L104" t="str">
            <v>SAP T4S Consultant</v>
          </cell>
          <cell r="M104" t="str">
            <v>June</v>
          </cell>
          <cell r="N104">
            <v>45831</v>
          </cell>
          <cell r="O104">
            <v>45882</v>
          </cell>
          <cell r="P104" t="str">
            <v>Genpact</v>
          </cell>
          <cell r="R104" t="str">
            <v>Contract</v>
          </cell>
          <cell r="S104" t="str">
            <v>C2C</v>
          </cell>
          <cell r="V104">
            <v>85</v>
          </cell>
          <cell r="AA104">
            <v>5.65</v>
          </cell>
          <cell r="AN104">
            <v>848</v>
          </cell>
          <cell r="AO104">
            <v>4791.2000000000007</v>
          </cell>
          <cell r="AP104" t="str">
            <v>Pending</v>
          </cell>
          <cell r="AQ104" t="str">
            <v>Pending</v>
          </cell>
          <cell r="AR104">
            <v>250</v>
          </cell>
          <cell r="AS104" t="str">
            <v>JPC - 224993</v>
          </cell>
        </row>
        <row r="105">
          <cell r="A105">
            <v>1</v>
          </cell>
          <cell r="B105" t="str">
            <v>Trust</v>
          </cell>
          <cell r="C105" t="str">
            <v>Pavan Kumar Vunnam</v>
          </cell>
          <cell r="D105" t="str">
            <v>Bhanu Pratap Singh</v>
          </cell>
          <cell r="F105" t="str">
            <v>Bhanu Pratap singh</v>
          </cell>
          <cell r="G105" t="str">
            <v>Bhanu Pratap singh</v>
          </cell>
          <cell r="L105" t="str">
            <v>Oracle technical Lead</v>
          </cell>
          <cell r="M105" t="str">
            <v>May</v>
          </cell>
          <cell r="N105">
            <v>45806</v>
          </cell>
          <cell r="O105">
            <v>45847</v>
          </cell>
          <cell r="P105" t="str">
            <v>Birlasoft</v>
          </cell>
          <cell r="R105" t="str">
            <v>Contract</v>
          </cell>
          <cell r="S105" t="str">
            <v>C2C</v>
          </cell>
          <cell r="V105">
            <v>100</v>
          </cell>
          <cell r="AA105">
            <v>8</v>
          </cell>
          <cell r="AN105">
            <v>776</v>
          </cell>
          <cell r="AO105">
            <v>6208</v>
          </cell>
          <cell r="AP105" t="str">
            <v>Done</v>
          </cell>
          <cell r="AQ105" t="str">
            <v>Done</v>
          </cell>
          <cell r="AR105">
            <v>237</v>
          </cell>
          <cell r="AS105" t="str">
            <v>JPC - 224994</v>
          </cell>
        </row>
        <row r="106">
          <cell r="A106">
            <v>1</v>
          </cell>
          <cell r="B106" t="str">
            <v>Wellness Warriors-IT</v>
          </cell>
          <cell r="C106" t="str">
            <v>Akash Raj Ayyagari</v>
          </cell>
          <cell r="D106" t="str">
            <v>Hemant Kumar</v>
          </cell>
          <cell r="F106" t="str">
            <v>Akash Saxena</v>
          </cell>
          <cell r="G106" t="str">
            <v>Akash Saxena</v>
          </cell>
          <cell r="L106" t="str">
            <v>MLOps Engineer</v>
          </cell>
          <cell r="M106" t="str">
            <v>June</v>
          </cell>
          <cell r="N106">
            <v>45812</v>
          </cell>
          <cell r="O106" t="str">
            <v>NA</v>
          </cell>
          <cell r="P106" t="str">
            <v>Citius Tech</v>
          </cell>
          <cell r="R106" t="str">
            <v>Contract</v>
          </cell>
          <cell r="S106" t="str">
            <v>C2C</v>
          </cell>
          <cell r="V106">
            <v>70</v>
          </cell>
          <cell r="AA106">
            <v>6</v>
          </cell>
          <cell r="AN106">
            <v>688</v>
          </cell>
          <cell r="AO106">
            <v>4128</v>
          </cell>
          <cell r="AP106" t="str">
            <v>Pending</v>
          </cell>
          <cell r="AQ106" t="str">
            <v>Pending</v>
          </cell>
          <cell r="AR106">
            <v>224</v>
          </cell>
          <cell r="AS106" t="str">
            <v>JPC - 224995</v>
          </cell>
        </row>
        <row r="107">
          <cell r="A107">
            <v>1</v>
          </cell>
          <cell r="B107" t="str">
            <v>Titans</v>
          </cell>
          <cell r="C107" t="str">
            <v>Prudhvi Raj Numburi</v>
          </cell>
          <cell r="D107" t="str">
            <v>Aastha Tiwari</v>
          </cell>
          <cell r="F107" t="str">
            <v>Aditya Kumar Yadav </v>
          </cell>
          <cell r="G107" t="str">
            <v>Aditya Kumar Yadav </v>
          </cell>
          <cell r="L107" t="str">
            <v xml:space="preserve">SAP PP Consultant </v>
          </cell>
          <cell r="M107" t="str">
            <v>June</v>
          </cell>
          <cell r="N107">
            <v>45819</v>
          </cell>
          <cell r="O107" t="str">
            <v>NA</v>
          </cell>
          <cell r="P107" t="str">
            <v>Genpact</v>
          </cell>
          <cell r="R107" t="str">
            <v>Contract</v>
          </cell>
          <cell r="S107" t="str">
            <v>C2C</v>
          </cell>
          <cell r="V107">
            <v>105.75</v>
          </cell>
          <cell r="AA107">
            <v>2</v>
          </cell>
          <cell r="AN107">
            <v>848</v>
          </cell>
          <cell r="AO107">
            <v>1696</v>
          </cell>
          <cell r="AP107" t="str">
            <v>Pending</v>
          </cell>
          <cell r="AQ107" t="str">
            <v>Pending</v>
          </cell>
          <cell r="AR107">
            <v>211</v>
          </cell>
          <cell r="AS107" t="str">
            <v>JPC - 224996</v>
          </cell>
        </row>
        <row r="108">
          <cell r="A108">
            <v>1</v>
          </cell>
          <cell r="B108" t="str">
            <v>Wellness Warriors-IT</v>
          </cell>
          <cell r="C108" t="str">
            <v>Paul Gaffney Heffernan</v>
          </cell>
          <cell r="D108" t="str">
            <v xml:space="preserve">Yatu Raj Prajee </v>
          </cell>
          <cell r="F108" t="str">
            <v xml:space="preserve">Abdul Rahman </v>
          </cell>
          <cell r="G108" t="str">
            <v xml:space="preserve">Abdul Rahman </v>
          </cell>
          <cell r="L108" t="str">
            <v>Sr. Technical Developer  </v>
          </cell>
          <cell r="M108" t="str">
            <v>June</v>
          </cell>
          <cell r="N108">
            <v>45826</v>
          </cell>
          <cell r="O108" t="str">
            <v>NA</v>
          </cell>
          <cell r="P108" t="str">
            <v xml:space="preserve">IGT Solutions </v>
          </cell>
          <cell r="R108" t="str">
            <v>Contract</v>
          </cell>
          <cell r="S108" t="str">
            <v>C2C</v>
          </cell>
          <cell r="V108">
            <v>74</v>
          </cell>
          <cell r="AA108">
            <v>2</v>
          </cell>
          <cell r="AN108">
            <v>0</v>
          </cell>
          <cell r="AO108">
            <v>0</v>
          </cell>
          <cell r="AP108" t="str">
            <v>Pending</v>
          </cell>
          <cell r="AQ108" t="str">
            <v>Pending</v>
          </cell>
          <cell r="AR108">
            <v>150</v>
          </cell>
          <cell r="AS108" t="str">
            <v>JPC - 224997</v>
          </cell>
        </row>
        <row r="109">
          <cell r="A109">
            <v>1</v>
          </cell>
          <cell r="B109" t="str">
            <v>Mavericks</v>
          </cell>
          <cell r="C109" t="str">
            <v>Jegajeevan Rajendran</v>
          </cell>
          <cell r="D109" t="str">
            <v>Priyanka Sharma</v>
          </cell>
          <cell r="F109" t="str">
            <v>Kashif Nabi</v>
          </cell>
          <cell r="G109" t="str">
            <v>Kashif Nabi</v>
          </cell>
          <cell r="L109" t="str">
            <v>IOT Technician</v>
          </cell>
          <cell r="M109" t="str">
            <v>July</v>
          </cell>
          <cell r="N109">
            <v>45839</v>
          </cell>
          <cell r="O109" t="str">
            <v>NA</v>
          </cell>
          <cell r="P109" t="str">
            <v>Genpact</v>
          </cell>
          <cell r="R109" t="str">
            <v>Contract</v>
          </cell>
          <cell r="S109" t="str">
            <v>C2C</v>
          </cell>
          <cell r="V109">
            <v>52</v>
          </cell>
          <cell r="AA109">
            <v>10</v>
          </cell>
          <cell r="AN109">
            <v>912</v>
          </cell>
          <cell r="AO109">
            <v>9120</v>
          </cell>
          <cell r="AP109" t="str">
            <v>No Bill No Pay</v>
          </cell>
          <cell r="AQ109" t="str">
            <v>No bill no pay</v>
          </cell>
          <cell r="AR109">
            <v>438</v>
          </cell>
          <cell r="AS109" t="str">
            <v>JPC - 224998</v>
          </cell>
        </row>
        <row r="110">
          <cell r="A110">
            <v>1</v>
          </cell>
          <cell r="B110" t="str">
            <v>Mavericks</v>
          </cell>
          <cell r="C110" t="str">
            <v>Sai Varshith Vangara</v>
          </cell>
          <cell r="D110" t="str">
            <v>Harshita Srivastava</v>
          </cell>
          <cell r="F110" t="str">
            <v>Kashif Nabi</v>
          </cell>
          <cell r="G110" t="str">
            <v>Kashif Nabi</v>
          </cell>
          <cell r="L110" t="str">
            <v>Data Science Engineer</v>
          </cell>
          <cell r="M110" t="str">
            <v>July</v>
          </cell>
          <cell r="N110">
            <v>45849</v>
          </cell>
          <cell r="O110" t="str">
            <v>NA</v>
          </cell>
          <cell r="P110" t="str">
            <v>Genpact</v>
          </cell>
          <cell r="R110" t="str">
            <v>Contract</v>
          </cell>
          <cell r="S110" t="str">
            <v>C2C</v>
          </cell>
          <cell r="V110">
            <v>80</v>
          </cell>
          <cell r="AA110">
            <v>15</v>
          </cell>
          <cell r="AN110">
            <v>457.5</v>
          </cell>
          <cell r="AO110">
            <v>6862.5</v>
          </cell>
          <cell r="AP110" t="str">
            <v>Active</v>
          </cell>
          <cell r="AQ110" t="str">
            <v>May</v>
          </cell>
          <cell r="AR110">
            <v>432</v>
          </cell>
          <cell r="AS110" t="str">
            <v>JPC - 224999</v>
          </cell>
        </row>
        <row r="111">
          <cell r="A111">
            <v>1</v>
          </cell>
          <cell r="B111" t="str">
            <v>Trust</v>
          </cell>
          <cell r="C111" t="str">
            <v>Anvesh babu Yarlagadda</v>
          </cell>
          <cell r="D111" t="str">
            <v>Rishabh Kapoor</v>
          </cell>
          <cell r="F111" t="str">
            <v>Harsh Agrawal</v>
          </cell>
          <cell r="G111" t="str">
            <v>Harsh Agrawal</v>
          </cell>
          <cell r="L111" t="str">
            <v>Senior Project Manager</v>
          </cell>
          <cell r="M111" t="str">
            <v>July</v>
          </cell>
          <cell r="N111">
            <v>45846</v>
          </cell>
          <cell r="O111">
            <v>45847</v>
          </cell>
          <cell r="P111" t="str">
            <v>Birlasoft</v>
          </cell>
          <cell r="R111" t="str">
            <v>Contract</v>
          </cell>
          <cell r="S111" t="str">
            <v>C2C</v>
          </cell>
          <cell r="V111">
            <v>98</v>
          </cell>
          <cell r="AA111">
            <v>3</v>
          </cell>
          <cell r="AN111">
            <v>632</v>
          </cell>
          <cell r="AO111">
            <v>1896</v>
          </cell>
          <cell r="AP111" t="str">
            <v>Active</v>
          </cell>
          <cell r="AQ111" t="str">
            <v>Sep</v>
          </cell>
          <cell r="AR111">
            <v>136</v>
          </cell>
          <cell r="AS111" t="str">
            <v>JPC - 225000</v>
          </cell>
        </row>
        <row r="112">
          <cell r="A112">
            <v>1</v>
          </cell>
          <cell r="B112" t="str">
            <v>Mavericks</v>
          </cell>
          <cell r="C112" t="str">
            <v>Devaraj Ellikkal Narayanan</v>
          </cell>
          <cell r="D112" t="str">
            <v>Priyanka Sharma</v>
          </cell>
          <cell r="F112" t="str">
            <v>Kashif Nabi</v>
          </cell>
          <cell r="G112" t="str">
            <v>Kashif Nabi</v>
          </cell>
          <cell r="L112" t="str">
            <v xml:space="preserve">SAP Solution Architect </v>
          </cell>
          <cell r="M112" t="str">
            <v>July</v>
          </cell>
          <cell r="N112">
            <v>45847</v>
          </cell>
          <cell r="O112">
            <v>45946</v>
          </cell>
          <cell r="P112" t="str">
            <v>Genpact</v>
          </cell>
          <cell r="R112" t="str">
            <v>Contract</v>
          </cell>
          <cell r="S112" t="str">
            <v>C2C</v>
          </cell>
          <cell r="V112">
            <v>120</v>
          </cell>
          <cell r="AA112">
            <v>8</v>
          </cell>
          <cell r="AO112">
            <v>0</v>
          </cell>
          <cell r="AP112" t="str">
            <v>Active</v>
          </cell>
          <cell r="AQ112" t="str">
            <v>Sep</v>
          </cell>
          <cell r="AR112">
            <v>438</v>
          </cell>
          <cell r="AS112" t="str">
            <v>JPC - 225001</v>
          </cell>
        </row>
        <row r="113">
          <cell r="A113">
            <v>1</v>
          </cell>
          <cell r="B113" t="str">
            <v>Mavericks</v>
          </cell>
          <cell r="C113" t="str">
            <v xml:space="preserve">Bhargava Ram Emani </v>
          </cell>
          <cell r="D113" t="str">
            <v>Anuj Tewari</v>
          </cell>
          <cell r="F113" t="str">
            <v>Rohit Gupta</v>
          </cell>
          <cell r="G113" t="str">
            <v>Rohit Gupta</v>
          </cell>
          <cell r="L113" t="str">
            <v>.Net AWS developer</v>
          </cell>
          <cell r="M113" t="str">
            <v>July</v>
          </cell>
          <cell r="N113">
            <v>45848</v>
          </cell>
          <cell r="O113" t="str">
            <v>NA</v>
          </cell>
          <cell r="P113" t="str">
            <v>CoForge</v>
          </cell>
          <cell r="R113" t="str">
            <v>Contract</v>
          </cell>
          <cell r="S113" t="str">
            <v>C2C</v>
          </cell>
          <cell r="V113">
            <v>70</v>
          </cell>
          <cell r="AA113">
            <v>5</v>
          </cell>
          <cell r="AN113">
            <v>536</v>
          </cell>
          <cell r="AO113">
            <v>2680</v>
          </cell>
          <cell r="AP113" t="str">
            <v>Quit</v>
          </cell>
          <cell r="AQ113">
            <v>45775</v>
          </cell>
          <cell r="AR113">
            <v>406</v>
          </cell>
          <cell r="AS113" t="str">
            <v>JPC - 225002</v>
          </cell>
        </row>
        <row r="114">
          <cell r="A114">
            <v>1</v>
          </cell>
          <cell r="B114" t="str">
            <v>Wellness Warriors-IT</v>
          </cell>
          <cell r="C114" t="str">
            <v>Vamshi Reddy Katipalli</v>
          </cell>
          <cell r="D114" t="str">
            <v>Kartik Parashar</v>
          </cell>
          <cell r="F114" t="str">
            <v>Akash Saxena</v>
          </cell>
          <cell r="G114" t="str">
            <v>Akash Saxena</v>
          </cell>
          <cell r="L114" t="str">
            <v>Full Stack Lead</v>
          </cell>
          <cell r="M114" t="str">
            <v>July</v>
          </cell>
          <cell r="N114">
            <v>45848</v>
          </cell>
          <cell r="O114" t="str">
            <v>NA</v>
          </cell>
          <cell r="P114" t="str">
            <v>CitiusTech</v>
          </cell>
          <cell r="R114" t="str">
            <v>Contract</v>
          </cell>
          <cell r="S114" t="str">
            <v>C2C</v>
          </cell>
          <cell r="V114">
            <v>72</v>
          </cell>
          <cell r="AA114">
            <v>7</v>
          </cell>
          <cell r="AN114">
            <v>632</v>
          </cell>
          <cell r="AO114">
            <v>4424</v>
          </cell>
          <cell r="AP114" t="str">
            <v>Active</v>
          </cell>
          <cell r="AQ114" t="str">
            <v>Sep</v>
          </cell>
          <cell r="AR114">
            <v>393</v>
          </cell>
          <cell r="AS114" t="str">
            <v>JPC - 225003</v>
          </cell>
        </row>
        <row r="115">
          <cell r="A115">
            <v>1</v>
          </cell>
          <cell r="B115" t="str">
            <v>Trust</v>
          </cell>
          <cell r="C115" t="str">
            <v>SOUJANYA  ATTELLI</v>
          </cell>
          <cell r="D115" t="str">
            <v>Virendra Vikram Singh</v>
          </cell>
          <cell r="F115" t="str">
            <v>Harsh Agrawal</v>
          </cell>
          <cell r="G115" t="str">
            <v>Harsh Agrawal</v>
          </cell>
          <cell r="L115" t="str">
            <v>Oracle Cloud /EBS Manufacturing Functional Consultant</v>
          </cell>
          <cell r="M115" t="str">
            <v>July</v>
          </cell>
          <cell r="N115">
            <v>45859</v>
          </cell>
          <cell r="O115" t="str">
            <v>NA</v>
          </cell>
          <cell r="P115" t="str">
            <v>Birlasoft</v>
          </cell>
          <cell r="R115" t="str">
            <v>Contract</v>
          </cell>
          <cell r="S115" t="str">
            <v>C2C</v>
          </cell>
          <cell r="V115">
            <v>96</v>
          </cell>
          <cell r="AA115">
            <v>8</v>
          </cell>
          <cell r="AN115">
            <v>584</v>
          </cell>
          <cell r="AO115">
            <v>4672</v>
          </cell>
          <cell r="AP115" t="str">
            <v>Active</v>
          </cell>
          <cell r="AQ115" t="str">
            <v>Sep</v>
          </cell>
          <cell r="AR115">
            <v>380</v>
          </cell>
          <cell r="AS115" t="str">
            <v>JPC - 225004</v>
          </cell>
        </row>
        <row r="116">
          <cell r="A116">
            <v>1</v>
          </cell>
          <cell r="B116" t="str">
            <v>Titans</v>
          </cell>
          <cell r="C116" t="str">
            <v xml:space="preserve">Veena Ganamukhi </v>
          </cell>
          <cell r="D116" t="str">
            <v>Shubham Tripathi</v>
          </cell>
          <cell r="F116" t="str">
            <v>Abhishek Yadav</v>
          </cell>
          <cell r="G116" t="str">
            <v>Abhishek Yadav</v>
          </cell>
          <cell r="L116" t="str">
            <v>SAP PM</v>
          </cell>
          <cell r="M116" t="str">
            <v>July</v>
          </cell>
          <cell r="N116">
            <v>45852</v>
          </cell>
          <cell r="O116" t="str">
            <v>NA</v>
          </cell>
          <cell r="P116" t="str">
            <v>Genpact</v>
          </cell>
          <cell r="R116" t="str">
            <v>Contract</v>
          </cell>
          <cell r="S116" t="str">
            <v>C2C</v>
          </cell>
          <cell r="V116">
            <v>60</v>
          </cell>
          <cell r="AA116">
            <v>7.25</v>
          </cell>
          <cell r="AN116">
            <v>424</v>
          </cell>
          <cell r="AO116">
            <v>3074</v>
          </cell>
          <cell r="AP116" t="str">
            <v>Active</v>
          </cell>
          <cell r="AQ116" t="str">
            <v>Sep</v>
          </cell>
          <cell r="AR116">
            <v>367</v>
          </cell>
          <cell r="AS116" t="str">
            <v>JPC - 225005</v>
          </cell>
        </row>
        <row r="117">
          <cell r="A117">
            <v>1</v>
          </cell>
          <cell r="B117" t="str">
            <v>Titans</v>
          </cell>
          <cell r="C117" t="str">
            <v>Anand Goni</v>
          </cell>
          <cell r="D117" t="str">
            <v>Heena Akshay Pandey</v>
          </cell>
          <cell r="F117" t="str">
            <v>Abhishek Yadav</v>
          </cell>
          <cell r="G117" t="str">
            <v>Abhishek Yadav</v>
          </cell>
          <cell r="L117" t="str">
            <v xml:space="preserve">Camunda Developer </v>
          </cell>
          <cell r="M117" t="str">
            <v>July</v>
          </cell>
          <cell r="N117">
            <v>45852</v>
          </cell>
          <cell r="O117" t="str">
            <v>NA</v>
          </cell>
          <cell r="P117" t="str">
            <v>Genpact</v>
          </cell>
          <cell r="R117" t="str">
            <v>Contract</v>
          </cell>
          <cell r="S117" t="str">
            <v>C2C</v>
          </cell>
          <cell r="V117">
            <v>90</v>
          </cell>
          <cell r="AA117">
            <v>15</v>
          </cell>
          <cell r="AN117">
            <v>448</v>
          </cell>
          <cell r="AO117">
            <v>6720</v>
          </cell>
          <cell r="AP117" t="str">
            <v>Active</v>
          </cell>
          <cell r="AQ117" t="str">
            <v>Sep</v>
          </cell>
          <cell r="AR117">
            <v>354</v>
          </cell>
          <cell r="AS117" t="str">
            <v>JPC - 225006</v>
          </cell>
        </row>
        <row r="118">
          <cell r="A118">
            <v>1</v>
          </cell>
          <cell r="B118" t="str">
            <v>Titans</v>
          </cell>
          <cell r="C118" t="str">
            <v>Dinesh Sagar Reddy Reddymalli</v>
          </cell>
          <cell r="D118" t="str">
            <v>Priya Yadav</v>
          </cell>
          <cell r="F118" t="str">
            <v>Abhishek Yadav</v>
          </cell>
          <cell r="G118" t="str">
            <v>Abhishek Yadav</v>
          </cell>
          <cell r="L118" t="str">
            <v xml:space="preserve">Power BI consultant </v>
          </cell>
          <cell r="M118" t="str">
            <v>July</v>
          </cell>
          <cell r="N118">
            <v>45847</v>
          </cell>
          <cell r="O118" t="str">
            <v>NA</v>
          </cell>
          <cell r="P118" t="str">
            <v>Genpact</v>
          </cell>
          <cell r="R118" t="str">
            <v>Contract</v>
          </cell>
          <cell r="S118" t="str">
            <v>C2C</v>
          </cell>
          <cell r="V118">
            <v>41</v>
          </cell>
          <cell r="AA118">
            <v>6</v>
          </cell>
          <cell r="AN118">
            <v>354</v>
          </cell>
          <cell r="AO118">
            <v>2124</v>
          </cell>
          <cell r="AP118" t="str">
            <v>Active</v>
          </cell>
          <cell r="AQ118" t="str">
            <v>Jun</v>
          </cell>
          <cell r="AR118">
            <v>341</v>
          </cell>
          <cell r="AS118" t="str">
            <v>JPC - 225007</v>
          </cell>
        </row>
        <row r="119">
          <cell r="A119">
            <v>1</v>
          </cell>
          <cell r="B119" t="str">
            <v>Wellness Warriors-IT</v>
          </cell>
          <cell r="C119" t="str">
            <v>Vinay Marru</v>
          </cell>
          <cell r="D119" t="str">
            <v>Hemant Kumar</v>
          </cell>
          <cell r="F119" t="str">
            <v>Akash Saxena</v>
          </cell>
          <cell r="G119" t="str">
            <v>Akash Saxena</v>
          </cell>
          <cell r="L119" t="str">
            <v>Gen AI Engineer</v>
          </cell>
          <cell r="M119" t="str">
            <v>July</v>
          </cell>
          <cell r="N119">
            <v>45845</v>
          </cell>
          <cell r="O119">
            <v>45961</v>
          </cell>
          <cell r="P119" t="str">
            <v>CitiusTech</v>
          </cell>
          <cell r="R119" t="str">
            <v>Contract</v>
          </cell>
          <cell r="S119" t="str">
            <v>C2C</v>
          </cell>
          <cell r="V119">
            <v>75</v>
          </cell>
          <cell r="AA119">
            <v>11</v>
          </cell>
          <cell r="AN119">
            <v>280</v>
          </cell>
          <cell r="AO119">
            <v>3080</v>
          </cell>
          <cell r="AP119" t="str">
            <v>Active</v>
          </cell>
          <cell r="AQ119" t="str">
            <v>Sep</v>
          </cell>
          <cell r="AR119">
            <v>328</v>
          </cell>
          <cell r="AS119" t="str">
            <v>JPC - 225008</v>
          </cell>
        </row>
        <row r="120">
          <cell r="A120">
            <v>1</v>
          </cell>
          <cell r="B120" t="str">
            <v>Mavericks</v>
          </cell>
          <cell r="C120" t="str">
            <v>Jaya Krishna Kalyan Varma Nadimpalli</v>
          </cell>
          <cell r="D120" t="str">
            <v>Khatib Rahman</v>
          </cell>
          <cell r="F120" t="str">
            <v>Kashif Nabi</v>
          </cell>
          <cell r="G120" t="str">
            <v>Kashif Nabi</v>
          </cell>
          <cell r="L120" t="str">
            <v>Automation Engineer (AI &amp; SDET)</v>
          </cell>
          <cell r="M120" t="str">
            <v>July</v>
          </cell>
          <cell r="N120">
            <v>45852</v>
          </cell>
          <cell r="O120" t="str">
            <v>NA</v>
          </cell>
          <cell r="P120" t="str">
            <v>CoForge Cigniti</v>
          </cell>
          <cell r="R120" t="str">
            <v>Contract</v>
          </cell>
          <cell r="S120" t="str">
            <v>C2C</v>
          </cell>
          <cell r="V120">
            <v>72</v>
          </cell>
          <cell r="AA120">
            <v>15</v>
          </cell>
          <cell r="AN120">
            <v>440</v>
          </cell>
          <cell r="AO120">
            <v>6600</v>
          </cell>
          <cell r="AP120" t="str">
            <v>Active</v>
          </cell>
          <cell r="AQ120" t="str">
            <v>Sep</v>
          </cell>
          <cell r="AR120">
            <v>315</v>
          </cell>
          <cell r="AS120" t="str">
            <v>JPC - 225009</v>
          </cell>
        </row>
        <row r="121">
          <cell r="A121">
            <v>1</v>
          </cell>
          <cell r="B121" t="str">
            <v>Mavericks</v>
          </cell>
          <cell r="C121" t="str">
            <v>Gavaskar Dubala</v>
          </cell>
          <cell r="D121" t="str">
            <v>Sakshi Tiwari</v>
          </cell>
          <cell r="F121" t="str">
            <v>Kashif Nabi</v>
          </cell>
          <cell r="G121" t="str">
            <v>Kashif Nabi</v>
          </cell>
          <cell r="L121" t="str">
            <v>AWS Data Engineer</v>
          </cell>
          <cell r="M121" t="str">
            <v>July</v>
          </cell>
          <cell r="N121">
            <v>45860</v>
          </cell>
          <cell r="O121" t="str">
            <v>NA</v>
          </cell>
          <cell r="P121" t="str">
            <v>Innova Solutions</v>
          </cell>
          <cell r="R121" t="str">
            <v>Contract</v>
          </cell>
          <cell r="S121" t="str">
            <v>C2C</v>
          </cell>
          <cell r="V121">
            <v>83</v>
          </cell>
          <cell r="AA121">
            <v>15</v>
          </cell>
          <cell r="AN121">
            <v>288</v>
          </cell>
          <cell r="AO121">
            <v>4320</v>
          </cell>
          <cell r="AP121" t="str">
            <v>Active</v>
          </cell>
          <cell r="AQ121" t="str">
            <v>Sep</v>
          </cell>
          <cell r="AR121">
            <v>302</v>
          </cell>
          <cell r="AS121" t="str">
            <v>JPC - 225010</v>
          </cell>
        </row>
        <row r="122">
          <cell r="A122">
            <v>1</v>
          </cell>
          <cell r="B122" t="str">
            <v>Mavericks</v>
          </cell>
          <cell r="C122" t="str">
            <v>Kamala Bhavana Konda</v>
          </cell>
          <cell r="D122" t="str">
            <v>Saif Ahmad Ansari</v>
          </cell>
          <cell r="F122" t="str">
            <v>Rohit Gupta</v>
          </cell>
          <cell r="G122" t="str">
            <v>Rohit Gupta</v>
          </cell>
          <cell r="L122" t="str">
            <v>AEM Developer</v>
          </cell>
          <cell r="M122" t="str">
            <v>July</v>
          </cell>
          <cell r="N122">
            <v>45866</v>
          </cell>
          <cell r="O122" t="str">
            <v>NA</v>
          </cell>
          <cell r="P122" t="str">
            <v>CoForge</v>
          </cell>
          <cell r="R122" t="str">
            <v>Contract</v>
          </cell>
          <cell r="S122" t="str">
            <v>C2C</v>
          </cell>
          <cell r="V122">
            <v>72</v>
          </cell>
          <cell r="AA122">
            <v>6</v>
          </cell>
          <cell r="AN122">
            <v>227</v>
          </cell>
          <cell r="AO122">
            <v>1362</v>
          </cell>
          <cell r="AP122" t="str">
            <v>Active</v>
          </cell>
          <cell r="AQ122" t="str">
            <v>Sep</v>
          </cell>
          <cell r="AR122">
            <v>289</v>
          </cell>
          <cell r="AS122" t="str">
            <v>JPC - 225011</v>
          </cell>
        </row>
        <row r="123">
          <cell r="A123">
            <v>1</v>
          </cell>
          <cell r="B123" t="str">
            <v>Mavericks</v>
          </cell>
          <cell r="C123" t="str">
            <v>Mayank Kirankumar Chauhan</v>
          </cell>
          <cell r="D123" t="str">
            <v>Vaibhav Kumar</v>
          </cell>
          <cell r="F123" t="str">
            <v>Kashif Nabi</v>
          </cell>
          <cell r="G123" t="str">
            <v>Kashif Nabi</v>
          </cell>
          <cell r="L123" t="str">
            <v>IAM Engineer</v>
          </cell>
          <cell r="M123" t="str">
            <v>August</v>
          </cell>
          <cell r="N123">
            <v>45874</v>
          </cell>
          <cell r="O123">
            <v>45930</v>
          </cell>
          <cell r="P123" t="str">
            <v>Genpact</v>
          </cell>
          <cell r="R123" t="str">
            <v>Contract</v>
          </cell>
          <cell r="S123" t="str">
            <v>C2C</v>
          </cell>
          <cell r="V123">
            <v>78</v>
          </cell>
          <cell r="AA123">
            <v>1</v>
          </cell>
          <cell r="AN123">
            <v>312</v>
          </cell>
          <cell r="AO123">
            <v>312</v>
          </cell>
          <cell r="AP123" t="str">
            <v>No Bill No Pay</v>
          </cell>
          <cell r="AQ123" t="str">
            <v>No bill no pay</v>
          </cell>
          <cell r="AR123">
            <v>276</v>
          </cell>
          <cell r="AS123" t="str">
            <v>JPC - 225012</v>
          </cell>
        </row>
        <row r="124">
          <cell r="A124">
            <v>1</v>
          </cell>
          <cell r="B124" t="str">
            <v>Mavericks</v>
          </cell>
          <cell r="C124" t="str">
            <v>Sahil Gautambhai Patel</v>
          </cell>
          <cell r="D124" t="str">
            <v>Vaibhav Kumar</v>
          </cell>
          <cell r="F124" t="str">
            <v>Kashif Nabi</v>
          </cell>
          <cell r="G124" t="str">
            <v>Kashif Nabi</v>
          </cell>
          <cell r="L124" t="str">
            <v>IAM Engineer</v>
          </cell>
          <cell r="M124" t="str">
            <v>August</v>
          </cell>
          <cell r="N124">
            <v>45887</v>
          </cell>
          <cell r="O124" t="str">
            <v>NA</v>
          </cell>
          <cell r="P124" t="str">
            <v>Genpact</v>
          </cell>
          <cell r="R124" t="str">
            <v>Contract</v>
          </cell>
          <cell r="S124" t="str">
            <v>C2C</v>
          </cell>
          <cell r="V124">
            <v>78</v>
          </cell>
          <cell r="AA124">
            <v>8</v>
          </cell>
          <cell r="AN124">
            <v>288</v>
          </cell>
          <cell r="AO124">
            <v>2304</v>
          </cell>
          <cell r="AP124" t="str">
            <v>Active</v>
          </cell>
          <cell r="AQ124" t="str">
            <v>Sep</v>
          </cell>
          <cell r="AR124">
            <v>263</v>
          </cell>
          <cell r="AS124" t="str">
            <v>JPC - 225013</v>
          </cell>
        </row>
        <row r="125">
          <cell r="A125">
            <v>1</v>
          </cell>
          <cell r="B125" t="str">
            <v>Wellness Warriors-IT</v>
          </cell>
          <cell r="C125" t="str">
            <v>James Foster Harrington</v>
          </cell>
          <cell r="D125" t="str">
            <v>Prashant Pal (VB1217)</v>
          </cell>
          <cell r="F125" t="str">
            <v>Akash Saxena</v>
          </cell>
          <cell r="G125" t="str">
            <v>Akash Saxena</v>
          </cell>
          <cell r="L125" t="str">
            <v xml:space="preserve">Java Developer </v>
          </cell>
          <cell r="M125" t="str">
            <v>July</v>
          </cell>
          <cell r="N125">
            <v>45869</v>
          </cell>
          <cell r="O125" t="str">
            <v>NA</v>
          </cell>
          <cell r="P125" t="str">
            <v>CitiusTech</v>
          </cell>
          <cell r="R125" t="str">
            <v>Contract</v>
          </cell>
          <cell r="S125" t="str">
            <v>C2C</v>
          </cell>
          <cell r="V125">
            <v>72</v>
          </cell>
          <cell r="AA125">
            <v>10</v>
          </cell>
          <cell r="AO125">
            <v>0</v>
          </cell>
          <cell r="AP125" t="str">
            <v>Active</v>
          </cell>
          <cell r="AQ125" t="str">
            <v>Sep</v>
          </cell>
          <cell r="AR125">
            <v>250</v>
          </cell>
          <cell r="AS125" t="str">
            <v>JPC - 225014</v>
          </cell>
        </row>
        <row r="126">
          <cell r="A126">
            <v>1</v>
          </cell>
          <cell r="B126" t="str">
            <v>Trust</v>
          </cell>
          <cell r="C126" t="str">
            <v>Justin Parker</v>
          </cell>
          <cell r="F126" t="str">
            <v>Bhanu Pratap Singh</v>
          </cell>
          <cell r="G126" t="str">
            <v>Bhanu Pratap Singh</v>
          </cell>
          <cell r="L126" t="str">
            <v>Oracle Technical Lead</v>
          </cell>
          <cell r="M126" t="str">
            <v>July</v>
          </cell>
          <cell r="N126">
            <v>45867</v>
          </cell>
          <cell r="O126" t="str">
            <v>NA</v>
          </cell>
          <cell r="P126" t="str">
            <v>Birlasoft</v>
          </cell>
          <cell r="R126" t="str">
            <v>Contract</v>
          </cell>
          <cell r="S126" t="str">
            <v>C2C</v>
          </cell>
          <cell r="V126">
            <v>100</v>
          </cell>
          <cell r="AA126">
            <v>13</v>
          </cell>
          <cell r="AN126">
            <v>192</v>
          </cell>
          <cell r="AO126">
            <v>2496</v>
          </cell>
          <cell r="AP126" t="str">
            <v>Active</v>
          </cell>
          <cell r="AQ126" t="str">
            <v>sep</v>
          </cell>
          <cell r="AR126">
            <v>237</v>
          </cell>
          <cell r="AS126" t="str">
            <v>JPC - 225015</v>
          </cell>
        </row>
        <row r="127">
          <cell r="A127">
            <v>1</v>
          </cell>
          <cell r="B127" t="str">
            <v>Mavericks</v>
          </cell>
          <cell r="C127" t="str">
            <v>Mujtaba Siddiqui</v>
          </cell>
          <cell r="D127" t="str">
            <v>Khatib Rahman</v>
          </cell>
          <cell r="F127" t="str">
            <v>Kashif Nabi</v>
          </cell>
          <cell r="G127" t="str">
            <v>Kashif Nabi</v>
          </cell>
          <cell r="L127" t="str">
            <v>Product Manager</v>
          </cell>
          <cell r="M127" t="str">
            <v>August</v>
          </cell>
          <cell r="N127">
            <v>45876</v>
          </cell>
          <cell r="O127" t="str">
            <v>NA</v>
          </cell>
          <cell r="P127" t="str">
            <v>Genpact</v>
          </cell>
          <cell r="R127" t="str">
            <v>Contract</v>
          </cell>
          <cell r="S127" t="str">
            <v>C2C</v>
          </cell>
          <cell r="V127">
            <v>70</v>
          </cell>
          <cell r="AA127">
            <v>1</v>
          </cell>
          <cell r="AN127">
            <v>104</v>
          </cell>
          <cell r="AO127">
            <v>104</v>
          </cell>
          <cell r="AP127" t="str">
            <v>No Bill No Pay</v>
          </cell>
          <cell r="AQ127" t="str">
            <v>No bill no pay</v>
          </cell>
          <cell r="AR127">
            <v>224</v>
          </cell>
          <cell r="AS127" t="str">
            <v>JPC - 225016</v>
          </cell>
        </row>
        <row r="128">
          <cell r="A128">
            <v>1</v>
          </cell>
          <cell r="B128" t="str">
            <v>Mavericks</v>
          </cell>
          <cell r="C128" t="str">
            <v>Craig Kindel</v>
          </cell>
          <cell r="D128" t="str">
            <v>Ekta Singh</v>
          </cell>
          <cell r="F128" t="str">
            <v>Rohit Gupta</v>
          </cell>
          <cell r="G128" t="str">
            <v>Rohit Gupta</v>
          </cell>
          <cell r="L128" t="str">
            <v>Senior Program Manager</v>
          </cell>
          <cell r="M128" t="str">
            <v>January</v>
          </cell>
          <cell r="N128">
            <v>45678</v>
          </cell>
          <cell r="O128">
            <v>45807</v>
          </cell>
          <cell r="P128" t="str">
            <v>Xceedance</v>
          </cell>
          <cell r="R128" t="str">
            <v>Contract</v>
          </cell>
          <cell r="S128">
            <v>1099</v>
          </cell>
          <cell r="V128">
            <v>75</v>
          </cell>
          <cell r="AA128">
            <v>2</v>
          </cell>
          <cell r="AN128">
            <v>56</v>
          </cell>
          <cell r="AO128">
            <v>112</v>
          </cell>
          <cell r="AP128" t="str">
            <v>Done</v>
          </cell>
          <cell r="AQ128" t="str">
            <v>Sep</v>
          </cell>
          <cell r="AR128">
            <v>211</v>
          </cell>
          <cell r="AS128" t="str">
            <v>JPC - 225017</v>
          </cell>
        </row>
        <row r="129">
          <cell r="A129">
            <v>1</v>
          </cell>
          <cell r="B129" t="str">
            <v>Titans</v>
          </cell>
          <cell r="C129" t="str">
            <v>Saye Matthew Williams</v>
          </cell>
          <cell r="D129" t="str">
            <v>Hamza</v>
          </cell>
          <cell r="F129" t="str">
            <v>Nitin Saxena</v>
          </cell>
          <cell r="G129" t="str">
            <v>Nitin Saxena</v>
          </cell>
          <cell r="L129" t="str">
            <v>Remote Wind Turbine Support Technician</v>
          </cell>
          <cell r="M129" t="str">
            <v>January</v>
          </cell>
          <cell r="N129">
            <v>45679</v>
          </cell>
          <cell r="O129">
            <v>45921</v>
          </cell>
          <cell r="P129" t="str">
            <v>Genpact</v>
          </cell>
          <cell r="R129" t="str">
            <v>Contract</v>
          </cell>
          <cell r="S129">
            <v>1099</v>
          </cell>
          <cell r="V129">
            <v>28</v>
          </cell>
          <cell r="AA129">
            <v>10</v>
          </cell>
          <cell r="AN129">
            <v>56</v>
          </cell>
          <cell r="AO129">
            <v>560</v>
          </cell>
          <cell r="AP129" t="str">
            <v>Active</v>
          </cell>
          <cell r="AQ129" t="str">
            <v>Sep</v>
          </cell>
          <cell r="AR129">
            <v>150</v>
          </cell>
          <cell r="AS129" t="str">
            <v>JPC - 225018</v>
          </cell>
        </row>
        <row r="130">
          <cell r="A130">
            <v>1</v>
          </cell>
          <cell r="B130" t="str">
            <v>Titans</v>
          </cell>
          <cell r="C130" t="str">
            <v>Keris Collier</v>
          </cell>
          <cell r="D130" t="str">
            <v>Hamza</v>
          </cell>
          <cell r="F130" t="str">
            <v>Nitin Saxena</v>
          </cell>
          <cell r="G130" t="str">
            <v>Nitin Saxena</v>
          </cell>
          <cell r="L130" t="str">
            <v>Remote Wind Turbine Support Technician</v>
          </cell>
          <cell r="M130" t="str">
            <v>January</v>
          </cell>
          <cell r="N130">
            <v>45679</v>
          </cell>
          <cell r="O130">
            <v>45737</v>
          </cell>
          <cell r="P130" t="str">
            <v>Genpact</v>
          </cell>
          <cell r="R130" t="str">
            <v>Contract</v>
          </cell>
          <cell r="S130">
            <v>1099</v>
          </cell>
          <cell r="V130">
            <v>28</v>
          </cell>
          <cell r="AA130">
            <v>4</v>
          </cell>
          <cell r="AN130">
            <v>40</v>
          </cell>
          <cell r="AO130">
            <v>160</v>
          </cell>
          <cell r="AP130" t="str">
            <v>Active</v>
          </cell>
          <cell r="AQ130" t="str">
            <v>Sep</v>
          </cell>
          <cell r="AR130">
            <v>438</v>
          </cell>
          <cell r="AS130" t="str">
            <v>JPC - 225019</v>
          </cell>
        </row>
        <row r="131">
          <cell r="A131">
            <v>1</v>
          </cell>
          <cell r="B131" t="str">
            <v>Titans</v>
          </cell>
          <cell r="C131" t="str">
            <v>Renita Blake</v>
          </cell>
          <cell r="D131" t="str">
            <v>Santosh Singh</v>
          </cell>
          <cell r="F131" t="str">
            <v>Aditya Kumar Yadav </v>
          </cell>
          <cell r="G131" t="str">
            <v>Aditya Kumar Yadav </v>
          </cell>
          <cell r="L131" t="str">
            <v>IT Support Engineer (Hands &amp; Feet Engineer)</v>
          </cell>
          <cell r="M131" t="str">
            <v>February</v>
          </cell>
          <cell r="N131">
            <v>45691</v>
          </cell>
          <cell r="O131">
            <v>45730</v>
          </cell>
          <cell r="P131" t="str">
            <v>Microland</v>
          </cell>
          <cell r="R131" t="str">
            <v>Contract</v>
          </cell>
          <cell r="S131">
            <v>1099</v>
          </cell>
          <cell r="V131">
            <v>52</v>
          </cell>
          <cell r="AA131">
            <v>10</v>
          </cell>
          <cell r="AN131">
            <v>80</v>
          </cell>
          <cell r="AO131">
            <v>800</v>
          </cell>
          <cell r="AP131" t="str">
            <v>Active</v>
          </cell>
          <cell r="AQ131" t="str">
            <v>Sep</v>
          </cell>
          <cell r="AR131">
            <v>432</v>
          </cell>
          <cell r="AS131" t="str">
            <v>JPC - 225020</v>
          </cell>
        </row>
        <row r="132">
          <cell r="A132">
            <v>1</v>
          </cell>
          <cell r="B132" t="str">
            <v>Titans</v>
          </cell>
          <cell r="C132" t="str">
            <v>Irfan Sarfraz</v>
          </cell>
          <cell r="D132" t="str">
            <v>Hamza</v>
          </cell>
          <cell r="F132" t="str">
            <v>Nitin Saxena</v>
          </cell>
          <cell r="G132" t="str">
            <v>Nitin Saxena</v>
          </cell>
          <cell r="L132" t="str">
            <v>Remote Wind Turbine Support Technician</v>
          </cell>
          <cell r="M132" t="str">
            <v>March</v>
          </cell>
          <cell r="N132">
            <v>45747</v>
          </cell>
          <cell r="O132">
            <v>45789</v>
          </cell>
          <cell r="P132" t="str">
            <v>Genpact</v>
          </cell>
          <cell r="R132" t="str">
            <v>Contract</v>
          </cell>
          <cell r="S132">
            <v>1099</v>
          </cell>
          <cell r="V132">
            <v>28</v>
          </cell>
          <cell r="AA132">
            <v>2</v>
          </cell>
          <cell r="AN132">
            <v>0</v>
          </cell>
          <cell r="AO132">
            <v>0</v>
          </cell>
          <cell r="AP132" t="str">
            <v>Active</v>
          </cell>
          <cell r="AQ132" t="str">
            <v>Sep</v>
          </cell>
          <cell r="AR132">
            <v>136</v>
          </cell>
          <cell r="AS132" t="str">
            <v>JPC - 225021</v>
          </cell>
        </row>
        <row r="133">
          <cell r="A133">
            <v>1</v>
          </cell>
          <cell r="B133" t="str">
            <v>Titans</v>
          </cell>
          <cell r="C133" t="str">
            <v>Nicholas Coyle</v>
          </cell>
          <cell r="D133" t="str">
            <v>Hamza</v>
          </cell>
          <cell r="F133" t="str">
            <v>Nitin Saxena</v>
          </cell>
          <cell r="G133" t="str">
            <v>Nitin Saxena</v>
          </cell>
          <cell r="L133" t="str">
            <v>Process Associate, Repair Order admin</v>
          </cell>
          <cell r="M133" t="str">
            <v>March</v>
          </cell>
          <cell r="N133">
            <v>45740</v>
          </cell>
          <cell r="O133" t="str">
            <v>NA</v>
          </cell>
          <cell r="P133" t="str">
            <v>Genpact</v>
          </cell>
          <cell r="R133" t="str">
            <v>Contract</v>
          </cell>
          <cell r="S133">
            <v>1099</v>
          </cell>
          <cell r="V133">
            <v>28</v>
          </cell>
          <cell r="AA133">
            <v>9</v>
          </cell>
          <cell r="AN133">
            <v>664</v>
          </cell>
          <cell r="AO133">
            <v>5976</v>
          </cell>
          <cell r="AP133" t="str">
            <v>Active</v>
          </cell>
          <cell r="AQ133" t="str">
            <v>Sep</v>
          </cell>
          <cell r="AR133">
            <v>438</v>
          </cell>
          <cell r="AS133" t="str">
            <v>JPC - 225022</v>
          </cell>
        </row>
        <row r="134">
          <cell r="A134">
            <v>1</v>
          </cell>
          <cell r="B134" t="str">
            <v>Mavericks/Titans</v>
          </cell>
          <cell r="C134" t="str">
            <v>Eric Kaser</v>
          </cell>
          <cell r="D134" t="str">
            <v>Anshita Dwivedi</v>
          </cell>
          <cell r="F134" t="str">
            <v>Kashif Nabi</v>
          </cell>
          <cell r="G134" t="str">
            <v>Nitin Saxena</v>
          </cell>
          <cell r="L134" t="str">
            <v>Documentation Expert</v>
          </cell>
          <cell r="M134" t="str">
            <v>April</v>
          </cell>
          <cell r="N134">
            <v>45754</v>
          </cell>
          <cell r="O134">
            <v>45868</v>
          </cell>
          <cell r="P134" t="str">
            <v>Genpact</v>
          </cell>
          <cell r="R134" t="str">
            <v>Contract</v>
          </cell>
          <cell r="S134">
            <v>1099</v>
          </cell>
          <cell r="V134">
            <v>25</v>
          </cell>
          <cell r="AA134">
            <v>1</v>
          </cell>
          <cell r="AN134">
            <v>824</v>
          </cell>
          <cell r="AO134">
            <v>824</v>
          </cell>
          <cell r="AP134" t="str">
            <v>Active</v>
          </cell>
          <cell r="AQ134" t="str">
            <v>aug</v>
          </cell>
          <cell r="AR134">
            <v>406</v>
          </cell>
          <cell r="AS134" t="str">
            <v>JPC - 225023</v>
          </cell>
        </row>
        <row r="135">
          <cell r="A135">
            <v>1</v>
          </cell>
          <cell r="B135" t="str">
            <v>Titans</v>
          </cell>
          <cell r="C135" t="str">
            <v>Markian Ougrin</v>
          </cell>
          <cell r="D135" t="str">
            <v>Hamza</v>
          </cell>
          <cell r="F135" t="str">
            <v>Nitin Saxena</v>
          </cell>
          <cell r="G135" t="str">
            <v>Nitin Saxena</v>
          </cell>
          <cell r="L135" t="str">
            <v>Remote Wind Turbine Support Technician</v>
          </cell>
          <cell r="M135" t="str">
            <v>April</v>
          </cell>
          <cell r="N135">
            <v>45763</v>
          </cell>
          <cell r="O135" t="str">
            <v>NA</v>
          </cell>
          <cell r="P135" t="str">
            <v>Genpact</v>
          </cell>
          <cell r="R135" t="str">
            <v>Contract</v>
          </cell>
          <cell r="S135">
            <v>1099</v>
          </cell>
          <cell r="V135">
            <v>28</v>
          </cell>
          <cell r="AA135">
            <v>7.25</v>
          </cell>
          <cell r="AN135">
            <v>1012</v>
          </cell>
          <cell r="AO135">
            <v>7337</v>
          </cell>
          <cell r="AP135" t="str">
            <v>Active</v>
          </cell>
          <cell r="AQ135" t="str">
            <v>Sep</v>
          </cell>
          <cell r="AR135">
            <v>393</v>
          </cell>
          <cell r="AS135" t="str">
            <v>JPC - 225024</v>
          </cell>
        </row>
        <row r="136">
          <cell r="A136">
            <v>1</v>
          </cell>
          <cell r="B136" t="str">
            <v>Titans</v>
          </cell>
          <cell r="C136" t="str">
            <v>Willis Fowlkes</v>
          </cell>
          <cell r="D136" t="str">
            <v>Hamza</v>
          </cell>
          <cell r="F136" t="str">
            <v>Nitin Saxena</v>
          </cell>
          <cell r="G136" t="str">
            <v>Nitin Saxena</v>
          </cell>
          <cell r="L136" t="str">
            <v>Remote Wind Turbine Support Technician</v>
          </cell>
          <cell r="M136" t="str">
            <v>April</v>
          </cell>
          <cell r="N136">
            <v>45763</v>
          </cell>
          <cell r="O136">
            <v>45950</v>
          </cell>
          <cell r="P136" t="str">
            <v>Genpact</v>
          </cell>
          <cell r="R136" t="str">
            <v>Contract</v>
          </cell>
          <cell r="S136">
            <v>1099</v>
          </cell>
          <cell r="V136">
            <v>28</v>
          </cell>
          <cell r="AA136">
            <v>8.4499999999999993</v>
          </cell>
          <cell r="AN136">
            <v>12</v>
          </cell>
          <cell r="AO136">
            <v>101.39999999999999</v>
          </cell>
          <cell r="AP136" t="str">
            <v>Active</v>
          </cell>
          <cell r="AQ136" t="str">
            <v>Sep</v>
          </cell>
          <cell r="AR136">
            <v>380</v>
          </cell>
          <cell r="AS136" t="str">
            <v>JPC - 225025</v>
          </cell>
        </row>
        <row r="137">
          <cell r="A137">
            <v>1</v>
          </cell>
          <cell r="B137" t="str">
            <v>Titans</v>
          </cell>
          <cell r="C137" t="str">
            <v>Blesson Varghese Thomas</v>
          </cell>
          <cell r="D137" t="str">
            <v>Hamza</v>
          </cell>
          <cell r="F137" t="str">
            <v>Nitin Saxena</v>
          </cell>
          <cell r="G137" t="str">
            <v>Nitin Saxena</v>
          </cell>
          <cell r="L137" t="str">
            <v>Remote Wind Turbine Support Technician</v>
          </cell>
          <cell r="M137" t="str">
            <v>April</v>
          </cell>
          <cell r="N137">
            <v>45763</v>
          </cell>
          <cell r="O137" t="str">
            <v>NA</v>
          </cell>
          <cell r="P137" t="str">
            <v>Genpact</v>
          </cell>
          <cell r="R137" t="str">
            <v>Contract</v>
          </cell>
          <cell r="S137">
            <v>1099</v>
          </cell>
          <cell r="V137">
            <v>28</v>
          </cell>
          <cell r="AA137">
            <v>9</v>
          </cell>
          <cell r="AN137">
            <v>1032</v>
          </cell>
          <cell r="AO137">
            <v>9288</v>
          </cell>
          <cell r="AP137" t="str">
            <v>Active</v>
          </cell>
          <cell r="AQ137" t="str">
            <v>Sep</v>
          </cell>
          <cell r="AR137">
            <v>367</v>
          </cell>
          <cell r="AS137" t="str">
            <v>JPC - 225026</v>
          </cell>
        </row>
        <row r="138">
          <cell r="A138">
            <v>1</v>
          </cell>
          <cell r="B138" t="str">
            <v>Titans</v>
          </cell>
          <cell r="C138" t="str">
            <v>Shubham Chavan</v>
          </cell>
          <cell r="D138" t="str">
            <v>Aman Bajpai</v>
          </cell>
          <cell r="F138" t="str">
            <v>Nitin Saxena</v>
          </cell>
          <cell r="G138" t="str">
            <v>Nitin Saxena</v>
          </cell>
          <cell r="L138" t="str">
            <v>Remote Wind Turbine Support Technician</v>
          </cell>
          <cell r="M138" t="str">
            <v>April</v>
          </cell>
          <cell r="N138">
            <v>45776</v>
          </cell>
          <cell r="O138">
            <v>45953</v>
          </cell>
          <cell r="P138" t="str">
            <v>Genpact</v>
          </cell>
          <cell r="R138" t="str">
            <v>Contract</v>
          </cell>
          <cell r="S138">
            <v>1099</v>
          </cell>
          <cell r="V138">
            <v>28</v>
          </cell>
          <cell r="AA138">
            <v>5</v>
          </cell>
          <cell r="AN138">
            <v>979</v>
          </cell>
          <cell r="AO138">
            <v>4895</v>
          </cell>
          <cell r="AP138" t="str">
            <v>Active</v>
          </cell>
          <cell r="AQ138" t="str">
            <v>Sep</v>
          </cell>
          <cell r="AR138">
            <v>354</v>
          </cell>
          <cell r="AS138" t="str">
            <v>JPC - 225027</v>
          </cell>
        </row>
        <row r="139">
          <cell r="A139">
            <v>1</v>
          </cell>
          <cell r="B139" t="str">
            <v>Titans</v>
          </cell>
          <cell r="C139" t="str">
            <v>Yolanada Nicole Jones</v>
          </cell>
          <cell r="D139" t="str">
            <v>Aman Bajpai</v>
          </cell>
          <cell r="F139" t="str">
            <v>Nitin Saxena</v>
          </cell>
          <cell r="G139" t="str">
            <v>Nitin Saxena</v>
          </cell>
          <cell r="L139" t="str">
            <v>Time Studies Analyst</v>
          </cell>
          <cell r="M139" t="str">
            <v>May</v>
          </cell>
          <cell r="N139">
            <v>45786</v>
          </cell>
          <cell r="O139" t="str">
            <v>NA</v>
          </cell>
          <cell r="P139" t="str">
            <v>Genpact</v>
          </cell>
          <cell r="R139" t="str">
            <v>Contract</v>
          </cell>
          <cell r="S139">
            <v>1099</v>
          </cell>
          <cell r="V139">
            <v>42</v>
          </cell>
          <cell r="AA139">
            <v>6</v>
          </cell>
          <cell r="AN139">
            <v>912</v>
          </cell>
          <cell r="AO139">
            <v>5472</v>
          </cell>
          <cell r="AP139" t="str">
            <v>Active</v>
          </cell>
          <cell r="AQ139" t="str">
            <v>Sep</v>
          </cell>
          <cell r="AR139">
            <v>341</v>
          </cell>
          <cell r="AS139" t="str">
            <v>JPC - 225028</v>
          </cell>
        </row>
        <row r="140">
          <cell r="A140">
            <v>1</v>
          </cell>
          <cell r="B140" t="str">
            <v>Titans</v>
          </cell>
          <cell r="C140" t="str">
            <v>Elizabeth A Ward</v>
          </cell>
          <cell r="D140" t="str">
            <v>Manish Kumar Dhiman</v>
          </cell>
          <cell r="F140" t="str">
            <v>Abhishek Yadav</v>
          </cell>
          <cell r="G140" t="str">
            <v>Abhishek Yadav</v>
          </cell>
          <cell r="L140" t="str">
            <v>Accounting and Reconciliation Consultant</v>
          </cell>
          <cell r="M140" t="str">
            <v>May</v>
          </cell>
          <cell r="N140">
            <v>45789</v>
          </cell>
          <cell r="O140">
            <v>45925</v>
          </cell>
          <cell r="P140" t="str">
            <v>Genpact</v>
          </cell>
          <cell r="R140" t="str">
            <v>Contract</v>
          </cell>
          <cell r="S140">
            <v>1099</v>
          </cell>
          <cell r="V140">
            <v>45</v>
          </cell>
          <cell r="AA140">
            <v>7.95</v>
          </cell>
          <cell r="AN140">
            <v>904</v>
          </cell>
          <cell r="AO140">
            <v>7186.8</v>
          </cell>
          <cell r="AP140" t="str">
            <v>Done</v>
          </cell>
          <cell r="AQ140" t="str">
            <v>No bill no pay</v>
          </cell>
          <cell r="AR140">
            <v>328</v>
          </cell>
          <cell r="AS140" t="str">
            <v>JPC - 225029</v>
          </cell>
        </row>
        <row r="141">
          <cell r="A141">
            <v>1</v>
          </cell>
          <cell r="B141" t="str">
            <v>Titans</v>
          </cell>
          <cell r="C141" t="str">
            <v>Stephanie Sue Hall</v>
          </cell>
          <cell r="D141" t="str">
            <v>Samad Quraishi</v>
          </cell>
          <cell r="F141" t="str">
            <v>Nitin Saxena</v>
          </cell>
          <cell r="G141" t="str">
            <v>Nitin Saxena</v>
          </cell>
          <cell r="L141" t="str">
            <v>Data Analyst – Level 1</v>
          </cell>
          <cell r="M141" t="str">
            <v>June</v>
          </cell>
          <cell r="N141">
            <v>45819</v>
          </cell>
          <cell r="O141" t="str">
            <v>NA</v>
          </cell>
          <cell r="P141" t="str">
            <v>Genpact</v>
          </cell>
          <cell r="R141" t="str">
            <v>Contract</v>
          </cell>
          <cell r="S141">
            <v>1099</v>
          </cell>
          <cell r="V141">
            <v>28</v>
          </cell>
          <cell r="AA141">
            <v>6</v>
          </cell>
          <cell r="AN141">
            <v>264</v>
          </cell>
          <cell r="AO141">
            <v>1584</v>
          </cell>
          <cell r="AP141" t="str">
            <v>Active</v>
          </cell>
          <cell r="AQ141" t="str">
            <v>Sep</v>
          </cell>
          <cell r="AR141">
            <v>315</v>
          </cell>
          <cell r="AS141" t="str">
            <v>JPC - 225030</v>
          </cell>
        </row>
        <row r="142">
          <cell r="A142">
            <v>1</v>
          </cell>
          <cell r="B142" t="str">
            <v>Mavericks/Titans</v>
          </cell>
          <cell r="C142" t="str">
            <v>Tash Nomiya</v>
          </cell>
          <cell r="D142" t="str">
            <v>Aman Bajpai</v>
          </cell>
          <cell r="F142" t="str">
            <v>Kashif Nabi</v>
          </cell>
          <cell r="G142" t="str">
            <v>Nitin Saxena</v>
          </cell>
          <cell r="L142" t="str">
            <v xml:space="preserve">Account Service Representative </v>
          </cell>
          <cell r="M142" t="str">
            <v>July</v>
          </cell>
          <cell r="N142">
            <v>45845</v>
          </cell>
          <cell r="O142" t="str">
            <v>NA</v>
          </cell>
          <cell r="P142" t="str">
            <v>Genpact</v>
          </cell>
          <cell r="R142" t="str">
            <v>Contract</v>
          </cell>
          <cell r="S142">
            <v>1099</v>
          </cell>
          <cell r="V142">
            <v>26</v>
          </cell>
          <cell r="AA142">
            <v>5</v>
          </cell>
          <cell r="AN142">
            <v>848</v>
          </cell>
          <cell r="AO142">
            <v>4240</v>
          </cell>
          <cell r="AP142" t="str">
            <v>Active</v>
          </cell>
          <cell r="AQ142" t="str">
            <v>Sep</v>
          </cell>
          <cell r="AR142">
            <v>302</v>
          </cell>
          <cell r="AS142" t="str">
            <v>JPC - 225031</v>
          </cell>
        </row>
        <row r="143">
          <cell r="A143">
            <v>1</v>
          </cell>
          <cell r="B143" t="str">
            <v>Mavericks/Titans</v>
          </cell>
          <cell r="C143" t="str">
            <v>Sukruth Shiva Swamy</v>
          </cell>
          <cell r="D143" t="str">
            <v>Aviral Shukla</v>
          </cell>
          <cell r="F143" t="str">
            <v>Kashif Nabi</v>
          </cell>
          <cell r="G143" t="str">
            <v>Nitin Saxena</v>
          </cell>
          <cell r="L143" t="str">
            <v xml:space="preserve">Account Service Representative </v>
          </cell>
          <cell r="M143" t="str">
            <v>July</v>
          </cell>
          <cell r="N143">
            <v>45845</v>
          </cell>
          <cell r="O143" t="str">
            <v>NA</v>
          </cell>
          <cell r="P143" t="str">
            <v>Genpact</v>
          </cell>
          <cell r="R143" t="str">
            <v>Contract</v>
          </cell>
          <cell r="S143">
            <v>1099</v>
          </cell>
          <cell r="V143">
            <v>26</v>
          </cell>
          <cell r="AA143">
            <v>2</v>
          </cell>
          <cell r="AN143">
            <v>776</v>
          </cell>
          <cell r="AO143">
            <v>1552</v>
          </cell>
          <cell r="AP143" t="str">
            <v>Active</v>
          </cell>
          <cell r="AQ143" t="str">
            <v>Sep</v>
          </cell>
          <cell r="AR143">
            <v>289</v>
          </cell>
          <cell r="AS143" t="str">
            <v>JPC - 225032</v>
          </cell>
        </row>
        <row r="144">
          <cell r="A144">
            <v>1</v>
          </cell>
          <cell r="B144" t="str">
            <v>Titans</v>
          </cell>
          <cell r="C144" t="str">
            <v>Amar Preet Singh</v>
          </cell>
          <cell r="D144" t="str">
            <v xml:space="preserve">Dheeraj Km. Verma </v>
          </cell>
          <cell r="F144" t="str">
            <v>Abhishek Yadav</v>
          </cell>
          <cell r="G144" t="str">
            <v>Abhishek Yadav</v>
          </cell>
          <cell r="L144" t="str">
            <v>Accounting &amp; Reconciliation Specialist</v>
          </cell>
          <cell r="M144" t="str">
            <v>July</v>
          </cell>
          <cell r="N144">
            <v>45866</v>
          </cell>
          <cell r="O144">
            <v>45896</v>
          </cell>
          <cell r="P144" t="str">
            <v>Genpact</v>
          </cell>
          <cell r="R144" t="str">
            <v>Contract</v>
          </cell>
          <cell r="S144">
            <v>1099</v>
          </cell>
          <cell r="V144">
            <v>46</v>
          </cell>
          <cell r="AA144">
            <v>4</v>
          </cell>
          <cell r="AN144">
            <v>688</v>
          </cell>
          <cell r="AO144">
            <v>2752</v>
          </cell>
          <cell r="AP144" t="str">
            <v>Active</v>
          </cell>
          <cell r="AQ144" t="str">
            <v>Sep</v>
          </cell>
          <cell r="AR144">
            <v>276</v>
          </cell>
          <cell r="AS144" t="str">
            <v>JPC - 225033</v>
          </cell>
        </row>
        <row r="145">
          <cell r="A145">
            <v>1</v>
          </cell>
          <cell r="B145" t="str">
            <v>Titans</v>
          </cell>
          <cell r="C145" t="str">
            <v>Venkata Pramod Varma Yarakaraju</v>
          </cell>
          <cell r="D145" t="str">
            <v>Samad Quraishi</v>
          </cell>
          <cell r="F145" t="str">
            <v>Nitin Saxena</v>
          </cell>
          <cell r="G145" t="str">
            <v>Nitin Saxena</v>
          </cell>
          <cell r="L145" t="str">
            <v xml:space="preserve">Import Trade Compliance Support Analyst </v>
          </cell>
          <cell r="M145" t="str">
            <v>July</v>
          </cell>
          <cell r="N145">
            <v>45868</v>
          </cell>
          <cell r="O145" t="str">
            <v>NA</v>
          </cell>
          <cell r="P145" t="str">
            <v>Genpact</v>
          </cell>
          <cell r="R145" t="str">
            <v>Contract</v>
          </cell>
          <cell r="S145">
            <v>1099</v>
          </cell>
          <cell r="V145">
            <v>45</v>
          </cell>
          <cell r="AA145">
            <v>8.0500000000000007</v>
          </cell>
          <cell r="AN145">
            <v>848</v>
          </cell>
          <cell r="AO145">
            <v>6826.4000000000005</v>
          </cell>
          <cell r="AP145" t="str">
            <v>Active</v>
          </cell>
          <cell r="AQ145" t="str">
            <v>Sep</v>
          </cell>
          <cell r="AR145">
            <v>263</v>
          </cell>
          <cell r="AS145" t="str">
            <v>JPC - 225034</v>
          </cell>
        </row>
        <row r="146">
          <cell r="A146">
            <v>1</v>
          </cell>
          <cell r="B146" t="str">
            <v>Mavericks</v>
          </cell>
          <cell r="C146" t="str">
            <v xml:space="preserve">Kalpana Venkatasamy </v>
          </cell>
          <cell r="D146" t="str">
            <v>Harshita Srivastava</v>
          </cell>
          <cell r="F146" t="str">
            <v>Kashif Nabi</v>
          </cell>
          <cell r="G146" t="str">
            <v>Kashif Nabi</v>
          </cell>
          <cell r="L146" t="str">
            <v>HRSD/ITSM Developer/Admin</v>
          </cell>
          <cell r="M146" t="str">
            <v>January</v>
          </cell>
          <cell r="N146">
            <v>45670</v>
          </cell>
          <cell r="O146">
            <v>45820</v>
          </cell>
          <cell r="P146" t="str">
            <v>Genpact</v>
          </cell>
          <cell r="R146" t="str">
            <v>Contract</v>
          </cell>
          <cell r="S146" t="str">
            <v>C2C Canada</v>
          </cell>
          <cell r="V146">
            <v>93.79</v>
          </cell>
          <cell r="AA146">
            <v>5.65</v>
          </cell>
          <cell r="AN146">
            <v>0</v>
          </cell>
          <cell r="AO146">
            <v>0</v>
          </cell>
          <cell r="AP146" t="str">
            <v>Active</v>
          </cell>
          <cell r="AQ146" t="str">
            <v>Sep</v>
          </cell>
          <cell r="AR146">
            <v>250</v>
          </cell>
          <cell r="AS146" t="str">
            <v>JPC - 225035</v>
          </cell>
        </row>
        <row r="147">
          <cell r="A147">
            <v>1</v>
          </cell>
          <cell r="B147" t="str">
            <v>Mavericks</v>
          </cell>
          <cell r="C147" t="str">
            <v xml:space="preserve">Ravikant Sharma </v>
          </cell>
          <cell r="D147" t="str">
            <v>Ritik Arya</v>
          </cell>
          <cell r="F147" t="str">
            <v>MD Tariq</v>
          </cell>
          <cell r="G147" t="str">
            <v>MD Tariq</v>
          </cell>
          <cell r="L147" t="str">
            <v>Senior Power BI Developer</v>
          </cell>
          <cell r="M147" t="str">
            <v>January</v>
          </cell>
          <cell r="N147">
            <v>45663</v>
          </cell>
          <cell r="O147" t="str">
            <v>NA</v>
          </cell>
          <cell r="P147" t="str">
            <v>Synechron</v>
          </cell>
          <cell r="R147" t="str">
            <v>Contract</v>
          </cell>
          <cell r="S147" t="str">
            <v>C2C Canada</v>
          </cell>
          <cell r="V147">
            <v>700</v>
          </cell>
          <cell r="AA147">
            <v>8</v>
          </cell>
          <cell r="AN147">
            <v>912</v>
          </cell>
          <cell r="AO147">
            <v>7296</v>
          </cell>
          <cell r="AP147" t="str">
            <v>Active</v>
          </cell>
          <cell r="AR147">
            <v>237</v>
          </cell>
          <cell r="AS147" t="str">
            <v>JPC - 225036</v>
          </cell>
        </row>
        <row r="148">
          <cell r="A148">
            <v>1</v>
          </cell>
          <cell r="B148" t="str">
            <v>Titans</v>
          </cell>
          <cell r="C148" t="str">
            <v>Karthik Mashetty</v>
          </cell>
          <cell r="D148" t="str">
            <v>Manish Kumar Dhiman</v>
          </cell>
          <cell r="F148" t="str">
            <v>Abhishek Yadav</v>
          </cell>
          <cell r="G148" t="str">
            <v>Abhishek Yadav</v>
          </cell>
          <cell r="L148" t="str">
            <v>RPA UiPath Developer</v>
          </cell>
          <cell r="M148" t="str">
            <v>January</v>
          </cell>
          <cell r="N148">
            <v>45672</v>
          </cell>
          <cell r="O148" t="str">
            <v>NA</v>
          </cell>
          <cell r="P148" t="str">
            <v>Genpact</v>
          </cell>
          <cell r="R148" t="str">
            <v>Contract</v>
          </cell>
          <cell r="S148" t="str">
            <v>C2C Canada</v>
          </cell>
          <cell r="V148">
            <v>69</v>
          </cell>
          <cell r="AA148">
            <v>6</v>
          </cell>
          <cell r="AN148">
            <v>457.5</v>
          </cell>
          <cell r="AO148">
            <v>2745</v>
          </cell>
          <cell r="AP148" t="str">
            <v>Active</v>
          </cell>
          <cell r="AR148">
            <v>224</v>
          </cell>
          <cell r="AS148" t="str">
            <v>JPC - 225037</v>
          </cell>
        </row>
        <row r="149">
          <cell r="A149">
            <v>1</v>
          </cell>
          <cell r="B149" t="str">
            <v>Titans</v>
          </cell>
          <cell r="C149" t="str">
            <v>Vaishnavi Vundrakonda</v>
          </cell>
          <cell r="D149" t="str">
            <v>Manish Kumar Dhiman</v>
          </cell>
          <cell r="F149" t="str">
            <v>Abhishek Yadav</v>
          </cell>
          <cell r="G149" t="str">
            <v>Abhishek Yadav</v>
          </cell>
          <cell r="L149" t="str">
            <v>UI Path Developer</v>
          </cell>
          <cell r="M149" t="str">
            <v>January</v>
          </cell>
          <cell r="N149">
            <v>45672</v>
          </cell>
          <cell r="O149" t="str">
            <v>NA</v>
          </cell>
          <cell r="P149" t="str">
            <v>Genpact</v>
          </cell>
          <cell r="R149" t="str">
            <v>Contract</v>
          </cell>
          <cell r="S149" t="str">
            <v>C2C Canada</v>
          </cell>
          <cell r="V149">
            <v>73</v>
          </cell>
          <cell r="AA149">
            <v>2</v>
          </cell>
          <cell r="AN149">
            <v>632</v>
          </cell>
          <cell r="AO149">
            <v>1264</v>
          </cell>
          <cell r="AP149" t="str">
            <v>Active</v>
          </cell>
          <cell r="AR149">
            <v>211</v>
          </cell>
          <cell r="AS149" t="str">
            <v>JPC - 225038</v>
          </cell>
        </row>
        <row r="150">
          <cell r="A150">
            <v>1</v>
          </cell>
          <cell r="B150" t="str">
            <v>Trust</v>
          </cell>
          <cell r="C150" t="str">
            <v>Sriharsha Vemulapalli</v>
          </cell>
          <cell r="D150" t="str">
            <v>Rahul Srivastava</v>
          </cell>
          <cell r="F150" t="str">
            <v>Vivek Mishra</v>
          </cell>
          <cell r="G150" t="str">
            <v>Vivek Mishra</v>
          </cell>
          <cell r="L150" t="str">
            <v>SharePoint Analyst – Intermediate</v>
          </cell>
          <cell r="M150" t="str">
            <v>February</v>
          </cell>
          <cell r="N150">
            <v>45694</v>
          </cell>
          <cell r="O150" t="str">
            <v>NA</v>
          </cell>
          <cell r="P150" t="str">
            <v>Government of Alberta</v>
          </cell>
          <cell r="R150" t="str">
            <v>Contract</v>
          </cell>
          <cell r="S150" t="str">
            <v>C2C Canada</v>
          </cell>
          <cell r="V150">
            <v>85</v>
          </cell>
          <cell r="AA150">
            <v>2</v>
          </cell>
          <cell r="AO150">
            <v>0</v>
          </cell>
          <cell r="AP150" t="str">
            <v>Done</v>
          </cell>
          <cell r="AQ150" t="str">
            <v>Done</v>
          </cell>
          <cell r="AR150">
            <v>150</v>
          </cell>
          <cell r="AS150" t="str">
            <v>JPC - 225039</v>
          </cell>
        </row>
        <row r="151">
          <cell r="A151">
            <v>1</v>
          </cell>
          <cell r="B151" t="str">
            <v>Titans</v>
          </cell>
          <cell r="C151" t="str">
            <v>Alisha Agha</v>
          </cell>
          <cell r="D151" t="str">
            <v>Shubham Triphati</v>
          </cell>
          <cell r="F151" t="str">
            <v>Abhishek Yadav</v>
          </cell>
          <cell r="G151" t="str">
            <v>Abhishek Yadav</v>
          </cell>
          <cell r="L151" t="str">
            <v>RPA UiPath Developer</v>
          </cell>
          <cell r="M151" t="str">
            <v>March</v>
          </cell>
          <cell r="N151">
            <v>45721</v>
          </cell>
          <cell r="O151">
            <v>45930</v>
          </cell>
          <cell r="P151" t="str">
            <v>Genpact</v>
          </cell>
          <cell r="R151" t="str">
            <v>Contract</v>
          </cell>
          <cell r="S151" t="str">
            <v>C2C Canada</v>
          </cell>
          <cell r="V151">
            <v>72</v>
          </cell>
          <cell r="AA151">
            <v>10</v>
          </cell>
          <cell r="AN151">
            <v>536</v>
          </cell>
          <cell r="AO151">
            <v>5360</v>
          </cell>
          <cell r="AP151" t="str">
            <v>Done</v>
          </cell>
          <cell r="AQ151" t="str">
            <v>Done</v>
          </cell>
          <cell r="AR151">
            <v>438</v>
          </cell>
          <cell r="AS151" t="str">
            <v>JPC - 225040</v>
          </cell>
        </row>
        <row r="152">
          <cell r="A152">
            <v>1</v>
          </cell>
          <cell r="B152" t="str">
            <v>Titans</v>
          </cell>
          <cell r="C152" t="str">
            <v>Pradeep Pandey</v>
          </cell>
          <cell r="D152" t="str">
            <v>Shubham Triphati</v>
          </cell>
          <cell r="F152" t="str">
            <v>Abhishek Yadav</v>
          </cell>
          <cell r="G152" t="str">
            <v>Abhishek Yadav</v>
          </cell>
          <cell r="L152" t="str">
            <v>UI Path developer</v>
          </cell>
          <cell r="M152" t="str">
            <v>March</v>
          </cell>
          <cell r="N152">
            <v>45726</v>
          </cell>
          <cell r="O152">
            <v>45849</v>
          </cell>
          <cell r="P152" t="str">
            <v>Genpact</v>
          </cell>
          <cell r="R152" t="str">
            <v>Contract</v>
          </cell>
          <cell r="S152" t="str">
            <v>C2C Canada</v>
          </cell>
          <cell r="V152">
            <v>69</v>
          </cell>
          <cell r="AA152">
            <v>15</v>
          </cell>
          <cell r="AN152">
            <v>632</v>
          </cell>
          <cell r="AO152">
            <v>9480</v>
          </cell>
          <cell r="AP152" t="str">
            <v>Done</v>
          </cell>
          <cell r="AQ152" t="str">
            <v>Done</v>
          </cell>
          <cell r="AR152">
            <v>432</v>
          </cell>
          <cell r="AS152" t="str">
            <v>JPC - 225041</v>
          </cell>
        </row>
        <row r="153">
          <cell r="A153">
            <v>1</v>
          </cell>
          <cell r="B153" t="str">
            <v>Mavericks</v>
          </cell>
          <cell r="C153" t="str">
            <v xml:space="preserve">Shubhanan Veerendra Deshpande </v>
          </cell>
          <cell r="D153" t="str">
            <v>Satyajeet Singh</v>
          </cell>
          <cell r="F153" t="str">
            <v>Kashif Nabi</v>
          </cell>
          <cell r="G153" t="str">
            <v>Kashif Nabi</v>
          </cell>
          <cell r="L153" t="str">
            <v>ServiceNow BA</v>
          </cell>
          <cell r="M153" t="str">
            <v>April</v>
          </cell>
          <cell r="N153">
            <v>45775</v>
          </cell>
          <cell r="O153" t="str">
            <v>NA</v>
          </cell>
          <cell r="P153" t="str">
            <v>Genpact</v>
          </cell>
          <cell r="R153" t="str">
            <v>Contract</v>
          </cell>
          <cell r="S153" t="str">
            <v>C2C Canada</v>
          </cell>
          <cell r="V153">
            <v>67</v>
          </cell>
          <cell r="AA153">
            <v>3</v>
          </cell>
          <cell r="AN153">
            <v>584</v>
          </cell>
          <cell r="AO153">
            <v>1752</v>
          </cell>
          <cell r="AP153" t="str">
            <v>Pending</v>
          </cell>
          <cell r="AQ153" t="str">
            <v>Pending</v>
          </cell>
          <cell r="AR153">
            <v>136</v>
          </cell>
          <cell r="AS153" t="str">
            <v>JPC - 225042</v>
          </cell>
        </row>
        <row r="154">
          <cell r="A154">
            <v>1</v>
          </cell>
          <cell r="B154" t="str">
            <v>Titans</v>
          </cell>
          <cell r="C154" t="str">
            <v>Debra Joy Parris</v>
          </cell>
          <cell r="D154" t="str">
            <v>Heena Akshay Pandey</v>
          </cell>
          <cell r="F154" t="str">
            <v>Abhishek Yadav</v>
          </cell>
          <cell r="G154" t="str">
            <v>Abhishek Yadav</v>
          </cell>
          <cell r="L154" t="str">
            <v>Business System Analyst</v>
          </cell>
          <cell r="M154" t="str">
            <v>May</v>
          </cell>
          <cell r="N154">
            <v>45789</v>
          </cell>
          <cell r="O154" t="str">
            <v>NA</v>
          </cell>
          <cell r="P154" t="str">
            <v>Genpact</v>
          </cell>
          <cell r="R154" t="str">
            <v>Contract</v>
          </cell>
          <cell r="S154" t="str">
            <v>C2C Canada</v>
          </cell>
          <cell r="V154">
            <v>63</v>
          </cell>
          <cell r="AA154">
            <v>8</v>
          </cell>
          <cell r="AN154">
            <v>424</v>
          </cell>
          <cell r="AO154">
            <v>3392</v>
          </cell>
          <cell r="AP154" t="str">
            <v>Done</v>
          </cell>
          <cell r="AQ154" t="str">
            <v>Done</v>
          </cell>
          <cell r="AR154">
            <v>438</v>
          </cell>
          <cell r="AS154" t="str">
            <v>JPC - 225043</v>
          </cell>
        </row>
        <row r="155">
          <cell r="A155">
            <v>1</v>
          </cell>
          <cell r="B155" t="str">
            <v>Titans</v>
          </cell>
          <cell r="C155" t="str">
            <v>John Henry Warford</v>
          </cell>
          <cell r="D155" t="str">
            <v>Manish Kumar Dhiman</v>
          </cell>
          <cell r="F155" t="str">
            <v>Abhishek Yadav</v>
          </cell>
          <cell r="G155" t="str">
            <v>Abhishek Yadav</v>
          </cell>
          <cell r="L155" t="str">
            <v>Mainframe Developer</v>
          </cell>
          <cell r="M155" t="str">
            <v>May</v>
          </cell>
          <cell r="N155">
            <v>45789</v>
          </cell>
          <cell r="O155" t="str">
            <v>NA</v>
          </cell>
          <cell r="P155" t="str">
            <v>Genpact</v>
          </cell>
          <cell r="R155" t="str">
            <v>Contract</v>
          </cell>
          <cell r="S155" t="str">
            <v>C2C Canada</v>
          </cell>
          <cell r="V155">
            <v>86</v>
          </cell>
          <cell r="AA155">
            <v>5</v>
          </cell>
          <cell r="AN155">
            <v>448</v>
          </cell>
          <cell r="AO155">
            <v>2240</v>
          </cell>
          <cell r="AP155" t="str">
            <v>Pending</v>
          </cell>
          <cell r="AQ155" t="str">
            <v>Pending</v>
          </cell>
          <cell r="AR155">
            <v>406</v>
          </cell>
          <cell r="AS155" t="str">
            <v>JPC - 225044</v>
          </cell>
        </row>
        <row r="156">
          <cell r="A156">
            <v>1</v>
          </cell>
          <cell r="B156" t="str">
            <v>Trust</v>
          </cell>
          <cell r="C156" t="str">
            <v>Abhik Ghoshal</v>
          </cell>
          <cell r="D156" t="str">
            <v>Ashish Saxena</v>
          </cell>
          <cell r="F156" t="str">
            <v>Ashish Saxena</v>
          </cell>
          <cell r="G156" t="str">
            <v>Harsh Agarwal</v>
          </cell>
          <cell r="L156" t="str">
            <v>Technical Product Owner</v>
          </cell>
          <cell r="M156" t="str">
            <v>May</v>
          </cell>
          <cell r="N156">
            <v>45789</v>
          </cell>
          <cell r="O156" t="str">
            <v>NA</v>
          </cell>
          <cell r="P156" t="str">
            <v>Global Logic</v>
          </cell>
          <cell r="R156" t="str">
            <v>Contract</v>
          </cell>
          <cell r="S156" t="str">
            <v>C2C Canada</v>
          </cell>
          <cell r="V156">
            <v>90</v>
          </cell>
          <cell r="AA156">
            <v>7</v>
          </cell>
          <cell r="AN156">
            <v>354</v>
          </cell>
          <cell r="AO156">
            <v>2478</v>
          </cell>
          <cell r="AP156" t="str">
            <v>Done</v>
          </cell>
          <cell r="AQ156" t="str">
            <v>Done</v>
          </cell>
          <cell r="AR156">
            <v>393</v>
          </cell>
          <cell r="AS156" t="str">
            <v>JPC - 225045</v>
          </cell>
        </row>
        <row r="157">
          <cell r="A157">
            <v>1</v>
          </cell>
          <cell r="B157" t="str">
            <v>Trust</v>
          </cell>
          <cell r="C157" t="str">
            <v>Noopura Pradeep Nair</v>
          </cell>
          <cell r="D157" t="str">
            <v>Virendra Vikram Singh</v>
          </cell>
          <cell r="F157" t="str">
            <v>Ashish Saxena</v>
          </cell>
          <cell r="G157" t="str">
            <v>Harsh Agrawal</v>
          </cell>
          <cell r="L157" t="str">
            <v>Product Manager/Program Manager with HubSpot CMS</v>
          </cell>
          <cell r="M157" t="str">
            <v>May</v>
          </cell>
          <cell r="N157">
            <v>45789</v>
          </cell>
          <cell r="O157">
            <v>45870</v>
          </cell>
          <cell r="P157" t="str">
            <v>Global Logic</v>
          </cell>
          <cell r="R157" t="str">
            <v>Contract</v>
          </cell>
          <cell r="S157" t="str">
            <v>C2C Canada</v>
          </cell>
          <cell r="V157">
            <v>91</v>
          </cell>
          <cell r="AA157">
            <v>8</v>
          </cell>
          <cell r="AN157">
            <v>280</v>
          </cell>
          <cell r="AO157">
            <v>2240</v>
          </cell>
          <cell r="AP157" t="str">
            <v>Pending</v>
          </cell>
          <cell r="AQ157" t="str">
            <v>Pending</v>
          </cell>
          <cell r="AR157">
            <v>380</v>
          </cell>
          <cell r="AS157" t="str">
            <v>JPC - 225046</v>
          </cell>
        </row>
        <row r="158">
          <cell r="A158">
            <v>1</v>
          </cell>
          <cell r="B158" t="str">
            <v>Trust/CSK</v>
          </cell>
          <cell r="C158" t="str">
            <v>Adhithya Reddy Rachuri</v>
          </cell>
          <cell r="D158" t="str">
            <v>Vivek Mishra- Team trust</v>
          </cell>
          <cell r="F158" t="str">
            <v>Akbar Ibrahim</v>
          </cell>
          <cell r="G158" t="str">
            <v>Akbar Ibrahim</v>
          </cell>
          <cell r="L158" t="str">
            <v xml:space="preserve">SDET </v>
          </cell>
          <cell r="M158" t="str">
            <v>May</v>
          </cell>
          <cell r="N158">
            <v>45789</v>
          </cell>
          <cell r="O158">
            <v>45876</v>
          </cell>
          <cell r="P158" t="str">
            <v>Cigniti Technologies</v>
          </cell>
          <cell r="R158" t="str">
            <v>Contract</v>
          </cell>
          <cell r="S158" t="str">
            <v>C2C Canada</v>
          </cell>
          <cell r="V158">
            <v>62</v>
          </cell>
          <cell r="AA158">
            <v>7.25</v>
          </cell>
          <cell r="AN158">
            <v>440</v>
          </cell>
          <cell r="AO158">
            <v>3190</v>
          </cell>
          <cell r="AP158" t="str">
            <v>Done</v>
          </cell>
          <cell r="AQ158" t="str">
            <v>Done</v>
          </cell>
          <cell r="AR158">
            <v>367</v>
          </cell>
          <cell r="AS158" t="str">
            <v>JPC - 225047</v>
          </cell>
        </row>
        <row r="159">
          <cell r="A159">
            <v>1</v>
          </cell>
          <cell r="B159" t="str">
            <v>Titans</v>
          </cell>
          <cell r="C159" t="str">
            <v xml:space="preserve">Shubham Goyal </v>
          </cell>
          <cell r="D159" t="str">
            <v>Abhishek Yadav</v>
          </cell>
          <cell r="F159" t="str">
            <v>Abhishek Yadav</v>
          </cell>
          <cell r="G159" t="str">
            <v>Abhishek Yadav</v>
          </cell>
          <cell r="L159" t="str">
            <v xml:space="preserve">Business System Analyst </v>
          </cell>
          <cell r="M159" t="str">
            <v>June</v>
          </cell>
          <cell r="N159">
            <v>45817</v>
          </cell>
          <cell r="O159" t="str">
            <v>NA</v>
          </cell>
          <cell r="P159" t="str">
            <v>Genpact</v>
          </cell>
          <cell r="R159" t="str">
            <v>Contract</v>
          </cell>
          <cell r="S159" t="str">
            <v>C2C Canada</v>
          </cell>
          <cell r="V159">
            <v>60</v>
          </cell>
          <cell r="AA159">
            <v>15</v>
          </cell>
          <cell r="AN159">
            <v>288</v>
          </cell>
          <cell r="AO159">
            <v>4320</v>
          </cell>
          <cell r="AP159" t="str">
            <v>Pending</v>
          </cell>
          <cell r="AQ159" t="str">
            <v>Pending</v>
          </cell>
          <cell r="AR159">
            <v>354</v>
          </cell>
          <cell r="AS159" t="str">
            <v>JPC - 225048</v>
          </cell>
        </row>
        <row r="160">
          <cell r="A160">
            <v>1</v>
          </cell>
          <cell r="B160" t="str">
            <v>Titans</v>
          </cell>
          <cell r="C160" t="str">
            <v>Pushpesh Mohan</v>
          </cell>
          <cell r="D160" t="str">
            <v>Abhishek Yadav</v>
          </cell>
          <cell r="F160" t="str">
            <v>Abhishek Yadav</v>
          </cell>
          <cell r="G160" t="str">
            <v>Abhishek Yadav</v>
          </cell>
          <cell r="L160" t="str">
            <v>Java Developer</v>
          </cell>
          <cell r="M160" t="str">
            <v>June</v>
          </cell>
          <cell r="N160">
            <v>45817</v>
          </cell>
          <cell r="O160" t="str">
            <v>NA</v>
          </cell>
          <cell r="P160" t="str">
            <v>Genpact</v>
          </cell>
          <cell r="R160" t="str">
            <v>Contract</v>
          </cell>
          <cell r="S160" t="str">
            <v>C2C Canada</v>
          </cell>
          <cell r="V160">
            <v>55</v>
          </cell>
          <cell r="AA160">
            <v>6</v>
          </cell>
          <cell r="AN160">
            <v>227</v>
          </cell>
          <cell r="AO160">
            <v>1362</v>
          </cell>
          <cell r="AP160" t="str">
            <v>Pending</v>
          </cell>
          <cell r="AQ160" t="str">
            <v>Pending</v>
          </cell>
          <cell r="AR160">
            <v>341</v>
          </cell>
          <cell r="AS160" t="str">
            <v>JPC - 225049</v>
          </cell>
        </row>
        <row r="161">
          <cell r="A161">
            <v>1</v>
          </cell>
          <cell r="B161" t="str">
            <v>Mavericks</v>
          </cell>
          <cell r="C161" t="str">
            <v>Anushka Banerjee</v>
          </cell>
          <cell r="D161" t="str">
            <v>Arpit Gupta</v>
          </cell>
          <cell r="F161" t="str">
            <v>Kashif Nabi</v>
          </cell>
          <cell r="G161" t="str">
            <v>Mohammad Tariq</v>
          </cell>
          <cell r="L161" t="str">
            <v>ServiceNow Developer</v>
          </cell>
          <cell r="M161" t="str">
            <v>June</v>
          </cell>
          <cell r="N161">
            <v>45810</v>
          </cell>
          <cell r="O161">
            <v>45866</v>
          </cell>
          <cell r="P161" t="str">
            <v>Genpact</v>
          </cell>
          <cell r="R161" t="str">
            <v>Contract</v>
          </cell>
          <cell r="S161" t="str">
            <v>C2C Canada</v>
          </cell>
          <cell r="V161">
            <v>80</v>
          </cell>
          <cell r="AA161">
            <v>11</v>
          </cell>
          <cell r="AN161">
            <v>312</v>
          </cell>
          <cell r="AO161">
            <v>3432</v>
          </cell>
          <cell r="AP161" t="str">
            <v>Pending</v>
          </cell>
          <cell r="AQ161" t="str">
            <v>Pending</v>
          </cell>
          <cell r="AR161">
            <v>328</v>
          </cell>
          <cell r="AS161" t="str">
            <v>JPC - 225050</v>
          </cell>
        </row>
        <row r="162">
          <cell r="A162">
            <v>1</v>
          </cell>
          <cell r="B162" t="str">
            <v>Titans</v>
          </cell>
          <cell r="C162" t="str">
            <v>Banshilal B Khinchi</v>
          </cell>
          <cell r="D162" t="str">
            <v>Abhishek Yadav</v>
          </cell>
          <cell r="F162" t="str">
            <v>Abhishek Yadav</v>
          </cell>
          <cell r="G162" t="str">
            <v>Abhishek Yadav</v>
          </cell>
          <cell r="L162" t="str">
            <v>Java Developer</v>
          </cell>
          <cell r="M162" t="str">
            <v>June</v>
          </cell>
          <cell r="N162">
            <v>45817</v>
          </cell>
          <cell r="O162" t="str">
            <v>NA</v>
          </cell>
          <cell r="P162" t="str">
            <v>Genpact</v>
          </cell>
          <cell r="R162" t="str">
            <v>Contract</v>
          </cell>
          <cell r="S162" t="str">
            <v>C2C Canada</v>
          </cell>
          <cell r="V162">
            <v>55</v>
          </cell>
          <cell r="AA162">
            <v>15</v>
          </cell>
          <cell r="AN162">
            <v>288</v>
          </cell>
          <cell r="AO162">
            <v>4320</v>
          </cell>
          <cell r="AP162" t="str">
            <v>No Bill No Pay</v>
          </cell>
          <cell r="AQ162" t="str">
            <v>No bill no pay</v>
          </cell>
          <cell r="AR162">
            <v>315</v>
          </cell>
          <cell r="AS162" t="str">
            <v>JPC - 225051</v>
          </cell>
        </row>
        <row r="163">
          <cell r="A163">
            <v>1</v>
          </cell>
          <cell r="B163" t="str">
            <v>Titans</v>
          </cell>
          <cell r="C163" t="str">
            <v>Vishal Gupta</v>
          </cell>
          <cell r="D163" t="str">
            <v>Abhishek Yadav</v>
          </cell>
          <cell r="F163" t="str">
            <v>Abhishek Yadav</v>
          </cell>
          <cell r="G163" t="str">
            <v>Abhishek Yadav</v>
          </cell>
          <cell r="L163" t="str">
            <v xml:space="preserve">Business System Analyst </v>
          </cell>
          <cell r="M163" t="str">
            <v>June</v>
          </cell>
          <cell r="N163">
            <v>45824</v>
          </cell>
          <cell r="O163">
            <v>45904</v>
          </cell>
          <cell r="P163" t="str">
            <v>Genpact</v>
          </cell>
          <cell r="R163" t="str">
            <v>Contract</v>
          </cell>
          <cell r="S163" t="str">
            <v>C2C Canada</v>
          </cell>
          <cell r="V163">
            <v>60</v>
          </cell>
          <cell r="AA163">
            <v>15</v>
          </cell>
          <cell r="AO163">
            <v>0</v>
          </cell>
          <cell r="AP163" t="str">
            <v>Active</v>
          </cell>
          <cell r="AQ163" t="str">
            <v>May</v>
          </cell>
          <cell r="AR163">
            <v>302</v>
          </cell>
          <cell r="AS163" t="str">
            <v>JPC - 225052</v>
          </cell>
        </row>
        <row r="164">
          <cell r="A164">
            <v>1</v>
          </cell>
          <cell r="B164" t="str">
            <v>Titans</v>
          </cell>
          <cell r="C164" t="str">
            <v>Serguei Pykhov</v>
          </cell>
          <cell r="D164" t="str">
            <v>Abhishek Yadav</v>
          </cell>
          <cell r="F164" t="str">
            <v>Abhishek Yadav</v>
          </cell>
          <cell r="G164" t="str">
            <v>Abhishek Yadav</v>
          </cell>
          <cell r="L164" t="str">
            <v>Java developer  </v>
          </cell>
          <cell r="M164" t="str">
            <v>June</v>
          </cell>
          <cell r="N164">
            <v>45824</v>
          </cell>
          <cell r="O164">
            <v>45964</v>
          </cell>
          <cell r="P164" t="str">
            <v>Genpact</v>
          </cell>
          <cell r="R164" t="str">
            <v>Contract</v>
          </cell>
          <cell r="S164" t="str">
            <v>C2C Canada</v>
          </cell>
          <cell r="V164">
            <v>55</v>
          </cell>
          <cell r="AA164">
            <v>6</v>
          </cell>
          <cell r="AN164">
            <v>192</v>
          </cell>
          <cell r="AO164">
            <v>1152</v>
          </cell>
          <cell r="AP164" t="str">
            <v>Active</v>
          </cell>
          <cell r="AQ164" t="str">
            <v>Sep</v>
          </cell>
          <cell r="AR164">
            <v>289</v>
          </cell>
          <cell r="AS164" t="str">
            <v>JPC - 225053</v>
          </cell>
        </row>
        <row r="165">
          <cell r="A165">
            <v>1</v>
          </cell>
          <cell r="B165" t="str">
            <v>Mavericks</v>
          </cell>
          <cell r="C165" t="str">
            <v>Amandeep Singh</v>
          </cell>
          <cell r="D165" t="str">
            <v>Sarthak Srivastava</v>
          </cell>
          <cell r="F165" t="str">
            <v>Kashif Nabi</v>
          </cell>
          <cell r="G165" t="str">
            <v>Mohammad Tariq</v>
          </cell>
          <cell r="L165" t="str">
            <v>ServiceNow BA</v>
          </cell>
          <cell r="M165" t="str">
            <v>June</v>
          </cell>
          <cell r="N165">
            <v>45831</v>
          </cell>
          <cell r="O165">
            <v>45863</v>
          </cell>
          <cell r="P165" t="str">
            <v>Genpact</v>
          </cell>
          <cell r="R165" t="str">
            <v>Contract</v>
          </cell>
          <cell r="S165" t="str">
            <v>C2C Canada</v>
          </cell>
          <cell r="V165">
            <v>80</v>
          </cell>
          <cell r="AA165">
            <v>1</v>
          </cell>
          <cell r="AN165">
            <v>104</v>
          </cell>
          <cell r="AO165">
            <v>104</v>
          </cell>
          <cell r="AP165" t="str">
            <v>Active</v>
          </cell>
          <cell r="AQ165" t="str">
            <v>Sep</v>
          </cell>
          <cell r="AR165">
            <v>276</v>
          </cell>
          <cell r="AS165" t="str">
            <v>JPC - 225054</v>
          </cell>
        </row>
        <row r="166">
          <cell r="A166">
            <v>1</v>
          </cell>
          <cell r="B166" t="str">
            <v>Mavericks</v>
          </cell>
          <cell r="C166" t="str">
            <v>Monarch Kumar Nayak</v>
          </cell>
          <cell r="D166" t="str">
            <v>Harshita Mani Srivastava</v>
          </cell>
          <cell r="F166" t="str">
            <v>Kashif Nabi</v>
          </cell>
          <cell r="G166" t="str">
            <v>Kashif Nabi</v>
          </cell>
          <cell r="L166" t="str">
            <v>ServiceNow Developer</v>
          </cell>
          <cell r="M166" t="str">
            <v>August</v>
          </cell>
          <cell r="N166">
            <v>45874</v>
          </cell>
          <cell r="O166">
            <v>45919</v>
          </cell>
          <cell r="P166" t="str">
            <v>Genpact</v>
          </cell>
          <cell r="R166" t="str">
            <v>Contract</v>
          </cell>
          <cell r="S166" t="str">
            <v>C2C Canada</v>
          </cell>
          <cell r="V166">
            <v>80</v>
          </cell>
          <cell r="AA166">
            <v>8</v>
          </cell>
          <cell r="AN166">
            <v>56</v>
          </cell>
          <cell r="AO166">
            <v>448</v>
          </cell>
          <cell r="AP166" t="str">
            <v>Quit</v>
          </cell>
          <cell r="AQ166">
            <v>45775</v>
          </cell>
          <cell r="AR166">
            <v>263</v>
          </cell>
          <cell r="AS166" t="str">
            <v>JPC - 225055</v>
          </cell>
        </row>
        <row r="167">
          <cell r="A167">
            <v>1</v>
          </cell>
          <cell r="B167" t="str">
            <v>Titans</v>
          </cell>
          <cell r="C167" t="str">
            <v xml:space="preserve">Gagandeep Kaur  </v>
          </cell>
          <cell r="D167" t="str">
            <v xml:space="preserve">Satyam Pandey </v>
          </cell>
          <cell r="F167" t="str">
            <v>Abhishek Yadav</v>
          </cell>
          <cell r="G167" t="str">
            <v>Abhishek Yadav</v>
          </cell>
          <cell r="L167" t="str">
            <v xml:space="preserve">Business System Analyst </v>
          </cell>
          <cell r="M167" t="str">
            <v>July</v>
          </cell>
          <cell r="N167">
            <v>45845</v>
          </cell>
          <cell r="O167">
            <v>45903</v>
          </cell>
          <cell r="P167" t="str">
            <v>Genpact</v>
          </cell>
          <cell r="R167" t="str">
            <v>Contract</v>
          </cell>
          <cell r="S167" t="str">
            <v>C2C Canada</v>
          </cell>
          <cell r="V167">
            <v>60</v>
          </cell>
          <cell r="AA167">
            <v>10</v>
          </cell>
          <cell r="AN167">
            <v>56</v>
          </cell>
          <cell r="AO167">
            <v>560</v>
          </cell>
          <cell r="AP167" t="str">
            <v>Active</v>
          </cell>
          <cell r="AQ167" t="str">
            <v>Sep</v>
          </cell>
          <cell r="AR167">
            <v>250</v>
          </cell>
          <cell r="AS167" t="str">
            <v>JPC - 225056</v>
          </cell>
        </row>
        <row r="168">
          <cell r="A168">
            <v>1</v>
          </cell>
          <cell r="B168" t="str">
            <v>Titans</v>
          </cell>
          <cell r="C168" t="str">
            <v>Nikhil Sahi</v>
          </cell>
          <cell r="D168" t="str">
            <v>Shubham Srivastava</v>
          </cell>
          <cell r="F168" t="str">
            <v>Abhishek Yadav</v>
          </cell>
          <cell r="G168" t="str">
            <v>Abhishek Yadav</v>
          </cell>
          <cell r="L168" t="str">
            <v>Sr. Java Developer</v>
          </cell>
          <cell r="M168" t="str">
            <v>July</v>
          </cell>
          <cell r="N168">
            <v>45852</v>
          </cell>
          <cell r="O168" t="str">
            <v>NA</v>
          </cell>
          <cell r="P168" t="str">
            <v>Genpact</v>
          </cell>
          <cell r="R168" t="str">
            <v>Contract</v>
          </cell>
          <cell r="S168" t="str">
            <v>C2C Canada</v>
          </cell>
          <cell r="V168">
            <v>55</v>
          </cell>
          <cell r="AA168">
            <v>13</v>
          </cell>
          <cell r="AN168">
            <v>40</v>
          </cell>
          <cell r="AO168">
            <v>520</v>
          </cell>
          <cell r="AP168" t="str">
            <v>Active</v>
          </cell>
          <cell r="AQ168" t="str">
            <v>Sep</v>
          </cell>
          <cell r="AR168">
            <v>237</v>
          </cell>
          <cell r="AS168" t="str">
            <v>JPC - 225057</v>
          </cell>
        </row>
        <row r="169">
          <cell r="A169">
            <v>1</v>
          </cell>
          <cell r="B169" t="str">
            <v>Mavericks</v>
          </cell>
          <cell r="C169" t="str">
            <v>Mohammad Omidvar</v>
          </cell>
          <cell r="D169" t="str">
            <v>Mohammad Tariq</v>
          </cell>
          <cell r="F169" t="str">
            <v>Kashif Nabi</v>
          </cell>
          <cell r="G169" t="str">
            <v>Kashif Nabi</v>
          </cell>
          <cell r="L169" t="str">
            <v>ServiceNow Tech Lead</v>
          </cell>
          <cell r="M169" t="str">
            <v>August</v>
          </cell>
          <cell r="N169">
            <v>45874</v>
          </cell>
          <cell r="O169" t="str">
            <v>NA</v>
          </cell>
          <cell r="P169" t="str">
            <v>Genpact</v>
          </cell>
          <cell r="R169" t="str">
            <v>Contract</v>
          </cell>
          <cell r="S169" t="str">
            <v>C2C Canada</v>
          </cell>
          <cell r="V169">
            <v>140</v>
          </cell>
          <cell r="AA169">
            <v>1</v>
          </cell>
          <cell r="AN169">
            <v>80</v>
          </cell>
          <cell r="AO169">
            <v>80</v>
          </cell>
          <cell r="AP169" t="str">
            <v>Active</v>
          </cell>
          <cell r="AQ169" t="str">
            <v>Sep</v>
          </cell>
          <cell r="AR169">
            <v>224</v>
          </cell>
          <cell r="AS169" t="str">
            <v>JPC - 225058</v>
          </cell>
        </row>
        <row r="170">
          <cell r="A170">
            <v>1</v>
          </cell>
          <cell r="B170" t="str">
            <v>Titans</v>
          </cell>
          <cell r="C170" t="str">
            <v xml:space="preserve">Jennifer Papp 2nd </v>
          </cell>
          <cell r="D170" t="str">
            <v>Manish Diman  </v>
          </cell>
          <cell r="F170" t="str">
            <v>Abhishek Yadav</v>
          </cell>
          <cell r="G170" t="str">
            <v>Abhishek Yadav</v>
          </cell>
          <cell r="L170" t="str">
            <v xml:space="preserve">Scrum Master </v>
          </cell>
          <cell r="M170" t="str">
            <v>August</v>
          </cell>
          <cell r="N170">
            <v>45870</v>
          </cell>
          <cell r="O170">
            <v>45933</v>
          </cell>
          <cell r="P170" t="str">
            <v>Genpact</v>
          </cell>
          <cell r="R170" t="str">
            <v>Contract</v>
          </cell>
          <cell r="S170" t="str">
            <v>C2C Canada</v>
          </cell>
          <cell r="V170">
            <v>61</v>
          </cell>
          <cell r="AA170">
            <v>2</v>
          </cell>
          <cell r="AO170">
            <v>0</v>
          </cell>
          <cell r="AP170" t="str">
            <v>Active</v>
          </cell>
          <cell r="AQ170" t="str">
            <v>Sep</v>
          </cell>
          <cell r="AR170">
            <v>211</v>
          </cell>
          <cell r="AS170" t="str">
            <v>JPC - 225059</v>
          </cell>
        </row>
        <row r="171">
          <cell r="A171">
            <v>1</v>
          </cell>
          <cell r="B171" t="str">
            <v>Mavericks</v>
          </cell>
          <cell r="C171" t="str">
            <v>Samuel L Manuel</v>
          </cell>
          <cell r="D171" t="str">
            <v>Priyanka Sharma</v>
          </cell>
          <cell r="F171" t="str">
            <v>Kashif Nabi</v>
          </cell>
          <cell r="G171" t="str">
            <v>Kashif Nabi</v>
          </cell>
          <cell r="L171" t="str">
            <v>ServiceNow BA/Product Owner</v>
          </cell>
          <cell r="M171" t="str">
            <v>August</v>
          </cell>
          <cell r="N171">
            <v>45874</v>
          </cell>
          <cell r="O171" t="str">
            <v>NA</v>
          </cell>
          <cell r="P171" t="str">
            <v>Genpact</v>
          </cell>
          <cell r="R171" t="str">
            <v>Contract</v>
          </cell>
          <cell r="S171" t="str">
            <v>C2C Canada</v>
          </cell>
          <cell r="V171">
            <v>80</v>
          </cell>
          <cell r="AA171">
            <v>10</v>
          </cell>
          <cell r="AN171">
            <v>0</v>
          </cell>
          <cell r="AO171">
            <v>0</v>
          </cell>
          <cell r="AP171" t="str">
            <v>Active</v>
          </cell>
          <cell r="AQ171" t="str">
            <v>Jun</v>
          </cell>
          <cell r="AR171">
            <v>150</v>
          </cell>
          <cell r="AS171" t="str">
            <v>JPC - 225060</v>
          </cell>
        </row>
        <row r="172">
          <cell r="A172">
            <v>1</v>
          </cell>
          <cell r="B172" t="str">
            <v>Titans</v>
          </cell>
          <cell r="C172" t="str">
            <v xml:space="preserve">Kathleen A. Ransom 2nd </v>
          </cell>
          <cell r="D172" t="str">
            <v xml:space="preserve">Dheeraj Verma </v>
          </cell>
          <cell r="F172" t="str">
            <v>Abhishek Yadav</v>
          </cell>
          <cell r="G172" t="str">
            <v>Abhishek Yadav</v>
          </cell>
          <cell r="L172" t="str">
            <v>Windows Administrator</v>
          </cell>
          <cell r="M172" t="str">
            <v>August</v>
          </cell>
          <cell r="N172">
            <v>45875</v>
          </cell>
          <cell r="O172" t="str">
            <v>NA</v>
          </cell>
          <cell r="P172" t="str">
            <v>Genpact</v>
          </cell>
          <cell r="R172" t="str">
            <v>Contract</v>
          </cell>
          <cell r="S172" t="str">
            <v>C2C Canada</v>
          </cell>
          <cell r="V172">
            <v>45</v>
          </cell>
          <cell r="AA172">
            <v>4</v>
          </cell>
          <cell r="AN172">
            <v>664</v>
          </cell>
          <cell r="AO172">
            <v>2656</v>
          </cell>
          <cell r="AP172" t="str">
            <v>Active</v>
          </cell>
          <cell r="AQ172" t="str">
            <v>Sep</v>
          </cell>
          <cell r="AR172">
            <v>438</v>
          </cell>
          <cell r="AS172" t="str">
            <v>JPC - 225061</v>
          </cell>
        </row>
        <row r="173">
          <cell r="A173">
            <v>1</v>
          </cell>
          <cell r="B173" t="str">
            <v>WellnessWarriors-Healthcare</v>
          </cell>
          <cell r="C173" t="str">
            <v>Labria Dominque Miller</v>
          </cell>
          <cell r="D173" t="str">
            <v xml:space="preserve">Mohini Chand </v>
          </cell>
          <cell r="F173" t="str">
            <v xml:space="preserve">Shailesh Sharma </v>
          </cell>
          <cell r="G173" t="str">
            <v xml:space="preserve">Shailesh Sharma </v>
          </cell>
          <cell r="L173" t="str">
            <v xml:space="preserve">Licensed BH Professional (Local) </v>
          </cell>
          <cell r="M173" t="str">
            <v>January</v>
          </cell>
          <cell r="N173">
            <v>45678</v>
          </cell>
          <cell r="O173">
            <v>45765</v>
          </cell>
          <cell r="P173" t="str">
            <v>CSU</v>
          </cell>
          <cell r="R173" t="str">
            <v>Contract</v>
          </cell>
          <cell r="S173" t="str">
            <v>W2</v>
          </cell>
          <cell r="V173">
            <v>90.5</v>
          </cell>
          <cell r="AA173">
            <v>10</v>
          </cell>
          <cell r="AN173">
            <v>824</v>
          </cell>
          <cell r="AO173">
            <v>8240</v>
          </cell>
          <cell r="AP173" t="str">
            <v>Active</v>
          </cell>
          <cell r="AQ173" t="str">
            <v>Sep</v>
          </cell>
          <cell r="AR173">
            <v>432</v>
          </cell>
          <cell r="AS173" t="str">
            <v>JPC - 225062</v>
          </cell>
        </row>
        <row r="174">
          <cell r="A174">
            <v>1</v>
          </cell>
          <cell r="B174" t="str">
            <v>WellnessWarriors-Healthcare</v>
          </cell>
          <cell r="C174" t="str">
            <v>Susan L O’Brien</v>
          </cell>
          <cell r="D174" t="str">
            <v xml:space="preserve">Shivam Chaurasia </v>
          </cell>
          <cell r="F174" t="str">
            <v xml:space="preserve">Shailesh Sharma </v>
          </cell>
          <cell r="G174" t="str">
            <v xml:space="preserve">Shailesh Sharma </v>
          </cell>
          <cell r="L174" t="str">
            <v>Licensed BH Professional/LMSW</v>
          </cell>
          <cell r="M174" t="str">
            <v>February</v>
          </cell>
          <cell r="N174">
            <v>45691</v>
          </cell>
          <cell r="O174">
            <v>45778</v>
          </cell>
          <cell r="P174" t="str">
            <v>CSU</v>
          </cell>
          <cell r="R174" t="str">
            <v>Contract</v>
          </cell>
          <cell r="S174" t="str">
            <v>W2</v>
          </cell>
          <cell r="V174">
            <v>74</v>
          </cell>
          <cell r="AA174">
            <v>2</v>
          </cell>
          <cell r="AN174">
            <v>1012</v>
          </cell>
          <cell r="AO174">
            <v>2024</v>
          </cell>
          <cell r="AP174" t="str">
            <v>Active</v>
          </cell>
          <cell r="AQ174" t="str">
            <v>Sep</v>
          </cell>
          <cell r="AR174">
            <v>136</v>
          </cell>
          <cell r="AS174" t="str">
            <v>JPC - 225063</v>
          </cell>
        </row>
        <row r="175">
          <cell r="A175">
            <v>1</v>
          </cell>
          <cell r="B175" t="str">
            <v>WellnessWarriors-Healthcare</v>
          </cell>
          <cell r="C175" t="str">
            <v xml:space="preserve">Francesca A Ortiz 2nd and 3rd </v>
          </cell>
          <cell r="D175" t="str">
            <v>Shivam Chaurasia (Samson)</v>
          </cell>
          <cell r="F175" t="str">
            <v xml:space="preserve">Shailesh Sharma </v>
          </cell>
          <cell r="G175" t="str">
            <v xml:space="preserve">Shailesh Sharma </v>
          </cell>
          <cell r="L175" t="str">
            <v>Care Coordinator</v>
          </cell>
          <cell r="M175" t="str">
            <v>February</v>
          </cell>
          <cell r="N175">
            <v>45706</v>
          </cell>
          <cell r="O175">
            <v>45859</v>
          </cell>
          <cell r="P175" t="str">
            <v>CSU</v>
          </cell>
          <cell r="R175" t="str">
            <v>Contract</v>
          </cell>
          <cell r="S175" t="str">
            <v>W2</v>
          </cell>
          <cell r="V175">
            <v>34</v>
          </cell>
          <cell r="AA175">
            <v>9</v>
          </cell>
          <cell r="AN175">
            <v>12</v>
          </cell>
          <cell r="AO175">
            <v>108</v>
          </cell>
          <cell r="AP175" t="str">
            <v>Active</v>
          </cell>
          <cell r="AQ175" t="str">
            <v>Sep</v>
          </cell>
          <cell r="AR175">
            <v>438</v>
          </cell>
          <cell r="AS175" t="str">
            <v>JPC - 225064</v>
          </cell>
        </row>
        <row r="176">
          <cell r="A176">
            <v>1</v>
          </cell>
          <cell r="B176" t="str">
            <v>WellnessWarriors-Healthcare</v>
          </cell>
          <cell r="C176" t="str">
            <v>Elizabeth Baez 2nd</v>
          </cell>
          <cell r="D176" t="str">
            <v>Ananya Agarwal</v>
          </cell>
          <cell r="F176" t="str">
            <v>Ranveer Kumar</v>
          </cell>
          <cell r="G176" t="str">
            <v>Ranveer Kumar</v>
          </cell>
          <cell r="L176" t="str">
            <v>Telehealth Coordinator</v>
          </cell>
          <cell r="M176" t="str">
            <v>February</v>
          </cell>
          <cell r="N176">
            <v>45712</v>
          </cell>
          <cell r="O176">
            <v>45800</v>
          </cell>
          <cell r="P176" t="str">
            <v>CSU</v>
          </cell>
          <cell r="R176" t="str">
            <v>Contract</v>
          </cell>
          <cell r="S176" t="str">
            <v>W2</v>
          </cell>
          <cell r="V176">
            <v>34</v>
          </cell>
          <cell r="AA176">
            <v>1</v>
          </cell>
          <cell r="AN176">
            <v>1032</v>
          </cell>
          <cell r="AO176">
            <v>1032</v>
          </cell>
          <cell r="AP176" t="str">
            <v>No Bill No Pay</v>
          </cell>
          <cell r="AQ176" t="str">
            <v>No bill no pay</v>
          </cell>
          <cell r="AR176">
            <v>406</v>
          </cell>
          <cell r="AS176" t="str">
            <v>JPC - 225065</v>
          </cell>
        </row>
        <row r="177">
          <cell r="A177">
            <v>1</v>
          </cell>
          <cell r="B177" t="str">
            <v>WellnessWarriors-Healthcare</v>
          </cell>
          <cell r="C177" t="str">
            <v>Maurice Ouma Ford</v>
          </cell>
          <cell r="D177" t="str">
            <v>Mohini Chand</v>
          </cell>
          <cell r="F177" t="str">
            <v xml:space="preserve">Shailesh Sharma </v>
          </cell>
          <cell r="G177" t="str">
            <v xml:space="preserve">Shailesh Sharma </v>
          </cell>
          <cell r="L177" t="str">
            <v>Licensed BH Professional/ Travel</v>
          </cell>
          <cell r="M177" t="str">
            <v>March</v>
          </cell>
          <cell r="N177">
            <v>45719</v>
          </cell>
          <cell r="O177">
            <v>45807</v>
          </cell>
          <cell r="P177" t="str">
            <v>CSU</v>
          </cell>
          <cell r="R177" t="str">
            <v>Contract</v>
          </cell>
          <cell r="S177" t="str">
            <v>W2</v>
          </cell>
          <cell r="V177">
            <v>80</v>
          </cell>
          <cell r="AA177">
            <v>7.25</v>
          </cell>
          <cell r="AN177">
            <v>979</v>
          </cell>
          <cell r="AO177">
            <v>7097.75</v>
          </cell>
          <cell r="AP177" t="str">
            <v>Active</v>
          </cell>
          <cell r="AQ177" t="str">
            <v>Sep</v>
          </cell>
          <cell r="AR177">
            <v>393</v>
          </cell>
          <cell r="AS177" t="str">
            <v>JPC - 225066</v>
          </cell>
        </row>
        <row r="178">
          <cell r="A178">
            <v>1</v>
          </cell>
          <cell r="B178" t="str">
            <v>WellnessWarriors-Healthcare</v>
          </cell>
          <cell r="C178" t="str">
            <v xml:space="preserve">Yolanda D Berry </v>
          </cell>
          <cell r="D178" t="str">
            <v>Shivam Chaurasia (Samson)</v>
          </cell>
          <cell r="F178" t="str">
            <v xml:space="preserve">Shailesh Sharma </v>
          </cell>
          <cell r="G178" t="str">
            <v xml:space="preserve">Shailesh Sharma </v>
          </cell>
          <cell r="L178" t="str">
            <v>LPN Correctional - Local</v>
          </cell>
          <cell r="M178" t="str">
            <v>March</v>
          </cell>
          <cell r="N178">
            <v>45718</v>
          </cell>
          <cell r="O178" t="str">
            <v>NA</v>
          </cell>
          <cell r="P178" t="str">
            <v>CSU</v>
          </cell>
          <cell r="R178" t="str">
            <v>Contract</v>
          </cell>
          <cell r="S178" t="str">
            <v>W2</v>
          </cell>
          <cell r="V178">
            <v>60</v>
          </cell>
          <cell r="AA178">
            <v>8.4499999999999993</v>
          </cell>
          <cell r="AN178">
            <v>912</v>
          </cell>
          <cell r="AO178">
            <v>7706.4</v>
          </cell>
          <cell r="AP178" t="str">
            <v>Active</v>
          </cell>
          <cell r="AQ178" t="str">
            <v>Sep</v>
          </cell>
          <cell r="AR178">
            <v>380</v>
          </cell>
          <cell r="AS178" t="str">
            <v>JPC - 225067</v>
          </cell>
        </row>
        <row r="179">
          <cell r="A179">
            <v>1</v>
          </cell>
          <cell r="B179" t="str">
            <v>WellnessWarriors-Healthcare</v>
          </cell>
          <cell r="C179" t="str">
            <v>Timothy Webb</v>
          </cell>
          <cell r="D179" t="str">
            <v>Uttam Chandra</v>
          </cell>
          <cell r="F179" t="str">
            <v>Ranveer Kumar</v>
          </cell>
          <cell r="G179" t="str">
            <v>Ranveer Kumar</v>
          </cell>
          <cell r="L179" t="str">
            <v>Travel-RN(Dialysis)</v>
          </cell>
          <cell r="M179" t="str">
            <v>February</v>
          </cell>
          <cell r="N179">
            <v>45704</v>
          </cell>
          <cell r="O179">
            <v>45780</v>
          </cell>
          <cell r="P179" t="str">
            <v>Prime Health</v>
          </cell>
          <cell r="R179" t="str">
            <v>Contract</v>
          </cell>
          <cell r="S179" t="str">
            <v>W2</v>
          </cell>
          <cell r="V179">
            <v>85</v>
          </cell>
          <cell r="AA179">
            <v>9</v>
          </cell>
          <cell r="AN179">
            <v>904</v>
          </cell>
          <cell r="AO179">
            <v>8136</v>
          </cell>
          <cell r="AP179" t="str">
            <v>Active</v>
          </cell>
          <cell r="AQ179" t="str">
            <v>sep</v>
          </cell>
          <cell r="AR179">
            <v>367</v>
          </cell>
          <cell r="AS179" t="str">
            <v>JPC - 225068</v>
          </cell>
        </row>
        <row r="180">
          <cell r="A180">
            <v>1</v>
          </cell>
          <cell r="B180" t="str">
            <v>WellnessWarriors-Healthcare</v>
          </cell>
          <cell r="C180" t="str">
            <v>Sunil Singh</v>
          </cell>
          <cell r="D180" t="str">
            <v>Vishal Jaiswal (Victor)</v>
          </cell>
          <cell r="F180" t="str">
            <v>Abhishek Singh</v>
          </cell>
          <cell r="G180" t="str">
            <v>Abhishek Singh</v>
          </cell>
          <cell r="L180" t="str">
            <v>Travel RN</v>
          </cell>
          <cell r="M180" t="str">
            <v>March</v>
          </cell>
          <cell r="N180">
            <v>45741</v>
          </cell>
          <cell r="O180">
            <v>45761</v>
          </cell>
          <cell r="P180" t="str">
            <v>Prime Health</v>
          </cell>
          <cell r="R180" t="str">
            <v>Contract</v>
          </cell>
          <cell r="S180" t="str">
            <v>W2</v>
          </cell>
          <cell r="V180">
            <v>80</v>
          </cell>
          <cell r="AA180">
            <v>5</v>
          </cell>
          <cell r="AN180">
            <v>264</v>
          </cell>
          <cell r="AO180">
            <v>1320</v>
          </cell>
          <cell r="AP180" t="str">
            <v>No Bill No Pay</v>
          </cell>
          <cell r="AQ180" t="str">
            <v>No bill no pay</v>
          </cell>
          <cell r="AR180">
            <v>354</v>
          </cell>
          <cell r="AS180" t="str">
            <v>JPC - 225069</v>
          </cell>
        </row>
        <row r="181">
          <cell r="A181">
            <v>1</v>
          </cell>
          <cell r="B181" t="str">
            <v>WellnessWarriors-Healthcare</v>
          </cell>
          <cell r="C181" t="str">
            <v>Delia Reynolds</v>
          </cell>
          <cell r="D181" t="str">
            <v>Mohini Chand</v>
          </cell>
          <cell r="F181" t="str">
            <v xml:space="preserve">Shailesh Sharma </v>
          </cell>
          <cell r="G181" t="str">
            <v xml:space="preserve">Shailesh Sharma </v>
          </cell>
          <cell r="L181" t="str">
            <v xml:space="preserve">Ultrasound Technologist  </v>
          </cell>
          <cell r="M181" t="str">
            <v>April</v>
          </cell>
          <cell r="N181">
            <v>45754</v>
          </cell>
          <cell r="O181">
            <v>45834</v>
          </cell>
          <cell r="P181" t="str">
            <v>HWL</v>
          </cell>
          <cell r="R181" t="str">
            <v>Contract</v>
          </cell>
          <cell r="S181" t="str">
            <v>W2</v>
          </cell>
          <cell r="V181">
            <v>79.5</v>
          </cell>
          <cell r="AA181">
            <v>6</v>
          </cell>
          <cell r="AN181">
            <v>848</v>
          </cell>
          <cell r="AO181">
            <v>5088</v>
          </cell>
          <cell r="AP181" t="str">
            <v>Done</v>
          </cell>
          <cell r="AQ181" t="str">
            <v>Sep</v>
          </cell>
          <cell r="AR181">
            <v>341</v>
          </cell>
          <cell r="AS181" t="str">
            <v>JPC - 225070</v>
          </cell>
        </row>
        <row r="182">
          <cell r="A182">
            <v>1</v>
          </cell>
          <cell r="B182" t="str">
            <v>WellnessWarriors-Healthcare</v>
          </cell>
          <cell r="C182" t="str">
            <v>James Navera</v>
          </cell>
          <cell r="D182" t="str">
            <v>Sachin Singh</v>
          </cell>
          <cell r="F182" t="str">
            <v>Abhishek Singh</v>
          </cell>
          <cell r="G182" t="str">
            <v>Abhishek Singh</v>
          </cell>
          <cell r="L182" t="str">
            <v>Respiratory Care Practitioner/ PRN</v>
          </cell>
          <cell r="M182" t="str">
            <v>April</v>
          </cell>
          <cell r="N182">
            <v>45758</v>
          </cell>
          <cell r="O182" t="str">
            <v>NA</v>
          </cell>
          <cell r="P182" t="str">
            <v>Prime/Hallmark</v>
          </cell>
          <cell r="R182" t="str">
            <v>Contract</v>
          </cell>
          <cell r="S182" t="str">
            <v>W2</v>
          </cell>
          <cell r="V182">
            <v>65</v>
          </cell>
          <cell r="AA182">
            <v>7.95</v>
          </cell>
          <cell r="AN182">
            <v>776</v>
          </cell>
          <cell r="AO182">
            <v>6169.2</v>
          </cell>
          <cell r="AP182" t="str">
            <v>Active</v>
          </cell>
          <cell r="AQ182" t="str">
            <v>Sep</v>
          </cell>
          <cell r="AR182">
            <v>328</v>
          </cell>
          <cell r="AS182" t="str">
            <v>JPC - 225071</v>
          </cell>
        </row>
        <row r="183">
          <cell r="A183">
            <v>1</v>
          </cell>
          <cell r="B183" t="str">
            <v>WellnessWarriors-Healthcare</v>
          </cell>
          <cell r="C183" t="str">
            <v>Christopher Garn</v>
          </cell>
          <cell r="D183" t="str">
            <v>Tushar Mishra</v>
          </cell>
          <cell r="F183" t="str">
            <v>Abhishek Singh</v>
          </cell>
          <cell r="G183" t="str">
            <v>Abhishek Singh</v>
          </cell>
          <cell r="L183" t="str">
            <v>Echocardiography Technician / PRN</v>
          </cell>
          <cell r="M183" t="str">
            <v>April</v>
          </cell>
          <cell r="N183">
            <v>45761</v>
          </cell>
          <cell r="O183" t="str">
            <v>NA</v>
          </cell>
          <cell r="P183" t="str">
            <v>Prime/Hallmark</v>
          </cell>
          <cell r="R183" t="str">
            <v>Contract</v>
          </cell>
          <cell r="S183" t="str">
            <v>W2</v>
          </cell>
          <cell r="V183">
            <v>95</v>
          </cell>
          <cell r="AA183">
            <v>6</v>
          </cell>
          <cell r="AN183">
            <v>688</v>
          </cell>
          <cell r="AO183">
            <v>4128</v>
          </cell>
          <cell r="AP183" t="str">
            <v>Active</v>
          </cell>
          <cell r="AQ183" t="str">
            <v>Sep</v>
          </cell>
          <cell r="AR183">
            <v>315</v>
          </cell>
          <cell r="AS183" t="str">
            <v>JPC - 225072</v>
          </cell>
        </row>
        <row r="184">
          <cell r="A184">
            <v>1</v>
          </cell>
          <cell r="B184" t="str">
            <v>WellnessWarriors-Healthcare</v>
          </cell>
          <cell r="C184" t="str">
            <v>Mohammed Abdul Rahman Jawaid</v>
          </cell>
          <cell r="D184" t="str">
            <v>Anuj Kumar (David)</v>
          </cell>
          <cell r="F184" t="str">
            <v>Abhishek Singh</v>
          </cell>
          <cell r="G184" t="str">
            <v>Abhishek Singh</v>
          </cell>
          <cell r="L184" t="str">
            <v>Travel RN</v>
          </cell>
          <cell r="M184" t="str">
            <v>April</v>
          </cell>
          <cell r="N184">
            <v>45775</v>
          </cell>
          <cell r="O184">
            <v>45821</v>
          </cell>
          <cell r="P184" t="str">
            <v>Prime/Hallmark</v>
          </cell>
          <cell r="R184" t="str">
            <v>Contract</v>
          </cell>
          <cell r="S184" t="str">
            <v>W2</v>
          </cell>
          <cell r="V184">
            <v>85</v>
          </cell>
          <cell r="AA184">
            <v>5</v>
          </cell>
          <cell r="AN184">
            <v>848</v>
          </cell>
          <cell r="AO184">
            <v>4240</v>
          </cell>
          <cell r="AP184" t="str">
            <v>Active</v>
          </cell>
          <cell r="AQ184" t="str">
            <v>Sep</v>
          </cell>
          <cell r="AR184">
            <v>302</v>
          </cell>
          <cell r="AS184" t="str">
            <v>JPC - 225073</v>
          </cell>
        </row>
        <row r="185">
          <cell r="A185">
            <v>1</v>
          </cell>
          <cell r="B185" t="str">
            <v>WellnessWarriors-Healthcare</v>
          </cell>
          <cell r="C185" t="str">
            <v>Doris Marie Yadav</v>
          </cell>
          <cell r="D185" t="str">
            <v>Tushar Mishra (Theo)</v>
          </cell>
          <cell r="F185" t="str">
            <v>Abhishek Singh</v>
          </cell>
          <cell r="G185" t="str">
            <v>Abhishek Singh</v>
          </cell>
          <cell r="L185" t="str">
            <v>Travel X Ray Tech</v>
          </cell>
          <cell r="M185" t="str">
            <v>April</v>
          </cell>
          <cell r="N185">
            <v>45775</v>
          </cell>
          <cell r="O185">
            <v>45786</v>
          </cell>
          <cell r="P185" t="str">
            <v>Prime/Hallmark</v>
          </cell>
          <cell r="R185" t="str">
            <v>Contract</v>
          </cell>
          <cell r="S185" t="str">
            <v>W2</v>
          </cell>
          <cell r="V185">
            <v>70</v>
          </cell>
          <cell r="AA185">
            <v>2</v>
          </cell>
          <cell r="AN185">
            <v>0</v>
          </cell>
          <cell r="AO185">
            <v>0</v>
          </cell>
          <cell r="AP185" t="str">
            <v>Active</v>
          </cell>
          <cell r="AQ185" t="str">
            <v>Sep</v>
          </cell>
          <cell r="AR185">
            <v>289</v>
          </cell>
          <cell r="AS185" t="str">
            <v>JPC - 225074</v>
          </cell>
        </row>
        <row r="186">
          <cell r="A186">
            <v>1</v>
          </cell>
          <cell r="B186" t="str">
            <v>WellnessWarriors-Healthcare</v>
          </cell>
          <cell r="C186" t="str">
            <v xml:space="preserve">Kevin Higgs </v>
          </cell>
          <cell r="D186" t="str">
            <v>Anuj Kumar (David)</v>
          </cell>
          <cell r="F186" t="str">
            <v>Abhishek Singh</v>
          </cell>
          <cell r="G186" t="str">
            <v>Abhishek Singh</v>
          </cell>
          <cell r="L186" t="str">
            <v>Travel RN Neuro Stepdown</v>
          </cell>
          <cell r="M186" t="str">
            <v>May</v>
          </cell>
          <cell r="N186">
            <v>45789</v>
          </cell>
          <cell r="O186">
            <v>45930</v>
          </cell>
          <cell r="P186" t="str">
            <v>Prime/Hallmark</v>
          </cell>
          <cell r="R186" t="str">
            <v>Contract</v>
          </cell>
          <cell r="S186" t="str">
            <v>W2</v>
          </cell>
          <cell r="V186">
            <v>70</v>
          </cell>
          <cell r="AA186">
            <v>4</v>
          </cell>
          <cell r="AN186">
            <v>912</v>
          </cell>
          <cell r="AO186">
            <v>3648</v>
          </cell>
          <cell r="AP186" t="str">
            <v>Active</v>
          </cell>
          <cell r="AQ186" t="str">
            <v>Sep</v>
          </cell>
          <cell r="AR186">
            <v>276</v>
          </cell>
          <cell r="AS186" t="str">
            <v>JPC - 225075</v>
          </cell>
        </row>
        <row r="187">
          <cell r="A187">
            <v>1</v>
          </cell>
          <cell r="B187" t="str">
            <v>WellnessWarriors-Healthcare</v>
          </cell>
          <cell r="C187" t="str">
            <v>Joanna Veronika Chervinko</v>
          </cell>
          <cell r="D187" t="str">
            <v>Anuj Kumar (David)</v>
          </cell>
          <cell r="F187" t="str">
            <v>Abhishek Singh</v>
          </cell>
          <cell r="G187" t="str">
            <v>Abhishek Singh</v>
          </cell>
          <cell r="L187" t="str">
            <v>Per Diem RN</v>
          </cell>
          <cell r="M187" t="str">
            <v>May</v>
          </cell>
          <cell r="N187">
            <v>45789</v>
          </cell>
          <cell r="O187">
            <v>45968</v>
          </cell>
          <cell r="P187" t="str">
            <v>Prime/Hallmark</v>
          </cell>
          <cell r="R187" t="str">
            <v>Contract</v>
          </cell>
          <cell r="S187" t="str">
            <v>W2</v>
          </cell>
          <cell r="V187">
            <v>70</v>
          </cell>
          <cell r="AA187">
            <v>8.0500000000000007</v>
          </cell>
          <cell r="AN187">
            <v>457.5</v>
          </cell>
          <cell r="AO187">
            <v>3682.8750000000005</v>
          </cell>
          <cell r="AP187" t="str">
            <v>Active</v>
          </cell>
          <cell r="AQ187" t="str">
            <v>aug</v>
          </cell>
          <cell r="AR187">
            <v>263</v>
          </cell>
          <cell r="AS187" t="str">
            <v>JPC - 225076</v>
          </cell>
        </row>
        <row r="188">
          <cell r="A188">
            <v>1</v>
          </cell>
          <cell r="B188" t="str">
            <v>WellnessWarriors-Healthcare</v>
          </cell>
          <cell r="C188" t="str">
            <v>Rhoda Laxamana Fadri</v>
          </cell>
          <cell r="D188" t="str">
            <v>Ananya Agarwal</v>
          </cell>
          <cell r="F188" t="str">
            <v>Ranveer Kumar</v>
          </cell>
          <cell r="G188" t="str">
            <v>Ranveer Kumar</v>
          </cell>
          <cell r="L188" t="str">
            <v>RN-Neuro Stepdown</v>
          </cell>
          <cell r="M188" t="str">
            <v>May</v>
          </cell>
          <cell r="N188">
            <v>45789</v>
          </cell>
          <cell r="O188">
            <v>45863</v>
          </cell>
          <cell r="P188" t="str">
            <v>Prime/Hallmark</v>
          </cell>
          <cell r="R188" t="str">
            <v>Contract</v>
          </cell>
          <cell r="S188" t="str">
            <v>W2</v>
          </cell>
          <cell r="V188">
            <v>75</v>
          </cell>
          <cell r="AA188">
            <v>5.65</v>
          </cell>
          <cell r="AN188">
            <v>632</v>
          </cell>
          <cell r="AO188">
            <v>3570.8</v>
          </cell>
          <cell r="AP188" t="str">
            <v>Active</v>
          </cell>
          <cell r="AQ188" t="str">
            <v>Sep</v>
          </cell>
          <cell r="AR188">
            <v>250</v>
          </cell>
          <cell r="AS188" t="str">
            <v>JPC - 225077</v>
          </cell>
        </row>
        <row r="189">
          <cell r="A189">
            <v>1</v>
          </cell>
          <cell r="B189" t="str">
            <v>WellnessWarriors-Healthcare</v>
          </cell>
          <cell r="C189" t="str">
            <v xml:space="preserve">Fatima Yeabeh Jalloh </v>
          </cell>
          <cell r="D189" t="str">
            <v>Arpita Singh (Sana)</v>
          </cell>
          <cell r="F189" t="str">
            <v>Abhishek Singh</v>
          </cell>
          <cell r="G189" t="str">
            <v>Abhishek Singh</v>
          </cell>
          <cell r="L189" t="str">
            <v>T-CT Tech</v>
          </cell>
          <cell r="M189" t="str">
            <v>May</v>
          </cell>
          <cell r="N189">
            <v>45796</v>
          </cell>
          <cell r="O189">
            <v>45805</v>
          </cell>
          <cell r="P189" t="str">
            <v>Prime/Hallmark</v>
          </cell>
          <cell r="R189" t="str">
            <v>Contract</v>
          </cell>
          <cell r="S189" t="str">
            <v>W2</v>
          </cell>
          <cell r="V189">
            <v>90</v>
          </cell>
          <cell r="AA189">
            <v>8</v>
          </cell>
          <cell r="AO189">
            <v>0</v>
          </cell>
          <cell r="AP189" t="str">
            <v>Active</v>
          </cell>
          <cell r="AQ189" t="str">
            <v>Sep</v>
          </cell>
          <cell r="AR189">
            <v>237</v>
          </cell>
          <cell r="AS189" t="str">
            <v>JPC - 225078</v>
          </cell>
        </row>
        <row r="190">
          <cell r="A190">
            <v>1</v>
          </cell>
          <cell r="B190" t="str">
            <v>WellnessWarriors-Healthcare</v>
          </cell>
          <cell r="C190" t="str">
            <v>Michael Raul Ortega Mera 2nd</v>
          </cell>
          <cell r="D190" t="str">
            <v>Tushar Mishra (Theo)</v>
          </cell>
          <cell r="F190" t="str">
            <v>Abhishek Singh</v>
          </cell>
          <cell r="G190" t="str">
            <v>Abhishek Singh</v>
          </cell>
          <cell r="L190" t="str">
            <v>T-RN</v>
          </cell>
          <cell r="M190" t="str">
            <v>May</v>
          </cell>
          <cell r="N190">
            <v>45796</v>
          </cell>
          <cell r="O190" t="str">
            <v>NA</v>
          </cell>
          <cell r="P190" t="str">
            <v>Prime/Hallmark</v>
          </cell>
          <cell r="R190" t="str">
            <v>Contract</v>
          </cell>
          <cell r="S190" t="str">
            <v>W2</v>
          </cell>
          <cell r="V190">
            <v>80</v>
          </cell>
          <cell r="AA190">
            <v>6</v>
          </cell>
          <cell r="AN190">
            <v>536</v>
          </cell>
          <cell r="AO190">
            <v>3216</v>
          </cell>
          <cell r="AP190" t="str">
            <v>Active</v>
          </cell>
          <cell r="AQ190" t="str">
            <v>Sep</v>
          </cell>
          <cell r="AR190">
            <v>224</v>
          </cell>
          <cell r="AS190" t="str">
            <v>JPC - 225079</v>
          </cell>
        </row>
        <row r="191">
          <cell r="A191">
            <v>1</v>
          </cell>
          <cell r="B191" t="str">
            <v>WellnessWarriors-Healthcare</v>
          </cell>
          <cell r="C191" t="str">
            <v>Portia C Hanton</v>
          </cell>
          <cell r="D191" t="str">
            <v>Anjali Sah (Annie)</v>
          </cell>
          <cell r="F191" t="str">
            <v xml:space="preserve">Shailesh Sharma </v>
          </cell>
          <cell r="G191" t="str">
            <v xml:space="preserve">Shailesh Sharma </v>
          </cell>
          <cell r="L191" t="str">
            <v xml:space="preserve">RN Cath Lab </v>
          </cell>
          <cell r="M191" t="str">
            <v>October</v>
          </cell>
          <cell r="N191">
            <v>45950</v>
          </cell>
          <cell r="O191" t="str">
            <v>NA</v>
          </cell>
          <cell r="P191" t="str">
            <v>Prime</v>
          </cell>
          <cell r="R191" t="str">
            <v>Contract</v>
          </cell>
          <cell r="S191" t="str">
            <v>W2</v>
          </cell>
          <cell r="V191">
            <v>135</v>
          </cell>
          <cell r="AA191">
            <v>2</v>
          </cell>
          <cell r="AN191">
            <v>632</v>
          </cell>
          <cell r="AO191">
            <v>1264</v>
          </cell>
          <cell r="AP191" t="str">
            <v>Active</v>
          </cell>
          <cell r="AQ191" t="str">
            <v>Sep</v>
          </cell>
          <cell r="AR191">
            <v>211</v>
          </cell>
          <cell r="AS191" t="str">
            <v>JPC - 225080</v>
          </cell>
        </row>
        <row r="192">
          <cell r="A192">
            <v>1</v>
          </cell>
          <cell r="B192" t="str">
            <v>WellnessWarriors-Healthcare</v>
          </cell>
          <cell r="C192" t="str">
            <v>Annette Glenn</v>
          </cell>
          <cell r="D192" t="str">
            <v>Vishal Jaiswal (Victor)</v>
          </cell>
          <cell r="F192" t="str">
            <v>Abhishek Singh</v>
          </cell>
          <cell r="G192" t="str">
            <v>Abhishek Singh</v>
          </cell>
          <cell r="L192" t="str">
            <v>Travel RN</v>
          </cell>
          <cell r="M192" t="str">
            <v>May</v>
          </cell>
          <cell r="N192">
            <v>45804</v>
          </cell>
          <cell r="O192">
            <v>45846</v>
          </cell>
          <cell r="P192" t="str">
            <v>Prime/Hallmark</v>
          </cell>
          <cell r="R192" t="str">
            <v>Contract</v>
          </cell>
          <cell r="S192" t="str">
            <v>W2</v>
          </cell>
          <cell r="V192">
            <v>90</v>
          </cell>
          <cell r="AA192">
            <v>2</v>
          </cell>
          <cell r="AN192">
            <v>584</v>
          </cell>
          <cell r="AO192">
            <v>1168</v>
          </cell>
          <cell r="AP192" t="str">
            <v>Active</v>
          </cell>
          <cell r="AQ192" t="str">
            <v>Sep</v>
          </cell>
          <cell r="AR192">
            <v>150</v>
          </cell>
          <cell r="AS192" t="str">
            <v>JPC - 225081</v>
          </cell>
        </row>
        <row r="193">
          <cell r="A193">
            <v>1</v>
          </cell>
          <cell r="B193" t="str">
            <v>WellnessWarriors-Healthcare</v>
          </cell>
          <cell r="C193" t="str">
            <v>April Franklin 1, 2</v>
          </cell>
          <cell r="D193" t="str">
            <v>Abhinesh Yadav</v>
          </cell>
          <cell r="F193" t="str">
            <v>Abhishek Singh</v>
          </cell>
          <cell r="G193" t="str">
            <v>Abhishek Singh</v>
          </cell>
          <cell r="L193" t="str">
            <v>Travel OT</v>
          </cell>
          <cell r="M193" t="str">
            <v>June</v>
          </cell>
          <cell r="N193">
            <v>45810</v>
          </cell>
          <cell r="O193" t="str">
            <v>NA</v>
          </cell>
          <cell r="P193" t="str">
            <v>CSU</v>
          </cell>
          <cell r="R193" t="str">
            <v>Contract</v>
          </cell>
          <cell r="S193" t="str">
            <v>W2</v>
          </cell>
          <cell r="V193">
            <v>98</v>
          </cell>
          <cell r="AA193">
            <v>10</v>
          </cell>
          <cell r="AN193">
            <v>424</v>
          </cell>
          <cell r="AO193">
            <v>4240</v>
          </cell>
          <cell r="AP193" t="str">
            <v>No Bill No Pay</v>
          </cell>
          <cell r="AQ193" t="str">
            <v>No bill no pay</v>
          </cell>
          <cell r="AR193">
            <v>438</v>
          </cell>
          <cell r="AS193" t="str">
            <v>JPC - 225082</v>
          </cell>
        </row>
        <row r="194">
          <cell r="A194">
            <v>1</v>
          </cell>
          <cell r="B194" t="str">
            <v>WellnessWarriors-Healthcare</v>
          </cell>
          <cell r="C194" t="str">
            <v>Jennifer Scott</v>
          </cell>
          <cell r="D194" t="str">
            <v>Mohini Chand</v>
          </cell>
          <cell r="F194" t="str">
            <v xml:space="preserve">Shailesh Sharma </v>
          </cell>
          <cell r="G194" t="str">
            <v xml:space="preserve">Shailesh Sharma </v>
          </cell>
          <cell r="L194" t="str">
            <v>Care Coordinator (Local)</v>
          </cell>
          <cell r="M194" t="str">
            <v>June</v>
          </cell>
          <cell r="N194">
            <v>45817</v>
          </cell>
          <cell r="O194">
            <v>45860</v>
          </cell>
          <cell r="P194" t="str">
            <v>CSU</v>
          </cell>
          <cell r="R194" t="str">
            <v>Contract</v>
          </cell>
          <cell r="S194" t="str">
            <v>W2</v>
          </cell>
          <cell r="V194">
            <v>34</v>
          </cell>
          <cell r="AA194">
            <v>15</v>
          </cell>
          <cell r="AN194">
            <v>448</v>
          </cell>
          <cell r="AO194">
            <v>6720</v>
          </cell>
          <cell r="AP194" t="str">
            <v>Active</v>
          </cell>
          <cell r="AQ194" t="str">
            <v>Sep</v>
          </cell>
          <cell r="AR194">
            <v>432</v>
          </cell>
          <cell r="AS194" t="str">
            <v>JPC - 225083</v>
          </cell>
        </row>
        <row r="195">
          <cell r="A195">
            <v>1</v>
          </cell>
          <cell r="B195" t="str">
            <v>WellnessWarriors-Healthcare</v>
          </cell>
          <cell r="C195" t="str">
            <v xml:space="preserve">Sherry Mohr </v>
          </cell>
          <cell r="D195" t="str">
            <v>Mohini Chand</v>
          </cell>
          <cell r="F195" t="str">
            <v xml:space="preserve">Shailesh Sharma </v>
          </cell>
          <cell r="G195" t="str">
            <v xml:space="preserve">Shailesh Sharma </v>
          </cell>
          <cell r="L195" t="str">
            <v xml:space="preserve">RN Cardiac Cath Lab </v>
          </cell>
          <cell r="M195" t="str">
            <v>June</v>
          </cell>
          <cell r="N195">
            <v>45817</v>
          </cell>
          <cell r="O195">
            <v>45898</v>
          </cell>
          <cell r="P195" t="str">
            <v>Prime</v>
          </cell>
          <cell r="R195" t="str">
            <v>Contract</v>
          </cell>
          <cell r="S195" t="str">
            <v>W2</v>
          </cell>
          <cell r="V195">
            <v>125</v>
          </cell>
          <cell r="AA195">
            <v>3</v>
          </cell>
          <cell r="AN195">
            <v>354</v>
          </cell>
          <cell r="AO195">
            <v>1062</v>
          </cell>
          <cell r="AP195" t="str">
            <v>Active</v>
          </cell>
          <cell r="AQ195" t="str">
            <v>Sep</v>
          </cell>
          <cell r="AR195">
            <v>136</v>
          </cell>
          <cell r="AS195" t="str">
            <v>JPC - 225084</v>
          </cell>
        </row>
        <row r="196">
          <cell r="A196">
            <v>1</v>
          </cell>
          <cell r="B196" t="str">
            <v>WellnessWarriors-Healthcare</v>
          </cell>
          <cell r="C196" t="str">
            <v>Amado Arteaga</v>
          </cell>
          <cell r="D196" t="str">
            <v>Tushar Mishra (Theo)</v>
          </cell>
          <cell r="F196" t="str">
            <v>Abhishek Singh</v>
          </cell>
          <cell r="G196" t="str">
            <v>Abhishek Singh</v>
          </cell>
          <cell r="L196" t="str">
            <v>Travel Licensed BH Professional</v>
          </cell>
          <cell r="M196" t="str">
            <v>October</v>
          </cell>
          <cell r="N196">
            <v>45959</v>
          </cell>
          <cell r="O196" t="str">
            <v>NA</v>
          </cell>
          <cell r="P196" t="str">
            <v>CSU</v>
          </cell>
          <cell r="R196" t="str">
            <v>Contract</v>
          </cell>
          <cell r="S196" t="str">
            <v>W2</v>
          </cell>
          <cell r="V196">
            <v>90</v>
          </cell>
          <cell r="AA196">
            <v>8</v>
          </cell>
          <cell r="AN196">
            <v>280</v>
          </cell>
          <cell r="AO196">
            <v>2240</v>
          </cell>
          <cell r="AP196" t="str">
            <v>Active</v>
          </cell>
          <cell r="AQ196" t="str">
            <v>Sep</v>
          </cell>
          <cell r="AR196">
            <v>438</v>
          </cell>
          <cell r="AS196" t="str">
            <v>JPC - 225085</v>
          </cell>
        </row>
        <row r="197">
          <cell r="A197">
            <v>1</v>
          </cell>
          <cell r="B197" t="str">
            <v>WellnessWarriors-Healthcare</v>
          </cell>
          <cell r="C197" t="str">
            <v xml:space="preserve">Terrell Fleming  </v>
          </cell>
          <cell r="D197" t="str">
            <v>Ananya Agarwal</v>
          </cell>
          <cell r="F197" t="str">
            <v>Ranveer Kumar</v>
          </cell>
          <cell r="G197" t="str">
            <v>Ranveer Kumar</v>
          </cell>
          <cell r="L197" t="str">
            <v>CT Tech Traveler</v>
          </cell>
          <cell r="M197" t="str">
            <v>June</v>
          </cell>
          <cell r="N197">
            <v>45820</v>
          </cell>
          <cell r="O197">
            <v>45884</v>
          </cell>
          <cell r="P197" t="str">
            <v>Hallmark</v>
          </cell>
          <cell r="R197" t="str">
            <v>Contract</v>
          </cell>
          <cell r="S197" t="str">
            <v>W2</v>
          </cell>
          <cell r="V197">
            <v>95</v>
          </cell>
          <cell r="AA197">
            <v>5</v>
          </cell>
          <cell r="AN197">
            <v>440</v>
          </cell>
          <cell r="AO197">
            <v>2200</v>
          </cell>
          <cell r="AP197" t="str">
            <v>Active</v>
          </cell>
          <cell r="AQ197" t="str">
            <v>Sep</v>
          </cell>
          <cell r="AR197">
            <v>406</v>
          </cell>
          <cell r="AS197" t="str">
            <v>JPC - 225086</v>
          </cell>
        </row>
        <row r="198">
          <cell r="A198">
            <v>1</v>
          </cell>
          <cell r="B198" t="str">
            <v>WellnessWarriors-Healthcare</v>
          </cell>
          <cell r="C198" t="str">
            <v>Nallely Lopez Carrada</v>
          </cell>
          <cell r="D198" t="str">
            <v>Nimisha Agarwal</v>
          </cell>
          <cell r="F198" t="str">
            <v>Ranveer Kumar</v>
          </cell>
          <cell r="G198" t="str">
            <v>Ranveer Kumar</v>
          </cell>
          <cell r="L198" t="str">
            <v>LPN-Rehab</v>
          </cell>
          <cell r="M198" t="str">
            <v>June</v>
          </cell>
          <cell r="N198">
            <v>45824</v>
          </cell>
          <cell r="O198">
            <v>45912</v>
          </cell>
          <cell r="P198" t="str">
            <v>HWL</v>
          </cell>
          <cell r="R198" t="str">
            <v>Contract</v>
          </cell>
          <cell r="S198" t="str">
            <v>W2</v>
          </cell>
          <cell r="V198">
            <v>53</v>
          </cell>
          <cell r="AA198">
            <v>7</v>
          </cell>
          <cell r="AN198">
            <v>288</v>
          </cell>
          <cell r="AO198">
            <v>2016</v>
          </cell>
          <cell r="AP198" t="str">
            <v>Active</v>
          </cell>
          <cell r="AQ198" t="str">
            <v>Sep</v>
          </cell>
          <cell r="AR198">
            <v>393</v>
          </cell>
          <cell r="AS198" t="str">
            <v>JPC - 225087</v>
          </cell>
        </row>
        <row r="199">
          <cell r="A199">
            <v>1</v>
          </cell>
          <cell r="B199" t="str">
            <v>WellnessWarriors-Healthcare</v>
          </cell>
          <cell r="C199" t="str">
            <v>Emmanuel Somto Okafor</v>
          </cell>
          <cell r="D199" t="str">
            <v>Sachin Singh</v>
          </cell>
          <cell r="F199" t="str">
            <v>Abhishek Singh</v>
          </cell>
          <cell r="G199" t="str">
            <v>Abhishek Singh</v>
          </cell>
          <cell r="L199" t="str">
            <v>Respiratory Care Practitioner/ PRN</v>
          </cell>
          <cell r="M199" t="str">
            <v>June</v>
          </cell>
          <cell r="N199">
            <v>45824</v>
          </cell>
          <cell r="O199" t="str">
            <v>NA</v>
          </cell>
          <cell r="P199" t="str">
            <v>Prime/Hallmark</v>
          </cell>
          <cell r="R199" t="str">
            <v>Contract</v>
          </cell>
          <cell r="S199" t="str">
            <v>W2</v>
          </cell>
          <cell r="V199">
            <v>60</v>
          </cell>
          <cell r="AA199">
            <v>8</v>
          </cell>
          <cell r="AN199">
            <v>227</v>
          </cell>
          <cell r="AO199">
            <v>1816</v>
          </cell>
          <cell r="AP199" t="str">
            <v>Active</v>
          </cell>
          <cell r="AQ199" t="str">
            <v>Sep</v>
          </cell>
          <cell r="AR199">
            <v>380</v>
          </cell>
          <cell r="AS199" t="str">
            <v>JPC - 225088</v>
          </cell>
        </row>
        <row r="200">
          <cell r="A200">
            <v>1</v>
          </cell>
          <cell r="B200" t="str">
            <v>WellnessWarriors-Healthcare</v>
          </cell>
          <cell r="C200" t="str">
            <v>Lashondra Scott</v>
          </cell>
          <cell r="D200" t="str">
            <v>Tushar Mishra (Theo)</v>
          </cell>
          <cell r="F200" t="str">
            <v>Abhishek Singh</v>
          </cell>
          <cell r="G200" t="str">
            <v>Abhishek Singh</v>
          </cell>
          <cell r="L200" t="str">
            <v>Travel Sterile Processing Tech</v>
          </cell>
          <cell r="M200" t="str">
            <v>June</v>
          </cell>
          <cell r="N200">
            <v>45831</v>
          </cell>
          <cell r="O200" t="str">
            <v>NA</v>
          </cell>
          <cell r="P200" t="str">
            <v>Prime/Hallmark</v>
          </cell>
          <cell r="R200" t="str">
            <v>Contract</v>
          </cell>
          <cell r="S200" t="str">
            <v>W2</v>
          </cell>
          <cell r="V200">
            <v>45</v>
          </cell>
          <cell r="AA200">
            <v>7.25</v>
          </cell>
          <cell r="AN200">
            <v>312</v>
          </cell>
          <cell r="AO200">
            <v>2262</v>
          </cell>
          <cell r="AP200" t="str">
            <v>Active</v>
          </cell>
          <cell r="AR200">
            <v>367</v>
          </cell>
          <cell r="AS200" t="str">
            <v>JPC - 225089</v>
          </cell>
        </row>
        <row r="201">
          <cell r="A201">
            <v>1</v>
          </cell>
          <cell r="B201" t="str">
            <v>WellnessWarriors-Healthcare</v>
          </cell>
          <cell r="C201" t="str">
            <v>William Michael McAllister</v>
          </cell>
          <cell r="D201" t="str">
            <v>Meghna Khanna (Meg)</v>
          </cell>
          <cell r="F201" t="str">
            <v xml:space="preserve">Shailesh Sharma </v>
          </cell>
          <cell r="G201" t="str">
            <v xml:space="preserve">Shailesh Sharma </v>
          </cell>
          <cell r="L201" t="str">
            <v>Local – Certified Medical Assistant</v>
          </cell>
          <cell r="M201" t="str">
            <v>June</v>
          </cell>
          <cell r="N201">
            <v>45831</v>
          </cell>
          <cell r="O201" t="str">
            <v>NA</v>
          </cell>
          <cell r="P201" t="str">
            <v>CSU</v>
          </cell>
          <cell r="R201" t="str">
            <v>Contract</v>
          </cell>
          <cell r="S201" t="str">
            <v>W2</v>
          </cell>
          <cell r="V201">
            <v>34</v>
          </cell>
          <cell r="AA201">
            <v>15</v>
          </cell>
          <cell r="AN201">
            <v>288</v>
          </cell>
          <cell r="AO201">
            <v>4320</v>
          </cell>
          <cell r="AP201" t="str">
            <v>Active</v>
          </cell>
          <cell r="AR201">
            <v>354</v>
          </cell>
          <cell r="AS201" t="str">
            <v>JPC - 225090</v>
          </cell>
        </row>
        <row r="202">
          <cell r="A202">
            <v>1</v>
          </cell>
          <cell r="B202" t="str">
            <v>WellnessWarriors-Healthcare</v>
          </cell>
          <cell r="C202" t="str">
            <v xml:space="preserve">Muriya Washington </v>
          </cell>
          <cell r="D202" t="str">
            <v>Shivam Chaurasia (Samson)</v>
          </cell>
          <cell r="F202" t="str">
            <v xml:space="preserve">Shailesh Sharma </v>
          </cell>
          <cell r="G202" t="str">
            <v xml:space="preserve">Shailesh Sharma </v>
          </cell>
          <cell r="L202" t="str">
            <v>Local- RN CVICU - Per Diem</v>
          </cell>
          <cell r="M202" t="str">
            <v>June</v>
          </cell>
          <cell r="N202">
            <v>45838</v>
          </cell>
          <cell r="O202" t="str">
            <v>NA</v>
          </cell>
          <cell r="P202" t="str">
            <v>Prime</v>
          </cell>
          <cell r="R202" t="str">
            <v>Contract</v>
          </cell>
          <cell r="S202" t="str">
            <v>W2</v>
          </cell>
          <cell r="V202">
            <v>90</v>
          </cell>
          <cell r="AA202">
            <v>6</v>
          </cell>
          <cell r="AO202">
            <v>0</v>
          </cell>
          <cell r="AP202" t="str">
            <v>Active</v>
          </cell>
          <cell r="AR202">
            <v>341</v>
          </cell>
          <cell r="AS202" t="str">
            <v>JPC - 225091</v>
          </cell>
        </row>
        <row r="203">
          <cell r="A203">
            <v>1</v>
          </cell>
          <cell r="B203" t="str">
            <v>WellnessWarriors-Healthcare</v>
          </cell>
          <cell r="C203" t="str">
            <v xml:space="preserve">Rosland Caselberry </v>
          </cell>
          <cell r="D203" t="str">
            <v>Abhinesh Yadav</v>
          </cell>
          <cell r="F203" t="str">
            <v>Abhishek Singh</v>
          </cell>
          <cell r="G203" t="str">
            <v>Abhishek Singh</v>
          </cell>
          <cell r="L203" t="str">
            <v>Travel LPN</v>
          </cell>
          <cell r="M203" t="str">
            <v>June</v>
          </cell>
          <cell r="N203">
            <v>45838</v>
          </cell>
          <cell r="O203" t="str">
            <v>NA</v>
          </cell>
          <cell r="P203" t="str">
            <v>HWL</v>
          </cell>
          <cell r="R203" t="str">
            <v>Contract</v>
          </cell>
          <cell r="S203" t="str">
            <v>W2</v>
          </cell>
          <cell r="V203">
            <v>60</v>
          </cell>
          <cell r="AA203">
            <v>11</v>
          </cell>
          <cell r="AN203">
            <v>192</v>
          </cell>
          <cell r="AO203">
            <v>2112</v>
          </cell>
          <cell r="AP203" t="str">
            <v>Done</v>
          </cell>
          <cell r="AQ203" t="str">
            <v>Done</v>
          </cell>
          <cell r="AR203">
            <v>328</v>
          </cell>
          <cell r="AS203" t="str">
            <v>JPC - 225092</v>
          </cell>
        </row>
        <row r="204">
          <cell r="A204">
            <v>1</v>
          </cell>
          <cell r="B204" t="str">
            <v>WellnessWarriors-Healthcare</v>
          </cell>
          <cell r="C204" t="str">
            <v>Raven Shiana Floyd</v>
          </cell>
          <cell r="D204" t="str">
            <v>Kirti Gautam (Kitty)</v>
          </cell>
          <cell r="F204" t="str">
            <v xml:space="preserve">Shailesh Sharma </v>
          </cell>
          <cell r="G204" t="str">
            <v xml:space="preserve">Shailesh Sharma </v>
          </cell>
          <cell r="L204" t="str">
            <v>RN Correction / Travel</v>
          </cell>
          <cell r="M204" t="str">
            <v>July</v>
          </cell>
          <cell r="N204">
            <v>45841</v>
          </cell>
          <cell r="O204">
            <v>45892</v>
          </cell>
          <cell r="P204" t="str">
            <v>Right Sourcing</v>
          </cell>
          <cell r="R204" t="str">
            <v>Contract</v>
          </cell>
          <cell r="S204" t="str">
            <v>W2</v>
          </cell>
          <cell r="V204">
            <v>72</v>
          </cell>
          <cell r="AA204">
            <v>15</v>
          </cell>
          <cell r="AN204">
            <v>104</v>
          </cell>
          <cell r="AO204">
            <v>1560</v>
          </cell>
          <cell r="AP204" t="str">
            <v>Done</v>
          </cell>
          <cell r="AQ204" t="str">
            <v>Done</v>
          </cell>
          <cell r="AR204">
            <v>315</v>
          </cell>
          <cell r="AS204" t="str">
            <v>JPC - 225093</v>
          </cell>
        </row>
        <row r="205">
          <cell r="A205">
            <v>1</v>
          </cell>
          <cell r="B205" t="str">
            <v>WellnessWarriors-Healthcare</v>
          </cell>
          <cell r="C205" t="str">
            <v>Margaret Marina Munguia</v>
          </cell>
          <cell r="D205" t="str">
            <v>Tushar Mishra (Theo)</v>
          </cell>
          <cell r="F205" t="str">
            <v>Abhishek Singh</v>
          </cell>
          <cell r="G205" t="str">
            <v>Abhishek Singh</v>
          </cell>
          <cell r="L205" t="str">
            <v>Per Diem RN</v>
          </cell>
          <cell r="M205" t="str">
            <v>July</v>
          </cell>
          <cell r="N205">
            <v>45841</v>
          </cell>
          <cell r="O205" t="str">
            <v>NA</v>
          </cell>
          <cell r="P205" t="str">
            <v>Prime/Hallmark</v>
          </cell>
          <cell r="R205" t="str">
            <v>Contract</v>
          </cell>
          <cell r="S205" t="str">
            <v>W2</v>
          </cell>
          <cell r="V205">
            <v>70</v>
          </cell>
          <cell r="AA205">
            <v>15</v>
          </cell>
          <cell r="AN205">
            <v>56</v>
          </cell>
          <cell r="AO205">
            <v>840</v>
          </cell>
          <cell r="AP205" t="str">
            <v>Done</v>
          </cell>
          <cell r="AQ205" t="str">
            <v>Done</v>
          </cell>
          <cell r="AR205">
            <v>302</v>
          </cell>
          <cell r="AS205" t="str">
            <v>JPC - 225094</v>
          </cell>
        </row>
        <row r="206">
          <cell r="A206">
            <v>1</v>
          </cell>
          <cell r="B206" t="str">
            <v>WellnessWarriors-Healthcare</v>
          </cell>
          <cell r="C206" t="str">
            <v>Johnny Jefferson 2</v>
          </cell>
          <cell r="D206" t="str">
            <v>Tushar Mishra (Theo)</v>
          </cell>
          <cell r="F206" t="str">
            <v>Abhishek Singh</v>
          </cell>
          <cell r="G206" t="str">
            <v>Abhishek Singh</v>
          </cell>
          <cell r="L206" t="str">
            <v>T- LPN</v>
          </cell>
          <cell r="M206" t="str">
            <v>July</v>
          </cell>
          <cell r="N206">
            <v>45852</v>
          </cell>
          <cell r="O206">
            <v>45910</v>
          </cell>
          <cell r="P206" t="str">
            <v>CSU/Yes Care</v>
          </cell>
          <cell r="R206" t="str">
            <v>Contract</v>
          </cell>
          <cell r="S206" t="str">
            <v>W2</v>
          </cell>
          <cell r="V206">
            <v>67</v>
          </cell>
          <cell r="AA206">
            <v>6</v>
          </cell>
          <cell r="AN206">
            <v>56</v>
          </cell>
          <cell r="AO206">
            <v>336</v>
          </cell>
          <cell r="AP206" t="str">
            <v>Pending</v>
          </cell>
          <cell r="AQ206" t="str">
            <v>Pending</v>
          </cell>
          <cell r="AR206">
            <v>289</v>
          </cell>
          <cell r="AS206" t="str">
            <v>JPC - 225095</v>
          </cell>
        </row>
        <row r="207">
          <cell r="A207">
            <v>1</v>
          </cell>
          <cell r="B207" t="str">
            <v>WellnessWarriors-Healthcare</v>
          </cell>
          <cell r="C207" t="str">
            <v>Jessica Nunez</v>
          </cell>
          <cell r="D207" t="str">
            <v>Mohini Chand</v>
          </cell>
          <cell r="F207" t="str">
            <v xml:space="preserve">Shailesh Sharma </v>
          </cell>
          <cell r="G207" t="str">
            <v xml:space="preserve">Shailesh Sharma </v>
          </cell>
          <cell r="L207" t="str">
            <v>Travel - Licensed Behavioral Health Professional</v>
          </cell>
          <cell r="M207" t="str">
            <v>July</v>
          </cell>
          <cell r="N207">
            <v>45859</v>
          </cell>
          <cell r="O207">
            <v>45943</v>
          </cell>
          <cell r="P207" t="str">
            <v>CSU</v>
          </cell>
          <cell r="R207" t="str">
            <v>Contract</v>
          </cell>
          <cell r="S207" t="str">
            <v>W2</v>
          </cell>
          <cell r="V207">
            <v>74</v>
          </cell>
          <cell r="AA207">
            <v>1</v>
          </cell>
          <cell r="AN207">
            <v>40</v>
          </cell>
          <cell r="AO207">
            <v>40</v>
          </cell>
          <cell r="AP207" t="str">
            <v>Done</v>
          </cell>
          <cell r="AQ207" t="str">
            <v>Done</v>
          </cell>
          <cell r="AR207">
            <v>276</v>
          </cell>
          <cell r="AS207" t="str">
            <v>JPC - 225096</v>
          </cell>
        </row>
        <row r="208">
          <cell r="A208">
            <v>1</v>
          </cell>
          <cell r="B208" t="str">
            <v>WellnessWarriors-Healthcare</v>
          </cell>
          <cell r="C208" t="str">
            <v>Brittany Perfetti</v>
          </cell>
          <cell r="D208" t="str">
            <v>Puneet Pandey (Patrick Jones)</v>
          </cell>
          <cell r="F208" t="str">
            <v xml:space="preserve">Shailesh Sharma </v>
          </cell>
          <cell r="G208" t="str">
            <v xml:space="preserve">Shailesh Sharma </v>
          </cell>
          <cell r="L208" t="str">
            <v>Local - Licensed Practical Nurse</v>
          </cell>
          <cell r="M208" t="str">
            <v>July</v>
          </cell>
          <cell r="N208">
            <v>45859</v>
          </cell>
          <cell r="O208" t="str">
            <v>NA</v>
          </cell>
          <cell r="P208" t="str">
            <v>CSU</v>
          </cell>
          <cell r="R208" t="str">
            <v>Contract</v>
          </cell>
          <cell r="S208" t="str">
            <v>W2</v>
          </cell>
          <cell r="V208">
            <v>60</v>
          </cell>
          <cell r="AA208">
            <v>8</v>
          </cell>
          <cell r="AN208">
            <v>80</v>
          </cell>
          <cell r="AO208">
            <v>640</v>
          </cell>
          <cell r="AP208" t="str">
            <v>Pending</v>
          </cell>
          <cell r="AQ208" t="str">
            <v>Pending</v>
          </cell>
          <cell r="AR208">
            <v>263</v>
          </cell>
          <cell r="AS208" t="str">
            <v>JPC - 225097</v>
          </cell>
        </row>
        <row r="209">
          <cell r="A209">
            <v>1</v>
          </cell>
          <cell r="B209" t="str">
            <v>WellnessWarriors-Healthcare</v>
          </cell>
          <cell r="C209" t="str">
            <v>Caitlin A Westcott</v>
          </cell>
          <cell r="D209" t="str">
            <v>Uttam Chandra</v>
          </cell>
          <cell r="F209" t="str">
            <v>Ranveer Kumar</v>
          </cell>
          <cell r="G209" t="str">
            <v>Ranveer Kumar</v>
          </cell>
          <cell r="L209" t="str">
            <v>BH Professional</v>
          </cell>
          <cell r="M209" t="str">
            <v>October</v>
          </cell>
          <cell r="N209">
            <v>45948</v>
          </cell>
          <cell r="O209" t="str">
            <v>NA</v>
          </cell>
          <cell r="P209" t="str">
            <v>CSU</v>
          </cell>
          <cell r="R209" t="str">
            <v>Contract</v>
          </cell>
          <cell r="S209" t="str">
            <v>W2</v>
          </cell>
          <cell r="V209">
            <v>74</v>
          </cell>
          <cell r="AA209">
            <v>10</v>
          </cell>
          <cell r="AN209">
            <v>0</v>
          </cell>
          <cell r="AO209">
            <v>0</v>
          </cell>
          <cell r="AP209" t="str">
            <v>Done</v>
          </cell>
          <cell r="AQ209" t="str">
            <v>Done</v>
          </cell>
          <cell r="AR209">
            <v>250</v>
          </cell>
          <cell r="AS209" t="str">
            <v>JPC - 225098</v>
          </cell>
        </row>
        <row r="210">
          <cell r="A210">
            <v>1</v>
          </cell>
          <cell r="B210" t="str">
            <v>WellnessWarriors-Healthcare</v>
          </cell>
          <cell r="C210" t="str">
            <v>Navya Sharma</v>
          </cell>
          <cell r="D210" t="str">
            <v>Uttam Chandra</v>
          </cell>
          <cell r="F210" t="str">
            <v>Ranveer Kumar</v>
          </cell>
          <cell r="G210" t="str">
            <v>Ranveer Kumar</v>
          </cell>
          <cell r="L210" t="str">
            <v>RN-Dialysis</v>
          </cell>
          <cell r="M210" t="str">
            <v>July</v>
          </cell>
          <cell r="N210">
            <v>45859</v>
          </cell>
          <cell r="O210">
            <v>45948</v>
          </cell>
          <cell r="P210" t="str">
            <v>Hallmark</v>
          </cell>
          <cell r="R210" t="str">
            <v>Contract</v>
          </cell>
          <cell r="S210" t="str">
            <v>W2</v>
          </cell>
          <cell r="V210">
            <v>85</v>
          </cell>
          <cell r="AA210">
            <v>13</v>
          </cell>
          <cell r="AN210">
            <v>664</v>
          </cell>
          <cell r="AO210">
            <v>8632</v>
          </cell>
          <cell r="AP210" t="str">
            <v>Pending</v>
          </cell>
          <cell r="AQ210" t="str">
            <v>Pending</v>
          </cell>
          <cell r="AR210">
            <v>237</v>
          </cell>
          <cell r="AS210" t="str">
            <v>JPC - 225099</v>
          </cell>
        </row>
        <row r="211">
          <cell r="A211">
            <v>1</v>
          </cell>
          <cell r="B211" t="str">
            <v>WellnessWarriors-Healthcare</v>
          </cell>
          <cell r="C211" t="str">
            <v>Shriniwas Sattyanarayan Pasnur</v>
          </cell>
          <cell r="D211" t="str">
            <v>Anuj Kumar (David)</v>
          </cell>
          <cell r="F211" t="str">
            <v>Abhishek Singh</v>
          </cell>
          <cell r="G211" t="str">
            <v>Abhishek Singh</v>
          </cell>
          <cell r="L211" t="str">
            <v>Travel CT Tech</v>
          </cell>
          <cell r="M211" t="str">
            <v>July</v>
          </cell>
          <cell r="N211">
            <v>45866</v>
          </cell>
          <cell r="O211">
            <v>45953</v>
          </cell>
          <cell r="P211" t="str">
            <v>Prime/Hallmark</v>
          </cell>
          <cell r="R211" t="str">
            <v>Contract</v>
          </cell>
          <cell r="S211" t="str">
            <v>W2</v>
          </cell>
          <cell r="V211">
            <v>95</v>
          </cell>
          <cell r="AA211">
            <v>1</v>
          </cell>
          <cell r="AN211">
            <v>824</v>
          </cell>
          <cell r="AO211">
            <v>824</v>
          </cell>
          <cell r="AP211" t="str">
            <v>Done</v>
          </cell>
          <cell r="AQ211" t="str">
            <v>Done</v>
          </cell>
          <cell r="AR211">
            <v>224</v>
          </cell>
          <cell r="AS211" t="str">
            <v>JPC - 225100</v>
          </cell>
        </row>
        <row r="212">
          <cell r="A212">
            <v>1</v>
          </cell>
          <cell r="B212" t="str">
            <v>WellnessWarriors-Healthcare</v>
          </cell>
          <cell r="C212" t="str">
            <v>Christopher William Ball</v>
          </cell>
          <cell r="D212" t="str">
            <v>Aman Singh</v>
          </cell>
          <cell r="F212" t="str">
            <v>Shailesh Sharma</v>
          </cell>
          <cell r="G212" t="str">
            <v>Shailesh Sharma</v>
          </cell>
          <cell r="L212" t="str">
            <v>Registered Nurse</v>
          </cell>
          <cell r="M212" t="str">
            <v>July</v>
          </cell>
          <cell r="N212">
            <v>45867</v>
          </cell>
          <cell r="O212">
            <v>45947</v>
          </cell>
          <cell r="P212" t="str">
            <v>Right Sourcing (Magnit)</v>
          </cell>
          <cell r="R212" t="str">
            <v>Contract</v>
          </cell>
          <cell r="S212" t="str">
            <v>W2</v>
          </cell>
          <cell r="V212">
            <v>72</v>
          </cell>
          <cell r="AA212">
            <v>2</v>
          </cell>
          <cell r="AN212">
            <v>1012</v>
          </cell>
          <cell r="AO212">
            <v>2024</v>
          </cell>
          <cell r="AP212" t="str">
            <v>Pending</v>
          </cell>
          <cell r="AQ212" t="str">
            <v>Pending</v>
          </cell>
          <cell r="AR212">
            <v>211</v>
          </cell>
          <cell r="AS212" t="str">
            <v>JPC - 225101</v>
          </cell>
        </row>
        <row r="213">
          <cell r="A213">
            <v>1</v>
          </cell>
          <cell r="B213" t="str">
            <v>Trust</v>
          </cell>
          <cell r="C213" t="str">
            <v>PRADEEP KUMAR BOBBILI</v>
          </cell>
          <cell r="D213" t="str">
            <v>Ashish Saxena</v>
          </cell>
          <cell r="F213" t="str">
            <v>Ashish Saxena</v>
          </cell>
          <cell r="G213" t="str">
            <v>Harsh Agrawal</v>
          </cell>
          <cell r="L213" t="str">
            <v>Consultant, Content Engineering</v>
          </cell>
          <cell r="M213" t="str">
            <v>August</v>
          </cell>
          <cell r="N213">
            <v>45875</v>
          </cell>
          <cell r="O213" t="str">
            <v>NA</v>
          </cell>
          <cell r="P213" t="str">
            <v>Global Logic</v>
          </cell>
          <cell r="R213" t="str">
            <v>Contract</v>
          </cell>
          <cell r="S213" t="str">
            <v>T4A</v>
          </cell>
          <cell r="V213">
            <v>30</v>
          </cell>
          <cell r="AA213">
            <v>10</v>
          </cell>
          <cell r="AN213">
            <v>12</v>
          </cell>
          <cell r="AO213">
            <v>120</v>
          </cell>
          <cell r="AP213" t="str">
            <v>Pending</v>
          </cell>
          <cell r="AQ213" t="str">
            <v>Pending</v>
          </cell>
          <cell r="AR213">
            <v>150</v>
          </cell>
          <cell r="AS213" t="str">
            <v>JPC - 225102</v>
          </cell>
        </row>
        <row r="214">
          <cell r="A214">
            <v>1</v>
          </cell>
          <cell r="B214" t="str">
            <v>Mavericks</v>
          </cell>
          <cell r="C214" t="str">
            <v>Ravi Teja Chennupati</v>
          </cell>
          <cell r="D214" t="str">
            <v>Vaibhav Kumar</v>
          </cell>
          <cell r="F214" t="str">
            <v>Kashif Nabi</v>
          </cell>
          <cell r="G214" t="str">
            <v>Vaibhav Kumar</v>
          </cell>
          <cell r="L214" t="str">
            <v>SAP PP Consultant</v>
          </cell>
          <cell r="M214" t="str">
            <v>September</v>
          </cell>
          <cell r="N214">
            <v>45904</v>
          </cell>
          <cell r="O214" t="str">
            <v>NA</v>
          </cell>
          <cell r="P214" t="str">
            <v>Genpact</v>
          </cell>
          <cell r="R214" t="str">
            <v>Contract</v>
          </cell>
          <cell r="S214" t="str">
            <v>C2C Canada</v>
          </cell>
          <cell r="V214">
            <v>77</v>
          </cell>
          <cell r="AA214">
            <v>4</v>
          </cell>
          <cell r="AN214">
            <v>1032</v>
          </cell>
          <cell r="AO214">
            <v>4128</v>
          </cell>
          <cell r="AP214" t="str">
            <v>Pending</v>
          </cell>
          <cell r="AQ214" t="str">
            <v>Pending</v>
          </cell>
          <cell r="AR214">
            <v>438</v>
          </cell>
          <cell r="AS214" t="str">
            <v>JPC - 225103</v>
          </cell>
        </row>
        <row r="215">
          <cell r="A215">
            <v>1</v>
          </cell>
          <cell r="B215" t="str">
            <v>Mavericks/Titans</v>
          </cell>
          <cell r="C215" t="str">
            <v>Dionte T Lindsey</v>
          </cell>
          <cell r="D215" t="str">
            <v>Ratnesh Kashyap</v>
          </cell>
          <cell r="F215" t="str">
            <v>Kashif Nabi Lead Nitin</v>
          </cell>
          <cell r="G215" t="str">
            <v>Kashif Nabi Lead Nitin</v>
          </cell>
          <cell r="L215" t="str">
            <v>Documentation Expert</v>
          </cell>
          <cell r="M215" t="str">
            <v>August</v>
          </cell>
          <cell r="N215">
            <v>45887</v>
          </cell>
          <cell r="O215">
            <v>45954</v>
          </cell>
          <cell r="P215" t="str">
            <v>Genpact</v>
          </cell>
          <cell r="R215" t="str">
            <v>Contract</v>
          </cell>
          <cell r="S215">
            <v>1099</v>
          </cell>
          <cell r="V215">
            <v>25</v>
          </cell>
          <cell r="AA215">
            <v>10</v>
          </cell>
          <cell r="AN215">
            <v>979</v>
          </cell>
          <cell r="AO215">
            <v>9790</v>
          </cell>
          <cell r="AP215" t="str">
            <v>No Bill No Pay</v>
          </cell>
          <cell r="AQ215" t="str">
            <v>No bill no pay</v>
          </cell>
          <cell r="AR215">
            <v>432</v>
          </cell>
          <cell r="AS215" t="str">
            <v>JPC - 225104</v>
          </cell>
        </row>
        <row r="216">
          <cell r="A216">
            <v>1</v>
          </cell>
          <cell r="B216" t="str">
            <v>Mavericks</v>
          </cell>
          <cell r="C216" t="str">
            <v>Tabia L Comer</v>
          </cell>
          <cell r="D216" t="str">
            <v>Saurabh Mishra</v>
          </cell>
          <cell r="F216" t="str">
            <v xml:space="preserve">Kashif Nabi </v>
          </cell>
          <cell r="G216" t="str">
            <v xml:space="preserve">Kashif Nabi </v>
          </cell>
          <cell r="L216" t="str">
            <v xml:space="preserve">ABAP ODATA Backend Developer </v>
          </cell>
          <cell r="M216" t="str">
            <v>August</v>
          </cell>
          <cell r="N216">
            <v>45887</v>
          </cell>
          <cell r="O216" t="str">
            <v>NA</v>
          </cell>
          <cell r="P216" t="str">
            <v>Genpact</v>
          </cell>
          <cell r="R216" t="str">
            <v>Contract</v>
          </cell>
          <cell r="S216" t="str">
            <v>C2C</v>
          </cell>
          <cell r="V216">
            <v>85</v>
          </cell>
          <cell r="AA216">
            <v>2</v>
          </cell>
          <cell r="AN216">
            <v>912</v>
          </cell>
          <cell r="AO216">
            <v>1824</v>
          </cell>
          <cell r="AP216" t="str">
            <v>Active</v>
          </cell>
          <cell r="AQ216" t="str">
            <v>May</v>
          </cell>
          <cell r="AR216">
            <v>136</v>
          </cell>
          <cell r="AS216" t="str">
            <v>JPC - 225105</v>
          </cell>
        </row>
        <row r="217">
          <cell r="A217">
            <v>1</v>
          </cell>
          <cell r="B217" t="str">
            <v>Mavericks</v>
          </cell>
          <cell r="C217" t="str">
            <v>Manmohan Singh Parmar</v>
          </cell>
          <cell r="D217" t="str">
            <v>Vasudev Srivastava</v>
          </cell>
          <cell r="F217" t="str">
            <v>Kashif Nabi</v>
          </cell>
          <cell r="G217" t="str">
            <v>Khatib Rahman</v>
          </cell>
          <cell r="L217" t="str">
            <v xml:space="preserve">SAP ABAP SME </v>
          </cell>
          <cell r="M217" t="str">
            <v>August</v>
          </cell>
          <cell r="N217">
            <v>45887</v>
          </cell>
          <cell r="O217">
            <v>45977</v>
          </cell>
          <cell r="P217" t="str">
            <v>Genpact</v>
          </cell>
          <cell r="R217" t="str">
            <v>Contract</v>
          </cell>
          <cell r="S217" t="str">
            <v>C2C</v>
          </cell>
          <cell r="V217">
            <v>85</v>
          </cell>
          <cell r="AA217">
            <v>9</v>
          </cell>
          <cell r="AN217">
            <v>904</v>
          </cell>
          <cell r="AO217">
            <v>8136</v>
          </cell>
          <cell r="AP217" t="str">
            <v>Active</v>
          </cell>
          <cell r="AQ217" t="str">
            <v>Sep</v>
          </cell>
          <cell r="AR217">
            <v>438</v>
          </cell>
          <cell r="AS217" t="str">
            <v>JPC - 225106</v>
          </cell>
        </row>
        <row r="218">
          <cell r="A218">
            <v>1</v>
          </cell>
          <cell r="B218" t="str">
            <v>WellnessWarriors-Healthcare</v>
          </cell>
          <cell r="C218" t="str">
            <v>Nageshwar Rao Bhukya</v>
          </cell>
          <cell r="D218" t="str">
            <v>Anjali Sah (Annie)</v>
          </cell>
          <cell r="F218" t="str">
            <v>Shailesh Sharma (Sam)</v>
          </cell>
          <cell r="G218" t="str">
            <v>Shailesh Sharma (Sam)</v>
          </cell>
          <cell r="L218" t="str">
            <v>RN ICU - Per Diem - Days</v>
          </cell>
          <cell r="M218" t="str">
            <v>August</v>
          </cell>
          <cell r="N218">
            <v>45873</v>
          </cell>
          <cell r="O218">
            <v>45884</v>
          </cell>
          <cell r="P218" t="str">
            <v>Prime</v>
          </cell>
          <cell r="R218" t="str">
            <v>Contract</v>
          </cell>
          <cell r="S218" t="str">
            <v>W2</v>
          </cell>
          <cell r="V218">
            <v>75</v>
          </cell>
          <cell r="AA218">
            <v>1</v>
          </cell>
          <cell r="AN218">
            <v>264</v>
          </cell>
          <cell r="AO218">
            <v>264</v>
          </cell>
          <cell r="AP218" t="str">
            <v>Active</v>
          </cell>
          <cell r="AQ218" t="str">
            <v>Sep</v>
          </cell>
          <cell r="AR218">
            <v>406</v>
          </cell>
          <cell r="AS218" t="str">
            <v>JPC - 225107</v>
          </cell>
        </row>
        <row r="219">
          <cell r="A219">
            <v>1</v>
          </cell>
          <cell r="B219" t="str">
            <v>WellnessWarriors-Healthcare</v>
          </cell>
          <cell r="C219" t="str">
            <v>Boja Sri Manu Koti Naidu</v>
          </cell>
          <cell r="D219" t="str">
            <v>Anjali Sah (Annie)</v>
          </cell>
          <cell r="F219" t="str">
            <v>Shailesh Sharma (Sam)</v>
          </cell>
          <cell r="G219" t="str">
            <v>Shailesh Sharma (Sam)</v>
          </cell>
          <cell r="L219" t="str">
            <v>Certified Medical Assistant (CMA)</v>
          </cell>
          <cell r="M219" t="str">
            <v>August</v>
          </cell>
          <cell r="N219">
            <v>45873</v>
          </cell>
          <cell r="O219" t="str">
            <v>NA</v>
          </cell>
          <cell r="P219" t="str">
            <v>CSU</v>
          </cell>
          <cell r="R219" t="str">
            <v>Contract</v>
          </cell>
          <cell r="S219" t="str">
            <v>W2</v>
          </cell>
          <cell r="V219">
            <v>34</v>
          </cell>
          <cell r="AA219">
            <v>7.25</v>
          </cell>
          <cell r="AN219">
            <v>848</v>
          </cell>
          <cell r="AO219">
            <v>6148</v>
          </cell>
          <cell r="AP219" t="str">
            <v>Quit</v>
          </cell>
          <cell r="AQ219">
            <v>45775</v>
          </cell>
          <cell r="AR219">
            <v>393</v>
          </cell>
          <cell r="AS219" t="str">
            <v>JPC - 225108</v>
          </cell>
        </row>
        <row r="220">
          <cell r="A220">
            <v>1</v>
          </cell>
          <cell r="B220" t="str">
            <v>Mavericks</v>
          </cell>
          <cell r="C220" t="str">
            <v>Yash Narayan</v>
          </cell>
          <cell r="D220" t="str">
            <v>Anuj Tewari</v>
          </cell>
          <cell r="F220" t="str">
            <v>Rohit Gupta</v>
          </cell>
          <cell r="G220" t="str">
            <v>Vivek Kumar Yadav</v>
          </cell>
          <cell r="L220" t="str">
            <v>Cloud Engineer</v>
          </cell>
          <cell r="M220" t="str">
            <v>August</v>
          </cell>
          <cell r="N220">
            <v>45887</v>
          </cell>
          <cell r="O220">
            <v>45898</v>
          </cell>
          <cell r="P220" t="str">
            <v>CoForge</v>
          </cell>
          <cell r="R220" t="str">
            <v>Contract</v>
          </cell>
          <cell r="S220" t="str">
            <v>C2C Canada</v>
          </cell>
          <cell r="V220">
            <v>78</v>
          </cell>
          <cell r="AA220">
            <v>8.4499999999999993</v>
          </cell>
          <cell r="AN220">
            <v>776</v>
          </cell>
          <cell r="AO220">
            <v>6557.2</v>
          </cell>
          <cell r="AP220" t="str">
            <v>Active</v>
          </cell>
          <cell r="AQ220" t="str">
            <v>Sep</v>
          </cell>
          <cell r="AR220">
            <v>380</v>
          </cell>
          <cell r="AS220" t="str">
            <v>JPC - 225109</v>
          </cell>
        </row>
        <row r="221">
          <cell r="A221">
            <v>1</v>
          </cell>
          <cell r="B221" t="str">
            <v>Mavericks</v>
          </cell>
          <cell r="C221" t="str">
            <v>Srihari Bombai</v>
          </cell>
          <cell r="D221" t="str">
            <v>Ubaid Rahman</v>
          </cell>
          <cell r="F221" t="str">
            <v>Kashif Nabi</v>
          </cell>
          <cell r="G221" t="str">
            <v>Kashif Nabi</v>
          </cell>
          <cell r="L221" t="str">
            <v xml:space="preserve">SAP FIORI Frontend Developer </v>
          </cell>
          <cell r="M221" t="str">
            <v>August</v>
          </cell>
          <cell r="N221">
            <v>45887</v>
          </cell>
          <cell r="O221" t="str">
            <v>NA</v>
          </cell>
          <cell r="P221" t="str">
            <v>Genpact</v>
          </cell>
          <cell r="R221" t="str">
            <v>Contract</v>
          </cell>
          <cell r="S221" t="str">
            <v>C2C</v>
          </cell>
          <cell r="V221">
            <v>85</v>
          </cell>
          <cell r="AA221">
            <v>9</v>
          </cell>
          <cell r="AN221">
            <v>688</v>
          </cell>
          <cell r="AO221">
            <v>6192</v>
          </cell>
          <cell r="AP221" t="str">
            <v>Active</v>
          </cell>
          <cell r="AQ221" t="str">
            <v>Sep</v>
          </cell>
          <cell r="AR221">
            <v>367</v>
          </cell>
          <cell r="AS221" t="str">
            <v>JPC - 225110</v>
          </cell>
        </row>
        <row r="222">
          <cell r="A222">
            <v>1</v>
          </cell>
          <cell r="B222" t="str">
            <v>Mavericks</v>
          </cell>
          <cell r="C222" t="str">
            <v>Akiet Wang</v>
          </cell>
          <cell r="D222" t="str">
            <v>Nilesh Shahi</v>
          </cell>
          <cell r="F222" t="str">
            <v>Rohit Gupta</v>
          </cell>
          <cell r="G222" t="str">
            <v>Yogesh Bisht</v>
          </cell>
          <cell r="L222" t="str">
            <v>Java Backend Developer</v>
          </cell>
          <cell r="M222" t="str">
            <v>September</v>
          </cell>
          <cell r="N222">
            <v>45902</v>
          </cell>
          <cell r="O222" t="str">
            <v>NA</v>
          </cell>
          <cell r="P222" t="str">
            <v>Mphasis</v>
          </cell>
          <cell r="R222" t="str">
            <v>Contract</v>
          </cell>
          <cell r="S222" t="str">
            <v>C2C</v>
          </cell>
          <cell r="V222">
            <v>75</v>
          </cell>
          <cell r="AA222">
            <v>5</v>
          </cell>
          <cell r="AN222">
            <v>848</v>
          </cell>
          <cell r="AO222">
            <v>4240</v>
          </cell>
          <cell r="AP222" t="str">
            <v>Active</v>
          </cell>
          <cell r="AQ222" t="str">
            <v>Sep</v>
          </cell>
          <cell r="AR222">
            <v>354</v>
          </cell>
          <cell r="AS222" t="str">
            <v>JPC - 225111</v>
          </cell>
        </row>
        <row r="223">
          <cell r="A223">
            <v>1</v>
          </cell>
          <cell r="B223" t="str">
            <v>Wellness Warriors-IT</v>
          </cell>
          <cell r="C223" t="str">
            <v>Hippolyte Fombi Asah</v>
          </cell>
          <cell r="D223" t="str">
            <v xml:space="preserve">Aatma Nand Vihangam </v>
          </cell>
          <cell r="F223" t="str">
            <v xml:space="preserve">Abdul Rahman </v>
          </cell>
          <cell r="G223" t="str">
            <v xml:space="preserve">Abdul Rahman </v>
          </cell>
          <cell r="L223" t="str">
            <v xml:space="preserve">Cloud Platform Support Engineer </v>
          </cell>
          <cell r="M223" t="str">
            <v>August</v>
          </cell>
          <cell r="N223">
            <v>45880</v>
          </cell>
          <cell r="O223" t="str">
            <v>NA</v>
          </cell>
          <cell r="P223" t="str">
            <v xml:space="preserve">Xebia </v>
          </cell>
          <cell r="R223" t="str">
            <v>Contract</v>
          </cell>
          <cell r="S223" t="str">
            <v>C2C Canada</v>
          </cell>
          <cell r="V223">
            <v>55</v>
          </cell>
          <cell r="AA223">
            <v>6</v>
          </cell>
          <cell r="AN223">
            <v>0</v>
          </cell>
          <cell r="AO223">
            <v>0</v>
          </cell>
          <cell r="AP223" t="str">
            <v>Active</v>
          </cell>
          <cell r="AQ223" t="str">
            <v>Sep</v>
          </cell>
          <cell r="AR223">
            <v>341</v>
          </cell>
          <cell r="AS223" t="str">
            <v>JPC - 225112</v>
          </cell>
        </row>
        <row r="224">
          <cell r="A224">
            <v>1</v>
          </cell>
          <cell r="B224" t="str">
            <v>Mavericks</v>
          </cell>
          <cell r="C224" t="str">
            <v>Soniya Awasthi</v>
          </cell>
          <cell r="D224" t="str">
            <v>Satyajeet Singh</v>
          </cell>
          <cell r="F224" t="str">
            <v>Kashif Nabi</v>
          </cell>
          <cell r="G224" t="str">
            <v>Kashif Nabi</v>
          </cell>
          <cell r="L224" t="str">
            <v>Technical Architect - SFDC</v>
          </cell>
          <cell r="M224" t="str">
            <v>August</v>
          </cell>
          <cell r="N224">
            <v>45888</v>
          </cell>
          <cell r="O224" t="str">
            <v>NA</v>
          </cell>
          <cell r="P224" t="str">
            <v>Genpact Beeline</v>
          </cell>
          <cell r="R224" t="str">
            <v>Contract</v>
          </cell>
          <cell r="S224" t="str">
            <v>C2C</v>
          </cell>
          <cell r="V224">
            <v>109</v>
          </cell>
          <cell r="AA224">
            <v>7.95</v>
          </cell>
          <cell r="AN224">
            <v>912</v>
          </cell>
          <cell r="AO224">
            <v>7250.4000000000005</v>
          </cell>
          <cell r="AP224" t="str">
            <v>Active</v>
          </cell>
          <cell r="AQ224" t="str">
            <v>Jun</v>
          </cell>
          <cell r="AR224">
            <v>328</v>
          </cell>
          <cell r="AS224" t="str">
            <v>JPC - 225113</v>
          </cell>
        </row>
        <row r="225">
          <cell r="A225">
            <v>1</v>
          </cell>
          <cell r="B225" t="str">
            <v>WellnessWarriors-Healthcare</v>
          </cell>
          <cell r="C225" t="str">
            <v>Theophilus Mensah</v>
          </cell>
          <cell r="D225" t="str">
            <v>Mohini Chand</v>
          </cell>
          <cell r="F225" t="str">
            <v>Shailesh Sharma (Sam)</v>
          </cell>
          <cell r="G225" t="str">
            <v>Shailesh Sharma (Sam)</v>
          </cell>
          <cell r="L225" t="str">
            <v>Cath Lab Tech Traveler</v>
          </cell>
          <cell r="M225" t="str">
            <v>August</v>
          </cell>
          <cell r="N225">
            <v>45880</v>
          </cell>
          <cell r="O225">
            <v>45888</v>
          </cell>
          <cell r="P225" t="str">
            <v>Prime</v>
          </cell>
          <cell r="R225" t="str">
            <v>Contract</v>
          </cell>
          <cell r="S225" t="str">
            <v>W2</v>
          </cell>
          <cell r="V225">
            <v>110</v>
          </cell>
          <cell r="AA225">
            <v>6</v>
          </cell>
          <cell r="AN225">
            <v>457.5</v>
          </cell>
          <cell r="AO225">
            <v>2745</v>
          </cell>
          <cell r="AP225" t="str">
            <v>Active</v>
          </cell>
          <cell r="AQ225" t="str">
            <v>Sep</v>
          </cell>
          <cell r="AR225">
            <v>315</v>
          </cell>
          <cell r="AS225" t="str">
            <v>JPC - 225114</v>
          </cell>
        </row>
        <row r="226">
          <cell r="A226">
            <v>1</v>
          </cell>
          <cell r="B226" t="str">
            <v>Wellness Warriors-IT</v>
          </cell>
          <cell r="C226" t="str">
            <v>Tharun Teja Satla</v>
          </cell>
          <cell r="D226" t="str">
            <v xml:space="preserve">Mohd Ateeq </v>
          </cell>
          <cell r="F226" t="str">
            <v xml:space="preserve">Abdul Rahman Khan </v>
          </cell>
          <cell r="G226" t="str">
            <v xml:space="preserve">Abdul Rahman Khan </v>
          </cell>
          <cell r="L226" t="str">
            <v xml:space="preserve">HPC Engineer </v>
          </cell>
          <cell r="M226" t="str">
            <v>August</v>
          </cell>
          <cell r="N226">
            <v>45882</v>
          </cell>
          <cell r="O226" t="str">
            <v>NA</v>
          </cell>
          <cell r="P226" t="str">
            <v xml:space="preserve">Xebia </v>
          </cell>
          <cell r="R226" t="str">
            <v>Contract</v>
          </cell>
          <cell r="S226" t="str">
            <v>C2C</v>
          </cell>
          <cell r="V226">
            <v>65</v>
          </cell>
          <cell r="AA226">
            <v>5</v>
          </cell>
          <cell r="AN226">
            <v>632</v>
          </cell>
          <cell r="AO226">
            <v>3160</v>
          </cell>
          <cell r="AP226" t="str">
            <v>Active</v>
          </cell>
          <cell r="AQ226" t="str">
            <v>Sep</v>
          </cell>
          <cell r="AR226">
            <v>302</v>
          </cell>
          <cell r="AS226" t="str">
            <v>JPC - 225115</v>
          </cell>
        </row>
        <row r="227">
          <cell r="A227">
            <v>1</v>
          </cell>
          <cell r="B227" t="str">
            <v>Titans</v>
          </cell>
          <cell r="C227" t="str">
            <v>Lakeshia R Nelson</v>
          </cell>
          <cell r="D227" t="str">
            <v>Priya Yadav</v>
          </cell>
          <cell r="F227" t="str">
            <v>Abhishek Yadav</v>
          </cell>
          <cell r="G227" t="str">
            <v>Abhishek Yadav</v>
          </cell>
          <cell r="L227" t="str">
            <v xml:space="preserve">Business System Analyst </v>
          </cell>
          <cell r="M227" t="str">
            <v>September</v>
          </cell>
          <cell r="N227">
            <v>45908</v>
          </cell>
          <cell r="O227" t="str">
            <v>NA</v>
          </cell>
          <cell r="P227" t="str">
            <v>Genpact</v>
          </cell>
          <cell r="R227" t="str">
            <v>Contract</v>
          </cell>
          <cell r="S227" t="str">
            <v>C2C Canada</v>
          </cell>
          <cell r="V227">
            <v>60</v>
          </cell>
          <cell r="AA227">
            <v>2</v>
          </cell>
          <cell r="AN227">
            <v>5</v>
          </cell>
          <cell r="AO227">
            <v>10</v>
          </cell>
          <cell r="AP227" t="str">
            <v>Active</v>
          </cell>
          <cell r="AQ227" t="str">
            <v>Sep</v>
          </cell>
          <cell r="AR227">
            <v>289</v>
          </cell>
          <cell r="AS227" t="str">
            <v>JPC - 225116</v>
          </cell>
        </row>
        <row r="228">
          <cell r="A228">
            <v>1</v>
          </cell>
          <cell r="B228" t="str">
            <v>Trust</v>
          </cell>
          <cell r="C228" t="str">
            <v>Koushik Janapareddi</v>
          </cell>
          <cell r="D228" t="str">
            <v>Shubham Saini</v>
          </cell>
          <cell r="F228" t="str">
            <v>Vivek Mishra</v>
          </cell>
          <cell r="G228" t="str">
            <v>Vivek Mishra</v>
          </cell>
          <cell r="L228" t="str">
            <v>Procurement Specialist (Non-IT) - Intermediate</v>
          </cell>
          <cell r="M228" t="str">
            <v>August</v>
          </cell>
          <cell r="N228">
            <v>45896</v>
          </cell>
          <cell r="O228" t="str">
            <v>NA</v>
          </cell>
          <cell r="P228" t="str">
            <v>Government of Alberta</v>
          </cell>
          <cell r="R228" t="str">
            <v>Contract</v>
          </cell>
          <cell r="S228" t="str">
            <v>C2C Canada</v>
          </cell>
          <cell r="V228">
            <v>65</v>
          </cell>
          <cell r="AA228">
            <v>4</v>
          </cell>
          <cell r="AN228">
            <v>536</v>
          </cell>
          <cell r="AO228">
            <v>2144</v>
          </cell>
          <cell r="AP228" t="str">
            <v>Active</v>
          </cell>
          <cell r="AQ228" t="str">
            <v>Sep</v>
          </cell>
          <cell r="AR228">
            <v>276</v>
          </cell>
          <cell r="AS228" t="str">
            <v>JPC - 225117</v>
          </cell>
        </row>
        <row r="229">
          <cell r="A229">
            <v>1</v>
          </cell>
          <cell r="B229" t="str">
            <v>Mavericks</v>
          </cell>
          <cell r="C229" t="str">
            <v>Judith Marie Castano salinas</v>
          </cell>
          <cell r="D229" t="str">
            <v>Anuj Tewari</v>
          </cell>
          <cell r="F229" t="str">
            <v>Rohit Gupta</v>
          </cell>
          <cell r="G229" t="str">
            <v xml:space="preserve"> Vivek Yadav</v>
          </cell>
          <cell r="L229" t="str">
            <v>AWS Python Developer</v>
          </cell>
          <cell r="M229" t="str">
            <v>August</v>
          </cell>
          <cell r="N229">
            <v>45894</v>
          </cell>
          <cell r="O229">
            <v>45940</v>
          </cell>
          <cell r="P229" t="str">
            <v>CoForge</v>
          </cell>
          <cell r="R229" t="str">
            <v>Contract</v>
          </cell>
          <cell r="S229" t="str">
            <v>C2C</v>
          </cell>
          <cell r="V229">
            <v>75</v>
          </cell>
          <cell r="AA229">
            <v>8.0500000000000007</v>
          </cell>
          <cell r="AN229">
            <v>632</v>
          </cell>
          <cell r="AO229">
            <v>5087.6000000000004</v>
          </cell>
          <cell r="AP229" t="str">
            <v>No Bill No Pay</v>
          </cell>
          <cell r="AQ229" t="str">
            <v>No bill no pay</v>
          </cell>
          <cell r="AR229">
            <v>263</v>
          </cell>
          <cell r="AS229" t="str">
            <v>JPC - 225118</v>
          </cell>
        </row>
        <row r="230">
          <cell r="A230">
            <v>1</v>
          </cell>
          <cell r="B230" t="str">
            <v>WellnessWarriors-Healthcare</v>
          </cell>
          <cell r="C230" t="str">
            <v>Sujeet Gupta Bachu</v>
          </cell>
          <cell r="D230" t="str">
            <v>Vishal Jaiswal (Victor)</v>
          </cell>
          <cell r="F230" t="str">
            <v>Abhishek Singh</v>
          </cell>
          <cell r="G230" t="str">
            <v>Abhishek Singh</v>
          </cell>
          <cell r="L230" t="str">
            <v>Travel RN</v>
          </cell>
          <cell r="M230" t="str">
            <v>August</v>
          </cell>
          <cell r="N230">
            <v>45887</v>
          </cell>
          <cell r="O230" t="str">
            <v>NA</v>
          </cell>
          <cell r="P230" t="str">
            <v>CSU/Yes Care</v>
          </cell>
          <cell r="R230" t="str">
            <v>Contract</v>
          </cell>
          <cell r="S230" t="str">
            <v>W2</v>
          </cell>
          <cell r="V230">
            <v>72</v>
          </cell>
          <cell r="AA230">
            <v>5.65</v>
          </cell>
          <cell r="AN230">
            <v>584</v>
          </cell>
          <cell r="AO230">
            <v>3299.6000000000004</v>
          </cell>
          <cell r="AP230" t="str">
            <v>Active</v>
          </cell>
          <cell r="AQ230" t="str">
            <v>Sep</v>
          </cell>
          <cell r="AR230">
            <v>250</v>
          </cell>
          <cell r="AS230" t="str">
            <v>JPC - 225119</v>
          </cell>
        </row>
        <row r="231">
          <cell r="A231">
            <v>1</v>
          </cell>
          <cell r="B231" t="str">
            <v>Mavericks</v>
          </cell>
          <cell r="C231" t="str">
            <v>Krishna Madagoni</v>
          </cell>
          <cell r="D231" t="str">
            <v>Anuj Tewari</v>
          </cell>
          <cell r="F231" t="str">
            <v>Rohit Gupta</v>
          </cell>
          <cell r="G231" t="str">
            <v>Vivek Kumar Yadav</v>
          </cell>
          <cell r="L231" t="str">
            <v>MuleSoft Technical Architect</v>
          </cell>
          <cell r="M231" t="str">
            <v>August</v>
          </cell>
          <cell r="N231">
            <v>45894</v>
          </cell>
          <cell r="O231">
            <v>45938</v>
          </cell>
          <cell r="P231" t="str">
            <v>Cloud Odyssey IT Solutions Ltd</v>
          </cell>
          <cell r="R231" t="str">
            <v>Contract</v>
          </cell>
          <cell r="S231" t="str">
            <v>C2C</v>
          </cell>
          <cell r="V231">
            <v>100</v>
          </cell>
          <cell r="AA231">
            <v>8</v>
          </cell>
          <cell r="AN231">
            <v>424</v>
          </cell>
          <cell r="AO231">
            <v>3392</v>
          </cell>
          <cell r="AP231" t="str">
            <v>Active</v>
          </cell>
          <cell r="AQ231" t="str">
            <v>Sep</v>
          </cell>
          <cell r="AR231">
            <v>237</v>
          </cell>
          <cell r="AS231" t="str">
            <v>JPC - 225120</v>
          </cell>
        </row>
        <row r="232">
          <cell r="A232">
            <v>1</v>
          </cell>
          <cell r="B232" t="str">
            <v>Titans</v>
          </cell>
          <cell r="C232" t="str">
            <v>Ramana Kumar Bompala</v>
          </cell>
          <cell r="D232" t="str">
            <v>Manish Kumar Dhiman</v>
          </cell>
          <cell r="F232" t="str">
            <v>Abhishek Yadav</v>
          </cell>
          <cell r="G232" t="str">
            <v>Abhishek Yadav</v>
          </cell>
          <cell r="L232" t="str">
            <v>Senior Manager – Hire to Retire</v>
          </cell>
          <cell r="M232" t="str">
            <v>September</v>
          </cell>
          <cell r="N232">
            <v>45909</v>
          </cell>
          <cell r="O232" t="str">
            <v>NA</v>
          </cell>
          <cell r="P232" t="str">
            <v>Genpact</v>
          </cell>
          <cell r="R232" t="str">
            <v>Contract</v>
          </cell>
          <cell r="S232" t="str">
            <v>W2</v>
          </cell>
          <cell r="V232">
            <v>80</v>
          </cell>
          <cell r="AA232">
            <v>6</v>
          </cell>
          <cell r="AN232">
            <v>448</v>
          </cell>
          <cell r="AO232">
            <v>2688</v>
          </cell>
          <cell r="AP232" t="str">
            <v>Active</v>
          </cell>
          <cell r="AQ232" t="str">
            <v>sep</v>
          </cell>
          <cell r="AR232">
            <v>224</v>
          </cell>
          <cell r="AS232" t="str">
            <v>JPC - 225121</v>
          </cell>
        </row>
        <row r="233">
          <cell r="A233">
            <v>1</v>
          </cell>
          <cell r="B233" t="str">
            <v>Titans</v>
          </cell>
          <cell r="C233" t="str">
            <v>Harish Vitta</v>
          </cell>
          <cell r="D233" t="str">
            <v>Shagun Jaiswal</v>
          </cell>
          <cell r="F233" t="str">
            <v>Aditya Kumar Yadav</v>
          </cell>
          <cell r="G233" t="str">
            <v>Aditya Kumar Yadav</v>
          </cell>
          <cell r="L233" t="str">
            <v>Oracle HCM Business Analyst-Functional</v>
          </cell>
          <cell r="M233" t="str">
            <v>September</v>
          </cell>
          <cell r="N233">
            <v>45902</v>
          </cell>
          <cell r="O233">
            <v>45943</v>
          </cell>
          <cell r="P233" t="str">
            <v>Microland</v>
          </cell>
          <cell r="R233" t="str">
            <v>Contract</v>
          </cell>
          <cell r="S233" t="str">
            <v>C2C</v>
          </cell>
          <cell r="V233">
            <v>58</v>
          </cell>
          <cell r="AA233">
            <v>2</v>
          </cell>
          <cell r="AN233">
            <v>354</v>
          </cell>
          <cell r="AO233">
            <v>708</v>
          </cell>
          <cell r="AP233" t="str">
            <v>No Bill No Pay</v>
          </cell>
          <cell r="AQ233" t="str">
            <v>No bill no pay</v>
          </cell>
          <cell r="AR233">
            <v>211</v>
          </cell>
          <cell r="AS233" t="str">
            <v>JPC - 225122</v>
          </cell>
        </row>
        <row r="234">
          <cell r="A234">
            <v>1</v>
          </cell>
          <cell r="B234" t="str">
            <v>Titans</v>
          </cell>
          <cell r="C234" t="str">
            <v>Kathleen Marie Castaldo</v>
          </cell>
          <cell r="D234" t="str">
            <v>Heena Akshay Pandey</v>
          </cell>
          <cell r="F234" t="str">
            <v>Abhishek Yadav</v>
          </cell>
          <cell r="G234" t="str">
            <v>Abhishek Yadav</v>
          </cell>
          <cell r="L234" t="str">
            <v>CMC Regulatory Consultant</v>
          </cell>
          <cell r="M234" t="str">
            <v>September</v>
          </cell>
          <cell r="N234">
            <v>45908</v>
          </cell>
          <cell r="O234" t="str">
            <v>NA</v>
          </cell>
          <cell r="P234" t="str">
            <v>Genpact</v>
          </cell>
          <cell r="R234" t="str">
            <v>Contract</v>
          </cell>
          <cell r="S234" t="str">
            <v>C2C</v>
          </cell>
          <cell r="V234">
            <v>65</v>
          </cell>
          <cell r="AA234">
            <v>2</v>
          </cell>
          <cell r="AN234">
            <v>280</v>
          </cell>
          <cell r="AO234">
            <v>560</v>
          </cell>
          <cell r="AP234" t="str">
            <v>Done</v>
          </cell>
          <cell r="AQ234" t="str">
            <v>Sep</v>
          </cell>
          <cell r="AR234">
            <v>150</v>
          </cell>
          <cell r="AS234" t="str">
            <v>JPC - 225123</v>
          </cell>
        </row>
        <row r="235">
          <cell r="A235">
            <v>1</v>
          </cell>
          <cell r="B235" t="str">
            <v>Wellness Warriors-IT</v>
          </cell>
          <cell r="C235" t="str">
            <v>Capreecia Wysinge</v>
          </cell>
          <cell r="D235" t="str">
            <v>Vishali Kundal</v>
          </cell>
          <cell r="F235" t="str">
            <v xml:space="preserve">Abdul Rahman </v>
          </cell>
          <cell r="G235" t="str">
            <v xml:space="preserve">Abdul Rahman </v>
          </cell>
          <cell r="L235" t="str">
            <v xml:space="preserve">Java GCP Developer </v>
          </cell>
          <cell r="M235" t="str">
            <v>September</v>
          </cell>
          <cell r="N235">
            <v>45902</v>
          </cell>
          <cell r="O235">
            <v>45961</v>
          </cell>
          <cell r="P235" t="str">
            <v>Xebia</v>
          </cell>
          <cell r="R235" t="str">
            <v>Contract</v>
          </cell>
          <cell r="S235" t="str">
            <v>C2C</v>
          </cell>
          <cell r="V235">
            <v>68</v>
          </cell>
          <cell r="AA235">
            <v>10</v>
          </cell>
          <cell r="AN235">
            <v>440</v>
          </cell>
          <cell r="AO235">
            <v>4400</v>
          </cell>
          <cell r="AP235" t="str">
            <v>Active</v>
          </cell>
          <cell r="AQ235" t="str">
            <v>Sep</v>
          </cell>
          <cell r="AR235">
            <v>438</v>
          </cell>
          <cell r="AS235" t="str">
            <v>JPC - 225124</v>
          </cell>
        </row>
        <row r="236">
          <cell r="A236">
            <v>1</v>
          </cell>
          <cell r="B236" t="str">
            <v>Mavericks</v>
          </cell>
          <cell r="C236" t="str">
            <v>Sridhar Patchigolla</v>
          </cell>
          <cell r="D236" t="str">
            <v>Ubaid Rahman</v>
          </cell>
          <cell r="F236" t="str">
            <v>Kashif Nabi</v>
          </cell>
          <cell r="G236" t="str">
            <v>Kashif Nabi</v>
          </cell>
          <cell r="L236" t="str">
            <v xml:space="preserve">SAP ABAP SME </v>
          </cell>
          <cell r="M236" t="str">
            <v>September</v>
          </cell>
          <cell r="N236">
            <v>45922</v>
          </cell>
          <cell r="O236" t="str">
            <v>NA</v>
          </cell>
          <cell r="P236" t="str">
            <v>Genpact Beeline</v>
          </cell>
          <cell r="R236" t="str">
            <v>Contract</v>
          </cell>
          <cell r="S236" t="str">
            <v>C2C</v>
          </cell>
          <cell r="V236">
            <v>80</v>
          </cell>
          <cell r="AA236">
            <v>15</v>
          </cell>
          <cell r="AN236">
            <v>288</v>
          </cell>
          <cell r="AO236">
            <v>4320</v>
          </cell>
          <cell r="AP236" t="str">
            <v>Active</v>
          </cell>
          <cell r="AQ236" t="str">
            <v>Sep</v>
          </cell>
          <cell r="AR236">
            <v>432</v>
          </cell>
          <cell r="AS236" t="str">
            <v>JPC - 225125</v>
          </cell>
        </row>
        <row r="237">
          <cell r="A237">
            <v>1</v>
          </cell>
          <cell r="B237" t="str">
            <v>WellnessWarriors-Healthcare</v>
          </cell>
          <cell r="C237" t="str">
            <v>Donald Sykes</v>
          </cell>
          <cell r="D237" t="str">
            <v>Anjali Sah (Annie)</v>
          </cell>
          <cell r="F237" t="str">
            <v>Shailesh Sharma (Sam)</v>
          </cell>
          <cell r="G237" t="str">
            <v>Shailesh Sharma (Sam)</v>
          </cell>
          <cell r="L237" t="str">
            <v>RN – Cath Lab</v>
          </cell>
          <cell r="M237" t="str">
            <v>September</v>
          </cell>
          <cell r="N237">
            <v>45902</v>
          </cell>
          <cell r="O237" t="str">
            <v>NA</v>
          </cell>
          <cell r="P237" t="str">
            <v>Prime</v>
          </cell>
          <cell r="R237" t="str">
            <v>Contract</v>
          </cell>
          <cell r="S237" t="str">
            <v>W2</v>
          </cell>
          <cell r="V237">
            <v>100</v>
          </cell>
          <cell r="AA237">
            <v>3</v>
          </cell>
          <cell r="AN237">
            <v>227</v>
          </cell>
          <cell r="AO237">
            <v>681</v>
          </cell>
          <cell r="AP237" t="str">
            <v>Active</v>
          </cell>
          <cell r="AQ237" t="str">
            <v>Sep</v>
          </cell>
          <cell r="AR237">
            <v>136</v>
          </cell>
          <cell r="AS237" t="str">
            <v>JPC - 225126</v>
          </cell>
        </row>
        <row r="238">
          <cell r="A238">
            <v>1</v>
          </cell>
          <cell r="B238" t="str">
            <v>WellnessWarriors-Healthcare</v>
          </cell>
          <cell r="C238" t="str">
            <v xml:space="preserve">Harshitha Gundala </v>
          </cell>
          <cell r="D238" t="str">
            <v>Abhinesh Yadav (Albert)</v>
          </cell>
          <cell r="F238" t="str">
            <v>Abhishek Singh</v>
          </cell>
          <cell r="G238" t="str">
            <v>Abhishek Singh</v>
          </cell>
          <cell r="L238" t="str">
            <v>T- LPN</v>
          </cell>
          <cell r="M238" t="str">
            <v>September</v>
          </cell>
          <cell r="N238">
            <v>45902</v>
          </cell>
          <cell r="O238" t="str">
            <v>NA</v>
          </cell>
          <cell r="P238" t="str">
            <v>CSU/Yes Care</v>
          </cell>
          <cell r="R238" t="str">
            <v>Contract</v>
          </cell>
          <cell r="S238" t="str">
            <v>W2</v>
          </cell>
          <cell r="V238">
            <v>67</v>
          </cell>
          <cell r="AA238">
            <v>8</v>
          </cell>
          <cell r="AN238">
            <v>312</v>
          </cell>
          <cell r="AO238">
            <v>2496</v>
          </cell>
          <cell r="AP238" t="str">
            <v>Active</v>
          </cell>
          <cell r="AQ238" t="str">
            <v>Sep</v>
          </cell>
          <cell r="AR238">
            <v>438</v>
          </cell>
          <cell r="AS238" t="str">
            <v>JPC - 225127</v>
          </cell>
        </row>
        <row r="239">
          <cell r="A239">
            <v>1</v>
          </cell>
          <cell r="B239" t="str">
            <v>Mavericks</v>
          </cell>
          <cell r="C239" t="str">
            <v>Gowthaman Masilamani</v>
          </cell>
          <cell r="D239" t="str">
            <v>Saurabh Mishra</v>
          </cell>
          <cell r="F239" t="str">
            <v>Kashif Nabi</v>
          </cell>
          <cell r="G239" t="str">
            <v>Kashif Nabi</v>
          </cell>
          <cell r="L239" t="str">
            <v>SAP Solution Architect</v>
          </cell>
          <cell r="M239" t="str">
            <v>September</v>
          </cell>
          <cell r="N239">
            <v>45915</v>
          </cell>
          <cell r="O239">
            <v>45930</v>
          </cell>
          <cell r="P239" t="str">
            <v>Genpact Beeline</v>
          </cell>
          <cell r="R239" t="str">
            <v>Contract</v>
          </cell>
          <cell r="S239" t="str">
            <v>C2C</v>
          </cell>
          <cell r="V239">
            <v>120</v>
          </cell>
          <cell r="AA239">
            <v>5</v>
          </cell>
          <cell r="AN239">
            <v>288</v>
          </cell>
          <cell r="AO239">
            <v>1440</v>
          </cell>
          <cell r="AP239" t="str">
            <v>Active</v>
          </cell>
          <cell r="AQ239" t="str">
            <v>Sep</v>
          </cell>
          <cell r="AR239">
            <v>406</v>
          </cell>
          <cell r="AS239" t="str">
            <v>JPC - 225128</v>
          </cell>
        </row>
        <row r="240">
          <cell r="A240">
            <v>1</v>
          </cell>
          <cell r="B240" t="str">
            <v>Titans</v>
          </cell>
          <cell r="C240" t="str">
            <v>Soumyashree Sarangi</v>
          </cell>
          <cell r="D240" t="str">
            <v>Samad Quraishi</v>
          </cell>
          <cell r="F240" t="str">
            <v>Nitin Saxena</v>
          </cell>
          <cell r="G240" t="str">
            <v>Nitin Saxena</v>
          </cell>
          <cell r="L240" t="str">
            <v>Retirement Industry SME – Required Minimum Distribution (RMD)</v>
          </cell>
          <cell r="M240" t="str">
            <v>August</v>
          </cell>
          <cell r="N240">
            <v>45891</v>
          </cell>
          <cell r="O240" t="str">
            <v>NA</v>
          </cell>
          <cell r="P240" t="str">
            <v>Genpact</v>
          </cell>
          <cell r="R240" t="str">
            <v>Contract</v>
          </cell>
          <cell r="S240">
            <v>1099</v>
          </cell>
          <cell r="V240">
            <v>450</v>
          </cell>
          <cell r="AA240">
            <v>7</v>
          </cell>
          <cell r="AO240">
            <v>0</v>
          </cell>
          <cell r="AP240" t="str">
            <v>Active</v>
          </cell>
          <cell r="AQ240" t="str">
            <v>aug</v>
          </cell>
          <cell r="AR240">
            <v>393</v>
          </cell>
          <cell r="AS240" t="str">
            <v>JPC - 225129</v>
          </cell>
        </row>
        <row r="241">
          <cell r="A241">
            <v>1</v>
          </cell>
          <cell r="B241" t="str">
            <v>Mavericks</v>
          </cell>
          <cell r="C241" t="str">
            <v>Michael mends</v>
          </cell>
          <cell r="D241" t="str">
            <v>Anuj Tewari</v>
          </cell>
          <cell r="F241" t="str">
            <v>Rohit Gupta</v>
          </cell>
          <cell r="G241" t="str">
            <v>Vivek Kumar Yadav</v>
          </cell>
          <cell r="L241" t="str">
            <v>ServiceNow Technical Developer</v>
          </cell>
          <cell r="M241" t="str">
            <v>September</v>
          </cell>
          <cell r="N241">
            <v>45922</v>
          </cell>
          <cell r="O241" t="str">
            <v>NA</v>
          </cell>
          <cell r="P241" t="str">
            <v>CoForge</v>
          </cell>
          <cell r="R241" t="str">
            <v>Contract</v>
          </cell>
          <cell r="S241" t="str">
            <v>C2C</v>
          </cell>
          <cell r="V241">
            <v>78</v>
          </cell>
          <cell r="AA241">
            <v>8</v>
          </cell>
          <cell r="AN241">
            <v>192</v>
          </cell>
          <cell r="AO241">
            <v>1536</v>
          </cell>
          <cell r="AP241" t="str">
            <v>Active</v>
          </cell>
          <cell r="AQ241" t="str">
            <v>Sep</v>
          </cell>
          <cell r="AR241">
            <v>380</v>
          </cell>
          <cell r="AS241" t="str">
            <v>JPC - 225130</v>
          </cell>
        </row>
        <row r="242">
          <cell r="A242">
            <v>1</v>
          </cell>
          <cell r="B242" t="str">
            <v>Mavericks</v>
          </cell>
          <cell r="C242" t="str">
            <v>Natraj Manickavelu</v>
          </cell>
          <cell r="D242" t="str">
            <v>Abhishek Mishra Mavericks</v>
          </cell>
          <cell r="F242" t="str">
            <v>Rohit Gupta</v>
          </cell>
          <cell r="G242" t="str">
            <v>Vivek Kumar Yadav</v>
          </cell>
          <cell r="L242" t="str">
            <v>Azure Data Architect</v>
          </cell>
          <cell r="M242" t="str">
            <v>September</v>
          </cell>
          <cell r="N242">
            <v>45916</v>
          </cell>
          <cell r="O242" t="str">
            <v>NA</v>
          </cell>
          <cell r="P242" t="str">
            <v>CoForge</v>
          </cell>
          <cell r="R242" t="str">
            <v>Contract</v>
          </cell>
          <cell r="S242" t="str">
            <v>C2C</v>
          </cell>
          <cell r="V242">
            <v>73</v>
          </cell>
          <cell r="AA242">
            <v>7.25</v>
          </cell>
          <cell r="AN242">
            <v>104</v>
          </cell>
          <cell r="AO242">
            <v>754</v>
          </cell>
          <cell r="AP242" t="str">
            <v>Active</v>
          </cell>
          <cell r="AQ242" t="str">
            <v>Sep</v>
          </cell>
          <cell r="AR242">
            <v>367</v>
          </cell>
          <cell r="AS242" t="str">
            <v>JPC - 225131</v>
          </cell>
        </row>
        <row r="243">
          <cell r="A243">
            <v>1</v>
          </cell>
          <cell r="B243" t="str">
            <v>Mavericks</v>
          </cell>
          <cell r="C243" t="str">
            <v>Ruby Hurry Wilson</v>
          </cell>
          <cell r="D243" t="str">
            <v>Ritik Arya</v>
          </cell>
          <cell r="F243" t="str">
            <v>Kashif Nabi</v>
          </cell>
          <cell r="G243" t="str">
            <v>Kashif Nabi</v>
          </cell>
          <cell r="L243" t="str">
            <v>Leankor SME</v>
          </cell>
          <cell r="M243" t="str">
            <v>October</v>
          </cell>
          <cell r="N243">
            <v>45931</v>
          </cell>
          <cell r="O243" t="str">
            <v>NA</v>
          </cell>
          <cell r="P243" t="str">
            <v>Genpact</v>
          </cell>
          <cell r="R243" t="str">
            <v>Contract</v>
          </cell>
          <cell r="S243" t="str">
            <v>C2C</v>
          </cell>
          <cell r="V243">
            <v>132</v>
          </cell>
          <cell r="AA243">
            <v>15</v>
          </cell>
          <cell r="AN243">
            <v>56</v>
          </cell>
          <cell r="AO243">
            <v>840</v>
          </cell>
          <cell r="AP243" t="str">
            <v>Active</v>
          </cell>
          <cell r="AQ243" t="str">
            <v>Sep</v>
          </cell>
          <cell r="AR243">
            <v>354</v>
          </cell>
          <cell r="AS243" t="str">
            <v>JPC - 225132</v>
          </cell>
        </row>
        <row r="244">
          <cell r="A244">
            <v>1</v>
          </cell>
          <cell r="B244" t="str">
            <v>WellnessWarriors-Healthcare</v>
          </cell>
          <cell r="C244" t="str">
            <v>Asya Shklyar</v>
          </cell>
          <cell r="D244" t="str">
            <v>Ananya Agarwal</v>
          </cell>
          <cell r="F244" t="str">
            <v>Ranveer Kumar</v>
          </cell>
          <cell r="G244" t="str">
            <v>Ranveer Kumar</v>
          </cell>
          <cell r="L244" t="str">
            <v>CT Technologist</v>
          </cell>
          <cell r="M244" t="str">
            <v>September</v>
          </cell>
          <cell r="N244">
            <v>45908</v>
          </cell>
          <cell r="O244" t="str">
            <v>NA</v>
          </cell>
          <cell r="P244" t="str">
            <v>Prime</v>
          </cell>
          <cell r="R244" t="str">
            <v>Contract</v>
          </cell>
          <cell r="S244" t="str">
            <v>W2</v>
          </cell>
          <cell r="V244">
            <v>95</v>
          </cell>
          <cell r="AA244">
            <v>6</v>
          </cell>
          <cell r="AN244">
            <v>56</v>
          </cell>
          <cell r="AO244">
            <v>336</v>
          </cell>
          <cell r="AP244" t="str">
            <v>Active</v>
          </cell>
          <cell r="AQ244" t="str">
            <v>Sep</v>
          </cell>
          <cell r="AR244">
            <v>341</v>
          </cell>
          <cell r="AS244" t="str">
            <v>JPC - 225133</v>
          </cell>
        </row>
        <row r="245">
          <cell r="A245">
            <v>1</v>
          </cell>
          <cell r="B245" t="str">
            <v>Mavericks</v>
          </cell>
          <cell r="C245" t="str">
            <v>Sudheekshitha Malepati</v>
          </cell>
          <cell r="D245" t="str">
            <v>Abhishek Mishra Mavericks</v>
          </cell>
          <cell r="F245" t="str">
            <v>Rohit Gupta</v>
          </cell>
          <cell r="G245" t="str">
            <v>Vivek Kumar Yadav</v>
          </cell>
          <cell r="L245" t="str">
            <v>ServiceNow ITOM Consultant</v>
          </cell>
          <cell r="M245" t="str">
            <v>September</v>
          </cell>
          <cell r="N245">
            <v>45929</v>
          </cell>
          <cell r="O245" t="str">
            <v>NA</v>
          </cell>
          <cell r="P245" t="str">
            <v>CoForge</v>
          </cell>
          <cell r="R245" t="str">
            <v>Contract</v>
          </cell>
          <cell r="S245" t="str">
            <v>C2C</v>
          </cell>
          <cell r="V245">
            <v>78</v>
          </cell>
          <cell r="AA245">
            <v>11</v>
          </cell>
          <cell r="AN245">
            <v>40</v>
          </cell>
          <cell r="AO245">
            <v>440</v>
          </cell>
          <cell r="AP245" t="str">
            <v>Active</v>
          </cell>
          <cell r="AQ245" t="str">
            <v>Sep</v>
          </cell>
          <cell r="AR245">
            <v>328</v>
          </cell>
          <cell r="AS245" t="str">
            <v>JPC - 225134</v>
          </cell>
        </row>
        <row r="246">
          <cell r="A246">
            <v>1</v>
          </cell>
          <cell r="B246" t="str">
            <v>Titans</v>
          </cell>
          <cell r="C246" t="str">
            <v>Dinesh Gurumoorthy Soundararajan</v>
          </cell>
          <cell r="D246" t="str">
            <v>Aastha Tiwari</v>
          </cell>
          <cell r="F246" t="str">
            <v>Abhishek Yadav</v>
          </cell>
          <cell r="G246" t="str">
            <v>Aditya Kumar Yadav</v>
          </cell>
          <cell r="L246" t="str">
            <v>Project Manager-Manufacturing</v>
          </cell>
          <cell r="M246" t="str">
            <v>October</v>
          </cell>
          <cell r="N246">
            <v>45944</v>
          </cell>
          <cell r="O246" t="str">
            <v>NA</v>
          </cell>
          <cell r="P246" t="str">
            <v>Genpact</v>
          </cell>
          <cell r="R246" t="str">
            <v>Contract</v>
          </cell>
          <cell r="S246" t="str">
            <v>W2</v>
          </cell>
          <cell r="V246">
            <v>61</v>
          </cell>
          <cell r="AA246">
            <v>15</v>
          </cell>
          <cell r="AN246">
            <v>80</v>
          </cell>
          <cell r="AO246">
            <v>1200</v>
          </cell>
          <cell r="AP246" t="str">
            <v>No Bill No Pay</v>
          </cell>
          <cell r="AQ246" t="str">
            <v>No bill no pay</v>
          </cell>
          <cell r="AR246">
            <v>315</v>
          </cell>
          <cell r="AS246" t="str">
            <v>JPC - 225135</v>
          </cell>
        </row>
        <row r="247">
          <cell r="A247">
            <v>1</v>
          </cell>
          <cell r="B247" t="str">
            <v>Mavericks</v>
          </cell>
          <cell r="C247" t="str">
            <v>Raghu Devidas Vidhate</v>
          </cell>
          <cell r="D247" t="str">
            <v>Harshita Srivastava</v>
          </cell>
          <cell r="F247" t="str">
            <v>Kashif Nabi</v>
          </cell>
          <cell r="G247" t="str">
            <v>Kashif Nabi</v>
          </cell>
          <cell r="L247" t="str">
            <v xml:space="preserve">HPC Admin </v>
          </cell>
          <cell r="M247" t="str">
            <v>October</v>
          </cell>
          <cell r="N247">
            <v>45931</v>
          </cell>
          <cell r="O247" t="str">
            <v>NA</v>
          </cell>
          <cell r="P247" t="str">
            <v>Genpact Beeline</v>
          </cell>
          <cell r="R247" t="str">
            <v>Contract</v>
          </cell>
          <cell r="S247">
            <v>1099</v>
          </cell>
          <cell r="V247">
            <v>90</v>
          </cell>
          <cell r="AA247">
            <v>15</v>
          </cell>
          <cell r="AN247">
            <v>0</v>
          </cell>
          <cell r="AO247">
            <v>0</v>
          </cell>
          <cell r="AP247" t="str">
            <v>Active</v>
          </cell>
          <cell r="AQ247" t="str">
            <v>Sep</v>
          </cell>
          <cell r="AR247">
            <v>302</v>
          </cell>
          <cell r="AS247" t="str">
            <v>JPC - 225136</v>
          </cell>
        </row>
        <row r="248">
          <cell r="A248">
            <v>1</v>
          </cell>
          <cell r="B248" t="str">
            <v>Mavericks</v>
          </cell>
          <cell r="C248" t="str">
            <v xml:space="preserve">Estela Corona </v>
          </cell>
          <cell r="D248" t="str">
            <v>Vikas Malik</v>
          </cell>
          <cell r="F248" t="str">
            <v>Vikas Malik</v>
          </cell>
          <cell r="G248" t="str">
            <v>Vikas Malik</v>
          </cell>
          <cell r="L248" t="str">
            <v>AWS Data Lead Engineer </v>
          </cell>
          <cell r="M248" t="str">
            <v>September</v>
          </cell>
          <cell r="N248">
            <v>45929</v>
          </cell>
          <cell r="O248" t="str">
            <v>NA</v>
          </cell>
          <cell r="P248" t="str">
            <v>Wipro</v>
          </cell>
          <cell r="R248" t="str">
            <v>Contract</v>
          </cell>
          <cell r="S248" t="str">
            <v>C2C</v>
          </cell>
          <cell r="V248">
            <v>72</v>
          </cell>
          <cell r="AA248">
            <v>6</v>
          </cell>
          <cell r="AN248">
            <v>664</v>
          </cell>
          <cell r="AO248">
            <v>3984</v>
          </cell>
          <cell r="AP248" t="str">
            <v>Active</v>
          </cell>
          <cell r="AQ248" t="str">
            <v>Sep</v>
          </cell>
          <cell r="AR248">
            <v>289</v>
          </cell>
          <cell r="AS248" t="str">
            <v>JPC - 225137</v>
          </cell>
        </row>
        <row r="249">
          <cell r="A249">
            <v>1</v>
          </cell>
          <cell r="B249" t="str">
            <v>Mavericks</v>
          </cell>
          <cell r="C249" t="str">
            <v>Leela Krishna Chava</v>
          </cell>
          <cell r="D249" t="str">
            <v>Ritik Arya</v>
          </cell>
          <cell r="F249" t="str">
            <v>Kashif Nabi</v>
          </cell>
          <cell r="G249" t="str">
            <v>Kashif Nabi</v>
          </cell>
          <cell r="L249" t="str">
            <v>ServiceNow Tech Architect</v>
          </cell>
          <cell r="M249" t="str">
            <v>October</v>
          </cell>
          <cell r="N249">
            <v>45951</v>
          </cell>
          <cell r="O249" t="str">
            <v>NA</v>
          </cell>
          <cell r="P249" t="str">
            <v>Genpact</v>
          </cell>
          <cell r="R249" t="str">
            <v>Contract</v>
          </cell>
          <cell r="S249" t="str">
            <v>C2C Canada</v>
          </cell>
          <cell r="V249">
            <v>120</v>
          </cell>
          <cell r="AA249">
            <v>1</v>
          </cell>
          <cell r="AN249">
            <v>824</v>
          </cell>
          <cell r="AO249">
            <v>824</v>
          </cell>
          <cell r="AP249" t="str">
            <v>Active</v>
          </cell>
          <cell r="AQ249" t="str">
            <v>Sep</v>
          </cell>
          <cell r="AR249">
            <v>276</v>
          </cell>
          <cell r="AS249" t="str">
            <v>JPC - 225138</v>
          </cell>
        </row>
        <row r="250">
          <cell r="A250">
            <v>1</v>
          </cell>
          <cell r="B250" t="str">
            <v>Mavericks</v>
          </cell>
          <cell r="C250" t="str">
            <v>Allie Shae Balsdon</v>
          </cell>
          <cell r="D250" t="str">
            <v>Arpit Gupta</v>
          </cell>
          <cell r="F250" t="str">
            <v>Kashif Nabi</v>
          </cell>
          <cell r="G250" t="str">
            <v>Mohammad Tariq</v>
          </cell>
          <cell r="L250" t="str">
            <v>ServiceNow Tech Lead</v>
          </cell>
          <cell r="M250" t="str">
            <v>October</v>
          </cell>
          <cell r="N250">
            <v>45951</v>
          </cell>
          <cell r="O250" t="str">
            <v>NA</v>
          </cell>
          <cell r="P250" t="str">
            <v>Genpact</v>
          </cell>
          <cell r="R250" t="str">
            <v>Contract</v>
          </cell>
          <cell r="S250" t="str">
            <v>C2C Canada</v>
          </cell>
          <cell r="V250">
            <v>95</v>
          </cell>
          <cell r="AA250">
            <v>8</v>
          </cell>
          <cell r="AN250">
            <v>1012</v>
          </cell>
          <cell r="AO250">
            <v>8096</v>
          </cell>
          <cell r="AP250" t="str">
            <v>Active</v>
          </cell>
          <cell r="AQ250" t="str">
            <v>Sep</v>
          </cell>
          <cell r="AR250">
            <v>263</v>
          </cell>
          <cell r="AS250" t="str">
            <v>JPC - 225139</v>
          </cell>
        </row>
        <row r="251">
          <cell r="A251">
            <v>1</v>
          </cell>
          <cell r="B251" t="str">
            <v>Trust</v>
          </cell>
          <cell r="C251" t="str">
            <v>Julian Chazz Peavy</v>
          </cell>
          <cell r="D251" t="str">
            <v>Shivanshu Rastogi</v>
          </cell>
          <cell r="F251" t="str">
            <v>Shashank Yadav</v>
          </cell>
          <cell r="G251" t="str">
            <v>Shashank Yadav</v>
          </cell>
          <cell r="L251" t="str">
            <v>Logistics Officer</v>
          </cell>
          <cell r="M251" t="str">
            <v>October</v>
          </cell>
          <cell r="N251">
            <v>45936</v>
          </cell>
          <cell r="O251" t="str">
            <v>NA</v>
          </cell>
          <cell r="P251" t="str">
            <v>Precision IT</v>
          </cell>
          <cell r="R251" t="str">
            <v>Contract</v>
          </cell>
          <cell r="S251" t="str">
            <v>W2</v>
          </cell>
          <cell r="V251">
            <v>51</v>
          </cell>
          <cell r="AA251">
            <v>10</v>
          </cell>
          <cell r="AN251">
            <v>12</v>
          </cell>
          <cell r="AO251">
            <v>120</v>
          </cell>
          <cell r="AP251" t="str">
            <v>Active</v>
          </cell>
          <cell r="AQ251" t="str">
            <v>Sep</v>
          </cell>
          <cell r="AR251">
            <v>250</v>
          </cell>
          <cell r="AS251" t="str">
            <v>JPC - 225140</v>
          </cell>
        </row>
        <row r="252">
          <cell r="A252">
            <v>1</v>
          </cell>
          <cell r="B252" t="str">
            <v>Wellness Warriors-IT</v>
          </cell>
          <cell r="C252" t="str">
            <v>Shyamsundar Arunachalam</v>
          </cell>
          <cell r="D252" t="str">
            <v xml:space="preserve">Mohd Ateeq </v>
          </cell>
          <cell r="F252" t="str">
            <v xml:space="preserve">Abdul Rahman </v>
          </cell>
          <cell r="G252" t="str">
            <v xml:space="preserve">Abdul Rahman </v>
          </cell>
          <cell r="L252" t="str">
            <v>PARTNER CONSULTANT/ DEVOPS</v>
          </cell>
          <cell r="M252" t="str">
            <v>September</v>
          </cell>
          <cell r="N252">
            <v>45922</v>
          </cell>
          <cell r="O252" t="str">
            <v>NA</v>
          </cell>
          <cell r="P252" t="str">
            <v xml:space="preserve">Happiest Minds </v>
          </cell>
          <cell r="R252" t="str">
            <v>Contract</v>
          </cell>
          <cell r="S252" t="str">
            <v>C2C</v>
          </cell>
          <cell r="V252">
            <v>80</v>
          </cell>
          <cell r="AA252">
            <v>13</v>
          </cell>
          <cell r="AN252">
            <v>1032</v>
          </cell>
          <cell r="AO252">
            <v>13416</v>
          </cell>
          <cell r="AP252" t="str">
            <v>Active</v>
          </cell>
          <cell r="AQ252" t="str">
            <v>Sep</v>
          </cell>
          <cell r="AR252">
            <v>237</v>
          </cell>
          <cell r="AS252" t="str">
            <v>JPC - 225141</v>
          </cell>
        </row>
        <row r="253">
          <cell r="A253">
            <v>1</v>
          </cell>
          <cell r="B253" t="str">
            <v>WellnessWarriors-Healthcare</v>
          </cell>
          <cell r="C253" t="str">
            <v>Manikanta Rayala</v>
          </cell>
          <cell r="D253" t="str">
            <v>Falguni Srivastava (Faith)</v>
          </cell>
          <cell r="F253" t="str">
            <v>Shailesh Sharma (Sam)</v>
          </cell>
          <cell r="G253" t="str">
            <v>Shailesh Sharma (Sam)</v>
          </cell>
          <cell r="L253" t="str">
            <v>Travel Licensed Practical Nurse</v>
          </cell>
          <cell r="M253" t="str">
            <v>September</v>
          </cell>
          <cell r="N253">
            <v>45922</v>
          </cell>
          <cell r="O253">
            <v>45936</v>
          </cell>
          <cell r="P253" t="str">
            <v>Right Sourcing</v>
          </cell>
          <cell r="R253" t="str">
            <v>Contract</v>
          </cell>
          <cell r="S253" t="str">
            <v>W2</v>
          </cell>
          <cell r="V253">
            <v>62.92</v>
          </cell>
          <cell r="AA253">
            <v>1</v>
          </cell>
          <cell r="AN253">
            <v>979</v>
          </cell>
          <cell r="AO253">
            <v>979</v>
          </cell>
          <cell r="AP253" t="str">
            <v>Active</v>
          </cell>
          <cell r="AR253">
            <v>224</v>
          </cell>
          <cell r="AS253" t="str">
            <v>JPC - 225142</v>
          </cell>
        </row>
        <row r="254">
          <cell r="A254">
            <v>1</v>
          </cell>
          <cell r="B254" t="str">
            <v>Titans</v>
          </cell>
          <cell r="C254" t="str">
            <v>Edouard Roberto Adjovi</v>
          </cell>
          <cell r="D254" t="str">
            <v>Hamza</v>
          </cell>
          <cell r="F254" t="str">
            <v>Nitin Saxena</v>
          </cell>
          <cell r="G254" t="str">
            <v>Nitin Saxena</v>
          </cell>
          <cell r="L254" t="str">
            <v>Data Entry &amp; Job Reconciliation Analyst</v>
          </cell>
          <cell r="M254" t="str">
            <v>October</v>
          </cell>
          <cell r="N254">
            <v>45943</v>
          </cell>
          <cell r="O254" t="str">
            <v>NA</v>
          </cell>
          <cell r="P254" t="str">
            <v>Genpact</v>
          </cell>
          <cell r="R254" t="str">
            <v>Contract</v>
          </cell>
          <cell r="S254">
            <v>1099</v>
          </cell>
          <cell r="V254">
            <v>26</v>
          </cell>
          <cell r="AA254">
            <v>2</v>
          </cell>
          <cell r="AN254">
            <v>912</v>
          </cell>
          <cell r="AO254">
            <v>1824</v>
          </cell>
          <cell r="AP254" t="str">
            <v>Active</v>
          </cell>
          <cell r="AR254">
            <v>211</v>
          </cell>
          <cell r="AS254" t="str">
            <v>JPC - 225143</v>
          </cell>
        </row>
        <row r="255">
          <cell r="A255">
            <v>1</v>
          </cell>
          <cell r="B255" t="str">
            <v>Mavericks</v>
          </cell>
          <cell r="C255" t="str">
            <v>Nameeta Lal</v>
          </cell>
          <cell r="D255" t="str">
            <v>Md Rahmat Ali</v>
          </cell>
          <cell r="F255" t="str">
            <v>Vikas Malik</v>
          </cell>
          <cell r="G255" t="str">
            <v>Vikas Malik</v>
          </cell>
          <cell r="L255" t="str">
            <v>Sr. Technical Project Manager</v>
          </cell>
          <cell r="M255" t="str">
            <v>October</v>
          </cell>
          <cell r="N255">
            <v>45958</v>
          </cell>
          <cell r="O255">
            <v>45961</v>
          </cell>
          <cell r="P255" t="str">
            <v>Mphasis</v>
          </cell>
          <cell r="R255" t="str">
            <v>Contract</v>
          </cell>
          <cell r="S255" t="str">
            <v>C2C</v>
          </cell>
          <cell r="V255">
            <v>68</v>
          </cell>
          <cell r="AA255">
            <v>10</v>
          </cell>
          <cell r="AN255">
            <v>904</v>
          </cell>
          <cell r="AO255">
            <v>9040</v>
          </cell>
          <cell r="AP255" t="str">
            <v>Active</v>
          </cell>
          <cell r="AR255">
            <v>150</v>
          </cell>
          <cell r="AS255" t="str">
            <v>JPC - 225144</v>
          </cell>
        </row>
        <row r="256">
          <cell r="A256">
            <v>1</v>
          </cell>
          <cell r="B256" t="str">
            <v>Mavericks</v>
          </cell>
          <cell r="C256" t="str">
            <v xml:space="preserve">Alfonso Cedillo Jr </v>
          </cell>
          <cell r="D256" t="str">
            <v>Anuj Tewari</v>
          </cell>
          <cell r="F256" t="str">
            <v>Rohit Gupta</v>
          </cell>
          <cell r="G256" t="str">
            <v>Vivek Kumar Yadav</v>
          </cell>
          <cell r="L256" t="str">
            <v>Python scripting with Java and AWS</v>
          </cell>
          <cell r="M256" t="str">
            <v>October</v>
          </cell>
          <cell r="N256">
            <v>45937</v>
          </cell>
          <cell r="O256" t="str">
            <v>NA</v>
          </cell>
          <cell r="P256" t="str">
            <v>Mphasis</v>
          </cell>
          <cell r="R256" t="str">
            <v>Contract</v>
          </cell>
          <cell r="S256" t="str">
            <v>C2C</v>
          </cell>
          <cell r="V256">
            <v>78</v>
          </cell>
          <cell r="AA256">
            <v>4</v>
          </cell>
          <cell r="AN256">
            <v>264</v>
          </cell>
          <cell r="AO256">
            <v>1056</v>
          </cell>
          <cell r="AP256" t="str">
            <v>Done</v>
          </cell>
          <cell r="AQ256" t="str">
            <v>Done</v>
          </cell>
          <cell r="AR256">
            <v>438</v>
          </cell>
          <cell r="AS256" t="str">
            <v>JPC - 225145</v>
          </cell>
        </row>
        <row r="257">
          <cell r="A257">
            <v>1</v>
          </cell>
          <cell r="B257" t="str">
            <v>Titans</v>
          </cell>
          <cell r="C257" t="str">
            <v>Biswajit Ghosh 2</v>
          </cell>
          <cell r="D257" t="str">
            <v>Shubham Tripathi</v>
          </cell>
          <cell r="F257" t="str">
            <v>Abhishek Yadav</v>
          </cell>
          <cell r="G257" t="str">
            <v>Abhishek Yadav</v>
          </cell>
          <cell r="L257" t="str">
            <v xml:space="preserve">APS  Lead </v>
          </cell>
          <cell r="M257" t="str">
            <v>October</v>
          </cell>
          <cell r="N257">
            <v>45939</v>
          </cell>
          <cell r="O257" t="str">
            <v>NA</v>
          </cell>
          <cell r="P257" t="str">
            <v>Genpact</v>
          </cell>
          <cell r="R257" t="str">
            <v>Contract</v>
          </cell>
          <cell r="S257" t="str">
            <v>C2C Canada</v>
          </cell>
          <cell r="V257">
            <v>75</v>
          </cell>
          <cell r="AA257">
            <v>10</v>
          </cell>
          <cell r="AN257">
            <v>848</v>
          </cell>
          <cell r="AO257">
            <v>8480</v>
          </cell>
          <cell r="AP257" t="str">
            <v>Done</v>
          </cell>
          <cell r="AQ257" t="str">
            <v>Done</v>
          </cell>
          <cell r="AR257">
            <v>432</v>
          </cell>
          <cell r="AS257" t="str">
            <v>JPC - 225146</v>
          </cell>
        </row>
        <row r="258">
          <cell r="A258">
            <v>1</v>
          </cell>
          <cell r="B258" t="str">
            <v>Mavericks</v>
          </cell>
          <cell r="C258" t="str">
            <v>Julian Santos Montes</v>
          </cell>
          <cell r="D258" t="str">
            <v xml:space="preserve">Akash Raj </v>
          </cell>
          <cell r="F258" t="str">
            <v>Rohit Gupta</v>
          </cell>
          <cell r="G258" t="str">
            <v>Vivek Kumar Yadav</v>
          </cell>
          <cell r="L258" t="str">
            <v>Project Manager</v>
          </cell>
          <cell r="M258" t="str">
            <v>October</v>
          </cell>
          <cell r="N258">
            <v>45937</v>
          </cell>
          <cell r="O258" t="str">
            <v>NA</v>
          </cell>
          <cell r="P258" t="str">
            <v>CoForge</v>
          </cell>
          <cell r="R258" t="str">
            <v>Contract</v>
          </cell>
          <cell r="S258" t="str">
            <v>C2C</v>
          </cell>
          <cell r="V258">
            <v>83</v>
          </cell>
          <cell r="AA258">
            <v>2</v>
          </cell>
          <cell r="AN258">
            <v>776</v>
          </cell>
          <cell r="AO258">
            <v>1552</v>
          </cell>
          <cell r="AP258" t="str">
            <v>Done</v>
          </cell>
          <cell r="AQ258" t="str">
            <v>Done</v>
          </cell>
          <cell r="AR258">
            <v>136</v>
          </cell>
          <cell r="AS258" t="str">
            <v>JPC - 225147</v>
          </cell>
        </row>
        <row r="259">
          <cell r="A259">
            <v>1</v>
          </cell>
          <cell r="B259" t="str">
            <v>Titans</v>
          </cell>
          <cell r="C259" t="str">
            <v>Shannon Michelle Cook</v>
          </cell>
          <cell r="D259" t="str">
            <v>Hamza</v>
          </cell>
          <cell r="F259" t="str">
            <v>Nitin Saxena</v>
          </cell>
          <cell r="G259" t="str">
            <v>Nitin Saxena</v>
          </cell>
          <cell r="L259" t="str">
            <v>Data Entry &amp; Job Reconciliation Analyst</v>
          </cell>
          <cell r="M259" t="str">
            <v>October</v>
          </cell>
          <cell r="N259">
            <v>45943</v>
          </cell>
          <cell r="O259" t="str">
            <v>NA</v>
          </cell>
          <cell r="P259" t="str">
            <v>Genpact</v>
          </cell>
          <cell r="R259" t="str">
            <v>Contract</v>
          </cell>
          <cell r="S259">
            <v>1099</v>
          </cell>
          <cell r="V259">
            <v>25</v>
          </cell>
          <cell r="AA259">
            <v>9</v>
          </cell>
          <cell r="AN259">
            <v>688</v>
          </cell>
          <cell r="AO259">
            <v>6192</v>
          </cell>
          <cell r="AP259" t="str">
            <v>Pending</v>
          </cell>
          <cell r="AQ259" t="str">
            <v>Pending</v>
          </cell>
          <cell r="AR259">
            <v>438</v>
          </cell>
          <cell r="AS259" t="str">
            <v>JPC - 225148</v>
          </cell>
        </row>
        <row r="260">
          <cell r="A260">
            <v>1</v>
          </cell>
          <cell r="B260" t="str">
            <v>Wellness Warriors-IT</v>
          </cell>
          <cell r="C260" t="str">
            <v>Moulai Idrees Mbenga</v>
          </cell>
          <cell r="D260" t="str">
            <v>Hemant Kumar (VB1271)</v>
          </cell>
          <cell r="F260" t="str">
            <v>Akash Saxena</v>
          </cell>
          <cell r="G260" t="str">
            <v>Akash Saxena</v>
          </cell>
          <cell r="L260" t="str">
            <v>Data Engineer</v>
          </cell>
          <cell r="M260" t="str">
            <v>September</v>
          </cell>
          <cell r="N260">
            <v>45926</v>
          </cell>
          <cell r="O260" t="str">
            <v>NA</v>
          </cell>
          <cell r="P260" t="str">
            <v>CitiusTech</v>
          </cell>
          <cell r="R260" t="str">
            <v>Contract</v>
          </cell>
          <cell r="S260" t="str">
            <v>C2C</v>
          </cell>
          <cell r="V260">
            <v>73</v>
          </cell>
          <cell r="AA260">
            <v>1</v>
          </cell>
          <cell r="AN260">
            <v>848</v>
          </cell>
          <cell r="AO260">
            <v>848</v>
          </cell>
          <cell r="AP260" t="str">
            <v>Done</v>
          </cell>
          <cell r="AQ260" t="str">
            <v>Done</v>
          </cell>
          <cell r="AR260">
            <v>406</v>
          </cell>
          <cell r="AS260" t="str">
            <v>JPC - 225149</v>
          </cell>
        </row>
        <row r="261">
          <cell r="A261">
            <v>1</v>
          </cell>
          <cell r="B261" t="str">
            <v>Titans</v>
          </cell>
          <cell r="C261" t="str">
            <v>Raphael Limontas</v>
          </cell>
          <cell r="D261" t="str">
            <v>Aviral Shukla</v>
          </cell>
          <cell r="F261" t="str">
            <v>Nitin Saxena</v>
          </cell>
          <cell r="G261" t="str">
            <v>Nitin Saxena</v>
          </cell>
          <cell r="L261" t="str">
            <v>Data Entry &amp; Job Reconciliation Analyst</v>
          </cell>
          <cell r="M261" t="str">
            <v>October</v>
          </cell>
          <cell r="N261">
            <v>45943</v>
          </cell>
          <cell r="O261" t="str">
            <v>NA</v>
          </cell>
          <cell r="P261" t="str">
            <v>Genpact</v>
          </cell>
          <cell r="R261" t="str">
            <v>Contract</v>
          </cell>
          <cell r="S261">
            <v>1099</v>
          </cell>
          <cell r="V261">
            <v>26</v>
          </cell>
          <cell r="AA261">
            <v>7.25</v>
          </cell>
          <cell r="AN261">
            <v>0</v>
          </cell>
          <cell r="AO261">
            <v>0</v>
          </cell>
          <cell r="AP261" t="str">
            <v>Pending</v>
          </cell>
          <cell r="AQ261" t="str">
            <v>Pending</v>
          </cell>
          <cell r="AR261">
            <v>393</v>
          </cell>
          <cell r="AS261" t="str">
            <v>JPC - 225150</v>
          </cell>
        </row>
        <row r="262">
          <cell r="A262">
            <v>1</v>
          </cell>
          <cell r="B262" t="str">
            <v>WellnessWarriors-Healthcare</v>
          </cell>
          <cell r="C262" t="str">
            <v>Giriraj Alagirisamy Chettiar Rangaraju</v>
          </cell>
          <cell r="D262" t="str">
            <v>Abhinesh (Albert)</v>
          </cell>
          <cell r="F262" t="str">
            <v>Abhishek Singh</v>
          </cell>
          <cell r="G262" t="str">
            <v>Abhishek Singh</v>
          </cell>
          <cell r="L262" t="str">
            <v>T-RN</v>
          </cell>
          <cell r="M262" t="str">
            <v>September</v>
          </cell>
          <cell r="N262">
            <v>45929</v>
          </cell>
          <cell r="O262" t="str">
            <v>NA</v>
          </cell>
          <cell r="P262" t="str">
            <v>Prime/Hallmark</v>
          </cell>
          <cell r="R262" t="str">
            <v>Contract</v>
          </cell>
          <cell r="S262" t="str">
            <v>W2</v>
          </cell>
          <cell r="V262">
            <v>105</v>
          </cell>
          <cell r="AA262">
            <v>8.4499999999999993</v>
          </cell>
          <cell r="AN262">
            <v>912</v>
          </cell>
          <cell r="AO262">
            <v>7706.4</v>
          </cell>
          <cell r="AP262" t="str">
            <v>Done</v>
          </cell>
          <cell r="AQ262" t="str">
            <v>Done</v>
          </cell>
          <cell r="AR262">
            <v>380</v>
          </cell>
          <cell r="AS262" t="str">
            <v>JPC - 225151</v>
          </cell>
        </row>
        <row r="263">
          <cell r="A263">
            <v>1</v>
          </cell>
          <cell r="B263" t="str">
            <v>Titans</v>
          </cell>
          <cell r="C263" t="str">
            <v>Will Harvey Butalid BADOY</v>
          </cell>
          <cell r="D263" t="str">
            <v>Kajal Vats</v>
          </cell>
          <cell r="F263" t="str">
            <v>Nitin Saxena</v>
          </cell>
          <cell r="G263" t="str">
            <v>Nitin Saxena</v>
          </cell>
          <cell r="L263" t="str">
            <v>Lead Generation Sales Specialist</v>
          </cell>
          <cell r="M263" t="str">
            <v>October</v>
          </cell>
          <cell r="N263">
            <v>45946</v>
          </cell>
          <cell r="O263" t="str">
            <v>NA</v>
          </cell>
          <cell r="P263" t="str">
            <v>Genpact</v>
          </cell>
          <cell r="R263" t="str">
            <v>Contract</v>
          </cell>
          <cell r="S263">
            <v>1099</v>
          </cell>
          <cell r="V263">
            <v>57</v>
          </cell>
          <cell r="AA263">
            <v>9</v>
          </cell>
          <cell r="AN263">
            <v>457.5</v>
          </cell>
          <cell r="AO263">
            <v>4117.5</v>
          </cell>
          <cell r="AP263" t="str">
            <v>Pending</v>
          </cell>
          <cell r="AQ263" t="str">
            <v>Pending</v>
          </cell>
          <cell r="AR263">
            <v>367</v>
          </cell>
          <cell r="AS263" t="str">
            <v>JPC - 225152</v>
          </cell>
        </row>
        <row r="264">
          <cell r="A264">
            <v>1</v>
          </cell>
          <cell r="B264" t="str">
            <v>Titans</v>
          </cell>
          <cell r="C264" t="str">
            <v>Myrthala Aurora Trevino</v>
          </cell>
          <cell r="D264" t="str">
            <v>Ratnesh Kashyap</v>
          </cell>
          <cell r="F264" t="str">
            <v>Nitin Saxena</v>
          </cell>
          <cell r="G264" t="str">
            <v>Nitin Saxena</v>
          </cell>
          <cell r="L264" t="str">
            <v>Lead Generation Sales Specialist</v>
          </cell>
          <cell r="M264" t="str">
            <v>October</v>
          </cell>
          <cell r="N264">
            <v>45950</v>
          </cell>
          <cell r="O264">
            <v>45954</v>
          </cell>
          <cell r="P264" t="str">
            <v>Genpact</v>
          </cell>
          <cell r="R264" t="str">
            <v>Contract</v>
          </cell>
          <cell r="S264">
            <v>1099</v>
          </cell>
          <cell r="V264">
            <v>62</v>
          </cell>
          <cell r="AA264">
            <v>5</v>
          </cell>
          <cell r="AN264">
            <v>632</v>
          </cell>
          <cell r="AO264">
            <v>3160</v>
          </cell>
          <cell r="AP264" t="str">
            <v>No Bill No Pay</v>
          </cell>
          <cell r="AQ264" t="str">
            <v>Done</v>
          </cell>
          <cell r="AR264">
            <v>354</v>
          </cell>
          <cell r="AS264" t="str">
            <v>JPC - 225153</v>
          </cell>
        </row>
        <row r="265">
          <cell r="A265">
            <v>1</v>
          </cell>
          <cell r="B265" t="str">
            <v>Wellness Warriors-IT</v>
          </cell>
          <cell r="C265" t="str">
            <v>Akash Satpal Arora</v>
          </cell>
          <cell r="D265" t="str">
            <v>Prashant Pal (VB1217)</v>
          </cell>
          <cell r="F265" t="str">
            <v>Akash Saxena</v>
          </cell>
          <cell r="G265" t="str">
            <v>Akash Saxena</v>
          </cell>
          <cell r="L265" t="str">
            <v>Senior Solutions Architect – JAVA- AWS Migration</v>
          </cell>
          <cell r="M265" t="str">
            <v>October</v>
          </cell>
          <cell r="N265">
            <v>45936</v>
          </cell>
          <cell r="O265" t="str">
            <v>NA</v>
          </cell>
          <cell r="P265" t="str">
            <v>Citius Tech</v>
          </cell>
          <cell r="R265" t="str">
            <v>Contract</v>
          </cell>
          <cell r="S265" t="str">
            <v>C2C</v>
          </cell>
          <cell r="V265">
            <v>85</v>
          </cell>
          <cell r="AA265">
            <v>6</v>
          </cell>
          <cell r="AO265">
            <v>0</v>
          </cell>
          <cell r="AP265" t="str">
            <v>Pending</v>
          </cell>
          <cell r="AQ265" t="str">
            <v>Pending</v>
          </cell>
          <cell r="AR265">
            <v>341</v>
          </cell>
          <cell r="AS265" t="str">
            <v>JPC - 225154</v>
          </cell>
        </row>
        <row r="266">
          <cell r="A266">
            <v>1</v>
          </cell>
          <cell r="B266" t="str">
            <v>Titans</v>
          </cell>
          <cell r="C266" t="str">
            <v>Daron Howard</v>
          </cell>
          <cell r="D266" t="str">
            <v>Raj Chaudhary</v>
          </cell>
          <cell r="F266" t="str">
            <v>Abhishek Yadav</v>
          </cell>
          <cell r="G266" t="str">
            <v>Abhishek Yadav</v>
          </cell>
          <cell r="L266" t="str">
            <v xml:space="preserve">Data Analyst </v>
          </cell>
          <cell r="M266" t="str">
            <v>October</v>
          </cell>
          <cell r="N266">
            <v>45945</v>
          </cell>
          <cell r="O266" t="str">
            <v>NA</v>
          </cell>
          <cell r="P266" t="str">
            <v>Genpact</v>
          </cell>
          <cell r="R266" t="str">
            <v>Contract</v>
          </cell>
          <cell r="S266" t="str">
            <v>C2C Canada</v>
          </cell>
          <cell r="V266">
            <v>53</v>
          </cell>
          <cell r="AA266">
            <v>7.95</v>
          </cell>
          <cell r="AN266">
            <v>536</v>
          </cell>
          <cell r="AO266">
            <v>4261.2</v>
          </cell>
          <cell r="AP266" t="str">
            <v>Pending</v>
          </cell>
          <cell r="AQ266" t="str">
            <v>Pending</v>
          </cell>
          <cell r="AR266">
            <v>328</v>
          </cell>
          <cell r="AS266" t="str">
            <v>JPC - 225155</v>
          </cell>
        </row>
        <row r="267">
          <cell r="A267">
            <v>1</v>
          </cell>
          <cell r="B267" t="str">
            <v>Mavericks</v>
          </cell>
          <cell r="C267" t="str">
            <v>Mounika Yandapalli</v>
          </cell>
          <cell r="D267" t="str">
            <v>Priyanka Sharma</v>
          </cell>
          <cell r="F267" t="str">
            <v>Kashif Nabi</v>
          </cell>
          <cell r="G267" t="str">
            <v>Kashif Nabi</v>
          </cell>
          <cell r="L267" t="str">
            <v>Customer Interaction Center Associate</v>
          </cell>
          <cell r="M267" t="str">
            <v>October</v>
          </cell>
          <cell r="N267">
            <v>45950</v>
          </cell>
          <cell r="O267" t="str">
            <v>NA</v>
          </cell>
          <cell r="P267" t="str">
            <v>Genpact Beeline/Magnit</v>
          </cell>
          <cell r="R267" t="str">
            <v>Contract</v>
          </cell>
          <cell r="S267">
            <v>1099</v>
          </cell>
          <cell r="V267">
            <v>30</v>
          </cell>
          <cell r="AA267">
            <v>6</v>
          </cell>
          <cell r="AN267">
            <v>632</v>
          </cell>
          <cell r="AO267">
            <v>3792</v>
          </cell>
          <cell r="AP267" t="str">
            <v>Pending</v>
          </cell>
          <cell r="AQ267" t="str">
            <v>Pending</v>
          </cell>
          <cell r="AR267">
            <v>315</v>
          </cell>
          <cell r="AS267" t="str">
            <v>JPC - 225156</v>
          </cell>
        </row>
        <row r="268">
          <cell r="A268">
            <v>1</v>
          </cell>
          <cell r="B268" t="str">
            <v>Mavericks</v>
          </cell>
          <cell r="C268" t="str">
            <v>Bharath Marasa</v>
          </cell>
          <cell r="D268" t="str">
            <v>Vasudev Srivastava</v>
          </cell>
          <cell r="F268" t="str">
            <v>Kashif Nabi</v>
          </cell>
          <cell r="G268" t="str">
            <v>Khatib Rahman</v>
          </cell>
          <cell r="L268" t="str">
            <v xml:space="preserve">Python Engineer </v>
          </cell>
          <cell r="M268" t="str">
            <v>October</v>
          </cell>
          <cell r="N268">
            <v>45945</v>
          </cell>
          <cell r="O268" t="str">
            <v>NA</v>
          </cell>
          <cell r="P268" t="str">
            <v>Nous Infosystems</v>
          </cell>
          <cell r="R268" t="str">
            <v>Contract</v>
          </cell>
          <cell r="S268" t="str">
            <v>C2C Canada</v>
          </cell>
          <cell r="V268">
            <v>68</v>
          </cell>
          <cell r="AA268">
            <v>5</v>
          </cell>
          <cell r="AN268">
            <v>584</v>
          </cell>
          <cell r="AO268">
            <v>2920</v>
          </cell>
          <cell r="AP268" t="str">
            <v>No Bill No Pay</v>
          </cell>
          <cell r="AQ268" t="str">
            <v>No bill no pay</v>
          </cell>
          <cell r="AR268">
            <v>302</v>
          </cell>
          <cell r="AS268" t="str">
            <v>JPC - 225157</v>
          </cell>
        </row>
        <row r="269">
          <cell r="A269">
            <v>1</v>
          </cell>
          <cell r="B269" t="str">
            <v>Titans</v>
          </cell>
          <cell r="C269" t="str">
            <v>Moses Bukenya</v>
          </cell>
          <cell r="D269" t="str">
            <v>Hamza</v>
          </cell>
          <cell r="F269" t="str">
            <v>Nitin Saxena</v>
          </cell>
          <cell r="G269" t="str">
            <v>Nitin Saxena</v>
          </cell>
          <cell r="L269" t="str">
            <v>Associate Data Analyst</v>
          </cell>
          <cell r="M269" t="str">
            <v>October</v>
          </cell>
          <cell r="N269">
            <v>45952</v>
          </cell>
          <cell r="O269" t="str">
            <v>NA</v>
          </cell>
          <cell r="P269" t="str">
            <v>Genpact</v>
          </cell>
          <cell r="R269" t="str">
            <v>Contract</v>
          </cell>
          <cell r="S269">
            <v>1099</v>
          </cell>
          <cell r="V269">
            <v>26</v>
          </cell>
          <cell r="AA269">
            <v>2</v>
          </cell>
          <cell r="AN269">
            <v>424</v>
          </cell>
          <cell r="AO269">
            <v>848</v>
          </cell>
          <cell r="AP269" t="str">
            <v>Active</v>
          </cell>
          <cell r="AQ269" t="str">
            <v>May</v>
          </cell>
          <cell r="AR269">
            <v>289</v>
          </cell>
          <cell r="AS269" t="str">
            <v>JPC - 225158</v>
          </cell>
        </row>
        <row r="270">
          <cell r="A270">
            <v>1</v>
          </cell>
          <cell r="B270" t="str">
            <v>Wellness Warriors-IT</v>
          </cell>
          <cell r="C270" t="str">
            <v>Tazimbanu Kolhar</v>
          </cell>
          <cell r="D270" t="str">
            <v>Kartik Parashar (VB1939)</v>
          </cell>
          <cell r="F270" t="str">
            <v>Akash Saxena</v>
          </cell>
          <cell r="G270" t="str">
            <v>Akash Saxena</v>
          </cell>
          <cell r="L270" t="str">
            <v>Data Engineer</v>
          </cell>
          <cell r="M270" t="str">
            <v>October</v>
          </cell>
          <cell r="N270">
            <v>45954</v>
          </cell>
          <cell r="O270" t="str">
            <v>NA</v>
          </cell>
          <cell r="P270" t="str">
            <v>Citius Tech</v>
          </cell>
          <cell r="R270" t="str">
            <v>Contract</v>
          </cell>
          <cell r="S270" t="str">
            <v>C2C</v>
          </cell>
          <cell r="V270">
            <v>74</v>
          </cell>
          <cell r="AA270">
            <v>4</v>
          </cell>
          <cell r="AN270">
            <v>448</v>
          </cell>
          <cell r="AO270">
            <v>1792</v>
          </cell>
          <cell r="AP270" t="str">
            <v>Active</v>
          </cell>
          <cell r="AQ270" t="str">
            <v>Sep</v>
          </cell>
          <cell r="AR270">
            <v>276</v>
          </cell>
          <cell r="AS270" t="str">
            <v>JPC - 225159</v>
          </cell>
        </row>
        <row r="271">
          <cell r="AR271">
            <v>263</v>
          </cell>
          <cell r="AS271" t="str">
            <v>JPC - 225160</v>
          </cell>
        </row>
        <row r="272">
          <cell r="AR272">
            <v>250</v>
          </cell>
          <cell r="AS272" t="str">
            <v>JPC - 225161</v>
          </cell>
        </row>
        <row r="273">
          <cell r="A273">
            <v>1</v>
          </cell>
          <cell r="B273" t="str">
            <v>Mavericks</v>
          </cell>
          <cell r="C273" t="str">
            <v xml:space="preserve">Lakshmi Mounika Mandadapu </v>
          </cell>
          <cell r="D273" t="str">
            <v>Akash Raj Srivastava</v>
          </cell>
          <cell r="F273" t="str">
            <v>Kashif Nabi</v>
          </cell>
          <cell r="G273" t="str">
            <v>Rohit Gupta</v>
          </cell>
          <cell r="L273" t="str">
            <v xml:space="preserve">Senior QA Automation Engineer </v>
          </cell>
          <cell r="M273" t="str">
            <v>October</v>
          </cell>
          <cell r="N273">
            <v>45959</v>
          </cell>
          <cell r="O273" t="str">
            <v>NA</v>
          </cell>
          <cell r="P273" t="str">
            <v>Nous Infosystems</v>
          </cell>
          <cell r="R273" t="str">
            <v>Contract</v>
          </cell>
          <cell r="S273" t="str">
            <v>C2C Canada</v>
          </cell>
          <cell r="V273">
            <v>68</v>
          </cell>
          <cell r="AA273">
            <v>8</v>
          </cell>
          <cell r="AN273">
            <v>440</v>
          </cell>
          <cell r="AO273">
            <v>3520</v>
          </cell>
          <cell r="AP273" t="str">
            <v>Active</v>
          </cell>
          <cell r="AQ273" t="str">
            <v>Sep</v>
          </cell>
          <cell r="AR273">
            <v>237</v>
          </cell>
          <cell r="AS273" t="str">
            <v>JPC - 225162</v>
          </cell>
        </row>
        <row r="274">
          <cell r="AR274">
            <v>224</v>
          </cell>
          <cell r="AS274" t="str">
            <v>JPC - 225163</v>
          </cell>
        </row>
        <row r="275">
          <cell r="A275">
            <v>1</v>
          </cell>
          <cell r="B275" t="str">
            <v>WellnessWarriors-Healthcare</v>
          </cell>
          <cell r="C275" t="str">
            <v>Rajat Jain</v>
          </cell>
          <cell r="D275" t="str">
            <v xml:space="preserve">Aman Singh </v>
          </cell>
          <cell r="F275" t="str">
            <v>Shailesh sharma</v>
          </cell>
          <cell r="G275" t="str">
            <v>Shailesh sharma</v>
          </cell>
          <cell r="L275" t="str">
            <v>RN ICU</v>
          </cell>
          <cell r="M275" t="str">
            <v>October</v>
          </cell>
          <cell r="N275">
            <v>45938</v>
          </cell>
          <cell r="O275" t="str">
            <v>NA</v>
          </cell>
          <cell r="P275" t="str">
            <v xml:space="preserve">CoreCivic /Right Sourcing  </v>
          </cell>
          <cell r="R275" t="str">
            <v>Contract</v>
          </cell>
          <cell r="S275" t="str">
            <v>W2</v>
          </cell>
          <cell r="V275">
            <v>87.12</v>
          </cell>
          <cell r="AA275">
            <v>2</v>
          </cell>
          <cell r="AN275">
            <v>227</v>
          </cell>
          <cell r="AO275">
            <v>454</v>
          </cell>
          <cell r="AP275" t="str">
            <v>Active</v>
          </cell>
          <cell r="AQ275" t="str">
            <v>Sep</v>
          </cell>
          <cell r="AR275">
            <v>211</v>
          </cell>
          <cell r="AS275" t="str">
            <v>JPC - 225164</v>
          </cell>
        </row>
        <row r="276">
          <cell r="AR276">
            <v>150</v>
          </cell>
          <cell r="AS276" t="str">
            <v>JPC - 225165</v>
          </cell>
        </row>
        <row r="277">
          <cell r="A277">
            <v>1</v>
          </cell>
          <cell r="B277" t="str">
            <v>WellnessWarriors-Healthcare</v>
          </cell>
          <cell r="C277" t="str">
            <v>Mitchell Caslavka</v>
          </cell>
          <cell r="D277" t="str">
            <v>Vishal (Victor)</v>
          </cell>
          <cell r="F277" t="str">
            <v>Abhishek Singh</v>
          </cell>
          <cell r="G277" t="str">
            <v>Abhishek Singh</v>
          </cell>
          <cell r="L277" t="str">
            <v>T-RN</v>
          </cell>
          <cell r="M277" t="str">
            <v>October</v>
          </cell>
          <cell r="N277">
            <v>45950</v>
          </cell>
          <cell r="O277">
            <v>45952</v>
          </cell>
          <cell r="P277" t="str">
            <v>Prime/Hallmark</v>
          </cell>
          <cell r="R277" t="str">
            <v>Contract</v>
          </cell>
          <cell r="S277" t="str">
            <v>W2</v>
          </cell>
          <cell r="V277">
            <v>100</v>
          </cell>
          <cell r="AA277">
            <v>10</v>
          </cell>
          <cell r="AN277">
            <v>288</v>
          </cell>
          <cell r="AO277">
            <v>2880</v>
          </cell>
          <cell r="AP277" t="str">
            <v>Active</v>
          </cell>
          <cell r="AQ277" t="str">
            <v>Jun</v>
          </cell>
          <cell r="AR277">
            <v>438</v>
          </cell>
          <cell r="AS277" t="str">
            <v>JPC - 225166</v>
          </cell>
        </row>
        <row r="278">
          <cell r="AR278">
            <v>432</v>
          </cell>
          <cell r="AS278" t="str">
            <v>JPC - 225167</v>
          </cell>
        </row>
        <row r="279">
          <cell r="A279">
            <v>1</v>
          </cell>
          <cell r="B279" t="str">
            <v>Wellness Warriors-IT</v>
          </cell>
          <cell r="C279" t="str">
            <v>Sasha Brie Warlow</v>
          </cell>
          <cell r="D279" t="str">
            <v xml:space="preserve">Avinay Shrivastav </v>
          </cell>
          <cell r="F279" t="str">
            <v xml:space="preserve">Abdul Rahman </v>
          </cell>
          <cell r="G279" t="str">
            <v xml:space="preserve">Abdul Rahman </v>
          </cell>
          <cell r="L279" t="str">
            <v xml:space="preserve">Partner Consultant/Databricks </v>
          </cell>
          <cell r="M279" t="str">
            <v>October</v>
          </cell>
          <cell r="N279">
            <v>45959</v>
          </cell>
          <cell r="O279" t="str">
            <v>NA</v>
          </cell>
          <cell r="P279" t="str">
            <v xml:space="preserve">Happiest Minds </v>
          </cell>
          <cell r="R279" t="str">
            <v>Contract</v>
          </cell>
          <cell r="S279" t="str">
            <v>C2C</v>
          </cell>
          <cell r="V279">
            <v>75</v>
          </cell>
          <cell r="AA279">
            <v>3</v>
          </cell>
          <cell r="AN279">
            <v>192</v>
          </cell>
          <cell r="AO279">
            <v>576</v>
          </cell>
          <cell r="AP279" t="str">
            <v>Active</v>
          </cell>
          <cell r="AQ279" t="str">
            <v>Sep</v>
          </cell>
          <cell r="AR279">
            <v>136</v>
          </cell>
          <cell r="AS279" t="str">
            <v>JPC - 225168</v>
          </cell>
        </row>
        <row r="280">
          <cell r="AR280">
            <v>438</v>
          </cell>
          <cell r="AS280" t="str">
            <v>JPC - 225169</v>
          </cell>
        </row>
        <row r="281">
          <cell r="AR281">
            <v>406</v>
          </cell>
          <cell r="AS281" t="str">
            <v>JPC - 225170</v>
          </cell>
        </row>
        <row r="282">
          <cell r="A282">
            <v>1</v>
          </cell>
          <cell r="B282" t="str">
            <v>WellnessWarriors-Healthcare</v>
          </cell>
          <cell r="C282" t="str">
            <v>Isatou Jallow</v>
          </cell>
          <cell r="D282" t="str">
            <v>Mohini Chand</v>
          </cell>
          <cell r="F282" t="str">
            <v>Shailesh Sharma (Sam)</v>
          </cell>
          <cell r="G282" t="str">
            <v>Shailesh Sharma (Sam)</v>
          </cell>
          <cell r="L282" t="str">
            <v>Traveler- Licensed Radiologic Technologist</v>
          </cell>
          <cell r="M282" t="str">
            <v>October</v>
          </cell>
          <cell r="N282">
            <v>45957</v>
          </cell>
          <cell r="O282" t="str">
            <v>NA</v>
          </cell>
          <cell r="P282" t="str">
            <v>Prime</v>
          </cell>
          <cell r="R282" t="str">
            <v>Contract</v>
          </cell>
          <cell r="S282" t="str">
            <v>W2</v>
          </cell>
          <cell r="V282">
            <v>150</v>
          </cell>
          <cell r="AA282">
            <v>7</v>
          </cell>
          <cell r="AN282">
            <v>56</v>
          </cell>
          <cell r="AO282">
            <v>392</v>
          </cell>
          <cell r="AP282" t="str">
            <v>No Bill No Pay</v>
          </cell>
          <cell r="AQ282" t="str">
            <v>No bill no pay</v>
          </cell>
          <cell r="AR282">
            <v>393</v>
          </cell>
          <cell r="AS282" t="str">
            <v>JPC - 225171</v>
          </cell>
        </row>
        <row r="283">
          <cell r="AR283">
            <v>380</v>
          </cell>
          <cell r="AS283" t="str">
            <v>JPC - 225172</v>
          </cell>
        </row>
        <row r="284">
          <cell r="AR284">
            <v>367</v>
          </cell>
          <cell r="AS284" t="str">
            <v>JPC - 225173</v>
          </cell>
        </row>
        <row r="285">
          <cell r="AR285">
            <v>354</v>
          </cell>
          <cell r="AS285" t="str">
            <v>JPC - 225174</v>
          </cell>
        </row>
        <row r="286">
          <cell r="AR286">
            <v>341</v>
          </cell>
          <cell r="AS286" t="str">
            <v>JPC - 225175</v>
          </cell>
        </row>
        <row r="287">
          <cell r="AR287">
            <v>328</v>
          </cell>
          <cell r="AS287" t="str">
            <v>JPC - 225176</v>
          </cell>
        </row>
        <row r="288">
          <cell r="AR288">
            <v>315</v>
          </cell>
          <cell r="AS288" t="str">
            <v>JPC - 225177</v>
          </cell>
        </row>
        <row r="289">
          <cell r="A289">
            <v>1</v>
          </cell>
          <cell r="B289" t="str">
            <v>WellnessWarriors-Healthcare</v>
          </cell>
          <cell r="C289" t="str">
            <v>Stephen Velasco Sumergido</v>
          </cell>
          <cell r="D289" t="str">
            <v>Hiten Sehgal</v>
          </cell>
          <cell r="F289" t="str">
            <v>Shailesh Sharma (Sam)</v>
          </cell>
          <cell r="G289" t="str">
            <v>Shailesh Sharma (Sam)</v>
          </cell>
          <cell r="L289" t="str">
            <v>RN Correctional</v>
          </cell>
          <cell r="M289" t="str">
            <v>October</v>
          </cell>
          <cell r="N289">
            <v>45960</v>
          </cell>
          <cell r="O289" t="str">
            <v>NA</v>
          </cell>
          <cell r="P289" t="str">
            <v>Corecivic</v>
          </cell>
          <cell r="R289" t="str">
            <v>Contract</v>
          </cell>
          <cell r="S289" t="str">
            <v>W2</v>
          </cell>
          <cell r="V289">
            <v>87.12</v>
          </cell>
          <cell r="AA289">
            <v>15</v>
          </cell>
          <cell r="AN289">
            <v>40</v>
          </cell>
          <cell r="AO289">
            <v>600</v>
          </cell>
          <cell r="AP289" t="str">
            <v>Active</v>
          </cell>
          <cell r="AQ289" t="str">
            <v>Sep</v>
          </cell>
          <cell r="AR289">
            <v>302</v>
          </cell>
          <cell r="AS289" t="str">
            <v>JPC - 225178</v>
          </cell>
        </row>
        <row r="290">
          <cell r="AR290">
            <v>289</v>
          </cell>
          <cell r="AS290" t="str">
            <v>JPC - 225179</v>
          </cell>
        </row>
        <row r="291">
          <cell r="AR291">
            <v>276</v>
          </cell>
          <cell r="AS291" t="str">
            <v>JPC - 225180</v>
          </cell>
        </row>
        <row r="292">
          <cell r="AR292">
            <v>263</v>
          </cell>
          <cell r="AS292" t="str">
            <v>JPC - 225181</v>
          </cell>
        </row>
        <row r="293">
          <cell r="AR293">
            <v>250</v>
          </cell>
          <cell r="AS293" t="str">
            <v>JPC - 225182</v>
          </cell>
        </row>
        <row r="294">
          <cell r="AR294">
            <v>237</v>
          </cell>
          <cell r="AS294" t="str">
            <v>JPC - 225183</v>
          </cell>
        </row>
        <row r="295">
          <cell r="AR295">
            <v>224</v>
          </cell>
          <cell r="AS295" t="str">
            <v>JPC - 225184</v>
          </cell>
        </row>
        <row r="296">
          <cell r="AR296">
            <v>211</v>
          </cell>
          <cell r="AS296" t="str">
            <v>JPC - 225185</v>
          </cell>
        </row>
        <row r="297">
          <cell r="AR297">
            <v>150</v>
          </cell>
          <cell r="AS297" t="str">
            <v>JPC - 225186</v>
          </cell>
        </row>
        <row r="298">
          <cell r="AR298">
            <v>438</v>
          </cell>
          <cell r="AS298" t="str">
            <v>JPC - 225187</v>
          </cell>
        </row>
        <row r="299">
          <cell r="A299">
            <v>1</v>
          </cell>
          <cell r="B299" t="str">
            <v>Vantedge</v>
          </cell>
          <cell r="C299" t="str">
            <v>David Mussan-Levy</v>
          </cell>
          <cell r="D299" t="str">
            <v>Anshul Kumar</v>
          </cell>
          <cell r="F299" t="str">
            <v>Raunak Tripathi</v>
          </cell>
          <cell r="G299" t="str">
            <v>Anshul Kumar</v>
          </cell>
          <cell r="M299" t="str">
            <v>January</v>
          </cell>
          <cell r="N299">
            <v>45659</v>
          </cell>
          <cell r="O299" t="str">
            <v>NA</v>
          </cell>
          <cell r="P299" t="str">
            <v>Visionet Systems</v>
          </cell>
          <cell r="R299" t="str">
            <v>FTE</v>
          </cell>
          <cell r="AA299" t="str">
            <v>NA</v>
          </cell>
          <cell r="AN299" t="str">
            <v>NA</v>
          </cell>
          <cell r="AO299">
            <v>30000</v>
          </cell>
          <cell r="AP299" t="str">
            <v>Done</v>
          </cell>
          <cell r="AR299">
            <v>432</v>
          </cell>
          <cell r="AS299" t="str">
            <v>JPC - 225188</v>
          </cell>
        </row>
        <row r="300">
          <cell r="A300">
            <v>1</v>
          </cell>
          <cell r="B300" t="str">
            <v>RPO</v>
          </cell>
          <cell r="C300" t="str">
            <v>Krishna Mohan Bolineni</v>
          </cell>
          <cell r="D300" t="str">
            <v>Vanshika Srivastava</v>
          </cell>
          <cell r="F300" t="str">
            <v>Ankit Pandey</v>
          </cell>
          <cell r="G300" t="str">
            <v>Shubham Rastogi</v>
          </cell>
          <cell r="M300" t="str">
            <v>January</v>
          </cell>
          <cell r="N300">
            <v>45663</v>
          </cell>
          <cell r="O300" t="str">
            <v>NA</v>
          </cell>
          <cell r="P300" t="str">
            <v xml:space="preserve">GPC IT </v>
          </cell>
          <cell r="R300" t="str">
            <v>FTE</v>
          </cell>
          <cell r="AA300" t="str">
            <v>NA</v>
          </cell>
          <cell r="AN300" t="str">
            <v>NA</v>
          </cell>
          <cell r="AO300">
            <v>3000</v>
          </cell>
          <cell r="AP300" t="str">
            <v>Done</v>
          </cell>
          <cell r="AR300">
            <v>136</v>
          </cell>
          <cell r="AS300" t="str">
            <v>JPC - 225189</v>
          </cell>
        </row>
        <row r="301">
          <cell r="A301">
            <v>1</v>
          </cell>
          <cell r="B301" t="str">
            <v>RPO</v>
          </cell>
          <cell r="C301" t="str">
            <v>Rohan Rodney</v>
          </cell>
          <cell r="D301" t="str">
            <v>Sagar Chandani</v>
          </cell>
          <cell r="F301" t="str">
            <v>Ankit Pandey</v>
          </cell>
          <cell r="G301" t="str">
            <v>Shubham Rastogi</v>
          </cell>
          <cell r="M301" t="str">
            <v>January</v>
          </cell>
          <cell r="N301">
            <v>45663</v>
          </cell>
          <cell r="O301" t="str">
            <v>NA</v>
          </cell>
          <cell r="P301" t="str">
            <v xml:space="preserve">GPC IT </v>
          </cell>
          <cell r="R301" t="str">
            <v>FTE</v>
          </cell>
          <cell r="AA301" t="str">
            <v>NA</v>
          </cell>
          <cell r="AN301" t="str">
            <v>NA</v>
          </cell>
          <cell r="AO301">
            <v>3000</v>
          </cell>
          <cell r="AP301" t="str">
            <v>Done</v>
          </cell>
          <cell r="AR301">
            <v>438</v>
          </cell>
          <cell r="AS301" t="str">
            <v>JPC - 225190</v>
          </cell>
        </row>
        <row r="302">
          <cell r="A302">
            <v>1</v>
          </cell>
          <cell r="B302" t="str">
            <v>RPO</v>
          </cell>
          <cell r="C302" t="str">
            <v>Kyle Nichols</v>
          </cell>
          <cell r="D302" t="str">
            <v>Sagar Chandani</v>
          </cell>
          <cell r="F302" t="str">
            <v>Ankit Pandey</v>
          </cell>
          <cell r="G302" t="str">
            <v>Shubham Rastogi</v>
          </cell>
          <cell r="M302" t="str">
            <v>January</v>
          </cell>
          <cell r="N302">
            <v>45663</v>
          </cell>
          <cell r="O302" t="str">
            <v>NA</v>
          </cell>
          <cell r="P302" t="str">
            <v xml:space="preserve">GPC IT </v>
          </cell>
          <cell r="R302" t="str">
            <v>FTE</v>
          </cell>
          <cell r="AA302" t="str">
            <v>NA</v>
          </cell>
          <cell r="AN302" t="str">
            <v>NA</v>
          </cell>
          <cell r="AO302">
            <v>300</v>
          </cell>
          <cell r="AP302" t="str">
            <v>Done</v>
          </cell>
          <cell r="AR302">
            <v>406</v>
          </cell>
          <cell r="AS302" t="str">
            <v>JPC - 225191</v>
          </cell>
        </row>
        <row r="303">
          <cell r="A303">
            <v>1</v>
          </cell>
          <cell r="B303" t="str">
            <v>Vantedge</v>
          </cell>
          <cell r="C303" t="str">
            <v>Arbindoo Sood</v>
          </cell>
          <cell r="D303" t="str">
            <v>Mayank Saxena</v>
          </cell>
          <cell r="F303" t="str">
            <v>Mayank Saxena</v>
          </cell>
          <cell r="G303" t="str">
            <v>Mayank Saxena</v>
          </cell>
          <cell r="M303" t="str">
            <v>January</v>
          </cell>
          <cell r="N303">
            <v>45665</v>
          </cell>
          <cell r="O303" t="str">
            <v>NA</v>
          </cell>
          <cell r="P303" t="str">
            <v>RCG Global</v>
          </cell>
          <cell r="R303" t="str">
            <v>FTE</v>
          </cell>
          <cell r="AA303" t="str">
            <v>NA</v>
          </cell>
          <cell r="AN303" t="str">
            <v>NA</v>
          </cell>
          <cell r="AO303">
            <v>27950</v>
          </cell>
          <cell r="AP303" t="str">
            <v>Done</v>
          </cell>
          <cell r="AR303">
            <v>393</v>
          </cell>
          <cell r="AS303" t="str">
            <v>JPC - 225192</v>
          </cell>
        </row>
        <row r="305">
          <cell r="A305">
            <v>1</v>
          </cell>
          <cell r="B305" t="str">
            <v>RPO</v>
          </cell>
          <cell r="C305" t="str">
            <v>Avi Wallis</v>
          </cell>
          <cell r="D305" t="str">
            <v>Sagar Chandani</v>
          </cell>
          <cell r="F305" t="str">
            <v>Ankit Pandey</v>
          </cell>
          <cell r="G305" t="str">
            <v>Shubham Rastogi</v>
          </cell>
          <cell r="M305" t="str">
            <v>January</v>
          </cell>
          <cell r="N305">
            <v>45670</v>
          </cell>
          <cell r="O305" t="str">
            <v>NA</v>
          </cell>
          <cell r="P305" t="str">
            <v xml:space="preserve">GPC IT </v>
          </cell>
          <cell r="R305" t="str">
            <v>FTE</v>
          </cell>
          <cell r="AA305" t="str">
            <v>NA</v>
          </cell>
          <cell r="AN305" t="str">
            <v>NA</v>
          </cell>
          <cell r="AO305">
            <v>300</v>
          </cell>
          <cell r="AP305" t="str">
            <v>Done</v>
          </cell>
          <cell r="AR305">
            <v>367</v>
          </cell>
          <cell r="AS305" t="str">
            <v>JPC - 225194</v>
          </cell>
        </row>
        <row r="306">
          <cell r="A306">
            <v>1</v>
          </cell>
          <cell r="B306" t="str">
            <v>Wellness Warriors - Healthcare</v>
          </cell>
          <cell r="C306" t="str">
            <v>Brent Manning</v>
          </cell>
          <cell r="D306" t="str">
            <v>Panna Roy (Paul)</v>
          </cell>
          <cell r="F306" t="str">
            <v>Shailesh Sharma</v>
          </cell>
          <cell r="G306" t="str">
            <v>Shailesh Sharma</v>
          </cell>
          <cell r="M306" t="str">
            <v>January</v>
          </cell>
          <cell r="N306">
            <v>45670</v>
          </cell>
          <cell r="O306">
            <v>45698</v>
          </cell>
          <cell r="P306" t="str">
            <v>Medical Solutions</v>
          </cell>
          <cell r="R306" t="str">
            <v>FTE</v>
          </cell>
          <cell r="AA306" t="str">
            <v>NA</v>
          </cell>
          <cell r="AN306" t="str">
            <v>NA</v>
          </cell>
          <cell r="AP306" t="str">
            <v>Done</v>
          </cell>
          <cell r="AR306">
            <v>354</v>
          </cell>
          <cell r="AS306" t="str">
            <v>JPC - 225195</v>
          </cell>
        </row>
        <row r="307">
          <cell r="A307">
            <v>1</v>
          </cell>
          <cell r="B307" t="str">
            <v>RPO</v>
          </cell>
          <cell r="C307" t="str">
            <v>Lahari Vemana</v>
          </cell>
          <cell r="D307" t="str">
            <v>Shubham Rastogi</v>
          </cell>
          <cell r="F307" t="str">
            <v>Ankit Pandey</v>
          </cell>
          <cell r="G307" t="str">
            <v>Shubham Rastogi</v>
          </cell>
          <cell r="M307" t="str">
            <v>January</v>
          </cell>
          <cell r="N307">
            <v>45671</v>
          </cell>
          <cell r="O307" t="str">
            <v>NA</v>
          </cell>
          <cell r="P307" t="str">
            <v xml:space="preserve">GPC IT </v>
          </cell>
          <cell r="R307" t="str">
            <v>FTE</v>
          </cell>
          <cell r="AA307" t="str">
            <v>NA</v>
          </cell>
          <cell r="AN307" t="str">
            <v>NA</v>
          </cell>
          <cell r="AO307">
            <v>300</v>
          </cell>
          <cell r="AP307" t="str">
            <v>Done</v>
          </cell>
          <cell r="AR307">
            <v>341</v>
          </cell>
          <cell r="AS307" t="str">
            <v>JPC - 225196</v>
          </cell>
        </row>
        <row r="308">
          <cell r="A308">
            <v>1</v>
          </cell>
          <cell r="B308" t="str">
            <v>CSK/Vantedge</v>
          </cell>
          <cell r="C308" t="str">
            <v>Ashish Garg </v>
          </cell>
          <cell r="D308" t="str">
            <v>M Harinath</v>
          </cell>
          <cell r="F308" t="str">
            <v>Mayank Saxena</v>
          </cell>
          <cell r="G308" t="str">
            <v>Vinoth L</v>
          </cell>
          <cell r="M308" t="str">
            <v>January</v>
          </cell>
          <cell r="N308">
            <v>45684</v>
          </cell>
          <cell r="O308" t="str">
            <v>NA</v>
          </cell>
          <cell r="P308" t="str">
            <v>Tredence</v>
          </cell>
          <cell r="R308" t="str">
            <v>FTE</v>
          </cell>
          <cell r="AA308" t="str">
            <v>NA</v>
          </cell>
          <cell r="AN308" t="str">
            <v>NA</v>
          </cell>
          <cell r="AO308">
            <v>14000</v>
          </cell>
          <cell r="AP308" t="str">
            <v>Done</v>
          </cell>
          <cell r="AR308">
            <v>328</v>
          </cell>
          <cell r="AS308" t="str">
            <v>JPC - 225197</v>
          </cell>
        </row>
        <row r="310">
          <cell r="A310">
            <v>1</v>
          </cell>
          <cell r="B310" t="str">
            <v>Vantedge</v>
          </cell>
          <cell r="C310" t="str">
            <v>Sindhu Venkatesh </v>
          </cell>
          <cell r="D310" t="str">
            <v>Abhay Pratap Singh </v>
          </cell>
          <cell r="F310" t="str">
            <v>Rohini Parihar</v>
          </cell>
          <cell r="G310" t="str">
            <v>Umar Mujahid</v>
          </cell>
          <cell r="M310" t="str">
            <v>February</v>
          </cell>
          <cell r="N310">
            <v>45698</v>
          </cell>
          <cell r="O310" t="str">
            <v>NA</v>
          </cell>
          <cell r="P310" t="str">
            <v>QualiZeal </v>
          </cell>
          <cell r="R310" t="str">
            <v>FTE</v>
          </cell>
          <cell r="AA310" t="str">
            <v>NA</v>
          </cell>
          <cell r="AN310" t="str">
            <v>NA</v>
          </cell>
          <cell r="AO310">
            <v>25000</v>
          </cell>
          <cell r="AP310" t="str">
            <v>Done</v>
          </cell>
          <cell r="AR310">
            <v>302</v>
          </cell>
          <cell r="AS310" t="str">
            <v>JPC - 225199</v>
          </cell>
        </row>
        <row r="311">
          <cell r="A311">
            <v>1</v>
          </cell>
          <cell r="B311" t="str">
            <v>CSK</v>
          </cell>
          <cell r="C311" t="str">
            <v xml:space="preserve">David Richter </v>
          </cell>
          <cell r="D311" t="str">
            <v>Archana K</v>
          </cell>
          <cell r="F311" t="str">
            <v>Vinoth L</v>
          </cell>
          <cell r="G311" t="str">
            <v>Akbar I</v>
          </cell>
          <cell r="M311" t="str">
            <v>February</v>
          </cell>
          <cell r="N311">
            <v>45698</v>
          </cell>
          <cell r="O311" t="str">
            <v>NA</v>
          </cell>
          <cell r="P311" t="str">
            <v>Relevante</v>
          </cell>
          <cell r="R311" t="str">
            <v>FTE</v>
          </cell>
          <cell r="AA311" t="str">
            <v>NA</v>
          </cell>
          <cell r="AN311" t="str">
            <v>NA</v>
          </cell>
          <cell r="AO311">
            <v>4200</v>
          </cell>
          <cell r="AP311" t="str">
            <v>Done</v>
          </cell>
          <cell r="AR311">
            <v>289</v>
          </cell>
          <cell r="AS311" t="str">
            <v>JPC - 225200</v>
          </cell>
        </row>
        <row r="312">
          <cell r="A312">
            <v>1</v>
          </cell>
          <cell r="B312" t="str">
            <v>Trust</v>
          </cell>
          <cell r="C312" t="str">
            <v>Kshipra Jawdekar</v>
          </cell>
          <cell r="D312" t="str">
            <v>Sarfaraz Azam Ansari</v>
          </cell>
          <cell r="F312" t="str">
            <v>Bhanu Pratap Singh</v>
          </cell>
          <cell r="G312" t="str">
            <v>Shashank yadav</v>
          </cell>
          <cell r="M312" t="str">
            <v>February</v>
          </cell>
          <cell r="N312">
            <v>45691</v>
          </cell>
          <cell r="O312" t="str">
            <v>NA</v>
          </cell>
          <cell r="P312" t="str">
            <v>Infosys</v>
          </cell>
          <cell r="R312" t="str">
            <v>FTE</v>
          </cell>
          <cell r="AA312" t="str">
            <v>NA</v>
          </cell>
          <cell r="AN312" t="str">
            <v>NA</v>
          </cell>
          <cell r="AO312">
            <v>3500</v>
          </cell>
          <cell r="AP312" t="str">
            <v>Done</v>
          </cell>
          <cell r="AR312">
            <v>276</v>
          </cell>
          <cell r="AS312" t="str">
            <v>JPC - 225201</v>
          </cell>
        </row>
        <row r="313">
          <cell r="A313">
            <v>1</v>
          </cell>
          <cell r="B313" t="str">
            <v>Trust</v>
          </cell>
          <cell r="C313" t="str">
            <v>Shane Fraley</v>
          </cell>
          <cell r="D313" t="str">
            <v>Shivanshu Rastogi</v>
          </cell>
          <cell r="F313" t="str">
            <v>Bhanu Pratap Singh</v>
          </cell>
          <cell r="G313" t="str">
            <v>Shashank yadav</v>
          </cell>
          <cell r="M313" t="str">
            <v>February</v>
          </cell>
          <cell r="N313">
            <v>45715</v>
          </cell>
          <cell r="O313" t="str">
            <v>NA</v>
          </cell>
          <cell r="P313" t="str">
            <v>Reflik</v>
          </cell>
          <cell r="R313" t="str">
            <v>FTE</v>
          </cell>
          <cell r="AA313" t="str">
            <v>NA</v>
          </cell>
          <cell r="AN313" t="str">
            <v>NA</v>
          </cell>
          <cell r="AO313">
            <v>7500</v>
          </cell>
          <cell r="AP313" t="str">
            <v>Done</v>
          </cell>
          <cell r="AR313">
            <v>263</v>
          </cell>
          <cell r="AS313" t="str">
            <v>JPC - 225202</v>
          </cell>
        </row>
        <row r="314">
          <cell r="A314">
            <v>1</v>
          </cell>
          <cell r="B314" t="str">
            <v>Wellness Warriors-IT</v>
          </cell>
          <cell r="C314" t="str">
            <v>Mounika Mettupalli</v>
          </cell>
          <cell r="D314" t="str">
            <v xml:space="preserve">Hemant Kumar </v>
          </cell>
          <cell r="F314" t="str">
            <v>Akash Saxena</v>
          </cell>
          <cell r="M314" t="str">
            <v>February</v>
          </cell>
          <cell r="N314">
            <v>45698</v>
          </cell>
          <cell r="O314" t="str">
            <v>NA</v>
          </cell>
          <cell r="P314" t="str">
            <v xml:space="preserve">CitiusTech </v>
          </cell>
          <cell r="R314" t="str">
            <v>FTE</v>
          </cell>
          <cell r="AA314" t="str">
            <v>NA</v>
          </cell>
          <cell r="AN314" t="str">
            <v>NA</v>
          </cell>
          <cell r="AO314">
            <v>5000</v>
          </cell>
          <cell r="AP314" t="str">
            <v>Done</v>
          </cell>
          <cell r="AR314">
            <v>250</v>
          </cell>
          <cell r="AS314" t="str">
            <v>JPC - 225203</v>
          </cell>
        </row>
        <row r="315">
          <cell r="A315">
            <v>1</v>
          </cell>
          <cell r="B315" t="str">
            <v>Vantedge</v>
          </cell>
          <cell r="C315" t="str">
            <v>John Donaldson</v>
          </cell>
          <cell r="D315" t="str">
            <v>Umar M</v>
          </cell>
          <cell r="F315" t="str">
            <v>Anshul Kumar</v>
          </cell>
          <cell r="G315" t="str">
            <v>Anshul Kumar</v>
          </cell>
          <cell r="M315" t="str">
            <v>February</v>
          </cell>
          <cell r="N315">
            <v>45712</v>
          </cell>
          <cell r="O315" t="str">
            <v>NA</v>
          </cell>
          <cell r="P315" t="str">
            <v>WNS</v>
          </cell>
          <cell r="R315" t="str">
            <v>FTE</v>
          </cell>
          <cell r="AA315" t="str">
            <v>NA</v>
          </cell>
          <cell r="AN315" t="str">
            <v>NA</v>
          </cell>
          <cell r="AO315">
            <v>41250</v>
          </cell>
          <cell r="AP315" t="str">
            <v>Done</v>
          </cell>
          <cell r="AR315">
            <v>237</v>
          </cell>
          <cell r="AS315" t="str">
            <v>JPC - 225204</v>
          </cell>
        </row>
        <row r="316">
          <cell r="A316">
            <v>1</v>
          </cell>
          <cell r="B316" t="str">
            <v>Vantedge</v>
          </cell>
          <cell r="C316" t="str">
            <v>Juan salazar</v>
          </cell>
          <cell r="D316" t="str">
            <v>Shreya Singh</v>
          </cell>
          <cell r="F316" t="str">
            <v>Anshul Kumar</v>
          </cell>
          <cell r="G316" t="str">
            <v>Anshul Kumar</v>
          </cell>
          <cell r="M316" t="str">
            <v>February</v>
          </cell>
          <cell r="N316">
            <v>45705</v>
          </cell>
          <cell r="O316" t="str">
            <v>NA</v>
          </cell>
          <cell r="P316" t="str">
            <v>RCG (Myridius)</v>
          </cell>
          <cell r="R316" t="str">
            <v>FTE</v>
          </cell>
          <cell r="AA316" t="str">
            <v>NA</v>
          </cell>
          <cell r="AN316" t="str">
            <v>NA</v>
          </cell>
          <cell r="AO316">
            <v>27300</v>
          </cell>
          <cell r="AP316" t="str">
            <v>Done</v>
          </cell>
          <cell r="AR316">
            <v>224</v>
          </cell>
          <cell r="AS316" t="str">
            <v>JPC - 225205</v>
          </cell>
        </row>
        <row r="317">
          <cell r="A317">
            <v>1</v>
          </cell>
          <cell r="B317" t="str">
            <v>Pioneer RPO</v>
          </cell>
          <cell r="C317" t="str">
            <v>Sai Medha Thummalakunta</v>
          </cell>
          <cell r="D317" t="str">
            <v>Shubham Rastogi</v>
          </cell>
          <cell r="F317" t="str">
            <v>Ankit Pandey</v>
          </cell>
          <cell r="G317" t="str">
            <v>Shubham Rastogi</v>
          </cell>
          <cell r="M317" t="str">
            <v>February</v>
          </cell>
          <cell r="N317">
            <v>45691</v>
          </cell>
          <cell r="O317" t="str">
            <v>NA</v>
          </cell>
          <cell r="P317" t="str">
            <v xml:space="preserve">GPC IT </v>
          </cell>
          <cell r="R317" t="str">
            <v>FTE</v>
          </cell>
          <cell r="AA317" t="str">
            <v>NA</v>
          </cell>
          <cell r="AN317" t="str">
            <v>NA</v>
          </cell>
          <cell r="AO317">
            <v>300</v>
          </cell>
          <cell r="AP317" t="str">
            <v>Done</v>
          </cell>
          <cell r="AR317">
            <v>211</v>
          </cell>
          <cell r="AS317" t="str">
            <v>JPC - 225206</v>
          </cell>
        </row>
        <row r="318">
          <cell r="A318">
            <v>1</v>
          </cell>
          <cell r="B318" t="str">
            <v>Pioneer RPO</v>
          </cell>
          <cell r="C318" t="str">
            <v>Tanner Mortensen</v>
          </cell>
          <cell r="D318" t="str">
            <v xml:space="preserve">Priyanka Mishra </v>
          </cell>
          <cell r="F318" t="str">
            <v>Ankit Pandey</v>
          </cell>
          <cell r="G318" t="str">
            <v>Shubham Rastogi</v>
          </cell>
          <cell r="M318" t="str">
            <v>February</v>
          </cell>
          <cell r="N318">
            <v>45705</v>
          </cell>
          <cell r="O318" t="str">
            <v>NA</v>
          </cell>
          <cell r="P318" t="str">
            <v xml:space="preserve">GPC IT </v>
          </cell>
          <cell r="R318" t="str">
            <v>FTE</v>
          </cell>
          <cell r="AA318" t="str">
            <v>NA</v>
          </cell>
          <cell r="AN318" t="str">
            <v>NA</v>
          </cell>
          <cell r="AO318">
            <v>300</v>
          </cell>
          <cell r="AP318" t="str">
            <v>Done</v>
          </cell>
          <cell r="AR318">
            <v>150</v>
          </cell>
          <cell r="AS318" t="str">
            <v>JPC - 225207</v>
          </cell>
        </row>
        <row r="319">
          <cell r="A319">
            <v>1</v>
          </cell>
          <cell r="B319" t="str">
            <v>Pioneer RPO</v>
          </cell>
          <cell r="C319" t="str">
            <v>Deana Brennan</v>
          </cell>
          <cell r="D319" t="str">
            <v>Sagar Chandani</v>
          </cell>
          <cell r="F319" t="str">
            <v>Ankit Pandey</v>
          </cell>
          <cell r="G319" t="str">
            <v>Shubham Rastogi</v>
          </cell>
          <cell r="M319" t="str">
            <v>February</v>
          </cell>
          <cell r="N319">
            <v>45705</v>
          </cell>
          <cell r="O319" t="str">
            <v>NA</v>
          </cell>
          <cell r="P319" t="str">
            <v xml:space="preserve">GPC IT </v>
          </cell>
          <cell r="R319" t="str">
            <v>FTE</v>
          </cell>
          <cell r="AA319" t="str">
            <v>NA</v>
          </cell>
          <cell r="AN319" t="str">
            <v>NA</v>
          </cell>
          <cell r="AO319">
            <v>3000</v>
          </cell>
          <cell r="AP319" t="str">
            <v>Done</v>
          </cell>
          <cell r="AR319">
            <v>438</v>
          </cell>
          <cell r="AS319" t="str">
            <v>JPC - 225208</v>
          </cell>
        </row>
        <row r="320">
          <cell r="A320">
            <v>1</v>
          </cell>
          <cell r="B320" t="str">
            <v>Pioneer RPO</v>
          </cell>
          <cell r="C320" t="str">
            <v>RajaRajan  RadhaKrishnan</v>
          </cell>
          <cell r="D320" t="str">
            <v>Sagar Chandani</v>
          </cell>
          <cell r="F320" t="str">
            <v>Ankit Pandey</v>
          </cell>
          <cell r="G320" t="str">
            <v>Shubham Rastogi</v>
          </cell>
          <cell r="M320" t="str">
            <v>February</v>
          </cell>
          <cell r="N320">
            <v>45705</v>
          </cell>
          <cell r="O320" t="str">
            <v>NA</v>
          </cell>
          <cell r="P320" t="str">
            <v xml:space="preserve">GPC IT </v>
          </cell>
          <cell r="R320" t="str">
            <v>FTE</v>
          </cell>
          <cell r="AA320" t="str">
            <v>NA</v>
          </cell>
          <cell r="AN320" t="str">
            <v>NA</v>
          </cell>
          <cell r="AO320">
            <v>3000</v>
          </cell>
          <cell r="AP320" t="str">
            <v>Done</v>
          </cell>
          <cell r="AR320">
            <v>432</v>
          </cell>
          <cell r="AS320" t="str">
            <v>JPC - 225209</v>
          </cell>
        </row>
        <row r="321">
          <cell r="A321">
            <v>1</v>
          </cell>
          <cell r="B321" t="str">
            <v>Pioneer RPO</v>
          </cell>
          <cell r="C321" t="str">
            <v>Felipe Soares</v>
          </cell>
          <cell r="D321" t="str">
            <v>Utkarsh Rastogi</v>
          </cell>
          <cell r="F321" t="str">
            <v>Ankit Pandey</v>
          </cell>
          <cell r="G321" t="str">
            <v>Ankit Pandey</v>
          </cell>
          <cell r="M321" t="str">
            <v>February</v>
          </cell>
          <cell r="N321">
            <v>45698</v>
          </cell>
          <cell r="O321" t="str">
            <v>NA</v>
          </cell>
          <cell r="P321" t="str">
            <v>GPC USAG (NAPA)</v>
          </cell>
          <cell r="R321" t="str">
            <v>FTE</v>
          </cell>
          <cell r="AA321" t="str">
            <v>NA</v>
          </cell>
          <cell r="AN321" t="str">
            <v>NA</v>
          </cell>
          <cell r="AO321">
            <v>3000</v>
          </cell>
          <cell r="AP321" t="str">
            <v>Done</v>
          </cell>
          <cell r="AR321">
            <v>136</v>
          </cell>
          <cell r="AS321" t="str">
            <v>JPC - 225210</v>
          </cell>
        </row>
        <row r="322">
          <cell r="A322">
            <v>1</v>
          </cell>
          <cell r="B322" t="str">
            <v>Pioneer RPO</v>
          </cell>
          <cell r="C322" t="str">
            <v>JT Goodwin</v>
          </cell>
          <cell r="D322" t="str">
            <v xml:space="preserve">Bibhore Bhattacharya </v>
          </cell>
          <cell r="F322" t="str">
            <v>Ankit Pandey</v>
          </cell>
          <cell r="G322" t="str">
            <v>Ankit Pandey</v>
          </cell>
          <cell r="M322" t="str">
            <v>February</v>
          </cell>
          <cell r="N322">
            <v>45712</v>
          </cell>
          <cell r="O322" t="str">
            <v>NA</v>
          </cell>
          <cell r="P322" t="str">
            <v>GPC USAG (NAPA)</v>
          </cell>
          <cell r="R322" t="str">
            <v>FTE</v>
          </cell>
          <cell r="AA322" t="str">
            <v>NA</v>
          </cell>
          <cell r="AN322" t="str">
            <v>NA</v>
          </cell>
          <cell r="AO322">
            <v>300</v>
          </cell>
          <cell r="AP322" t="str">
            <v>Done</v>
          </cell>
          <cell r="AR322">
            <v>438</v>
          </cell>
          <cell r="AS322" t="str">
            <v>JPC - 225211</v>
          </cell>
        </row>
        <row r="323">
          <cell r="A323">
            <v>1</v>
          </cell>
          <cell r="B323" t="str">
            <v>Pioneer RPO</v>
          </cell>
          <cell r="C323" t="str">
            <v xml:space="preserve">Tyler Park </v>
          </cell>
          <cell r="D323" t="str">
            <v xml:space="preserve">Bibhore Bhattacharya </v>
          </cell>
          <cell r="F323" t="str">
            <v>Ankit Pandey</v>
          </cell>
          <cell r="G323" t="str">
            <v>Ankit Pandey</v>
          </cell>
          <cell r="M323" t="str">
            <v>February</v>
          </cell>
          <cell r="N323">
            <v>45698</v>
          </cell>
          <cell r="O323" t="str">
            <v>NA</v>
          </cell>
          <cell r="P323" t="str">
            <v>GPC USAG (NAPA)</v>
          </cell>
          <cell r="R323" t="str">
            <v>FTE</v>
          </cell>
          <cell r="AA323" t="str">
            <v>NA</v>
          </cell>
          <cell r="AN323" t="str">
            <v>NA</v>
          </cell>
          <cell r="AO323">
            <v>300</v>
          </cell>
          <cell r="AP323" t="str">
            <v>Done</v>
          </cell>
          <cell r="AR323">
            <v>406</v>
          </cell>
          <cell r="AS323" t="str">
            <v>JPC - 225212</v>
          </cell>
        </row>
        <row r="324">
          <cell r="A324">
            <v>1</v>
          </cell>
          <cell r="B324" t="str">
            <v>Titans</v>
          </cell>
          <cell r="C324" t="str">
            <v xml:space="preserve">Claude Auger </v>
          </cell>
          <cell r="D324" t="str">
            <v>Aastha Tiwari</v>
          </cell>
          <cell r="F324" t="str">
            <v>Aditya Yadav</v>
          </cell>
          <cell r="G324" t="str">
            <v>Aditya Yadav</v>
          </cell>
          <cell r="M324" t="str">
            <v>February</v>
          </cell>
          <cell r="N324">
            <v>45712</v>
          </cell>
          <cell r="O324" t="str">
            <v>NA</v>
          </cell>
          <cell r="P324" t="str">
            <v>Cyient</v>
          </cell>
          <cell r="R324" t="str">
            <v>FTE</v>
          </cell>
          <cell r="AA324" t="str">
            <v>NA</v>
          </cell>
          <cell r="AN324" t="str">
            <v>NA</v>
          </cell>
          <cell r="AO324">
            <v>4500</v>
          </cell>
          <cell r="AP324" t="str">
            <v>Done</v>
          </cell>
          <cell r="AR324">
            <v>393</v>
          </cell>
          <cell r="AS324" t="str">
            <v>JPC - 225213</v>
          </cell>
        </row>
        <row r="325">
          <cell r="A325">
            <v>1</v>
          </cell>
          <cell r="B325" t="str">
            <v>Titans</v>
          </cell>
          <cell r="C325" t="str">
            <v>Kendall Wade</v>
          </cell>
          <cell r="D325" t="str">
            <v>Ratnesh Kashyap</v>
          </cell>
          <cell r="F325" t="str">
            <v>Aditya Yadav</v>
          </cell>
          <cell r="G325" t="str">
            <v>Nitin Saxena</v>
          </cell>
          <cell r="M325" t="str">
            <v>February</v>
          </cell>
          <cell r="N325">
            <v>45712</v>
          </cell>
          <cell r="O325" t="str">
            <v>NA</v>
          </cell>
          <cell r="P325" t="str">
            <v xml:space="preserve">Cyient | Parker Hannifin </v>
          </cell>
          <cell r="R325" t="str">
            <v>FTE</v>
          </cell>
          <cell r="AA325" t="str">
            <v>NA</v>
          </cell>
          <cell r="AN325" t="str">
            <v>NA</v>
          </cell>
          <cell r="AO325">
            <v>4500</v>
          </cell>
          <cell r="AP325" t="str">
            <v>Done</v>
          </cell>
          <cell r="AR325">
            <v>380</v>
          </cell>
          <cell r="AS325" t="str">
            <v>JPC - 225214</v>
          </cell>
        </row>
        <row r="326">
          <cell r="A326">
            <v>1</v>
          </cell>
          <cell r="B326" t="str">
            <v>Titans</v>
          </cell>
          <cell r="C326" t="str">
            <v>Yuko Namiki</v>
          </cell>
          <cell r="D326" t="str">
            <v>Samad Quraishi</v>
          </cell>
          <cell r="F326" t="str">
            <v>Nitin Saxena</v>
          </cell>
          <cell r="G326" t="str">
            <v>Nitin Saxena</v>
          </cell>
          <cell r="M326" t="str">
            <v>February</v>
          </cell>
          <cell r="N326">
            <v>45706</v>
          </cell>
          <cell r="O326" t="str">
            <v>NA</v>
          </cell>
          <cell r="P326" t="str">
            <v>Relevante</v>
          </cell>
          <cell r="R326" t="str">
            <v>FTE</v>
          </cell>
          <cell r="AA326" t="str">
            <v>NA</v>
          </cell>
          <cell r="AN326" t="str">
            <v>NA</v>
          </cell>
          <cell r="AO326">
            <v>5250</v>
          </cell>
          <cell r="AP326" t="str">
            <v>Done</v>
          </cell>
          <cell r="AR326">
            <v>367</v>
          </cell>
          <cell r="AS326" t="str">
            <v>JPC - 225215</v>
          </cell>
        </row>
        <row r="327">
          <cell r="A327">
            <v>1</v>
          </cell>
          <cell r="B327" t="str">
            <v>Titans</v>
          </cell>
          <cell r="C327" t="str">
            <v>Jonathan Papay</v>
          </cell>
          <cell r="D327" t="str">
            <v>Hamza</v>
          </cell>
          <cell r="F327" t="str">
            <v>Nitin Saxena</v>
          </cell>
          <cell r="G327" t="str">
            <v>Nitin Saxena</v>
          </cell>
          <cell r="M327" t="str">
            <v>February</v>
          </cell>
          <cell r="N327">
            <v>45713</v>
          </cell>
          <cell r="O327" t="str">
            <v>NA</v>
          </cell>
          <cell r="P327" t="str">
            <v>WNS</v>
          </cell>
          <cell r="R327" t="str">
            <v>FTE</v>
          </cell>
          <cell r="AA327" t="str">
            <v>NA</v>
          </cell>
          <cell r="AN327" t="str">
            <v>NA</v>
          </cell>
          <cell r="AO327">
            <v>4576</v>
          </cell>
          <cell r="AP327" t="str">
            <v>Done</v>
          </cell>
          <cell r="AR327">
            <v>354</v>
          </cell>
          <cell r="AS327" t="str">
            <v>JPC - 225216</v>
          </cell>
        </row>
        <row r="328">
          <cell r="A328">
            <v>1</v>
          </cell>
          <cell r="B328" t="str">
            <v>Titans</v>
          </cell>
          <cell r="C328" t="str">
            <v xml:space="preserve">Alexander Berendt </v>
          </cell>
          <cell r="D328" t="str">
            <v>Ratnesh Kashyap</v>
          </cell>
          <cell r="F328" t="str">
            <v>Aditya Yadav</v>
          </cell>
          <cell r="G328" t="str">
            <v>Nitin Saxena</v>
          </cell>
          <cell r="M328" t="str">
            <v>February</v>
          </cell>
          <cell r="N328">
            <v>45698</v>
          </cell>
          <cell r="O328">
            <v>45758</v>
          </cell>
          <cell r="P328" t="str">
            <v>LTTS</v>
          </cell>
          <cell r="R328" t="str">
            <v>FTE</v>
          </cell>
          <cell r="AA328" t="str">
            <v>NA</v>
          </cell>
          <cell r="AN328" t="str">
            <v>NA</v>
          </cell>
          <cell r="AO328">
            <v>0</v>
          </cell>
          <cell r="AP328" t="str">
            <v>Done</v>
          </cell>
          <cell r="AR328">
            <v>341</v>
          </cell>
          <cell r="AS328" t="str">
            <v>JPC - 225217</v>
          </cell>
        </row>
        <row r="329">
          <cell r="A329">
            <v>1</v>
          </cell>
          <cell r="B329" t="str">
            <v>Titans</v>
          </cell>
          <cell r="C329" t="str">
            <v>Joseph Kerns</v>
          </cell>
          <cell r="D329" t="str">
            <v>Aviral Shukla</v>
          </cell>
          <cell r="F329" t="str">
            <v>Nitin Saxena</v>
          </cell>
          <cell r="G329" t="str">
            <v>Nitin Saxena</v>
          </cell>
          <cell r="M329" t="str">
            <v>February</v>
          </cell>
          <cell r="N329">
            <v>45705</v>
          </cell>
          <cell r="O329" t="str">
            <v>NA</v>
          </cell>
          <cell r="P329" t="str">
            <v>WNS</v>
          </cell>
          <cell r="R329" t="str">
            <v>FTE</v>
          </cell>
          <cell r="AA329" t="str">
            <v>NA</v>
          </cell>
          <cell r="AN329" t="str">
            <v>NA</v>
          </cell>
          <cell r="AO329">
            <v>0</v>
          </cell>
          <cell r="AP329" t="str">
            <v>Done</v>
          </cell>
          <cell r="AR329">
            <v>328</v>
          </cell>
          <cell r="AS329" t="str">
            <v>JPC - 225218</v>
          </cell>
        </row>
        <row r="330">
          <cell r="A330">
            <v>1</v>
          </cell>
          <cell r="B330" t="str">
            <v>Titans</v>
          </cell>
          <cell r="C330" t="str">
            <v>Shermal Thomas</v>
          </cell>
          <cell r="D330" t="str">
            <v>Hamza</v>
          </cell>
          <cell r="F330" t="str">
            <v>Nitin Saxena</v>
          </cell>
          <cell r="G330" t="str">
            <v>Nitin Saxena</v>
          </cell>
          <cell r="M330" t="str">
            <v>February</v>
          </cell>
          <cell r="N330">
            <v>45705</v>
          </cell>
          <cell r="O330" t="str">
            <v>NA</v>
          </cell>
          <cell r="P330" t="str">
            <v>WNS</v>
          </cell>
          <cell r="R330" t="str">
            <v>FTE</v>
          </cell>
          <cell r="AA330" t="str">
            <v>NA</v>
          </cell>
          <cell r="AN330" t="str">
            <v>NA</v>
          </cell>
          <cell r="AO330">
            <v>0</v>
          </cell>
          <cell r="AP330" t="str">
            <v>Done</v>
          </cell>
          <cell r="AR330">
            <v>315</v>
          </cell>
          <cell r="AS330" t="str">
            <v>JPC - 225219</v>
          </cell>
        </row>
        <row r="331">
          <cell r="A331">
            <v>1</v>
          </cell>
          <cell r="B331" t="str">
            <v>Titans</v>
          </cell>
          <cell r="C331" t="str">
            <v>Sharon L. Moore</v>
          </cell>
          <cell r="D331" t="str">
            <v>Aman Bajpai</v>
          </cell>
          <cell r="F331" t="str">
            <v>Nitin Saxena</v>
          </cell>
          <cell r="G331" t="str">
            <v>Nitin Saxena</v>
          </cell>
          <cell r="M331" t="str">
            <v>February</v>
          </cell>
          <cell r="N331">
            <v>45713</v>
          </cell>
          <cell r="O331">
            <v>45764</v>
          </cell>
          <cell r="P331" t="str">
            <v>WNS</v>
          </cell>
          <cell r="R331" t="str">
            <v>FTE</v>
          </cell>
          <cell r="AA331" t="str">
            <v>NA</v>
          </cell>
          <cell r="AN331" t="str">
            <v>NA</v>
          </cell>
          <cell r="AO331">
            <v>0</v>
          </cell>
          <cell r="AP331" t="str">
            <v>Done</v>
          </cell>
          <cell r="AR331">
            <v>302</v>
          </cell>
          <cell r="AS331" t="str">
            <v>JPC - 225220</v>
          </cell>
        </row>
        <row r="332">
          <cell r="A332">
            <v>1</v>
          </cell>
          <cell r="B332" t="str">
            <v>CSK/Vantedge</v>
          </cell>
          <cell r="C332" t="str">
            <v>Yogendra Gijare</v>
          </cell>
          <cell r="D332" t="str">
            <v>M Harinath</v>
          </cell>
          <cell r="F332" t="str">
            <v>Mayank Saxena</v>
          </cell>
          <cell r="G332" t="str">
            <v>Vinoth L</v>
          </cell>
          <cell r="M332" t="str">
            <v>March</v>
          </cell>
          <cell r="N332">
            <v>45726</v>
          </cell>
          <cell r="O332" t="str">
            <v>NA</v>
          </cell>
          <cell r="P332" t="str">
            <v>Tredence</v>
          </cell>
          <cell r="R332" t="str">
            <v>FTE</v>
          </cell>
          <cell r="AA332" t="str">
            <v>NA</v>
          </cell>
          <cell r="AN332" t="str">
            <v>NA</v>
          </cell>
          <cell r="AO332">
            <v>13600</v>
          </cell>
          <cell r="AP332" t="str">
            <v>Done</v>
          </cell>
          <cell r="AR332">
            <v>289</v>
          </cell>
          <cell r="AS332" t="str">
            <v>JPC - 225221</v>
          </cell>
        </row>
        <row r="333">
          <cell r="A333">
            <v>1</v>
          </cell>
          <cell r="B333" t="str">
            <v>CSK</v>
          </cell>
          <cell r="C333" t="str">
            <v>Jodi Homaune</v>
          </cell>
          <cell r="D333" t="str">
            <v>Ajithkumar G</v>
          </cell>
          <cell r="F333" t="str">
            <v>Vinoth L</v>
          </cell>
          <cell r="G333" t="str">
            <v>Akbar I</v>
          </cell>
          <cell r="M333" t="str">
            <v>March</v>
          </cell>
          <cell r="N333">
            <v>45726</v>
          </cell>
          <cell r="O333" t="str">
            <v>NA</v>
          </cell>
          <cell r="P333" t="str">
            <v>Relevante</v>
          </cell>
          <cell r="R333" t="str">
            <v>FTE</v>
          </cell>
          <cell r="AA333" t="str">
            <v>NA</v>
          </cell>
          <cell r="AN333" t="str">
            <v>NA</v>
          </cell>
          <cell r="AO333">
            <v>4515</v>
          </cell>
          <cell r="AP333" t="str">
            <v>Done</v>
          </cell>
          <cell r="AR333">
            <v>276</v>
          </cell>
          <cell r="AS333" t="str">
            <v>JPC - 225222</v>
          </cell>
        </row>
        <row r="334">
          <cell r="A334">
            <v>1</v>
          </cell>
          <cell r="B334" t="str">
            <v>Titans</v>
          </cell>
          <cell r="C334" t="str">
            <v>Siara Barrera</v>
          </cell>
          <cell r="D334" t="str">
            <v>Hamza</v>
          </cell>
          <cell r="F334" t="str">
            <v>Nitin Saxena</v>
          </cell>
          <cell r="G334" t="str">
            <v>Nitin Saxena</v>
          </cell>
          <cell r="M334" t="str">
            <v>March</v>
          </cell>
          <cell r="N334">
            <v>45726</v>
          </cell>
          <cell r="O334" t="str">
            <v>NA</v>
          </cell>
          <cell r="P334" t="str">
            <v>WNS</v>
          </cell>
          <cell r="R334" t="str">
            <v>FTE</v>
          </cell>
          <cell r="AA334" t="str">
            <v>NA</v>
          </cell>
          <cell r="AN334" t="str">
            <v>NA</v>
          </cell>
          <cell r="AO334">
            <v>4576</v>
          </cell>
          <cell r="AP334" t="str">
            <v>Done</v>
          </cell>
          <cell r="AR334">
            <v>263</v>
          </cell>
          <cell r="AS334" t="str">
            <v>JPC - 225223</v>
          </cell>
        </row>
        <row r="335">
          <cell r="A335">
            <v>1</v>
          </cell>
          <cell r="B335" t="str">
            <v>Titans</v>
          </cell>
          <cell r="C335" t="str">
            <v>David Muhanad Kassis</v>
          </cell>
          <cell r="D335" t="str">
            <v>Santosh Singh</v>
          </cell>
          <cell r="F335" t="str">
            <v>Aditya Yadav</v>
          </cell>
          <cell r="G335" t="str">
            <v>Aditya Yadav</v>
          </cell>
          <cell r="M335" t="str">
            <v>March</v>
          </cell>
          <cell r="N335">
            <v>45733</v>
          </cell>
          <cell r="O335" t="str">
            <v>NA</v>
          </cell>
          <cell r="P335" t="str">
            <v>LTTS | Pratt &amp; Whitney</v>
          </cell>
          <cell r="R335" t="str">
            <v>FTE</v>
          </cell>
          <cell r="AA335" t="str">
            <v>NA</v>
          </cell>
          <cell r="AN335" t="str">
            <v>NA</v>
          </cell>
          <cell r="AO335">
            <v>5864</v>
          </cell>
          <cell r="AP335" t="str">
            <v>Done</v>
          </cell>
          <cell r="AR335">
            <v>250</v>
          </cell>
          <cell r="AS335" t="str">
            <v>JPC - 225224</v>
          </cell>
        </row>
        <row r="336">
          <cell r="A336">
            <v>1</v>
          </cell>
          <cell r="B336" t="str">
            <v>Titans</v>
          </cell>
          <cell r="C336" t="str">
            <v>Joshua Smith</v>
          </cell>
          <cell r="D336" t="str">
            <v>Shivam Sharma</v>
          </cell>
          <cell r="F336" t="str">
            <v>Aditya Yadav</v>
          </cell>
          <cell r="G336" t="str">
            <v>Aditya Yadav</v>
          </cell>
          <cell r="M336" t="str">
            <v>March</v>
          </cell>
          <cell r="N336">
            <v>45740</v>
          </cell>
          <cell r="O336" t="str">
            <v>NA</v>
          </cell>
          <cell r="P336" t="str">
            <v>LTTS | Harley Davidson</v>
          </cell>
          <cell r="R336" t="str">
            <v>FTE</v>
          </cell>
          <cell r="AA336" t="str">
            <v>NA</v>
          </cell>
          <cell r="AN336" t="str">
            <v>NA</v>
          </cell>
          <cell r="AO336">
            <v>6597</v>
          </cell>
          <cell r="AP336" t="str">
            <v>Done</v>
          </cell>
          <cell r="AR336">
            <v>237</v>
          </cell>
          <cell r="AS336" t="str">
            <v>JPC - 225225</v>
          </cell>
        </row>
        <row r="337">
          <cell r="A337">
            <v>1</v>
          </cell>
          <cell r="B337" t="str">
            <v>Titans</v>
          </cell>
          <cell r="C337" t="str">
            <v>Brianna Myers</v>
          </cell>
          <cell r="D337" t="str">
            <v>Samad Quraishi</v>
          </cell>
          <cell r="F337" t="str">
            <v>Nitin Saxena</v>
          </cell>
          <cell r="G337" t="str">
            <v>Nitin Saxena</v>
          </cell>
          <cell r="M337" t="str">
            <v>March</v>
          </cell>
          <cell r="N337">
            <v>45747</v>
          </cell>
          <cell r="O337" t="str">
            <v>NA</v>
          </cell>
          <cell r="P337" t="str">
            <v>WNS</v>
          </cell>
          <cell r="R337" t="str">
            <v>FTE</v>
          </cell>
          <cell r="AA337" t="str">
            <v>NA</v>
          </cell>
          <cell r="AN337" t="str">
            <v>NA</v>
          </cell>
          <cell r="AO337">
            <v>4784</v>
          </cell>
          <cell r="AP337" t="str">
            <v>Done</v>
          </cell>
          <cell r="AR337">
            <v>224</v>
          </cell>
          <cell r="AS337" t="str">
            <v>JPC - 225226</v>
          </cell>
        </row>
        <row r="338">
          <cell r="A338">
            <v>1</v>
          </cell>
          <cell r="B338" t="str">
            <v>Titans</v>
          </cell>
          <cell r="C338" t="str">
            <v>Marysol Serrano</v>
          </cell>
          <cell r="D338" t="str">
            <v>Samad Quraishi</v>
          </cell>
          <cell r="F338" t="str">
            <v>Nitin Saxena</v>
          </cell>
          <cell r="G338" t="str">
            <v>Nitin Saxena</v>
          </cell>
          <cell r="M338" t="str">
            <v>March</v>
          </cell>
          <cell r="N338">
            <v>45747</v>
          </cell>
          <cell r="O338" t="str">
            <v>NA</v>
          </cell>
          <cell r="P338" t="str">
            <v>WNS</v>
          </cell>
          <cell r="R338" t="str">
            <v>FTE</v>
          </cell>
          <cell r="AA338" t="str">
            <v>NA</v>
          </cell>
          <cell r="AN338" t="str">
            <v>NA</v>
          </cell>
          <cell r="AO338">
            <v>5200</v>
          </cell>
          <cell r="AP338" t="str">
            <v>Done</v>
          </cell>
          <cell r="AR338">
            <v>211</v>
          </cell>
          <cell r="AS338" t="str">
            <v>JPC - 225227</v>
          </cell>
        </row>
        <row r="339">
          <cell r="A339">
            <v>1</v>
          </cell>
          <cell r="B339" t="str">
            <v>Trust</v>
          </cell>
          <cell r="C339" t="str">
            <v>Ramiro Espinosa Zambrano</v>
          </cell>
          <cell r="D339" t="str">
            <v>Virendra Vikram Singh</v>
          </cell>
          <cell r="F339" t="str">
            <v>Bhanu Pratap Singh</v>
          </cell>
          <cell r="G339" t="str">
            <v>Harsh Agrawal</v>
          </cell>
          <cell r="M339" t="str">
            <v>March</v>
          </cell>
          <cell r="N339">
            <v>45719</v>
          </cell>
          <cell r="O339" t="str">
            <v>NA</v>
          </cell>
          <cell r="P339" t="str">
            <v>Infosys</v>
          </cell>
          <cell r="R339" t="str">
            <v>FTE</v>
          </cell>
          <cell r="AA339" t="str">
            <v>NA</v>
          </cell>
          <cell r="AN339" t="str">
            <v>NA</v>
          </cell>
          <cell r="AO339">
            <v>3500</v>
          </cell>
          <cell r="AP339" t="str">
            <v>Done</v>
          </cell>
          <cell r="AR339">
            <v>150</v>
          </cell>
          <cell r="AS339" t="str">
            <v>JPC - 225228</v>
          </cell>
        </row>
        <row r="340">
          <cell r="A340">
            <v>1</v>
          </cell>
          <cell r="B340" t="str">
            <v>Trust</v>
          </cell>
          <cell r="C340" t="str">
            <v>Seshagiri Kalluru</v>
          </cell>
          <cell r="D340" t="str">
            <v>Rajat Arora</v>
          </cell>
          <cell r="F340" t="str">
            <v>Bhanu Pratap Singh</v>
          </cell>
          <cell r="G340" t="str">
            <v>Harsh Agrawal</v>
          </cell>
          <cell r="M340" t="str">
            <v>March</v>
          </cell>
          <cell r="N340">
            <v>45733</v>
          </cell>
          <cell r="O340" t="str">
            <v>NA</v>
          </cell>
          <cell r="P340" t="str">
            <v>Infosys</v>
          </cell>
          <cell r="R340" t="str">
            <v>FTE</v>
          </cell>
          <cell r="AA340" t="str">
            <v>NA</v>
          </cell>
          <cell r="AN340" t="str">
            <v>NA</v>
          </cell>
          <cell r="AO340">
            <v>3500</v>
          </cell>
          <cell r="AP340" t="str">
            <v>Done</v>
          </cell>
          <cell r="AR340">
            <v>438</v>
          </cell>
          <cell r="AS340" t="str">
            <v>JPC - 225229</v>
          </cell>
        </row>
        <row r="341">
          <cell r="A341">
            <v>1</v>
          </cell>
          <cell r="B341" t="str">
            <v>Vantedge</v>
          </cell>
          <cell r="C341" t="str">
            <v>Pooja Agarwal</v>
          </cell>
          <cell r="D341" t="str">
            <v>Abhay Pratap Singh</v>
          </cell>
          <cell r="F341" t="str">
            <v>Umar Mujahid</v>
          </cell>
          <cell r="G341" t="str">
            <v>Umar Mujahid</v>
          </cell>
          <cell r="M341" t="str">
            <v>March</v>
          </cell>
          <cell r="N341">
            <v>45733</v>
          </cell>
          <cell r="O341" t="str">
            <v>NA</v>
          </cell>
          <cell r="P341" t="str">
            <v>Qualitest</v>
          </cell>
          <cell r="R341" t="str">
            <v>FTE</v>
          </cell>
          <cell r="AA341" t="str">
            <v>NA</v>
          </cell>
          <cell r="AN341" t="str">
            <v>NA</v>
          </cell>
          <cell r="AO341">
            <v>28500</v>
          </cell>
          <cell r="AP341" t="str">
            <v>Done</v>
          </cell>
          <cell r="AR341">
            <v>432</v>
          </cell>
          <cell r="AS341" t="str">
            <v>JPC - 225230</v>
          </cell>
        </row>
        <row r="342">
          <cell r="A342">
            <v>1</v>
          </cell>
          <cell r="B342" t="str">
            <v>Vantedge</v>
          </cell>
          <cell r="C342" t="str">
            <v>David Smith</v>
          </cell>
          <cell r="D342" t="str">
            <v>Umar M</v>
          </cell>
          <cell r="F342" t="str">
            <v>Umar Mujahid</v>
          </cell>
          <cell r="G342" t="str">
            <v>Umar Mujahid</v>
          </cell>
          <cell r="M342" t="str">
            <v>March</v>
          </cell>
          <cell r="N342">
            <v>45734</v>
          </cell>
          <cell r="O342" t="str">
            <v>NA</v>
          </cell>
          <cell r="P342" t="str">
            <v>PocketFM</v>
          </cell>
          <cell r="R342" t="str">
            <v>FTE</v>
          </cell>
          <cell r="AA342" t="str">
            <v>NA</v>
          </cell>
          <cell r="AN342" t="str">
            <v>NA</v>
          </cell>
          <cell r="AO342">
            <v>43200</v>
          </cell>
          <cell r="AP342" t="str">
            <v>Done</v>
          </cell>
          <cell r="AR342">
            <v>136</v>
          </cell>
          <cell r="AS342" t="str">
            <v>JPC - 225231</v>
          </cell>
        </row>
        <row r="343">
          <cell r="A343">
            <v>1</v>
          </cell>
          <cell r="B343" t="str">
            <v>Vantedge</v>
          </cell>
          <cell r="C343" t="str">
            <v> Kishore Ramakrishnan</v>
          </cell>
          <cell r="D343" t="str">
            <v> Shruti Shukla</v>
          </cell>
          <cell r="F343" t="str">
            <v>Mayank Saxena</v>
          </cell>
          <cell r="G343" t="str">
            <v>Mayank Saxena</v>
          </cell>
          <cell r="M343" t="str">
            <v>March</v>
          </cell>
          <cell r="N343">
            <v>45726</v>
          </cell>
          <cell r="O343" t="str">
            <v>NA</v>
          </cell>
          <cell r="P343" t="str">
            <v>Tredence</v>
          </cell>
          <cell r="R343" t="str">
            <v>FTE</v>
          </cell>
          <cell r="AA343" t="str">
            <v>NA</v>
          </cell>
          <cell r="AN343" t="str">
            <v>NA</v>
          </cell>
          <cell r="AO343">
            <v>12320</v>
          </cell>
          <cell r="AP343" t="str">
            <v>Done</v>
          </cell>
          <cell r="AR343">
            <v>438</v>
          </cell>
          <cell r="AS343" t="str">
            <v>JPC - 225232</v>
          </cell>
        </row>
        <row r="344">
          <cell r="A344">
            <v>1</v>
          </cell>
          <cell r="B344" t="str">
            <v>Vantedge</v>
          </cell>
          <cell r="C344" t="str">
            <v>Brandon Ross</v>
          </cell>
          <cell r="D344" t="str">
            <v>Priyansh Khare</v>
          </cell>
          <cell r="F344" t="str">
            <v>Anshul Kumar</v>
          </cell>
          <cell r="G344" t="str">
            <v>Anshul Kumar</v>
          </cell>
          <cell r="M344" t="str">
            <v>March</v>
          </cell>
          <cell r="N344">
            <v>45733</v>
          </cell>
          <cell r="O344" t="str">
            <v>NA</v>
          </cell>
          <cell r="P344" t="str">
            <v>VXI</v>
          </cell>
          <cell r="R344" t="str">
            <v>FTE</v>
          </cell>
          <cell r="AA344" t="str">
            <v>NA</v>
          </cell>
          <cell r="AN344" t="str">
            <v>NA</v>
          </cell>
          <cell r="AO344">
            <v>20250</v>
          </cell>
          <cell r="AP344" t="str">
            <v>Done</v>
          </cell>
          <cell r="AR344">
            <v>406</v>
          </cell>
          <cell r="AS344" t="str">
            <v>JPC - 225233</v>
          </cell>
        </row>
        <row r="345">
          <cell r="A345">
            <v>1</v>
          </cell>
          <cell r="B345" t="str">
            <v>Vantedge</v>
          </cell>
          <cell r="C345" t="str">
            <v>David Jaime illescas</v>
          </cell>
          <cell r="D345" t="str">
            <v> Anshul Kumar</v>
          </cell>
          <cell r="F345" t="str">
            <v>Anshul Kumar</v>
          </cell>
          <cell r="G345" t="str">
            <v>Anshul Kumar</v>
          </cell>
          <cell r="M345" t="str">
            <v>March</v>
          </cell>
          <cell r="N345">
            <v>45740</v>
          </cell>
          <cell r="O345" t="str">
            <v>NA</v>
          </cell>
          <cell r="P345" t="str">
            <v>ACL Digital</v>
          </cell>
          <cell r="R345" t="str">
            <v>FTE</v>
          </cell>
          <cell r="AA345" t="str">
            <v>NA</v>
          </cell>
          <cell r="AN345" t="str">
            <v>NA</v>
          </cell>
          <cell r="AO345">
            <v>39600</v>
          </cell>
          <cell r="AP345" t="str">
            <v>Done</v>
          </cell>
          <cell r="AR345">
            <v>393</v>
          </cell>
          <cell r="AS345" t="str">
            <v>JPC - 225234</v>
          </cell>
        </row>
        <row r="346">
          <cell r="A346">
            <v>1</v>
          </cell>
          <cell r="B346" t="str">
            <v>Pioneer RPO</v>
          </cell>
          <cell r="C346" t="str">
            <v>Tom Simcox</v>
          </cell>
          <cell r="D346" t="str">
            <v>Sagar Chandani</v>
          </cell>
          <cell r="F346" t="str">
            <v>Ankit Pandey</v>
          </cell>
          <cell r="G346" t="str">
            <v>Shubham Rastogi</v>
          </cell>
          <cell r="M346" t="str">
            <v>March</v>
          </cell>
          <cell r="N346">
            <v>45717</v>
          </cell>
          <cell r="O346" t="str">
            <v>NA</v>
          </cell>
          <cell r="P346" t="str">
            <v xml:space="preserve">GPC IT </v>
          </cell>
          <cell r="R346" t="str">
            <v>FTE</v>
          </cell>
          <cell r="AA346" t="str">
            <v>NA</v>
          </cell>
          <cell r="AN346" t="str">
            <v>NA</v>
          </cell>
          <cell r="AO346">
            <v>300</v>
          </cell>
          <cell r="AP346" t="str">
            <v>Done</v>
          </cell>
          <cell r="AR346">
            <v>380</v>
          </cell>
          <cell r="AS346" t="str">
            <v>JPC - 225235</v>
          </cell>
        </row>
        <row r="347">
          <cell r="A347">
            <v>1</v>
          </cell>
          <cell r="B347" t="str">
            <v>Pioneer RPO</v>
          </cell>
          <cell r="C347" t="str">
            <v>Sundaram Saminathan</v>
          </cell>
          <cell r="D347" t="str">
            <v>Sagar Chandani</v>
          </cell>
          <cell r="F347" t="str">
            <v>Ankit Pandey</v>
          </cell>
          <cell r="G347" t="str">
            <v>Shubham Rastogi</v>
          </cell>
          <cell r="M347" t="str">
            <v>March</v>
          </cell>
          <cell r="N347">
            <v>45728</v>
          </cell>
          <cell r="O347" t="str">
            <v>NA</v>
          </cell>
          <cell r="P347" t="str">
            <v xml:space="preserve">GPC IT </v>
          </cell>
          <cell r="R347" t="str">
            <v>FTE</v>
          </cell>
          <cell r="AA347" t="str">
            <v>NA</v>
          </cell>
          <cell r="AN347" t="str">
            <v>NA</v>
          </cell>
          <cell r="AO347">
            <v>3000</v>
          </cell>
          <cell r="AP347" t="str">
            <v>Done</v>
          </cell>
          <cell r="AR347">
            <v>367</v>
          </cell>
          <cell r="AS347" t="str">
            <v>JPC - 225236</v>
          </cell>
        </row>
        <row r="348">
          <cell r="A348">
            <v>1</v>
          </cell>
          <cell r="B348" t="str">
            <v>Pioneer RPO</v>
          </cell>
          <cell r="C348" t="str">
            <v>Raghu Guttikonda</v>
          </cell>
          <cell r="D348" t="str">
            <v>Shubham Rastogi</v>
          </cell>
          <cell r="F348" t="str">
            <v>Ankit Pandey</v>
          </cell>
          <cell r="G348" t="str">
            <v>Shubham Rastogi</v>
          </cell>
          <cell r="M348" t="str">
            <v>March</v>
          </cell>
          <cell r="N348">
            <v>45733</v>
          </cell>
          <cell r="O348" t="str">
            <v>NA</v>
          </cell>
          <cell r="P348" t="str">
            <v xml:space="preserve">GPC IT </v>
          </cell>
          <cell r="R348" t="str">
            <v>FTE</v>
          </cell>
          <cell r="AA348" t="str">
            <v>NA</v>
          </cell>
          <cell r="AN348" t="str">
            <v>NA</v>
          </cell>
          <cell r="AO348">
            <v>3000</v>
          </cell>
          <cell r="AP348" t="str">
            <v>Done</v>
          </cell>
          <cell r="AR348">
            <v>354</v>
          </cell>
          <cell r="AS348" t="str">
            <v>JPC - 225237</v>
          </cell>
        </row>
        <row r="349">
          <cell r="A349">
            <v>1</v>
          </cell>
          <cell r="B349" t="str">
            <v>Vantedge</v>
          </cell>
          <cell r="C349" t="str">
            <v>Mary Andrews</v>
          </cell>
          <cell r="D349" t="str">
            <v>Rashmi Bhatnagar</v>
          </cell>
          <cell r="F349" t="str">
            <v>Rashmi Bhatnagar</v>
          </cell>
          <cell r="G349" t="str">
            <v>Rashmi Bhatnagar</v>
          </cell>
          <cell r="M349" t="str">
            <v>March</v>
          </cell>
          <cell r="N349">
            <v>45728</v>
          </cell>
          <cell r="O349" t="str">
            <v>NA</v>
          </cell>
          <cell r="P349" t="str">
            <v>Sutherland</v>
          </cell>
          <cell r="R349" t="str">
            <v>FTE</v>
          </cell>
          <cell r="AA349" t="str">
            <v>NA</v>
          </cell>
          <cell r="AN349" t="str">
            <v>NA</v>
          </cell>
          <cell r="AO349">
            <v>4808.75</v>
          </cell>
          <cell r="AP349" t="str">
            <v>Done</v>
          </cell>
          <cell r="AR349">
            <v>341</v>
          </cell>
          <cell r="AS349" t="str">
            <v>JPC - 225238</v>
          </cell>
        </row>
        <row r="350">
          <cell r="A350">
            <v>1</v>
          </cell>
          <cell r="B350" t="str">
            <v>Vantedge</v>
          </cell>
          <cell r="C350" t="str">
            <v>Alex Dee</v>
          </cell>
          <cell r="D350" t="str">
            <v>Devansh Mishra</v>
          </cell>
          <cell r="F350" t="str">
            <v>Anshul Kumar</v>
          </cell>
          <cell r="G350" t="str">
            <v>Raunak Tripathi</v>
          </cell>
          <cell r="M350" t="str">
            <v>March</v>
          </cell>
          <cell r="N350">
            <v>45747</v>
          </cell>
          <cell r="O350">
            <v>45762</v>
          </cell>
          <cell r="P350" t="str">
            <v>Waverly</v>
          </cell>
          <cell r="R350" t="str">
            <v>FTE</v>
          </cell>
          <cell r="AA350" t="str">
            <v>NA</v>
          </cell>
          <cell r="AN350" t="str">
            <v>NA</v>
          </cell>
          <cell r="AO350">
            <v>0</v>
          </cell>
          <cell r="AP350" t="str">
            <v>Done</v>
          </cell>
          <cell r="AR350">
            <v>328</v>
          </cell>
          <cell r="AS350" t="str">
            <v>JPC - 225239</v>
          </cell>
        </row>
        <row r="351">
          <cell r="A351">
            <v>1</v>
          </cell>
          <cell r="B351" t="str">
            <v>Vantedge</v>
          </cell>
          <cell r="C351" t="str">
            <v>Satish Manam</v>
          </cell>
          <cell r="D351" t="str">
            <v>Govind Srivastava</v>
          </cell>
          <cell r="F351" t="str">
            <v>Mayank Saxena</v>
          </cell>
          <cell r="G351" t="str">
            <v>Mayank Saxena</v>
          </cell>
          <cell r="M351" t="str">
            <v>March</v>
          </cell>
          <cell r="N351">
            <v>45740</v>
          </cell>
          <cell r="O351" t="str">
            <v>NA</v>
          </cell>
          <cell r="P351" t="str">
            <v>Quess</v>
          </cell>
          <cell r="R351" t="str">
            <v>FTE</v>
          </cell>
          <cell r="AA351" t="str">
            <v>NA</v>
          </cell>
          <cell r="AN351" t="str">
            <v>NA</v>
          </cell>
          <cell r="AO351">
            <v>29900</v>
          </cell>
          <cell r="AP351" t="str">
            <v>Done</v>
          </cell>
          <cell r="AR351">
            <v>315</v>
          </cell>
          <cell r="AS351" t="str">
            <v>JPC - 225240</v>
          </cell>
        </row>
        <row r="352">
          <cell r="A352">
            <v>1</v>
          </cell>
          <cell r="B352" t="str">
            <v>Titans</v>
          </cell>
          <cell r="C352" t="str">
            <v>Alex Gonzalez</v>
          </cell>
          <cell r="D352" t="str">
            <v>Hamza</v>
          </cell>
          <cell r="F352" t="str">
            <v>Nitin Saxena</v>
          </cell>
          <cell r="G352" t="str">
            <v>Nitin Saxena</v>
          </cell>
          <cell r="M352" t="str">
            <v>April</v>
          </cell>
          <cell r="N352">
            <v>45748</v>
          </cell>
          <cell r="O352" t="str">
            <v>NA</v>
          </cell>
          <cell r="P352" t="str">
            <v>WNS</v>
          </cell>
          <cell r="R352" t="str">
            <v>FTE</v>
          </cell>
          <cell r="AA352" t="str">
            <v>NA</v>
          </cell>
          <cell r="AN352" t="str">
            <v>NA</v>
          </cell>
          <cell r="AO352">
            <v>4992</v>
          </cell>
          <cell r="AP352" t="str">
            <v>Done</v>
          </cell>
          <cell r="AR352">
            <v>302</v>
          </cell>
          <cell r="AS352" t="str">
            <v>JPC - 225241</v>
          </cell>
        </row>
        <row r="353">
          <cell r="A353">
            <v>1</v>
          </cell>
          <cell r="B353" t="str">
            <v>Wellness Warriors - Healthcare</v>
          </cell>
          <cell r="C353" t="str">
            <v>Erika Blanco</v>
          </cell>
          <cell r="D353" t="str">
            <v>Ananya Agarwal</v>
          </cell>
          <cell r="F353" t="str">
            <v>Ranveer Kumar</v>
          </cell>
          <cell r="M353" t="str">
            <v>April</v>
          </cell>
          <cell r="N353">
            <v>45754</v>
          </cell>
          <cell r="O353" t="str">
            <v>NA</v>
          </cell>
          <cell r="P353" t="str">
            <v>CBREX</v>
          </cell>
          <cell r="R353" t="str">
            <v>FTE</v>
          </cell>
          <cell r="AA353" t="str">
            <v>NA</v>
          </cell>
          <cell r="AN353" t="str">
            <v>NA</v>
          </cell>
          <cell r="AO353">
            <v>3250</v>
          </cell>
          <cell r="AP353" t="str">
            <v>Done</v>
          </cell>
          <cell r="AR353">
            <v>289</v>
          </cell>
          <cell r="AS353" t="str">
            <v>JPC - 225242</v>
          </cell>
        </row>
        <row r="354">
          <cell r="A354">
            <v>1</v>
          </cell>
          <cell r="B354" t="str">
            <v>Wellness Warriors-IT</v>
          </cell>
          <cell r="C354" t="str">
            <v>Desmond Ejimbo Amadigwe</v>
          </cell>
          <cell r="D354" t="str">
            <v>Abdul Rahman</v>
          </cell>
          <cell r="F354" t="str">
            <v>Abdul Rahman</v>
          </cell>
          <cell r="M354" t="str">
            <v>April</v>
          </cell>
          <cell r="N354">
            <v>45750</v>
          </cell>
          <cell r="O354" t="str">
            <v>NA</v>
          </cell>
          <cell r="P354" t="str">
            <v>LTIMindtree</v>
          </cell>
          <cell r="R354" t="str">
            <v>FTE</v>
          </cell>
          <cell r="AA354" t="str">
            <v>NA</v>
          </cell>
          <cell r="AN354" t="str">
            <v>NA</v>
          </cell>
          <cell r="AO354">
            <v>3500</v>
          </cell>
          <cell r="AP354" t="str">
            <v>Done</v>
          </cell>
          <cell r="AR354">
            <v>276</v>
          </cell>
          <cell r="AS354" t="str">
            <v>JPC - 225243</v>
          </cell>
        </row>
        <row r="355">
          <cell r="A355">
            <v>1</v>
          </cell>
          <cell r="B355" t="str">
            <v>Vantedge</v>
          </cell>
          <cell r="C355" t="str">
            <v>Praveen Narayana</v>
          </cell>
          <cell r="D355" t="str">
            <v>Abhay Pratap Singh</v>
          </cell>
          <cell r="F355" t="str">
            <v>Umar Mujahid</v>
          </cell>
          <cell r="G355" t="str">
            <v>Umar Mujahid</v>
          </cell>
          <cell r="M355" t="str">
            <v>April</v>
          </cell>
          <cell r="N355">
            <v>45761</v>
          </cell>
          <cell r="O355" t="str">
            <v>NA</v>
          </cell>
          <cell r="P355" t="str">
            <v>Tech Mahindra</v>
          </cell>
          <cell r="R355" t="str">
            <v>FTE</v>
          </cell>
          <cell r="AA355" t="str">
            <v>NA</v>
          </cell>
          <cell r="AN355" t="str">
            <v>NA</v>
          </cell>
          <cell r="AO355">
            <v>20825</v>
          </cell>
          <cell r="AP355" t="str">
            <v>Done</v>
          </cell>
          <cell r="AR355">
            <v>263</v>
          </cell>
          <cell r="AS355" t="str">
            <v>JPC - 225244</v>
          </cell>
        </row>
        <row r="356">
          <cell r="A356">
            <v>1</v>
          </cell>
          <cell r="B356" t="str">
            <v>Vantedge</v>
          </cell>
          <cell r="C356" t="str">
            <v>Helen Kim</v>
          </cell>
          <cell r="D356" t="str">
            <v>Ranjeet Kumar</v>
          </cell>
          <cell r="F356" t="str">
            <v>Raunak Tripathi</v>
          </cell>
          <cell r="G356" t="str">
            <v>Raunak Tripathi</v>
          </cell>
          <cell r="M356" t="str">
            <v>April</v>
          </cell>
          <cell r="N356">
            <v>45754</v>
          </cell>
          <cell r="O356" t="str">
            <v>NA</v>
          </cell>
          <cell r="P356" t="str">
            <v>Coforge</v>
          </cell>
          <cell r="R356" t="str">
            <v>FTE</v>
          </cell>
          <cell r="AA356" t="str">
            <v>NA</v>
          </cell>
          <cell r="AN356" t="str">
            <v>NA</v>
          </cell>
          <cell r="AO356">
            <v>33000</v>
          </cell>
          <cell r="AP356" t="str">
            <v>Done</v>
          </cell>
          <cell r="AR356">
            <v>250</v>
          </cell>
          <cell r="AS356" t="str">
            <v>JPC - 225245</v>
          </cell>
        </row>
        <row r="357">
          <cell r="A357">
            <v>1</v>
          </cell>
          <cell r="B357" t="str">
            <v>Vantedge</v>
          </cell>
          <cell r="C357" t="str">
            <v>Maria Flock</v>
          </cell>
          <cell r="D357" t="str">
            <v>Alok Mishra</v>
          </cell>
          <cell r="F357" t="str">
            <v>Alok Mishra</v>
          </cell>
          <cell r="G357" t="str">
            <v>Alok Mishra</v>
          </cell>
          <cell r="M357" t="str">
            <v>April</v>
          </cell>
          <cell r="N357">
            <v>45754</v>
          </cell>
          <cell r="O357" t="str">
            <v>NA</v>
          </cell>
          <cell r="P357" t="str">
            <v>Sutherland</v>
          </cell>
          <cell r="R357" t="str">
            <v>FTE</v>
          </cell>
          <cell r="AA357" t="str">
            <v>NA</v>
          </cell>
          <cell r="AN357" t="str">
            <v>NA</v>
          </cell>
          <cell r="AO357">
            <v>65000</v>
          </cell>
          <cell r="AP357" t="str">
            <v>Done</v>
          </cell>
          <cell r="AR357">
            <v>237</v>
          </cell>
          <cell r="AS357" t="str">
            <v>JPC - 225246</v>
          </cell>
        </row>
        <row r="358">
          <cell r="A358">
            <v>1</v>
          </cell>
          <cell r="B358" t="str">
            <v>Trust</v>
          </cell>
          <cell r="C358" t="str">
            <v>Colin Simpson</v>
          </cell>
          <cell r="D358" t="str">
            <v>Anshika Srivastava</v>
          </cell>
          <cell r="F358" t="str">
            <v>Bhanu Pratap Singh</v>
          </cell>
          <cell r="G358" t="str">
            <v>Shashank Yadav</v>
          </cell>
          <cell r="M358" t="str">
            <v>April</v>
          </cell>
          <cell r="N358">
            <v>45761</v>
          </cell>
          <cell r="O358" t="str">
            <v>NA</v>
          </cell>
          <cell r="P358" t="str">
            <v>Reflik</v>
          </cell>
          <cell r="R358" t="str">
            <v>FTE</v>
          </cell>
          <cell r="AA358" t="str">
            <v>NA</v>
          </cell>
          <cell r="AN358" t="str">
            <v>NA</v>
          </cell>
          <cell r="AO358">
            <v>5000</v>
          </cell>
          <cell r="AP358" t="str">
            <v>Done</v>
          </cell>
          <cell r="AR358">
            <v>224</v>
          </cell>
          <cell r="AS358" t="str">
            <v>JPC - 225247</v>
          </cell>
        </row>
        <row r="359">
          <cell r="A359">
            <v>1</v>
          </cell>
          <cell r="B359" t="str">
            <v>Titans</v>
          </cell>
          <cell r="C359" t="str">
            <v>Steven Cruz</v>
          </cell>
          <cell r="D359" t="str">
            <v>Aviral Shukla</v>
          </cell>
          <cell r="F359" t="str">
            <v>Nitin Saxena</v>
          </cell>
          <cell r="G359" t="str">
            <v>Nitin Saxena</v>
          </cell>
          <cell r="M359" t="str">
            <v>April</v>
          </cell>
          <cell r="N359">
            <v>45775</v>
          </cell>
          <cell r="O359" t="str">
            <v>NA</v>
          </cell>
          <cell r="P359" t="str">
            <v>Genpact</v>
          </cell>
          <cell r="R359" t="str">
            <v>FTE</v>
          </cell>
          <cell r="AA359" t="str">
            <v>NA</v>
          </cell>
          <cell r="AN359" t="str">
            <v>NA</v>
          </cell>
          <cell r="AO359">
            <v>4500</v>
          </cell>
          <cell r="AP359" t="str">
            <v>Done</v>
          </cell>
          <cell r="AR359">
            <v>211</v>
          </cell>
          <cell r="AS359" t="str">
            <v>JPC - 225248</v>
          </cell>
        </row>
        <row r="360">
          <cell r="A360">
            <v>1</v>
          </cell>
          <cell r="B360" t="str">
            <v>Titans</v>
          </cell>
          <cell r="C360" t="str">
            <v>Panchanan Nayak</v>
          </cell>
          <cell r="D360" t="str">
            <v>Noor</v>
          </cell>
          <cell r="M360" t="str">
            <v>April</v>
          </cell>
          <cell r="N360">
            <v>45770</v>
          </cell>
          <cell r="O360" t="str">
            <v>NA</v>
          </cell>
          <cell r="P360" t="str">
            <v>Genpact</v>
          </cell>
          <cell r="R360" t="str">
            <v>FTE</v>
          </cell>
          <cell r="AA360" t="str">
            <v>NA</v>
          </cell>
          <cell r="AN360" t="str">
            <v>NA</v>
          </cell>
          <cell r="AO360">
            <v>8096</v>
          </cell>
          <cell r="AP360" t="str">
            <v>Done</v>
          </cell>
          <cell r="AR360">
            <v>150</v>
          </cell>
          <cell r="AS360" t="str">
            <v>JPC - 225249</v>
          </cell>
        </row>
        <row r="361">
          <cell r="A361">
            <v>1</v>
          </cell>
          <cell r="B361" t="str">
            <v>Trust</v>
          </cell>
          <cell r="C361" t="str">
            <v>Senthil Kumar Kathirvel</v>
          </cell>
          <cell r="D361" t="str">
            <v>Pushpendra Kumar</v>
          </cell>
          <cell r="F361" t="str">
            <v>Bhanu Pratap Singh</v>
          </cell>
          <cell r="G361" t="str">
            <v>Harsh Agrawal</v>
          </cell>
          <cell r="M361" t="str">
            <v>April</v>
          </cell>
          <cell r="N361">
            <v>45768</v>
          </cell>
          <cell r="O361" t="str">
            <v>NA</v>
          </cell>
          <cell r="P361" t="str">
            <v>Infosys</v>
          </cell>
          <cell r="R361" t="str">
            <v>FTE</v>
          </cell>
          <cell r="AA361" t="str">
            <v>NA</v>
          </cell>
          <cell r="AN361" t="str">
            <v>NA</v>
          </cell>
          <cell r="AO361">
            <v>3500</v>
          </cell>
          <cell r="AP361" t="str">
            <v>Done</v>
          </cell>
          <cell r="AR361">
            <v>438</v>
          </cell>
          <cell r="AS361" t="str">
            <v>JPC - 225250</v>
          </cell>
        </row>
        <row r="362">
          <cell r="A362">
            <v>1</v>
          </cell>
          <cell r="B362" t="str">
            <v>Trust</v>
          </cell>
          <cell r="C362" t="str">
            <v>Smita Pattanaik</v>
          </cell>
          <cell r="D362" t="str">
            <v>Harsh Shukla</v>
          </cell>
          <cell r="F362" t="str">
            <v>Bhanu Pratap Singh</v>
          </cell>
          <cell r="G362" t="str">
            <v>Harsh Agrawal</v>
          </cell>
          <cell r="M362" t="str">
            <v>April</v>
          </cell>
          <cell r="N362">
            <v>45775</v>
          </cell>
          <cell r="O362" t="str">
            <v>NA</v>
          </cell>
          <cell r="P362" t="str">
            <v>Infosys</v>
          </cell>
          <cell r="R362" t="str">
            <v>FTE</v>
          </cell>
          <cell r="AA362" t="str">
            <v>NA</v>
          </cell>
          <cell r="AN362" t="str">
            <v>NA</v>
          </cell>
          <cell r="AO362">
            <v>3500</v>
          </cell>
          <cell r="AP362" t="str">
            <v>Done</v>
          </cell>
          <cell r="AR362">
            <v>432</v>
          </cell>
          <cell r="AS362" t="str">
            <v>JPC - 225251</v>
          </cell>
        </row>
        <row r="363">
          <cell r="A363">
            <v>1</v>
          </cell>
          <cell r="B363" t="str">
            <v>Trust</v>
          </cell>
          <cell r="C363" t="str">
            <v>Srinivas Guntupalli</v>
          </cell>
          <cell r="D363" t="str">
            <v>Aman Singh Chauhan</v>
          </cell>
          <cell r="F363" t="str">
            <v>Bhanu Pratap Singh</v>
          </cell>
          <cell r="G363" t="str">
            <v>Shashank Yadav</v>
          </cell>
          <cell r="M363" t="str">
            <v>April</v>
          </cell>
          <cell r="N363">
            <v>45775</v>
          </cell>
          <cell r="O363" t="str">
            <v>NA</v>
          </cell>
          <cell r="P363" t="str">
            <v>Infosys</v>
          </cell>
          <cell r="R363" t="str">
            <v>FTE</v>
          </cell>
          <cell r="AA363" t="str">
            <v>NA</v>
          </cell>
          <cell r="AN363" t="str">
            <v>NA</v>
          </cell>
          <cell r="AO363">
            <v>3500</v>
          </cell>
          <cell r="AP363" t="str">
            <v>Done</v>
          </cell>
          <cell r="AR363">
            <v>136</v>
          </cell>
          <cell r="AS363" t="str">
            <v>JPC - 225252</v>
          </cell>
        </row>
        <row r="364">
          <cell r="A364">
            <v>1</v>
          </cell>
          <cell r="B364" t="str">
            <v>Pioneer RPO</v>
          </cell>
          <cell r="C364" t="str">
            <v>Juan Peyrani</v>
          </cell>
          <cell r="D364" t="str">
            <v xml:space="preserve">Priyanka Mishra </v>
          </cell>
          <cell r="F364" t="str">
            <v>Ankit Pandey</v>
          </cell>
          <cell r="G364" t="str">
            <v>Shubham Rastogi</v>
          </cell>
          <cell r="M364" t="str">
            <v>April</v>
          </cell>
          <cell r="N364">
            <v>45748</v>
          </cell>
          <cell r="O364" t="str">
            <v>NA</v>
          </cell>
          <cell r="P364" t="str">
            <v xml:space="preserve">GPC IT </v>
          </cell>
          <cell r="R364" t="str">
            <v>FTE</v>
          </cell>
          <cell r="AA364" t="str">
            <v>NA</v>
          </cell>
          <cell r="AN364" t="str">
            <v>NA</v>
          </cell>
          <cell r="AO364">
            <v>300</v>
          </cell>
          <cell r="AP364" t="str">
            <v>Done</v>
          </cell>
          <cell r="AR364">
            <v>438</v>
          </cell>
          <cell r="AS364" t="str">
            <v>JPC - 225253</v>
          </cell>
        </row>
        <row r="365">
          <cell r="A365">
            <v>1</v>
          </cell>
          <cell r="B365" t="str">
            <v>Pioneer RPO</v>
          </cell>
          <cell r="C365" t="str">
            <v>Bryce Benjamin</v>
          </cell>
          <cell r="D365" t="str">
            <v xml:space="preserve">Priyanka Mishra </v>
          </cell>
          <cell r="F365" t="str">
            <v>Ankit Pandey</v>
          </cell>
          <cell r="G365" t="str">
            <v>Shubham Rastogi</v>
          </cell>
          <cell r="M365" t="str">
            <v>April</v>
          </cell>
          <cell r="N365">
            <v>45763</v>
          </cell>
          <cell r="O365" t="str">
            <v>NA</v>
          </cell>
          <cell r="P365" t="str">
            <v xml:space="preserve">GPC IT </v>
          </cell>
          <cell r="R365" t="str">
            <v>FTE</v>
          </cell>
          <cell r="AA365" t="str">
            <v>NA</v>
          </cell>
          <cell r="AN365" t="str">
            <v>NA</v>
          </cell>
          <cell r="AO365">
            <v>300</v>
          </cell>
          <cell r="AP365" t="str">
            <v>Done</v>
          </cell>
          <cell r="AR365">
            <v>406</v>
          </cell>
          <cell r="AS365" t="str">
            <v>JPC - 225254</v>
          </cell>
        </row>
        <row r="366">
          <cell r="A366">
            <v>1</v>
          </cell>
          <cell r="B366" t="str">
            <v>Wellness Warriors - Healthcare</v>
          </cell>
          <cell r="C366" t="str">
            <v xml:space="preserve">Elliott EL-Amin </v>
          </cell>
          <cell r="D366" t="str">
            <v>Anuj Kumar</v>
          </cell>
          <cell r="F366" t="str">
            <v>Abhishek Singh</v>
          </cell>
          <cell r="M366" t="str">
            <v>April</v>
          </cell>
          <cell r="N366">
            <v>45768</v>
          </cell>
          <cell r="O366" t="str">
            <v>NA</v>
          </cell>
          <cell r="P366" t="str">
            <v>CBREX</v>
          </cell>
          <cell r="R366" t="str">
            <v>FTE</v>
          </cell>
          <cell r="AA366" t="str">
            <v>NA</v>
          </cell>
          <cell r="AN366" t="str">
            <v>NA</v>
          </cell>
          <cell r="AO366">
            <v>3500</v>
          </cell>
          <cell r="AP366" t="str">
            <v>Done</v>
          </cell>
          <cell r="AR366">
            <v>393</v>
          </cell>
          <cell r="AS366" t="str">
            <v>JPC - 225255</v>
          </cell>
        </row>
        <row r="367">
          <cell r="A367">
            <v>1</v>
          </cell>
          <cell r="B367" t="str">
            <v>Pioneer - Lucky</v>
          </cell>
          <cell r="C367" t="str">
            <v>Sriram Srinivasan</v>
          </cell>
          <cell r="D367" t="str">
            <v>Ansh Singh Rathore</v>
          </cell>
          <cell r="F367" t="str">
            <v>Lucky Jain</v>
          </cell>
          <cell r="G367" t="str">
            <v>Lucky Jain</v>
          </cell>
          <cell r="M367" t="str">
            <v>April</v>
          </cell>
          <cell r="N367">
            <v>45775</v>
          </cell>
          <cell r="O367" t="str">
            <v>NA</v>
          </cell>
          <cell r="P367" t="str">
            <v>LTIMindtree</v>
          </cell>
          <cell r="R367" t="str">
            <v>FTE</v>
          </cell>
          <cell r="AA367" t="str">
            <v>NA</v>
          </cell>
          <cell r="AN367" t="str">
            <v>NA</v>
          </cell>
          <cell r="AO367">
            <v>0</v>
          </cell>
          <cell r="AP367" t="str">
            <v>Done</v>
          </cell>
          <cell r="AR367">
            <v>380</v>
          </cell>
          <cell r="AS367" t="str">
            <v>JPC - 225256</v>
          </cell>
        </row>
        <row r="368">
          <cell r="A368">
            <v>1</v>
          </cell>
          <cell r="B368" t="str">
            <v>Titans</v>
          </cell>
          <cell r="C368" t="str">
            <v>Breanna Gonzalez</v>
          </cell>
          <cell r="D368" t="str">
            <v>Samad Quraishi</v>
          </cell>
          <cell r="F368" t="str">
            <v>Nitin Saxena</v>
          </cell>
          <cell r="G368" t="str">
            <v>Nitin Saxena</v>
          </cell>
          <cell r="M368" t="str">
            <v>April</v>
          </cell>
          <cell r="N368">
            <v>45748</v>
          </cell>
          <cell r="O368">
            <v>45829</v>
          </cell>
          <cell r="P368" t="str">
            <v>WNS</v>
          </cell>
          <cell r="R368" t="str">
            <v>FTE</v>
          </cell>
          <cell r="AA368" t="str">
            <v>NA</v>
          </cell>
          <cell r="AN368" t="str">
            <v>NA</v>
          </cell>
          <cell r="AP368" t="str">
            <v>Done</v>
          </cell>
          <cell r="AR368">
            <v>367</v>
          </cell>
          <cell r="AS368" t="str">
            <v>JPC - 225257</v>
          </cell>
        </row>
        <row r="369">
          <cell r="A369">
            <v>1</v>
          </cell>
          <cell r="B369" t="str">
            <v>Titans</v>
          </cell>
          <cell r="C369" t="str">
            <v>Yuleisa Cordova</v>
          </cell>
          <cell r="D369" t="str">
            <v>Hamza</v>
          </cell>
          <cell r="F369" t="str">
            <v>Nitin Saxena</v>
          </cell>
          <cell r="G369" t="str">
            <v>Nitin Saxena</v>
          </cell>
          <cell r="M369" t="str">
            <v>April</v>
          </cell>
          <cell r="N369">
            <v>45748</v>
          </cell>
          <cell r="O369" t="str">
            <v>NA</v>
          </cell>
          <cell r="P369" t="str">
            <v>WNS</v>
          </cell>
          <cell r="R369" t="str">
            <v>FTE</v>
          </cell>
          <cell r="AA369" t="str">
            <v>NA</v>
          </cell>
          <cell r="AN369" t="str">
            <v>NA</v>
          </cell>
          <cell r="AO369">
            <v>5200</v>
          </cell>
          <cell r="AP369" t="str">
            <v>Done</v>
          </cell>
          <cell r="AR369">
            <v>354</v>
          </cell>
          <cell r="AS369" t="str">
            <v>JPC - 225258</v>
          </cell>
        </row>
        <row r="370">
          <cell r="A370">
            <v>1</v>
          </cell>
          <cell r="B370" t="str">
            <v>Vantedge</v>
          </cell>
          <cell r="C370" t="str">
            <v>Shekhar Patwardhan</v>
          </cell>
          <cell r="D370" t="str">
            <v> Mayank Saxena</v>
          </cell>
          <cell r="F370" t="str">
            <v>Mayank Saxena</v>
          </cell>
          <cell r="G370" t="str">
            <v>Mayank Saxena</v>
          </cell>
          <cell r="M370" t="str">
            <v>May</v>
          </cell>
          <cell r="N370">
            <v>45782</v>
          </cell>
          <cell r="O370" t="str">
            <v>NA</v>
          </cell>
          <cell r="P370" t="str">
            <v>Sutherland</v>
          </cell>
          <cell r="R370" t="str">
            <v>FTE</v>
          </cell>
          <cell r="AA370" t="str">
            <v>NA</v>
          </cell>
          <cell r="AN370" t="str">
            <v>NA</v>
          </cell>
          <cell r="AO370">
            <v>62500</v>
          </cell>
          <cell r="AP370" t="str">
            <v>Done</v>
          </cell>
          <cell r="AR370">
            <v>341</v>
          </cell>
          <cell r="AS370" t="str">
            <v>JPC - 225259</v>
          </cell>
        </row>
        <row r="371">
          <cell r="A371">
            <v>1</v>
          </cell>
          <cell r="B371" t="str">
            <v>Vantedge</v>
          </cell>
          <cell r="C371" t="str">
            <v>Donna Hulina</v>
          </cell>
          <cell r="D371" t="str">
            <v>Govind Srivastava</v>
          </cell>
          <cell r="F371" t="str">
            <v>Mayank Saxena</v>
          </cell>
          <cell r="G371" t="str">
            <v>Mayank Saxena</v>
          </cell>
          <cell r="M371" t="str">
            <v>May</v>
          </cell>
          <cell r="N371">
            <v>45789</v>
          </cell>
          <cell r="O371" t="str">
            <v>NA</v>
          </cell>
          <cell r="P371" t="str">
            <v>Myridius</v>
          </cell>
          <cell r="R371" t="str">
            <v>FTE</v>
          </cell>
          <cell r="AA371" t="str">
            <v>NA</v>
          </cell>
          <cell r="AN371" t="str">
            <v>NA</v>
          </cell>
          <cell r="AO371">
            <v>21600</v>
          </cell>
          <cell r="AP371" t="str">
            <v>Done</v>
          </cell>
          <cell r="AR371">
            <v>328</v>
          </cell>
          <cell r="AS371" t="str">
            <v>JPC - 225260</v>
          </cell>
        </row>
        <row r="372">
          <cell r="A372">
            <v>1</v>
          </cell>
          <cell r="B372" t="str">
            <v>Vantedge</v>
          </cell>
          <cell r="C372" t="str">
            <v>Shawn Elkon</v>
          </cell>
          <cell r="D372" t="str">
            <v>Priyansh Khare</v>
          </cell>
          <cell r="F372" t="str">
            <v>Umar Mujahid</v>
          </cell>
          <cell r="G372" t="str">
            <v>Anshul Kumar</v>
          </cell>
          <cell r="M372" t="str">
            <v>May</v>
          </cell>
          <cell r="N372">
            <v>45782</v>
          </cell>
          <cell r="O372" t="str">
            <v>NA</v>
          </cell>
          <cell r="P372" t="str">
            <v>Tech Mahindra</v>
          </cell>
          <cell r="R372" t="str">
            <v>FTE</v>
          </cell>
          <cell r="AA372" t="str">
            <v>NA</v>
          </cell>
          <cell r="AN372" t="str">
            <v>NA</v>
          </cell>
          <cell r="AO372">
            <v>18326</v>
          </cell>
          <cell r="AP372" t="str">
            <v>Done</v>
          </cell>
          <cell r="AR372">
            <v>315</v>
          </cell>
          <cell r="AS372" t="str">
            <v>JPC - 225261</v>
          </cell>
        </row>
        <row r="373">
          <cell r="A373">
            <v>1</v>
          </cell>
          <cell r="B373" t="str">
            <v>Mavericks</v>
          </cell>
          <cell r="C373" t="str">
            <v xml:space="preserve">Scott Houghton </v>
          </cell>
          <cell r="D373" t="str">
            <v>Yogesh Bisht</v>
          </cell>
          <cell r="F373" t="str">
            <v>Rohit Gupta</v>
          </cell>
          <cell r="G373" t="str">
            <v>Yogesh Bisht</v>
          </cell>
          <cell r="M373" t="str">
            <v>May</v>
          </cell>
          <cell r="N373">
            <v>45789</v>
          </cell>
          <cell r="O373" t="str">
            <v>NA</v>
          </cell>
          <cell r="P373" t="str">
            <v>Mphasis</v>
          </cell>
          <cell r="R373" t="str">
            <v>FTE</v>
          </cell>
          <cell r="AA373" t="str">
            <v>NA</v>
          </cell>
          <cell r="AN373" t="str">
            <v>NA</v>
          </cell>
          <cell r="AO373">
            <v>3000</v>
          </cell>
          <cell r="AP373" t="str">
            <v>Done</v>
          </cell>
          <cell r="AR373">
            <v>302</v>
          </cell>
          <cell r="AS373" t="str">
            <v>JPC - 225262</v>
          </cell>
        </row>
        <row r="374">
          <cell r="A374">
            <v>1</v>
          </cell>
          <cell r="B374" t="str">
            <v>Vantedge</v>
          </cell>
          <cell r="C374" t="str">
            <v>Sergie Smirnov</v>
          </cell>
          <cell r="D374" t="str">
            <v>Pulkit Prakash</v>
          </cell>
          <cell r="F374" t="str">
            <v>Raunak Tripathi</v>
          </cell>
          <cell r="G374" t="str">
            <v>Raunak Tripathi</v>
          </cell>
          <cell r="M374" t="str">
            <v>May</v>
          </cell>
          <cell r="N374">
            <v>45804</v>
          </cell>
          <cell r="O374" t="str">
            <v>NA</v>
          </cell>
          <cell r="P374" t="str">
            <v>Kale Logistics</v>
          </cell>
          <cell r="R374" t="str">
            <v>FTE</v>
          </cell>
          <cell r="AA374" t="str">
            <v>NA</v>
          </cell>
          <cell r="AN374" t="str">
            <v>NA</v>
          </cell>
          <cell r="AO374">
            <v>12543.96</v>
          </cell>
          <cell r="AP374" t="str">
            <v>Done</v>
          </cell>
          <cell r="AR374">
            <v>289</v>
          </cell>
          <cell r="AS374" t="str">
            <v>JPC - 225263</v>
          </cell>
        </row>
        <row r="375">
          <cell r="A375">
            <v>1</v>
          </cell>
          <cell r="B375" t="str">
            <v>Mavericks</v>
          </cell>
          <cell r="C375" t="str">
            <v>Kannan Mohan</v>
          </cell>
          <cell r="D375" t="str">
            <v>Passthrough</v>
          </cell>
          <cell r="F375" t="str">
            <v>Rohit Gupta</v>
          </cell>
          <cell r="M375" t="str">
            <v>May</v>
          </cell>
          <cell r="N375">
            <v>45796</v>
          </cell>
          <cell r="O375" t="str">
            <v>NA</v>
          </cell>
          <cell r="P375" t="str">
            <v>CoForge</v>
          </cell>
          <cell r="R375" t="str">
            <v>FTE</v>
          </cell>
          <cell r="AA375" t="str">
            <v>NA</v>
          </cell>
          <cell r="AN375" t="str">
            <v>NA</v>
          </cell>
          <cell r="AO375">
            <v>3000</v>
          </cell>
          <cell r="AP375" t="str">
            <v>Done</v>
          </cell>
          <cell r="AR375">
            <v>276</v>
          </cell>
          <cell r="AS375" t="str">
            <v>JPC - 225264</v>
          </cell>
        </row>
        <row r="376">
          <cell r="A376">
            <v>1</v>
          </cell>
          <cell r="B376" t="str">
            <v>Mavericks</v>
          </cell>
          <cell r="C376" t="str">
            <v>Ramesh Adapa</v>
          </cell>
          <cell r="D376" t="str">
            <v>Anuj Tewari</v>
          </cell>
          <cell r="F376" t="str">
            <v>Rohit Gupta</v>
          </cell>
          <cell r="M376" t="str">
            <v>May</v>
          </cell>
          <cell r="N376">
            <v>45804</v>
          </cell>
          <cell r="O376" t="str">
            <v>NA</v>
          </cell>
          <cell r="P376" t="str">
            <v>CoForge</v>
          </cell>
          <cell r="R376" t="str">
            <v>FTE</v>
          </cell>
          <cell r="AA376" t="str">
            <v>NA</v>
          </cell>
          <cell r="AN376" t="str">
            <v>NA</v>
          </cell>
          <cell r="AO376">
            <v>3000</v>
          </cell>
          <cell r="AP376" t="str">
            <v>Done</v>
          </cell>
          <cell r="AR376">
            <v>263</v>
          </cell>
          <cell r="AS376" t="str">
            <v>JPC - 225265</v>
          </cell>
        </row>
        <row r="377">
          <cell r="A377">
            <v>1</v>
          </cell>
          <cell r="B377" t="str">
            <v>Titans</v>
          </cell>
          <cell r="C377" t="str">
            <v>India Pietenpol</v>
          </cell>
          <cell r="D377" t="str">
            <v>Hamza</v>
          </cell>
          <cell r="F377" t="str">
            <v>Nitin Saxena</v>
          </cell>
          <cell r="G377" t="str">
            <v>Nitin Saxena</v>
          </cell>
          <cell r="M377" t="str">
            <v>May</v>
          </cell>
          <cell r="N377">
            <v>45797</v>
          </cell>
          <cell r="O377" t="str">
            <v>NA</v>
          </cell>
          <cell r="P377" t="str">
            <v>WNS</v>
          </cell>
          <cell r="R377" t="str">
            <v>FTE</v>
          </cell>
          <cell r="AA377" t="str">
            <v>NA</v>
          </cell>
          <cell r="AN377" t="str">
            <v>NA</v>
          </cell>
          <cell r="AO377">
            <v>4992</v>
          </cell>
          <cell r="AP377" t="str">
            <v>Done</v>
          </cell>
          <cell r="AR377">
            <v>250</v>
          </cell>
          <cell r="AS377" t="str">
            <v>JPC - 225266</v>
          </cell>
        </row>
        <row r="378">
          <cell r="A378">
            <v>1</v>
          </cell>
          <cell r="B378" t="str">
            <v>Titans</v>
          </cell>
          <cell r="C378" t="str">
            <v>Gaffney Neptune</v>
          </cell>
          <cell r="D378" t="str">
            <v>Hamza</v>
          </cell>
          <cell r="F378" t="str">
            <v>Nitin Saxena</v>
          </cell>
          <cell r="G378" t="str">
            <v>Nitin Saxena</v>
          </cell>
          <cell r="M378" t="str">
            <v>May</v>
          </cell>
          <cell r="N378">
            <v>45797</v>
          </cell>
          <cell r="O378" t="str">
            <v>NA</v>
          </cell>
          <cell r="P378" t="str">
            <v>WNS</v>
          </cell>
          <cell r="R378" t="str">
            <v>FTE</v>
          </cell>
          <cell r="AA378" t="str">
            <v>NA</v>
          </cell>
          <cell r="AN378" t="str">
            <v>NA</v>
          </cell>
          <cell r="AO378">
            <v>4992</v>
          </cell>
          <cell r="AP378" t="str">
            <v>Done</v>
          </cell>
          <cell r="AR378">
            <v>237</v>
          </cell>
          <cell r="AS378" t="str">
            <v>JPC - 225267</v>
          </cell>
        </row>
        <row r="379">
          <cell r="A379">
            <v>1</v>
          </cell>
          <cell r="B379" t="str">
            <v>Titans</v>
          </cell>
          <cell r="C379" t="str">
            <v xml:space="preserve">Kaitlyn Caron </v>
          </cell>
          <cell r="D379" t="str">
            <v>Hamza</v>
          </cell>
          <cell r="F379" t="str">
            <v>Nitin Saxena</v>
          </cell>
          <cell r="G379" t="str">
            <v>Nitin Saxena</v>
          </cell>
          <cell r="M379" t="str">
            <v>May</v>
          </cell>
          <cell r="N379">
            <v>45797</v>
          </cell>
          <cell r="O379" t="str">
            <v>NA</v>
          </cell>
          <cell r="P379" t="str">
            <v>WNS</v>
          </cell>
          <cell r="R379" t="str">
            <v>FTE</v>
          </cell>
          <cell r="AA379" t="str">
            <v>NA</v>
          </cell>
          <cell r="AN379" t="str">
            <v>NA</v>
          </cell>
          <cell r="AO379">
            <v>4992</v>
          </cell>
          <cell r="AP379" t="str">
            <v>Done</v>
          </cell>
          <cell r="AR379">
            <v>224</v>
          </cell>
          <cell r="AS379" t="str">
            <v>JPC - 225268</v>
          </cell>
        </row>
        <row r="380">
          <cell r="A380">
            <v>1</v>
          </cell>
          <cell r="B380" t="str">
            <v>Wellness Warriors-IT</v>
          </cell>
          <cell r="C380" t="str">
            <v>Trenton Cain</v>
          </cell>
          <cell r="D380" t="str">
            <v xml:space="preserve">Hemant Kumar </v>
          </cell>
          <cell r="F380" t="str">
            <v>Akash Saxena</v>
          </cell>
          <cell r="M380" t="str">
            <v>May</v>
          </cell>
          <cell r="N380">
            <v>45796</v>
          </cell>
          <cell r="O380">
            <v>45831</v>
          </cell>
          <cell r="P380" t="str">
            <v xml:space="preserve">CitiusTech </v>
          </cell>
          <cell r="R380" t="str">
            <v>FTE</v>
          </cell>
          <cell r="AA380" t="str">
            <v>NA</v>
          </cell>
          <cell r="AN380" t="str">
            <v>NA</v>
          </cell>
          <cell r="AO380">
            <v>0</v>
          </cell>
          <cell r="AP380" t="str">
            <v>Done</v>
          </cell>
          <cell r="AR380">
            <v>211</v>
          </cell>
          <cell r="AS380" t="str">
            <v>JPC - 225269</v>
          </cell>
        </row>
        <row r="381">
          <cell r="A381">
            <v>1</v>
          </cell>
          <cell r="B381" t="str">
            <v>Pioneer RPO</v>
          </cell>
          <cell r="C381" t="str">
            <v>Sean Corcoran</v>
          </cell>
          <cell r="D381" t="str">
            <v>Shubham Rastogi</v>
          </cell>
          <cell r="F381" t="str">
            <v>Ankit Pandey</v>
          </cell>
          <cell r="G381" t="str">
            <v>Shubham Rastogi</v>
          </cell>
          <cell r="M381" t="str">
            <v>May</v>
          </cell>
          <cell r="N381">
            <v>45782</v>
          </cell>
          <cell r="O381" t="str">
            <v>NA</v>
          </cell>
          <cell r="P381" t="str">
            <v xml:space="preserve">GPC IT </v>
          </cell>
          <cell r="R381" t="str">
            <v>FTE</v>
          </cell>
          <cell r="AA381" t="str">
            <v>NA</v>
          </cell>
          <cell r="AN381" t="str">
            <v>NA</v>
          </cell>
          <cell r="AO381">
            <v>300</v>
          </cell>
          <cell r="AP381" t="str">
            <v>Done</v>
          </cell>
          <cell r="AR381">
            <v>150</v>
          </cell>
          <cell r="AS381" t="str">
            <v>JPC - 225270</v>
          </cell>
        </row>
        <row r="382">
          <cell r="A382">
            <v>1</v>
          </cell>
          <cell r="B382" t="str">
            <v>Pioneer RPO</v>
          </cell>
          <cell r="C382" t="str">
            <v>Brian Greene</v>
          </cell>
          <cell r="D382" t="str">
            <v>Shubham Rastogi</v>
          </cell>
          <cell r="F382" t="str">
            <v>Ankit Pandey</v>
          </cell>
          <cell r="G382" t="str">
            <v>Shubham Rastogi</v>
          </cell>
          <cell r="M382" t="str">
            <v>May</v>
          </cell>
          <cell r="N382">
            <v>45782</v>
          </cell>
          <cell r="O382" t="str">
            <v>NA</v>
          </cell>
          <cell r="P382" t="str">
            <v xml:space="preserve">GPC IT </v>
          </cell>
          <cell r="R382" t="str">
            <v>FTE</v>
          </cell>
          <cell r="AA382" t="str">
            <v>NA</v>
          </cell>
          <cell r="AN382" t="str">
            <v>NA</v>
          </cell>
          <cell r="AO382">
            <v>3000</v>
          </cell>
          <cell r="AP382" t="str">
            <v>Done</v>
          </cell>
          <cell r="AR382">
            <v>438</v>
          </cell>
          <cell r="AS382" t="str">
            <v>JPC - 225271</v>
          </cell>
        </row>
        <row r="383">
          <cell r="A383">
            <v>1</v>
          </cell>
          <cell r="B383" t="str">
            <v>Pioneer RPO</v>
          </cell>
          <cell r="C383" t="str">
            <v>Shirley Olotu</v>
          </cell>
          <cell r="D383" t="str">
            <v>Sagar Chandani</v>
          </cell>
          <cell r="F383" t="str">
            <v>Ankit Pandey</v>
          </cell>
          <cell r="G383" t="str">
            <v>Shubham Rastogi</v>
          </cell>
          <cell r="M383" t="str">
            <v>May</v>
          </cell>
          <cell r="N383">
            <v>45789</v>
          </cell>
          <cell r="O383" t="str">
            <v>NA</v>
          </cell>
          <cell r="P383" t="str">
            <v xml:space="preserve">GPC IT </v>
          </cell>
          <cell r="R383" t="str">
            <v>FTE</v>
          </cell>
          <cell r="AA383" t="str">
            <v>NA</v>
          </cell>
          <cell r="AN383" t="str">
            <v>NA</v>
          </cell>
          <cell r="AO383">
            <v>3000</v>
          </cell>
          <cell r="AP383" t="str">
            <v>Done</v>
          </cell>
          <cell r="AR383">
            <v>432</v>
          </cell>
          <cell r="AS383" t="str">
            <v>JPC - 225272</v>
          </cell>
        </row>
        <row r="384">
          <cell r="A384">
            <v>1</v>
          </cell>
          <cell r="B384" t="str">
            <v>Titans/Pioneer RPO</v>
          </cell>
          <cell r="C384" t="str">
            <v>Ilavarasi Muthuraman</v>
          </cell>
          <cell r="D384" t="str">
            <v>Saksham Srivastav</v>
          </cell>
          <cell r="F384" t="str">
            <v>Aditya Yadav</v>
          </cell>
          <cell r="G384" t="str">
            <v>Ankit Pandey(RPO)</v>
          </cell>
          <cell r="M384" t="str">
            <v>June</v>
          </cell>
          <cell r="N384">
            <v>45817</v>
          </cell>
          <cell r="O384" t="str">
            <v>NA</v>
          </cell>
          <cell r="P384" t="str">
            <v>Cyient</v>
          </cell>
          <cell r="R384" t="str">
            <v>FTE</v>
          </cell>
          <cell r="AA384" t="str">
            <v>NA</v>
          </cell>
          <cell r="AN384" t="str">
            <v>NA</v>
          </cell>
          <cell r="AO384">
            <v>4500</v>
          </cell>
          <cell r="AP384" t="str">
            <v>Done</v>
          </cell>
          <cell r="AR384">
            <v>136</v>
          </cell>
          <cell r="AS384" t="str">
            <v>JPC - 225273</v>
          </cell>
        </row>
        <row r="385">
          <cell r="A385">
            <v>1</v>
          </cell>
          <cell r="B385" t="str">
            <v>Titans</v>
          </cell>
          <cell r="C385" t="str">
            <v>LaTrina White</v>
          </cell>
          <cell r="D385" t="str">
            <v>Shubham Yadav</v>
          </cell>
          <cell r="F385" t="str">
            <v>Aditya Yadav</v>
          </cell>
          <cell r="G385" t="str">
            <v>Aditya Yadav</v>
          </cell>
          <cell r="M385" t="str">
            <v>June</v>
          </cell>
          <cell r="N385">
            <v>45817</v>
          </cell>
          <cell r="O385">
            <v>45870</v>
          </cell>
          <cell r="P385" t="str">
            <v>Cyient/Parker Aerospace</v>
          </cell>
          <cell r="R385" t="str">
            <v>FTE</v>
          </cell>
          <cell r="AA385" t="str">
            <v>NA</v>
          </cell>
          <cell r="AN385" t="str">
            <v>NA</v>
          </cell>
          <cell r="AP385" t="str">
            <v>Done</v>
          </cell>
          <cell r="AR385">
            <v>438</v>
          </cell>
          <cell r="AS385" t="str">
            <v>JPC - 225274</v>
          </cell>
        </row>
        <row r="386">
          <cell r="A386">
            <v>1</v>
          </cell>
          <cell r="B386" t="str">
            <v>CSK/Vantedge</v>
          </cell>
          <cell r="C386" t="str">
            <v>Scot Shields</v>
          </cell>
          <cell r="D386" t="str">
            <v>M Harinath</v>
          </cell>
          <cell r="F386" t="str">
            <v>Mayank Saxena</v>
          </cell>
          <cell r="G386" t="str">
            <v>Vinoth L</v>
          </cell>
          <cell r="M386" t="str">
            <v>June</v>
          </cell>
          <cell r="N386">
            <v>45817</v>
          </cell>
          <cell r="O386" t="str">
            <v>NA</v>
          </cell>
          <cell r="P386" t="str">
            <v>Tredence</v>
          </cell>
          <cell r="R386" t="str">
            <v>FTE</v>
          </cell>
          <cell r="AA386" t="str">
            <v>NA</v>
          </cell>
          <cell r="AN386" t="str">
            <v>NA</v>
          </cell>
          <cell r="AO386">
            <v>16800</v>
          </cell>
          <cell r="AP386" t="str">
            <v>Done</v>
          </cell>
          <cell r="AR386">
            <v>406</v>
          </cell>
          <cell r="AS386" t="str">
            <v>JPC - 225275</v>
          </cell>
        </row>
        <row r="387">
          <cell r="A387">
            <v>1</v>
          </cell>
          <cell r="B387" t="str">
            <v>Vantedge</v>
          </cell>
          <cell r="C387" t="str">
            <v>Taylor Carlson</v>
          </cell>
          <cell r="D387" t="str">
            <v>Umar M</v>
          </cell>
          <cell r="F387" t="str">
            <v>Umar Mujahid</v>
          </cell>
          <cell r="G387" t="str">
            <v>Umar Mujahid</v>
          </cell>
          <cell r="M387" t="str">
            <v>June</v>
          </cell>
          <cell r="N387">
            <v>45811</v>
          </cell>
          <cell r="O387" t="str">
            <v>NA</v>
          </cell>
          <cell r="P387" t="str">
            <v>PocketFM</v>
          </cell>
          <cell r="R387" t="str">
            <v>FTE</v>
          </cell>
          <cell r="AA387" t="str">
            <v>NA</v>
          </cell>
          <cell r="AN387" t="str">
            <v>NA</v>
          </cell>
          <cell r="AO387">
            <v>37600</v>
          </cell>
          <cell r="AP387" t="str">
            <v>Done</v>
          </cell>
          <cell r="AR387">
            <v>393</v>
          </cell>
          <cell r="AS387" t="str">
            <v>JPC - 225276</v>
          </cell>
        </row>
        <row r="388">
          <cell r="A388">
            <v>1</v>
          </cell>
          <cell r="B388" t="str">
            <v>Vantedge</v>
          </cell>
          <cell r="C388" t="str">
            <v>Sandeep Sanon</v>
          </cell>
          <cell r="D388" t="str">
            <v>Pulkit Prakash</v>
          </cell>
          <cell r="F388" t="str">
            <v>Raunak Tripathi</v>
          </cell>
          <cell r="G388" t="str">
            <v>Raunak Tripathi</v>
          </cell>
          <cell r="M388" t="str">
            <v>June</v>
          </cell>
          <cell r="N388">
            <v>45810</v>
          </cell>
          <cell r="O388" t="str">
            <v>NA</v>
          </cell>
          <cell r="P388" t="str">
            <v>LTIM</v>
          </cell>
          <cell r="R388" t="str">
            <v>FTE</v>
          </cell>
          <cell r="AA388" t="str">
            <v>NA</v>
          </cell>
          <cell r="AN388" t="str">
            <v>NA</v>
          </cell>
          <cell r="AO388">
            <v>28350</v>
          </cell>
          <cell r="AP388" t="str">
            <v>Done</v>
          </cell>
          <cell r="AR388">
            <v>380</v>
          </cell>
          <cell r="AS388" t="str">
            <v>JPC - 225277</v>
          </cell>
        </row>
        <row r="389">
          <cell r="A389">
            <v>1</v>
          </cell>
          <cell r="B389" t="str">
            <v>Trust</v>
          </cell>
          <cell r="C389" t="str">
            <v>Madan Parajuli</v>
          </cell>
          <cell r="D389" t="str">
            <v>Harsh Shukla</v>
          </cell>
          <cell r="F389" t="str">
            <v>Bhanu Pratap Singh</v>
          </cell>
          <cell r="G389" t="str">
            <v>Harsh Agrawal</v>
          </cell>
          <cell r="M389" t="str">
            <v>June</v>
          </cell>
          <cell r="N389">
            <v>45827</v>
          </cell>
          <cell r="O389" t="str">
            <v>NA</v>
          </cell>
          <cell r="P389" t="str">
            <v>Infosys</v>
          </cell>
          <cell r="R389" t="str">
            <v>FTE</v>
          </cell>
          <cell r="AA389" t="str">
            <v>NA</v>
          </cell>
          <cell r="AN389" t="str">
            <v>NA</v>
          </cell>
          <cell r="AO389">
            <v>3500</v>
          </cell>
          <cell r="AP389" t="str">
            <v>Done</v>
          </cell>
          <cell r="AR389">
            <v>367</v>
          </cell>
          <cell r="AS389" t="str">
            <v>JPC - 225278</v>
          </cell>
        </row>
        <row r="390">
          <cell r="A390">
            <v>1</v>
          </cell>
          <cell r="B390" t="str">
            <v>Trust</v>
          </cell>
          <cell r="C390" t="str">
            <v>Jagdeep Singh Choudhary</v>
          </cell>
          <cell r="D390" t="str">
            <v>Aarzoo Khan</v>
          </cell>
          <cell r="F390" t="str">
            <v>Bhanu Pratap Singh</v>
          </cell>
          <cell r="G390" t="str">
            <v>Harsh Agrawal</v>
          </cell>
          <cell r="M390" t="str">
            <v>June</v>
          </cell>
          <cell r="N390">
            <v>45831</v>
          </cell>
          <cell r="O390" t="str">
            <v>NA</v>
          </cell>
          <cell r="P390" t="str">
            <v>Infosys</v>
          </cell>
          <cell r="R390" t="str">
            <v>FTE</v>
          </cell>
          <cell r="AA390" t="str">
            <v>NA</v>
          </cell>
          <cell r="AN390" t="str">
            <v>NA</v>
          </cell>
          <cell r="AO390">
            <v>3500</v>
          </cell>
          <cell r="AP390" t="str">
            <v>Done</v>
          </cell>
          <cell r="AR390">
            <v>354</v>
          </cell>
          <cell r="AS390" t="str">
            <v>JPC - 225279</v>
          </cell>
        </row>
        <row r="391">
          <cell r="A391">
            <v>1</v>
          </cell>
          <cell r="B391" t="str">
            <v>Trust</v>
          </cell>
          <cell r="C391" t="str">
            <v>Lakshmi Priya Makani</v>
          </cell>
          <cell r="D391" t="str">
            <v>Harsh Shukla</v>
          </cell>
          <cell r="F391" t="str">
            <v>Bhanu Pratap Singh</v>
          </cell>
          <cell r="G391" t="str">
            <v>Harsh Agrawal</v>
          </cell>
          <cell r="M391" t="str">
            <v>June</v>
          </cell>
          <cell r="N391">
            <v>45834</v>
          </cell>
          <cell r="O391" t="str">
            <v>NA</v>
          </cell>
          <cell r="P391" t="str">
            <v>Infosys</v>
          </cell>
          <cell r="R391" t="str">
            <v>FTE</v>
          </cell>
          <cell r="AA391" t="str">
            <v>NA</v>
          </cell>
          <cell r="AN391" t="str">
            <v>NA</v>
          </cell>
          <cell r="AO391">
            <v>3500</v>
          </cell>
          <cell r="AP391" t="str">
            <v>Done</v>
          </cell>
          <cell r="AR391">
            <v>341</v>
          </cell>
          <cell r="AS391" t="str">
            <v>JPC - 225280</v>
          </cell>
        </row>
        <row r="392">
          <cell r="A392">
            <v>1</v>
          </cell>
          <cell r="B392" t="str">
            <v>Trust</v>
          </cell>
          <cell r="C392" t="str">
            <v>Namuna Adhikari</v>
          </cell>
          <cell r="D392" t="str">
            <v>Aman Singh Chauhan</v>
          </cell>
          <cell r="F392" t="str">
            <v>Bhanu Pratap Singh</v>
          </cell>
          <cell r="G392" t="str">
            <v>Shashank Yadav</v>
          </cell>
          <cell r="M392" t="str">
            <v>June</v>
          </cell>
          <cell r="N392">
            <v>45838</v>
          </cell>
          <cell r="O392" t="str">
            <v>NA</v>
          </cell>
          <cell r="P392" t="str">
            <v>Infosys</v>
          </cell>
          <cell r="R392" t="str">
            <v>FTE</v>
          </cell>
          <cell r="AA392" t="str">
            <v>NA</v>
          </cell>
          <cell r="AN392" t="str">
            <v>NA</v>
          </cell>
          <cell r="AO392">
            <v>3500</v>
          </cell>
          <cell r="AP392" t="str">
            <v>Done</v>
          </cell>
          <cell r="AR392">
            <v>328</v>
          </cell>
          <cell r="AS392" t="str">
            <v>JPC - 225281</v>
          </cell>
        </row>
        <row r="393">
          <cell r="A393">
            <v>1</v>
          </cell>
          <cell r="B393" t="str">
            <v>CSK</v>
          </cell>
          <cell r="C393" t="str">
            <v>Phanichander Katakam</v>
          </cell>
          <cell r="D393" t="str">
            <v>M Harinath</v>
          </cell>
          <cell r="F393" t="str">
            <v>Vinoth L</v>
          </cell>
          <cell r="M393" t="str">
            <v>June</v>
          </cell>
          <cell r="N393">
            <v>45824</v>
          </cell>
          <cell r="O393" t="str">
            <v>NA</v>
          </cell>
          <cell r="P393" t="str">
            <v>Apexon</v>
          </cell>
          <cell r="R393" t="str">
            <v>FTE</v>
          </cell>
          <cell r="AA393" t="str">
            <v>NA</v>
          </cell>
          <cell r="AN393" t="str">
            <v>NA</v>
          </cell>
          <cell r="AO393">
            <v>9579.5</v>
          </cell>
          <cell r="AP393" t="str">
            <v>Done</v>
          </cell>
          <cell r="AR393">
            <v>315</v>
          </cell>
          <cell r="AS393" t="str">
            <v>JPC - 225282</v>
          </cell>
        </row>
        <row r="394">
          <cell r="A394">
            <v>1</v>
          </cell>
          <cell r="B394" t="str">
            <v>Wellness Warriors-IT</v>
          </cell>
          <cell r="C394" t="str">
            <v>Abdul Aziz Khan</v>
          </cell>
          <cell r="D394" t="str">
            <v>Ravi Yadav</v>
          </cell>
          <cell r="F394" t="str">
            <v>Akash Saxena</v>
          </cell>
          <cell r="M394" t="str">
            <v>June</v>
          </cell>
          <cell r="N394">
            <v>45838</v>
          </cell>
          <cell r="O394">
            <v>45856</v>
          </cell>
          <cell r="P394" t="str">
            <v xml:space="preserve">CitiusTech </v>
          </cell>
          <cell r="R394" t="str">
            <v>FTE</v>
          </cell>
          <cell r="AA394" t="str">
            <v>NA</v>
          </cell>
          <cell r="AN394" t="str">
            <v>NA</v>
          </cell>
          <cell r="AP394" t="str">
            <v>Done</v>
          </cell>
          <cell r="AR394">
            <v>302</v>
          </cell>
          <cell r="AS394" t="str">
            <v>JPC - 225283</v>
          </cell>
        </row>
        <row r="395">
          <cell r="A395">
            <v>1</v>
          </cell>
          <cell r="B395" t="str">
            <v>Wellness Warriors-IT</v>
          </cell>
          <cell r="C395" t="str">
            <v>Viswanadh Allam</v>
          </cell>
          <cell r="D395" t="str">
            <v>Ravi Yadav</v>
          </cell>
          <cell r="F395" t="str">
            <v>Akash Saxena</v>
          </cell>
          <cell r="M395" t="str">
            <v>June</v>
          </cell>
          <cell r="N395">
            <v>45838</v>
          </cell>
          <cell r="O395" t="str">
            <v>NA</v>
          </cell>
          <cell r="P395" t="str">
            <v>Wipro</v>
          </cell>
          <cell r="R395" t="str">
            <v>FTE</v>
          </cell>
          <cell r="AA395" t="str">
            <v>NA</v>
          </cell>
          <cell r="AN395" t="str">
            <v>NA</v>
          </cell>
          <cell r="AO395">
            <v>1500</v>
          </cell>
          <cell r="AP395" t="str">
            <v>Done</v>
          </cell>
          <cell r="AR395">
            <v>289</v>
          </cell>
          <cell r="AS395" t="str">
            <v>JPC - 225284</v>
          </cell>
        </row>
        <row r="396">
          <cell r="A396">
            <v>1</v>
          </cell>
          <cell r="B396" t="str">
            <v>Pioneer RPO</v>
          </cell>
          <cell r="C396" t="str">
            <v>Puneet Aggarwal</v>
          </cell>
          <cell r="D396" t="str">
            <v>Shubham Rastogi</v>
          </cell>
          <cell r="F396" t="str">
            <v>Ankit Pandey</v>
          </cell>
          <cell r="G396" t="str">
            <v>Shubham Rastogi</v>
          </cell>
          <cell r="M396" t="str">
            <v>June</v>
          </cell>
          <cell r="N396">
            <v>45809</v>
          </cell>
          <cell r="O396" t="str">
            <v>NA</v>
          </cell>
          <cell r="P396" t="str">
            <v xml:space="preserve">GPC IT </v>
          </cell>
          <cell r="R396" t="str">
            <v>FTE</v>
          </cell>
          <cell r="AA396" t="str">
            <v>NA</v>
          </cell>
          <cell r="AN396" t="str">
            <v>NA</v>
          </cell>
          <cell r="AO396">
            <v>300</v>
          </cell>
          <cell r="AP396" t="str">
            <v>Done</v>
          </cell>
          <cell r="AR396">
            <v>276</v>
          </cell>
          <cell r="AS396" t="str">
            <v>JPC - 225285</v>
          </cell>
        </row>
        <row r="397">
          <cell r="A397">
            <v>1</v>
          </cell>
          <cell r="B397" t="str">
            <v>Pioneer RPO</v>
          </cell>
          <cell r="C397" t="str">
            <v>Porayath Sankar</v>
          </cell>
          <cell r="D397" t="str">
            <v>Shubham Rastogi</v>
          </cell>
          <cell r="F397" t="str">
            <v>Ankit Pandey</v>
          </cell>
          <cell r="G397" t="str">
            <v>Shubham Rastogi</v>
          </cell>
          <cell r="M397" t="str">
            <v>June</v>
          </cell>
          <cell r="N397">
            <v>45824</v>
          </cell>
          <cell r="O397" t="str">
            <v>NA</v>
          </cell>
          <cell r="P397" t="str">
            <v xml:space="preserve">GPC IT </v>
          </cell>
          <cell r="R397" t="str">
            <v>FTE</v>
          </cell>
          <cell r="AA397" t="str">
            <v>NA</v>
          </cell>
          <cell r="AN397" t="str">
            <v>NA</v>
          </cell>
          <cell r="AO397">
            <v>300</v>
          </cell>
          <cell r="AP397" t="str">
            <v>Done</v>
          </cell>
          <cell r="AR397">
            <v>263</v>
          </cell>
          <cell r="AS397" t="str">
            <v>JPC - 225286</v>
          </cell>
        </row>
        <row r="398">
          <cell r="A398">
            <v>1</v>
          </cell>
          <cell r="B398" t="str">
            <v>Pioneer RPO</v>
          </cell>
          <cell r="C398" t="str">
            <v>Ansar Shaik</v>
          </cell>
          <cell r="D398" t="str">
            <v>Shubham Rastogi</v>
          </cell>
          <cell r="F398" t="str">
            <v>Ankit Pandey</v>
          </cell>
          <cell r="G398" t="str">
            <v>Shubham Rastogi</v>
          </cell>
          <cell r="M398" t="str">
            <v>June</v>
          </cell>
          <cell r="N398">
            <v>45838</v>
          </cell>
          <cell r="O398" t="str">
            <v>NA</v>
          </cell>
          <cell r="P398" t="str">
            <v xml:space="preserve">GPC IT </v>
          </cell>
          <cell r="R398" t="str">
            <v>FTE</v>
          </cell>
          <cell r="AA398" t="str">
            <v>NA</v>
          </cell>
          <cell r="AN398" t="str">
            <v>NA</v>
          </cell>
          <cell r="AO398">
            <v>3000</v>
          </cell>
          <cell r="AP398" t="str">
            <v>Done</v>
          </cell>
          <cell r="AR398">
            <v>250</v>
          </cell>
          <cell r="AS398" t="str">
            <v>JPC - 225287</v>
          </cell>
        </row>
        <row r="399">
          <cell r="A399">
            <v>1</v>
          </cell>
          <cell r="B399" t="str">
            <v>Pioneer RPO</v>
          </cell>
          <cell r="C399" t="str">
            <v>Paul Hamby</v>
          </cell>
          <cell r="D399" t="str">
            <v xml:space="preserve">Priyanka Mishra </v>
          </cell>
          <cell r="F399" t="str">
            <v>Ankit Pandey</v>
          </cell>
          <cell r="G399" t="str">
            <v>Shubham Rastogi</v>
          </cell>
          <cell r="M399" t="str">
            <v>June</v>
          </cell>
          <cell r="N399">
            <v>45838</v>
          </cell>
          <cell r="O399" t="str">
            <v>NA</v>
          </cell>
          <cell r="P399" t="str">
            <v xml:space="preserve">GPC IT </v>
          </cell>
          <cell r="R399" t="str">
            <v>FTE</v>
          </cell>
          <cell r="AA399" t="str">
            <v>NA</v>
          </cell>
          <cell r="AN399" t="str">
            <v>NA</v>
          </cell>
          <cell r="AO399">
            <v>300</v>
          </cell>
          <cell r="AP399" t="str">
            <v>Done</v>
          </cell>
          <cell r="AR399">
            <v>237</v>
          </cell>
          <cell r="AS399" t="str">
            <v>JPC - 225288</v>
          </cell>
        </row>
        <row r="400">
          <cell r="A400">
            <v>1</v>
          </cell>
          <cell r="B400" t="str">
            <v>Pioneer RPO</v>
          </cell>
          <cell r="C400" t="str">
            <v>Lindsay Devereaux</v>
          </cell>
          <cell r="D400" t="str">
            <v>Sagar Chandani</v>
          </cell>
          <cell r="F400" t="str">
            <v>Ankit Pandey</v>
          </cell>
          <cell r="G400" t="str">
            <v>Shubham Rastogi</v>
          </cell>
          <cell r="M400" t="str">
            <v>June</v>
          </cell>
          <cell r="N400">
            <v>45831</v>
          </cell>
          <cell r="O400" t="str">
            <v>NA</v>
          </cell>
          <cell r="P400" t="str">
            <v xml:space="preserve">GPC IT </v>
          </cell>
          <cell r="R400" t="str">
            <v>FTE</v>
          </cell>
          <cell r="AA400" t="str">
            <v>NA</v>
          </cell>
          <cell r="AN400" t="str">
            <v>NA</v>
          </cell>
          <cell r="AO400">
            <v>300</v>
          </cell>
          <cell r="AP400" t="str">
            <v>Done</v>
          </cell>
          <cell r="AR400">
            <v>224</v>
          </cell>
          <cell r="AS400" t="str">
            <v>JPC - 225289</v>
          </cell>
        </row>
        <row r="401">
          <cell r="A401">
            <v>1</v>
          </cell>
          <cell r="B401" t="str">
            <v>Titans</v>
          </cell>
          <cell r="C401" t="str">
            <v xml:space="preserve">Bassam Elazzeh </v>
          </cell>
          <cell r="D401" t="str">
            <v>Aditya Yadav</v>
          </cell>
          <cell r="F401" t="str">
            <v>Aditya Yadav</v>
          </cell>
          <cell r="G401" t="str">
            <v>Aditya Yadav</v>
          </cell>
          <cell r="M401" t="str">
            <v>July</v>
          </cell>
          <cell r="N401">
            <v>45839</v>
          </cell>
          <cell r="O401" t="str">
            <v>NA</v>
          </cell>
          <cell r="P401" t="str">
            <v>LTTS/Nokia</v>
          </cell>
          <cell r="R401" t="str">
            <v>FTE</v>
          </cell>
          <cell r="AA401" t="str">
            <v>NA</v>
          </cell>
          <cell r="AN401" t="str">
            <v>NA</v>
          </cell>
          <cell r="AO401">
            <v>6597</v>
          </cell>
          <cell r="AP401" t="str">
            <v>Done</v>
          </cell>
          <cell r="AR401">
            <v>211</v>
          </cell>
          <cell r="AS401" t="str">
            <v>JPC - 225290</v>
          </cell>
        </row>
        <row r="402">
          <cell r="A402">
            <v>1</v>
          </cell>
          <cell r="B402" t="str">
            <v>Vantedge</v>
          </cell>
          <cell r="C402" t="str">
            <v>Inderpuneet Sohanpal</v>
          </cell>
          <cell r="D402" t="str">
            <v>Govind Srivastava</v>
          </cell>
          <cell r="F402" t="str">
            <v>Raunak Tripathi</v>
          </cell>
          <cell r="G402" t="str">
            <v>Mayank Saxena</v>
          </cell>
          <cell r="M402" t="str">
            <v>July</v>
          </cell>
          <cell r="N402">
            <v>45845</v>
          </cell>
          <cell r="O402" t="str">
            <v>NA</v>
          </cell>
          <cell r="P402" t="str">
            <v>Visionet</v>
          </cell>
          <cell r="R402" t="str">
            <v>FTE</v>
          </cell>
          <cell r="AA402" t="str">
            <v>NA</v>
          </cell>
          <cell r="AN402" t="str">
            <v>NA</v>
          </cell>
          <cell r="AO402">
            <v>40500</v>
          </cell>
          <cell r="AP402" t="str">
            <v>Done</v>
          </cell>
          <cell r="AR402">
            <v>150</v>
          </cell>
          <cell r="AS402" t="str">
            <v>JPC - 225291</v>
          </cell>
        </row>
        <row r="403">
          <cell r="A403">
            <v>1</v>
          </cell>
          <cell r="B403" t="str">
            <v>Vantedge</v>
          </cell>
          <cell r="C403" t="str">
            <v>Ramkishen Kalyana</v>
          </cell>
          <cell r="D403" t="str">
            <v>Umang Srivastava</v>
          </cell>
          <cell r="F403" t="str">
            <v>Mayank Saxena</v>
          </cell>
          <cell r="G403" t="str">
            <v>Mayank Saxena</v>
          </cell>
          <cell r="M403" t="str">
            <v>July</v>
          </cell>
          <cell r="N403">
            <v>45840</v>
          </cell>
          <cell r="O403" t="str">
            <v>NA</v>
          </cell>
          <cell r="P403" t="str">
            <v>Sutherland</v>
          </cell>
          <cell r="R403" t="str">
            <v>FTE</v>
          </cell>
          <cell r="AA403" t="str">
            <v>NA</v>
          </cell>
          <cell r="AN403" t="str">
            <v>NA</v>
          </cell>
          <cell r="AO403">
            <v>57500</v>
          </cell>
          <cell r="AP403" t="str">
            <v>Done</v>
          </cell>
          <cell r="AR403">
            <v>438</v>
          </cell>
          <cell r="AS403" t="str">
            <v>JPC - 225292</v>
          </cell>
        </row>
        <row r="404">
          <cell r="A404">
            <v>1</v>
          </cell>
          <cell r="B404" t="str">
            <v>Vantedge</v>
          </cell>
          <cell r="C404" t="str">
            <v>Satheesh Naik</v>
          </cell>
          <cell r="D404" t="str">
            <v>Govind Srivastava</v>
          </cell>
          <cell r="F404" t="str">
            <v>Mayank Saxena</v>
          </cell>
          <cell r="G404" t="str">
            <v>Mayank Saxena</v>
          </cell>
          <cell r="M404" t="str">
            <v>July</v>
          </cell>
          <cell r="N404">
            <v>45848</v>
          </cell>
          <cell r="O404" t="str">
            <v>NA</v>
          </cell>
          <cell r="P404" t="str">
            <v>Sutherland</v>
          </cell>
          <cell r="R404" t="str">
            <v>FTE</v>
          </cell>
          <cell r="AA404" t="str">
            <v>NA</v>
          </cell>
          <cell r="AN404" t="str">
            <v>NA</v>
          </cell>
          <cell r="AO404">
            <v>60000</v>
          </cell>
          <cell r="AP404" t="str">
            <v>Done</v>
          </cell>
          <cell r="AR404">
            <v>432</v>
          </cell>
          <cell r="AS404" t="str">
            <v>JPC - 225293</v>
          </cell>
        </row>
        <row r="405">
          <cell r="A405">
            <v>1</v>
          </cell>
          <cell r="B405" t="str">
            <v>Vantedge</v>
          </cell>
          <cell r="C405" t="str">
            <v>Robert Gonzalez</v>
          </cell>
          <cell r="D405" t="str">
            <v>Pulkit Prakash</v>
          </cell>
          <cell r="F405" t="str">
            <v>Raunak Tripathi</v>
          </cell>
          <cell r="G405" t="str">
            <v>Raunak Tripathi</v>
          </cell>
          <cell r="M405" t="str">
            <v>July</v>
          </cell>
          <cell r="N405">
            <v>45848</v>
          </cell>
          <cell r="O405" t="str">
            <v>NA</v>
          </cell>
          <cell r="P405" t="str">
            <v>Kale Logistics</v>
          </cell>
          <cell r="R405" t="str">
            <v>FTE</v>
          </cell>
          <cell r="AA405" t="str">
            <v>NA</v>
          </cell>
          <cell r="AN405" t="str">
            <v>NA</v>
          </cell>
          <cell r="AO405">
            <v>15600</v>
          </cell>
          <cell r="AP405" t="str">
            <v>Done</v>
          </cell>
          <cell r="AR405">
            <v>136</v>
          </cell>
          <cell r="AS405" t="str">
            <v>JPC - 225294</v>
          </cell>
        </row>
        <row r="406">
          <cell r="A406">
            <v>1</v>
          </cell>
          <cell r="B406" t="str">
            <v>RPO+Vantedge</v>
          </cell>
          <cell r="C406" t="str">
            <v>Nestor Miranda</v>
          </cell>
          <cell r="D406" t="str">
            <v>Sagar Chandani</v>
          </cell>
          <cell r="F406" t="str">
            <v>Rashmi Bhatnagar</v>
          </cell>
          <cell r="G406" t="str">
            <v>Ankit Pandey</v>
          </cell>
          <cell r="M406" t="str">
            <v>July</v>
          </cell>
          <cell r="N406">
            <v>45846</v>
          </cell>
          <cell r="O406" t="str">
            <v>NA</v>
          </cell>
          <cell r="P406" t="str">
            <v>Sutherland</v>
          </cell>
          <cell r="R406" t="str">
            <v>FTE</v>
          </cell>
          <cell r="AA406" t="str">
            <v>NA</v>
          </cell>
          <cell r="AN406" t="str">
            <v>NA</v>
          </cell>
          <cell r="AO406">
            <v>60000</v>
          </cell>
          <cell r="AP406" t="str">
            <v>Done</v>
          </cell>
          <cell r="AR406">
            <v>438</v>
          </cell>
          <cell r="AS406" t="str">
            <v>JPC - 225295</v>
          </cell>
        </row>
        <row r="407">
          <cell r="A407">
            <v>1</v>
          </cell>
          <cell r="B407" t="str">
            <v>Pioneer - Lucky</v>
          </cell>
          <cell r="C407" t="str">
            <v>Sandeep Samrat Bendala</v>
          </cell>
          <cell r="D407" t="str">
            <v>Pragati Mishra</v>
          </cell>
          <cell r="F407" t="str">
            <v>Lucky Jain</v>
          </cell>
          <cell r="G407" t="str">
            <v>Lucky Jain</v>
          </cell>
          <cell r="M407" t="str">
            <v>July</v>
          </cell>
          <cell r="N407">
            <v>45863</v>
          </cell>
          <cell r="O407" t="str">
            <v>NA</v>
          </cell>
          <cell r="P407" t="str">
            <v>Mphasis</v>
          </cell>
          <cell r="R407" t="str">
            <v>FTE</v>
          </cell>
          <cell r="AA407" t="str">
            <v>NA</v>
          </cell>
          <cell r="AN407" t="str">
            <v>NA</v>
          </cell>
          <cell r="AO407">
            <v>4000</v>
          </cell>
          <cell r="AP407" t="str">
            <v>Done</v>
          </cell>
          <cell r="AR407">
            <v>406</v>
          </cell>
          <cell r="AS407" t="str">
            <v>JPC - 225296</v>
          </cell>
        </row>
        <row r="408">
          <cell r="A408">
            <v>1</v>
          </cell>
          <cell r="B408" t="str">
            <v>Mavericks</v>
          </cell>
          <cell r="C408" t="str">
            <v>Sukhdev Gaikwad</v>
          </cell>
          <cell r="D408" t="str">
            <v>Ekta Singh</v>
          </cell>
          <cell r="F408" t="str">
            <v>Rohit Gupta</v>
          </cell>
          <cell r="G408" t="str">
            <v>Rohit Gupta</v>
          </cell>
          <cell r="M408" t="str">
            <v>July</v>
          </cell>
          <cell r="N408">
            <v>45866</v>
          </cell>
          <cell r="O408" t="str">
            <v>NA</v>
          </cell>
          <cell r="P408" t="str">
            <v>Coforge</v>
          </cell>
          <cell r="R408" t="str">
            <v>FTE</v>
          </cell>
          <cell r="AA408" t="str">
            <v>NA</v>
          </cell>
          <cell r="AN408" t="str">
            <v>NA</v>
          </cell>
          <cell r="AO408">
            <v>4000</v>
          </cell>
          <cell r="AP408" t="str">
            <v>Done</v>
          </cell>
          <cell r="AR408">
            <v>393</v>
          </cell>
          <cell r="AS408" t="str">
            <v>JPC - 225297</v>
          </cell>
        </row>
        <row r="409">
          <cell r="A409">
            <v>1</v>
          </cell>
          <cell r="B409" t="str">
            <v>Trust</v>
          </cell>
          <cell r="C409" t="str">
            <v>Vusani Charles Mapuke</v>
          </cell>
          <cell r="D409" t="str">
            <v>Neelendra Dwivedi</v>
          </cell>
          <cell r="F409" t="str">
            <v>Bhanu Pratap Singh</v>
          </cell>
          <cell r="G409" t="str">
            <v>Harsh Agrawal</v>
          </cell>
          <cell r="M409" t="str">
            <v>July</v>
          </cell>
          <cell r="N409">
            <v>45848</v>
          </cell>
          <cell r="O409" t="str">
            <v>NA</v>
          </cell>
          <cell r="P409" t="str">
            <v>Infosys</v>
          </cell>
          <cell r="R409" t="str">
            <v>FTE</v>
          </cell>
          <cell r="AA409" t="str">
            <v>NA</v>
          </cell>
          <cell r="AN409" t="str">
            <v>NA</v>
          </cell>
          <cell r="AO409">
            <v>3500</v>
          </cell>
          <cell r="AP409" t="str">
            <v>Done</v>
          </cell>
          <cell r="AR409">
            <v>380</v>
          </cell>
          <cell r="AS409" t="str">
            <v>JPC - 225298</v>
          </cell>
        </row>
        <row r="410">
          <cell r="A410">
            <v>1</v>
          </cell>
          <cell r="B410" t="str">
            <v>Trust</v>
          </cell>
          <cell r="C410" t="str">
            <v>Jeevankumar Gudipati</v>
          </cell>
          <cell r="D410" t="str">
            <v>Harsh Shukla</v>
          </cell>
          <cell r="F410" t="str">
            <v>Bhanu Pratap Singh</v>
          </cell>
          <cell r="G410" t="str">
            <v>Harsh Agrawal</v>
          </cell>
          <cell r="M410" t="str">
            <v>July</v>
          </cell>
          <cell r="N410">
            <v>45855</v>
          </cell>
          <cell r="O410">
            <v>45912</v>
          </cell>
          <cell r="P410" t="str">
            <v>Infosys</v>
          </cell>
          <cell r="R410" t="str">
            <v>FTE</v>
          </cell>
          <cell r="AA410" t="str">
            <v>NA</v>
          </cell>
          <cell r="AN410" t="str">
            <v>NA</v>
          </cell>
          <cell r="AP410" t="str">
            <v>Done</v>
          </cell>
          <cell r="AR410">
            <v>367</v>
          </cell>
          <cell r="AS410" t="str">
            <v>JPC - 225299</v>
          </cell>
        </row>
        <row r="411">
          <cell r="A411">
            <v>1</v>
          </cell>
          <cell r="B411" t="str">
            <v>Trust</v>
          </cell>
          <cell r="C411" t="str">
            <v>Rajeev Gandhi Kavuri</v>
          </cell>
          <cell r="D411" t="str">
            <v>Harsh Shukla</v>
          </cell>
          <cell r="F411" t="str">
            <v>Bhanu Pratap Singh</v>
          </cell>
          <cell r="G411" t="str">
            <v>Harsh Agrawal</v>
          </cell>
          <cell r="M411" t="str">
            <v>July</v>
          </cell>
          <cell r="N411">
            <v>45859</v>
          </cell>
          <cell r="O411" t="str">
            <v>NA</v>
          </cell>
          <cell r="P411" t="str">
            <v>Infosys</v>
          </cell>
          <cell r="R411" t="str">
            <v>FTE</v>
          </cell>
          <cell r="AA411" t="str">
            <v>NA</v>
          </cell>
          <cell r="AN411" t="str">
            <v>NA</v>
          </cell>
          <cell r="AO411">
            <v>3500</v>
          </cell>
          <cell r="AP411" t="str">
            <v>Done</v>
          </cell>
          <cell r="AR411">
            <v>354</v>
          </cell>
          <cell r="AS411" t="str">
            <v>JPC - 225300</v>
          </cell>
        </row>
        <row r="412">
          <cell r="A412">
            <v>1</v>
          </cell>
          <cell r="B412" t="str">
            <v>Trust</v>
          </cell>
          <cell r="C412" t="str">
            <v>Rakesh Manthri</v>
          </cell>
          <cell r="D412" t="str">
            <v>Neelendra Dwivedi</v>
          </cell>
          <cell r="F412" t="str">
            <v>Bhanu Pratap Singh</v>
          </cell>
          <cell r="G412" t="str">
            <v>Harsh Agrawal</v>
          </cell>
          <cell r="M412" t="str">
            <v>July</v>
          </cell>
          <cell r="N412">
            <v>45869</v>
          </cell>
          <cell r="O412" t="str">
            <v>NA</v>
          </cell>
          <cell r="P412" t="str">
            <v>Infosys</v>
          </cell>
          <cell r="R412" t="str">
            <v>FTE</v>
          </cell>
          <cell r="AA412" t="str">
            <v>NA</v>
          </cell>
          <cell r="AN412" t="str">
            <v>NA</v>
          </cell>
          <cell r="AO412">
            <v>3500</v>
          </cell>
          <cell r="AP412" t="str">
            <v>Done</v>
          </cell>
          <cell r="AR412">
            <v>341</v>
          </cell>
          <cell r="AS412" t="str">
            <v>JPC - 225301</v>
          </cell>
        </row>
        <row r="413">
          <cell r="A413">
            <v>1</v>
          </cell>
          <cell r="B413" t="str">
            <v>Vantedge</v>
          </cell>
          <cell r="C413" t="str">
            <v>Sandeep Padhye</v>
          </cell>
          <cell r="D413" t="str">
            <v>Syed Ahrar Abbas Zaidi</v>
          </cell>
          <cell r="F413" t="str">
            <v> Anshul Kumar</v>
          </cell>
          <cell r="G413" t="str">
            <v>Umar Mujahid</v>
          </cell>
          <cell r="M413" t="str">
            <v>July</v>
          </cell>
          <cell r="N413">
            <v>45859</v>
          </cell>
          <cell r="O413" t="str">
            <v>NA</v>
          </cell>
          <cell r="P413" t="str">
            <v>InfoBeans</v>
          </cell>
          <cell r="R413" t="str">
            <v>FTE</v>
          </cell>
          <cell r="AA413" t="str">
            <v>NA</v>
          </cell>
          <cell r="AN413" t="str">
            <v>NA</v>
          </cell>
          <cell r="AO413">
            <v>31500</v>
          </cell>
          <cell r="AP413" t="str">
            <v>Done</v>
          </cell>
          <cell r="AR413">
            <v>328</v>
          </cell>
          <cell r="AS413" t="str">
            <v>JPC - 225302</v>
          </cell>
        </row>
        <row r="414">
          <cell r="A414">
            <v>1</v>
          </cell>
          <cell r="B414" t="str">
            <v>Vantedge</v>
          </cell>
          <cell r="C414" t="str">
            <v>Travis Leemreis</v>
          </cell>
          <cell r="D414" t="str">
            <v>Pulkit Prakash</v>
          </cell>
          <cell r="F414" t="str">
            <v>Raunak Tripathi</v>
          </cell>
          <cell r="G414" t="str">
            <v>Raunak Tripathi</v>
          </cell>
          <cell r="M414" t="str">
            <v>July</v>
          </cell>
          <cell r="N414">
            <v>45855</v>
          </cell>
          <cell r="O414" t="str">
            <v>NA</v>
          </cell>
          <cell r="P414" t="str">
            <v>Kale Logistics</v>
          </cell>
          <cell r="R414" t="str">
            <v>FTE</v>
          </cell>
          <cell r="AA414" t="str">
            <v>NA</v>
          </cell>
          <cell r="AN414" t="str">
            <v>NA</v>
          </cell>
          <cell r="AO414">
            <v>14400</v>
          </cell>
          <cell r="AP414" t="str">
            <v>Done</v>
          </cell>
          <cell r="AR414">
            <v>315</v>
          </cell>
          <cell r="AS414" t="str">
            <v>JPC - 225303</v>
          </cell>
        </row>
        <row r="415">
          <cell r="A415">
            <v>1</v>
          </cell>
          <cell r="B415" t="str">
            <v>Vantedge</v>
          </cell>
          <cell r="C415" t="str">
            <v>Leroy Cervantes</v>
          </cell>
          <cell r="D415" t="str">
            <v>Pulkit Prakash</v>
          </cell>
          <cell r="F415" t="str">
            <v>Raunak Tripathi</v>
          </cell>
          <cell r="G415" t="str">
            <v>Raunak Tripathi</v>
          </cell>
          <cell r="M415" t="str">
            <v>July</v>
          </cell>
          <cell r="N415">
            <v>45859</v>
          </cell>
          <cell r="O415" t="str">
            <v>NA</v>
          </cell>
          <cell r="P415" t="str">
            <v>Kale Logistics</v>
          </cell>
          <cell r="R415" t="str">
            <v>FTE</v>
          </cell>
          <cell r="AA415" t="str">
            <v>NA</v>
          </cell>
          <cell r="AN415" t="str">
            <v>NA</v>
          </cell>
          <cell r="AO415">
            <v>0</v>
          </cell>
          <cell r="AP415" t="str">
            <v>Done</v>
          </cell>
          <cell r="AR415">
            <v>302</v>
          </cell>
          <cell r="AS415" t="str">
            <v>JPC - 225304</v>
          </cell>
        </row>
        <row r="416">
          <cell r="A416">
            <v>1</v>
          </cell>
          <cell r="B416" t="str">
            <v>Vantedge</v>
          </cell>
          <cell r="C416" t="str">
            <v>Manish Hemrajani</v>
          </cell>
          <cell r="D416" t="str">
            <v>Rashmi Bhatnagar</v>
          </cell>
          <cell r="F416" t="str">
            <v>Rashmi Bhatnagar</v>
          </cell>
          <cell r="G416" t="str">
            <v>Rashmi Bhatnagar</v>
          </cell>
          <cell r="M416" t="str">
            <v>July</v>
          </cell>
          <cell r="N416">
            <v>45866</v>
          </cell>
          <cell r="O416" t="str">
            <v>NA</v>
          </cell>
          <cell r="P416" t="str">
            <v>Coforge</v>
          </cell>
          <cell r="R416" t="str">
            <v>FTE</v>
          </cell>
          <cell r="AA416" t="str">
            <v>NA</v>
          </cell>
          <cell r="AN416" t="str">
            <v>NA</v>
          </cell>
          <cell r="AO416">
            <v>45000</v>
          </cell>
          <cell r="AP416" t="str">
            <v>Done</v>
          </cell>
          <cell r="AR416">
            <v>289</v>
          </cell>
          <cell r="AS416" t="str">
            <v>JPC - 225305</v>
          </cell>
        </row>
        <row r="417">
          <cell r="A417">
            <v>1</v>
          </cell>
          <cell r="B417" t="str">
            <v>Pioneer RPO</v>
          </cell>
          <cell r="C417" t="str">
            <v>Aswani Nayak</v>
          </cell>
          <cell r="D417" t="str">
            <v>Sagar Chandani</v>
          </cell>
          <cell r="F417" t="str">
            <v>Ankit Pandey</v>
          </cell>
          <cell r="G417" t="str">
            <v>Shubham Rastogi</v>
          </cell>
          <cell r="M417" t="str">
            <v>July</v>
          </cell>
          <cell r="N417">
            <v>45859</v>
          </cell>
          <cell r="O417" t="str">
            <v>NA</v>
          </cell>
          <cell r="P417" t="str">
            <v xml:space="preserve">GPC IT </v>
          </cell>
          <cell r="R417" t="str">
            <v>FTE</v>
          </cell>
          <cell r="AA417" t="str">
            <v>NA</v>
          </cell>
          <cell r="AN417" t="str">
            <v>NA</v>
          </cell>
          <cell r="AO417">
            <v>300</v>
          </cell>
          <cell r="AP417" t="str">
            <v>Done</v>
          </cell>
          <cell r="AR417">
            <v>276</v>
          </cell>
          <cell r="AS417" t="str">
            <v>JPC - 225306</v>
          </cell>
        </row>
        <row r="418">
          <cell r="A418">
            <v>1</v>
          </cell>
          <cell r="B418" t="str">
            <v>Pioneer RPO</v>
          </cell>
          <cell r="C418" t="str">
            <v>Vijaya Koleti</v>
          </cell>
          <cell r="D418" t="str">
            <v xml:space="preserve">Priyanka Mishra </v>
          </cell>
          <cell r="F418" t="str">
            <v>Ankit Pandey</v>
          </cell>
          <cell r="G418" t="str">
            <v>Shubham Rastogi</v>
          </cell>
          <cell r="M418" t="str">
            <v>July</v>
          </cell>
          <cell r="N418">
            <v>45866</v>
          </cell>
          <cell r="O418" t="str">
            <v>NA</v>
          </cell>
          <cell r="P418" t="str">
            <v xml:space="preserve">GPC IT </v>
          </cell>
          <cell r="R418" t="str">
            <v>FTE</v>
          </cell>
          <cell r="AA418" t="str">
            <v>NA</v>
          </cell>
          <cell r="AN418" t="str">
            <v>NA</v>
          </cell>
          <cell r="AO418">
            <v>3000</v>
          </cell>
          <cell r="AP418" t="str">
            <v>Done</v>
          </cell>
          <cell r="AR418">
            <v>263</v>
          </cell>
          <cell r="AS418" t="str">
            <v>JPC - 225307</v>
          </cell>
        </row>
        <row r="419">
          <cell r="A419">
            <v>1</v>
          </cell>
          <cell r="B419" t="str">
            <v>Pioneer RPO</v>
          </cell>
          <cell r="C419" t="str">
            <v>Pavani Ravindra</v>
          </cell>
          <cell r="D419" t="str">
            <v xml:space="preserve">Priyanka Mishra </v>
          </cell>
          <cell r="F419" t="str">
            <v>Ankit Pandey</v>
          </cell>
          <cell r="G419" t="str">
            <v>Shubham Rastogi</v>
          </cell>
          <cell r="M419" t="str">
            <v>July</v>
          </cell>
          <cell r="N419">
            <v>45839</v>
          </cell>
          <cell r="O419" t="str">
            <v>NA</v>
          </cell>
          <cell r="P419" t="str">
            <v xml:space="preserve">GPC IT </v>
          </cell>
          <cell r="R419" t="str">
            <v>FTE</v>
          </cell>
          <cell r="AA419" t="str">
            <v>NA</v>
          </cell>
          <cell r="AN419" t="str">
            <v>NA</v>
          </cell>
          <cell r="AO419">
            <v>300</v>
          </cell>
          <cell r="AP419" t="str">
            <v>Done</v>
          </cell>
          <cell r="AR419">
            <v>250</v>
          </cell>
          <cell r="AS419" t="str">
            <v>JPC - 225308</v>
          </cell>
        </row>
        <row r="420">
          <cell r="A420">
            <v>1</v>
          </cell>
          <cell r="B420" t="str">
            <v>Trust</v>
          </cell>
          <cell r="C420" t="str">
            <v>Lakshmi Praveena</v>
          </cell>
          <cell r="D420" t="str">
            <v>Vivek Mani Upadhyay</v>
          </cell>
          <cell r="F420" t="str">
            <v>Bhanu Pratap Singh</v>
          </cell>
          <cell r="G420" t="str">
            <v>Shashank Yadav</v>
          </cell>
          <cell r="M420" t="str">
            <v>July</v>
          </cell>
          <cell r="N420">
            <v>45855</v>
          </cell>
          <cell r="O420" t="str">
            <v>NA</v>
          </cell>
          <cell r="P420" t="str">
            <v>Infosys</v>
          </cell>
          <cell r="R420" t="str">
            <v>FTE</v>
          </cell>
          <cell r="AA420" t="str">
            <v>NA</v>
          </cell>
          <cell r="AN420" t="str">
            <v>NA</v>
          </cell>
          <cell r="AO420">
            <v>3500</v>
          </cell>
          <cell r="AP420" t="str">
            <v>Done</v>
          </cell>
          <cell r="AR420">
            <v>237</v>
          </cell>
          <cell r="AS420" t="str">
            <v>JPC - 225309</v>
          </cell>
        </row>
        <row r="421">
          <cell r="A421">
            <v>1</v>
          </cell>
          <cell r="B421" t="str">
            <v>Wellness Warriors - Healthcare</v>
          </cell>
          <cell r="C421" t="str">
            <v>Rebecca Pacheco</v>
          </cell>
          <cell r="D421" t="str">
            <v>Panna Roy</v>
          </cell>
          <cell r="F421" t="str">
            <v>Shailesh Sharma</v>
          </cell>
          <cell r="G421" t="str">
            <v>Shailesh Sharma</v>
          </cell>
          <cell r="M421" t="str">
            <v>August</v>
          </cell>
          <cell r="N421">
            <v>45873</v>
          </cell>
          <cell r="O421" t="str">
            <v>NA</v>
          </cell>
          <cell r="P421" t="str">
            <v>Recruitfi</v>
          </cell>
          <cell r="R421" t="str">
            <v>FTE</v>
          </cell>
          <cell r="AA421" t="str">
            <v>NA</v>
          </cell>
          <cell r="AN421" t="str">
            <v>NA</v>
          </cell>
          <cell r="AO421">
            <v>23360</v>
          </cell>
          <cell r="AP421" t="str">
            <v>Done</v>
          </cell>
          <cell r="AR421">
            <v>224</v>
          </cell>
          <cell r="AS421" t="str">
            <v>JPC - 225310</v>
          </cell>
        </row>
        <row r="422">
          <cell r="A422">
            <v>1</v>
          </cell>
          <cell r="B422" t="str">
            <v>Wellness Warriors - Healthcare</v>
          </cell>
          <cell r="C422" t="str">
            <v>Nargues Mohseni</v>
          </cell>
          <cell r="D422" t="str">
            <v>Tushar Mishra</v>
          </cell>
          <cell r="F422" t="str">
            <v>Abhishek Singh</v>
          </cell>
          <cell r="M422" t="str">
            <v>August</v>
          </cell>
          <cell r="N422">
            <v>45887</v>
          </cell>
          <cell r="O422" t="str">
            <v>NA</v>
          </cell>
          <cell r="P422" t="str">
            <v>HWL</v>
          </cell>
          <cell r="R422" t="str">
            <v>FTE</v>
          </cell>
          <cell r="AA422" t="str">
            <v>NA</v>
          </cell>
          <cell r="AN422" t="str">
            <v>NA</v>
          </cell>
          <cell r="AO422">
            <v>16628.04</v>
          </cell>
          <cell r="AP422" t="str">
            <v>Done</v>
          </cell>
          <cell r="AR422">
            <v>211</v>
          </cell>
          <cell r="AS422" t="str">
            <v>JPC - 225311</v>
          </cell>
        </row>
        <row r="423">
          <cell r="A423">
            <v>1</v>
          </cell>
          <cell r="B423" t="str">
            <v>Titans/Mavericks</v>
          </cell>
          <cell r="C423" t="str">
            <v>Carla Hicks</v>
          </cell>
          <cell r="D423" t="str">
            <v>Aman Bajpai</v>
          </cell>
          <cell r="F423" t="str">
            <v>Rohit Gupta</v>
          </cell>
          <cell r="G423" t="str">
            <v>Nitin Saxena</v>
          </cell>
          <cell r="M423" t="str">
            <v>August</v>
          </cell>
          <cell r="N423">
            <v>45880</v>
          </cell>
          <cell r="O423" t="str">
            <v>NA</v>
          </cell>
          <cell r="P423" t="str">
            <v>Xceedence</v>
          </cell>
          <cell r="R423" t="str">
            <v>FTE</v>
          </cell>
          <cell r="AA423" t="str">
            <v>NA</v>
          </cell>
          <cell r="AN423" t="str">
            <v>NA</v>
          </cell>
          <cell r="AO423">
            <v>4000</v>
          </cell>
          <cell r="AP423" t="str">
            <v>Done</v>
          </cell>
          <cell r="AR423">
            <v>150</v>
          </cell>
          <cell r="AS423" t="str">
            <v>JPC - 225312</v>
          </cell>
        </row>
        <row r="424">
          <cell r="A424">
            <v>1</v>
          </cell>
          <cell r="B424" t="str">
            <v>Vantedge</v>
          </cell>
          <cell r="C424" t="str">
            <v>Devin Currens</v>
          </cell>
          <cell r="D424" t="str">
            <v>Syed Ahrar Abbas Zaidi</v>
          </cell>
          <cell r="F424" t="str">
            <v>Anshul Kumar</v>
          </cell>
          <cell r="G424" t="str">
            <v>Umar Mujahid</v>
          </cell>
          <cell r="M424" t="str">
            <v>August</v>
          </cell>
          <cell r="N424">
            <v>45887</v>
          </cell>
          <cell r="O424" t="str">
            <v>NA</v>
          </cell>
          <cell r="P424" t="str">
            <v>InfoBeans</v>
          </cell>
          <cell r="R424" t="str">
            <v>FTE</v>
          </cell>
          <cell r="AA424" t="str">
            <v>NA</v>
          </cell>
          <cell r="AN424" t="str">
            <v>NA</v>
          </cell>
          <cell r="AO424">
            <v>27000</v>
          </cell>
          <cell r="AP424" t="str">
            <v>Done</v>
          </cell>
          <cell r="AR424">
            <v>438</v>
          </cell>
          <cell r="AS424" t="str">
            <v>JPC - 225313</v>
          </cell>
        </row>
        <row r="425">
          <cell r="A425">
            <v>1</v>
          </cell>
          <cell r="B425" t="str">
            <v>Vantedge</v>
          </cell>
          <cell r="C425" t="str">
            <v>Natasha Allen</v>
          </cell>
          <cell r="D425" t="str">
            <v>Syed Ahrar Abbas Zaidi</v>
          </cell>
          <cell r="F425" t="str">
            <v>Mayank Saxena</v>
          </cell>
          <cell r="G425" t="str">
            <v>Umar Mujahid</v>
          </cell>
          <cell r="M425" t="str">
            <v>August</v>
          </cell>
          <cell r="N425">
            <v>45887</v>
          </cell>
          <cell r="O425" t="str">
            <v>NA</v>
          </cell>
          <cell r="P425" t="str">
            <v>Fanatics</v>
          </cell>
          <cell r="R425" t="str">
            <v>FTE</v>
          </cell>
          <cell r="AA425" t="str">
            <v>NA</v>
          </cell>
          <cell r="AN425" t="str">
            <v>NA</v>
          </cell>
          <cell r="AO425">
            <v>27000</v>
          </cell>
          <cell r="AP425" t="str">
            <v>Done</v>
          </cell>
          <cell r="AR425">
            <v>432</v>
          </cell>
          <cell r="AS425" t="str">
            <v>JPC - 225314</v>
          </cell>
        </row>
        <row r="426">
          <cell r="A426">
            <v>1</v>
          </cell>
          <cell r="B426" t="str">
            <v>Vantedge</v>
          </cell>
          <cell r="C426" t="str">
            <v>Brian Taylor</v>
          </cell>
          <cell r="D426" t="str">
            <v>Shreya Singh</v>
          </cell>
          <cell r="F426" t="str">
            <v>Umar Mujahid</v>
          </cell>
          <cell r="G426" t="str">
            <v>Anshul Kumar</v>
          </cell>
          <cell r="M426" t="str">
            <v>August</v>
          </cell>
          <cell r="N426">
            <v>45870</v>
          </cell>
          <cell r="O426" t="str">
            <v>NA</v>
          </cell>
          <cell r="P426" t="str">
            <v>FPT Software</v>
          </cell>
          <cell r="R426" t="str">
            <v>FTE</v>
          </cell>
          <cell r="AA426" t="str">
            <v>NA</v>
          </cell>
          <cell r="AN426" t="str">
            <v>NA</v>
          </cell>
          <cell r="AO426">
            <v>22750</v>
          </cell>
          <cell r="AP426" t="str">
            <v>Done</v>
          </cell>
          <cell r="AR426">
            <v>136</v>
          </cell>
          <cell r="AS426" t="str">
            <v>JPC - 225315</v>
          </cell>
        </row>
        <row r="427">
          <cell r="A427">
            <v>1</v>
          </cell>
          <cell r="B427" t="str">
            <v>Mavericks</v>
          </cell>
          <cell r="C427" t="str">
            <v>Shadea Lane</v>
          </cell>
          <cell r="D427" t="str">
            <v>Ekta Singh</v>
          </cell>
          <cell r="F427" t="str">
            <v>Rohit Gupta</v>
          </cell>
          <cell r="G427" t="str">
            <v>Rohit Gupta</v>
          </cell>
          <cell r="M427" t="str">
            <v>August</v>
          </cell>
          <cell r="N427">
            <v>45880</v>
          </cell>
          <cell r="O427" t="str">
            <v>NA</v>
          </cell>
          <cell r="P427" t="str">
            <v xml:space="preserve">Xceedance </v>
          </cell>
          <cell r="R427" t="str">
            <v>FTE</v>
          </cell>
          <cell r="AA427" t="str">
            <v>NA</v>
          </cell>
          <cell r="AN427" t="str">
            <v>NA</v>
          </cell>
          <cell r="AO427">
            <v>4000</v>
          </cell>
          <cell r="AP427" t="str">
            <v>Done</v>
          </cell>
          <cell r="AR427">
            <v>438</v>
          </cell>
          <cell r="AS427" t="str">
            <v>JPC - 225316</v>
          </cell>
        </row>
        <row r="428">
          <cell r="A428">
            <v>1</v>
          </cell>
          <cell r="B428" t="str">
            <v>Mavericks</v>
          </cell>
          <cell r="C428" t="str">
            <v xml:space="preserve">Dana Mason </v>
          </cell>
          <cell r="D428" t="str">
            <v>Ekta Singh</v>
          </cell>
          <cell r="F428" t="str">
            <v>Rohit Gupta</v>
          </cell>
          <cell r="G428" t="str">
            <v>Rohit Gupta</v>
          </cell>
          <cell r="M428" t="str">
            <v>August</v>
          </cell>
          <cell r="N428">
            <v>45880</v>
          </cell>
          <cell r="O428">
            <v>45891</v>
          </cell>
          <cell r="P428" t="str">
            <v xml:space="preserve">Xceedance </v>
          </cell>
          <cell r="R428" t="str">
            <v>FTE</v>
          </cell>
          <cell r="AA428" t="str">
            <v>NA</v>
          </cell>
          <cell r="AN428" t="str">
            <v>NA</v>
          </cell>
          <cell r="AP428" t="str">
            <v>Done</v>
          </cell>
          <cell r="AR428">
            <v>406</v>
          </cell>
          <cell r="AS428" t="str">
            <v>JPC - 225317</v>
          </cell>
        </row>
        <row r="429">
          <cell r="A429">
            <v>1</v>
          </cell>
          <cell r="B429" t="str">
            <v>Mavericks</v>
          </cell>
          <cell r="C429" t="str">
            <v xml:space="preserve">Ronney Goods </v>
          </cell>
          <cell r="D429" t="str">
            <v>Tauheed Ali</v>
          </cell>
          <cell r="F429" t="str">
            <v>Rohit Gupta</v>
          </cell>
          <cell r="G429" t="str">
            <v>Rohit Gupta</v>
          </cell>
          <cell r="M429" t="str">
            <v>August</v>
          </cell>
          <cell r="N429">
            <v>45880</v>
          </cell>
          <cell r="O429" t="str">
            <v>NA</v>
          </cell>
          <cell r="P429" t="str">
            <v xml:space="preserve">Xceedance </v>
          </cell>
          <cell r="R429" t="str">
            <v>FTE</v>
          </cell>
          <cell r="AA429" t="str">
            <v>NA</v>
          </cell>
          <cell r="AN429" t="str">
            <v>NA</v>
          </cell>
          <cell r="AO429">
            <v>4000</v>
          </cell>
          <cell r="AP429" t="str">
            <v>Done</v>
          </cell>
          <cell r="AR429">
            <v>393</v>
          </cell>
          <cell r="AS429" t="str">
            <v>JPC - 225318</v>
          </cell>
        </row>
        <row r="430">
          <cell r="A430">
            <v>1</v>
          </cell>
          <cell r="B430" t="str">
            <v>Mavericks</v>
          </cell>
          <cell r="C430" t="str">
            <v>Dorothy D. Carter</v>
          </cell>
          <cell r="D430" t="str">
            <v>Mohammad Tariq</v>
          </cell>
          <cell r="F430" t="str">
            <v>Rohit Gupta</v>
          </cell>
          <cell r="G430" t="str">
            <v>Kashif Nabi</v>
          </cell>
          <cell r="M430" t="str">
            <v>August</v>
          </cell>
          <cell r="N430">
            <v>45880</v>
          </cell>
          <cell r="O430" t="str">
            <v>NA</v>
          </cell>
          <cell r="P430" t="str">
            <v xml:space="preserve">Xceedance </v>
          </cell>
          <cell r="R430" t="str">
            <v>FTE</v>
          </cell>
          <cell r="AA430" t="str">
            <v>NA</v>
          </cell>
          <cell r="AN430" t="str">
            <v>NA</v>
          </cell>
          <cell r="AO430">
            <v>4000</v>
          </cell>
          <cell r="AP430" t="str">
            <v>Done</v>
          </cell>
          <cell r="AR430">
            <v>380</v>
          </cell>
          <cell r="AS430" t="str">
            <v>JPC - 225319</v>
          </cell>
        </row>
        <row r="431">
          <cell r="A431">
            <v>1</v>
          </cell>
          <cell r="B431" t="str">
            <v>Titans</v>
          </cell>
          <cell r="C431" t="str">
            <v>Aaron Mattew Stanley</v>
          </cell>
          <cell r="D431" t="str">
            <v>Priya Yadav</v>
          </cell>
          <cell r="F431" t="str">
            <v>Abhishek Yadav</v>
          </cell>
          <cell r="G431" t="str">
            <v>Abhishek Yadav</v>
          </cell>
          <cell r="M431" t="str">
            <v>August</v>
          </cell>
          <cell r="N431">
            <v>45891</v>
          </cell>
          <cell r="O431" t="str">
            <v>NA</v>
          </cell>
          <cell r="P431" t="str">
            <v>Genpact | Macquarie</v>
          </cell>
          <cell r="R431" t="str">
            <v>FTE</v>
          </cell>
          <cell r="AA431" t="str">
            <v>NA</v>
          </cell>
          <cell r="AN431" t="str">
            <v>NA</v>
          </cell>
          <cell r="AO431">
            <v>6000</v>
          </cell>
          <cell r="AP431" t="str">
            <v>Done</v>
          </cell>
          <cell r="AR431">
            <v>367</v>
          </cell>
          <cell r="AS431" t="str">
            <v>JPC - 225320</v>
          </cell>
        </row>
        <row r="432">
          <cell r="A432">
            <v>1</v>
          </cell>
          <cell r="B432" t="str">
            <v>Titans</v>
          </cell>
          <cell r="C432" t="str">
            <v>Oladapo Odutayo</v>
          </cell>
          <cell r="D432" t="str">
            <v>Noor Beg</v>
          </cell>
          <cell r="M432" t="str">
            <v>August</v>
          </cell>
          <cell r="N432">
            <v>45894</v>
          </cell>
          <cell r="O432" t="str">
            <v>NA</v>
          </cell>
          <cell r="P432" t="str">
            <v>Genpact</v>
          </cell>
          <cell r="R432" t="str">
            <v>FTE</v>
          </cell>
          <cell r="AA432" t="str">
            <v>NA</v>
          </cell>
          <cell r="AN432" t="str">
            <v>NA</v>
          </cell>
          <cell r="AO432">
            <v>6240</v>
          </cell>
          <cell r="AP432" t="str">
            <v>Done</v>
          </cell>
          <cell r="AR432">
            <v>354</v>
          </cell>
          <cell r="AS432" t="str">
            <v>JPC - 225321</v>
          </cell>
        </row>
        <row r="433">
          <cell r="A433">
            <v>1</v>
          </cell>
          <cell r="B433" t="str">
            <v>Titans</v>
          </cell>
          <cell r="C433" t="str">
            <v>Mohammed Abdul Mubdi</v>
          </cell>
          <cell r="D433" t="str">
            <v>Noor Beg</v>
          </cell>
          <cell r="M433" t="str">
            <v>August</v>
          </cell>
          <cell r="N433">
            <v>45894</v>
          </cell>
          <cell r="O433" t="str">
            <v>NA</v>
          </cell>
          <cell r="P433" t="str">
            <v>Genpact</v>
          </cell>
          <cell r="R433" t="str">
            <v>FTE</v>
          </cell>
          <cell r="AA433" t="str">
            <v>NA</v>
          </cell>
          <cell r="AN433" t="str">
            <v>NA</v>
          </cell>
          <cell r="AO433">
            <v>6720</v>
          </cell>
          <cell r="AP433" t="str">
            <v>Done</v>
          </cell>
          <cell r="AR433">
            <v>341</v>
          </cell>
          <cell r="AS433" t="str">
            <v>JPC - 225322</v>
          </cell>
        </row>
        <row r="434">
          <cell r="A434">
            <v>1</v>
          </cell>
          <cell r="B434" t="str">
            <v>Vantedge</v>
          </cell>
          <cell r="C434" t="str">
            <v>Taylor Brandon Grace</v>
          </cell>
          <cell r="D434" t="str">
            <v>Syed Ahrar Abbas Zaidi</v>
          </cell>
          <cell r="F434" t="str">
            <v>Anshul Kumar</v>
          </cell>
          <cell r="G434" t="str">
            <v>Umar Mujahid</v>
          </cell>
          <cell r="M434" t="str">
            <v>August</v>
          </cell>
          <cell r="N434">
            <v>45894</v>
          </cell>
          <cell r="O434" t="str">
            <v>NA</v>
          </cell>
          <cell r="P434" t="str">
            <v>InfoBeans</v>
          </cell>
          <cell r="R434" t="str">
            <v>FTE</v>
          </cell>
          <cell r="AA434" t="str">
            <v>NA</v>
          </cell>
          <cell r="AN434" t="str">
            <v>NA</v>
          </cell>
          <cell r="AO434">
            <v>27000</v>
          </cell>
          <cell r="AP434" t="str">
            <v>Done</v>
          </cell>
          <cell r="AR434">
            <v>328</v>
          </cell>
          <cell r="AS434" t="str">
            <v>JPC - 225323</v>
          </cell>
        </row>
        <row r="435">
          <cell r="A435">
            <v>1</v>
          </cell>
          <cell r="B435" t="str">
            <v>Pioneer RPO</v>
          </cell>
          <cell r="C435" t="str">
            <v>Madhav Rao Mokka</v>
          </cell>
          <cell r="D435" t="str">
            <v>Shubham Rastogi</v>
          </cell>
          <cell r="F435" t="str">
            <v>Ankit Pandey</v>
          </cell>
          <cell r="G435" t="str">
            <v>Shubham Rastogi</v>
          </cell>
          <cell r="M435" t="str">
            <v>August</v>
          </cell>
          <cell r="N435">
            <v>45873</v>
          </cell>
          <cell r="O435" t="str">
            <v>NA</v>
          </cell>
          <cell r="P435" t="str">
            <v xml:space="preserve">GPC IT </v>
          </cell>
          <cell r="R435" t="str">
            <v>FTE</v>
          </cell>
          <cell r="AA435" t="str">
            <v>NA</v>
          </cell>
          <cell r="AN435" t="str">
            <v>NA</v>
          </cell>
          <cell r="AO435">
            <v>3000</v>
          </cell>
          <cell r="AP435" t="str">
            <v>Done</v>
          </cell>
          <cell r="AR435">
            <v>315</v>
          </cell>
          <cell r="AS435" t="str">
            <v>JPC - 225324</v>
          </cell>
        </row>
        <row r="436">
          <cell r="A436">
            <v>1</v>
          </cell>
          <cell r="B436" t="str">
            <v>Pioneer RPO</v>
          </cell>
          <cell r="C436" t="str">
            <v>Munnikrishna Lingappa</v>
          </cell>
          <cell r="D436" t="str">
            <v>Shubham Rastogi</v>
          </cell>
          <cell r="F436" t="str">
            <v>Ankit Pandey</v>
          </cell>
          <cell r="G436" t="str">
            <v>Shubham Rastogi</v>
          </cell>
          <cell r="M436" t="str">
            <v>August</v>
          </cell>
          <cell r="N436">
            <v>45873</v>
          </cell>
          <cell r="O436" t="str">
            <v>NA</v>
          </cell>
          <cell r="P436" t="str">
            <v xml:space="preserve">GPC IT </v>
          </cell>
          <cell r="R436" t="str">
            <v>FTE</v>
          </cell>
          <cell r="AA436" t="str">
            <v>NA</v>
          </cell>
          <cell r="AN436" t="str">
            <v>NA</v>
          </cell>
          <cell r="AO436">
            <v>300</v>
          </cell>
          <cell r="AP436" t="str">
            <v>Done</v>
          </cell>
          <cell r="AR436">
            <v>302</v>
          </cell>
          <cell r="AS436" t="str">
            <v>JPC - 225325</v>
          </cell>
        </row>
        <row r="437">
          <cell r="A437">
            <v>1</v>
          </cell>
          <cell r="B437" t="str">
            <v>Pioneer RPO</v>
          </cell>
          <cell r="C437" t="str">
            <v>Dino Duvnjak</v>
          </cell>
          <cell r="D437" t="str">
            <v>Sagar Chandani</v>
          </cell>
          <cell r="F437" t="str">
            <v>Ankit Pandey</v>
          </cell>
          <cell r="G437" t="str">
            <v>Shubham Rastogi</v>
          </cell>
          <cell r="M437" t="str">
            <v>August</v>
          </cell>
          <cell r="N437">
            <v>45870</v>
          </cell>
          <cell r="O437" t="str">
            <v>NA</v>
          </cell>
          <cell r="P437" t="str">
            <v xml:space="preserve">GPC IT </v>
          </cell>
          <cell r="R437" t="str">
            <v>FTE</v>
          </cell>
          <cell r="AA437" t="str">
            <v>NA</v>
          </cell>
          <cell r="AN437" t="str">
            <v>NA</v>
          </cell>
          <cell r="AO437">
            <v>300</v>
          </cell>
          <cell r="AP437" t="str">
            <v>Done</v>
          </cell>
          <cell r="AR437">
            <v>289</v>
          </cell>
          <cell r="AS437" t="str">
            <v>JPC - 225326</v>
          </cell>
        </row>
        <row r="438">
          <cell r="A438">
            <v>1</v>
          </cell>
          <cell r="B438" t="str">
            <v>Pioneer RPO</v>
          </cell>
          <cell r="C438" t="str">
            <v>Roger Bain</v>
          </cell>
          <cell r="D438" t="str">
            <v>Sudhir Kumar</v>
          </cell>
          <cell r="F438" t="str">
            <v>Ankit Pandey</v>
          </cell>
          <cell r="G438" t="str">
            <v>Ankit Pandey</v>
          </cell>
          <cell r="M438" t="str">
            <v>August</v>
          </cell>
          <cell r="N438">
            <v>45873</v>
          </cell>
          <cell r="O438" t="str">
            <v>NA</v>
          </cell>
          <cell r="P438" t="str">
            <v xml:space="preserve">GPC IT </v>
          </cell>
          <cell r="R438" t="str">
            <v>FTE</v>
          </cell>
          <cell r="AA438" t="str">
            <v>NA</v>
          </cell>
          <cell r="AN438" t="str">
            <v>NA</v>
          </cell>
          <cell r="AO438">
            <v>3000</v>
          </cell>
          <cell r="AP438" t="str">
            <v>Done</v>
          </cell>
          <cell r="AR438">
            <v>276</v>
          </cell>
          <cell r="AS438" t="str">
            <v>JPC - 225327</v>
          </cell>
        </row>
        <row r="439">
          <cell r="A439">
            <v>1</v>
          </cell>
          <cell r="B439" t="str">
            <v>Pioneer RPO</v>
          </cell>
          <cell r="C439" t="str">
            <v>Tony Gonzalez</v>
          </cell>
          <cell r="D439" t="str">
            <v>Sudhir Kumar</v>
          </cell>
          <cell r="F439" t="str">
            <v>Ankit Pandey</v>
          </cell>
          <cell r="G439" t="str">
            <v>Ankit Pandey</v>
          </cell>
          <cell r="M439" t="str">
            <v>August</v>
          </cell>
          <cell r="N439">
            <v>45873</v>
          </cell>
          <cell r="O439" t="str">
            <v>NA</v>
          </cell>
          <cell r="P439" t="str">
            <v xml:space="preserve">GPC IT </v>
          </cell>
          <cell r="R439" t="str">
            <v>FTE</v>
          </cell>
          <cell r="AA439" t="str">
            <v>NA</v>
          </cell>
          <cell r="AN439" t="str">
            <v>NA</v>
          </cell>
          <cell r="AO439">
            <v>3000</v>
          </cell>
          <cell r="AP439" t="str">
            <v>Done</v>
          </cell>
          <cell r="AR439">
            <v>263</v>
          </cell>
          <cell r="AS439" t="str">
            <v>JPC - 225328</v>
          </cell>
        </row>
        <row r="440">
          <cell r="A440">
            <v>1</v>
          </cell>
          <cell r="B440" t="str">
            <v>Pioneer RPO</v>
          </cell>
          <cell r="C440" t="str">
            <v>Alex Davies</v>
          </cell>
          <cell r="D440" t="str">
            <v>Shubham Rastogi</v>
          </cell>
          <cell r="F440" t="str">
            <v>Ankit Pandey</v>
          </cell>
          <cell r="G440" t="str">
            <v>Shubham Rastogi</v>
          </cell>
          <cell r="M440" t="str">
            <v>August</v>
          </cell>
          <cell r="N440">
            <v>45894</v>
          </cell>
          <cell r="O440" t="str">
            <v>NA</v>
          </cell>
          <cell r="P440" t="str">
            <v xml:space="preserve">GPC IT </v>
          </cell>
          <cell r="R440" t="str">
            <v>FTE</v>
          </cell>
          <cell r="AA440" t="str">
            <v>NA</v>
          </cell>
          <cell r="AN440" t="str">
            <v>NA</v>
          </cell>
          <cell r="AO440">
            <v>3000</v>
          </cell>
          <cell r="AP440" t="str">
            <v>Done</v>
          </cell>
          <cell r="AR440">
            <v>250</v>
          </cell>
          <cell r="AS440" t="str">
            <v>JPC - 225329</v>
          </cell>
        </row>
        <row r="441">
          <cell r="A441">
            <v>1</v>
          </cell>
          <cell r="B441" t="str">
            <v>Pioneer RPO</v>
          </cell>
          <cell r="C441" t="str">
            <v>Richard Flores</v>
          </cell>
          <cell r="D441" t="str">
            <v>Shubham Rastogi</v>
          </cell>
          <cell r="F441" t="str">
            <v>Ankit Pandey</v>
          </cell>
          <cell r="G441" t="str">
            <v>Shubham Rastogi</v>
          </cell>
          <cell r="M441" t="str">
            <v>August</v>
          </cell>
          <cell r="N441">
            <v>45880</v>
          </cell>
          <cell r="O441" t="str">
            <v>NA</v>
          </cell>
          <cell r="P441" t="str">
            <v xml:space="preserve">GPC IT </v>
          </cell>
          <cell r="R441" t="str">
            <v>FTE</v>
          </cell>
          <cell r="AA441" t="str">
            <v>NA</v>
          </cell>
          <cell r="AN441" t="str">
            <v>NA</v>
          </cell>
          <cell r="AO441">
            <v>300</v>
          </cell>
          <cell r="AP441" t="str">
            <v>Done</v>
          </cell>
          <cell r="AR441">
            <v>237</v>
          </cell>
          <cell r="AS441" t="str">
            <v>JPC - 225330</v>
          </cell>
        </row>
        <row r="442">
          <cell r="A442">
            <v>1</v>
          </cell>
          <cell r="B442" t="str">
            <v>Pioneer RPO</v>
          </cell>
          <cell r="C442" t="str">
            <v>Uri Tammuz</v>
          </cell>
          <cell r="D442" t="str">
            <v>Sagar Chandani</v>
          </cell>
          <cell r="F442" t="str">
            <v>Ankit Pandey</v>
          </cell>
          <cell r="G442" t="str">
            <v>Shubham Rastogi</v>
          </cell>
          <cell r="M442" t="str">
            <v>August</v>
          </cell>
          <cell r="N442">
            <v>45887</v>
          </cell>
          <cell r="O442" t="str">
            <v>NA</v>
          </cell>
          <cell r="P442" t="str">
            <v xml:space="preserve">GPC IT </v>
          </cell>
          <cell r="R442" t="str">
            <v>FTE</v>
          </cell>
          <cell r="AA442" t="str">
            <v>NA</v>
          </cell>
          <cell r="AN442" t="str">
            <v>NA</v>
          </cell>
          <cell r="AO442">
            <v>300</v>
          </cell>
          <cell r="AP442" t="str">
            <v>Done</v>
          </cell>
          <cell r="AR442">
            <v>224</v>
          </cell>
          <cell r="AS442" t="str">
            <v>JPC - 225331</v>
          </cell>
        </row>
        <row r="443">
          <cell r="A443">
            <v>1</v>
          </cell>
          <cell r="B443" t="str">
            <v>Pioneer RPO</v>
          </cell>
          <cell r="C443" t="str">
            <v>Corrine Huang</v>
          </cell>
          <cell r="D443" t="str">
            <v xml:space="preserve">Priyanka Mishra </v>
          </cell>
          <cell r="F443" t="str">
            <v>Ankit Pandey</v>
          </cell>
          <cell r="G443" t="str">
            <v>Shubham Rastogi</v>
          </cell>
          <cell r="M443" t="str">
            <v>August</v>
          </cell>
          <cell r="N443">
            <v>45880</v>
          </cell>
          <cell r="O443" t="str">
            <v>NA</v>
          </cell>
          <cell r="P443" t="str">
            <v xml:space="preserve">GPC IT </v>
          </cell>
          <cell r="R443" t="str">
            <v>FTE</v>
          </cell>
          <cell r="AA443" t="str">
            <v>NA</v>
          </cell>
          <cell r="AN443" t="str">
            <v>NA</v>
          </cell>
          <cell r="AO443">
            <v>300</v>
          </cell>
          <cell r="AP443" t="str">
            <v>Done</v>
          </cell>
          <cell r="AR443">
            <v>211</v>
          </cell>
          <cell r="AS443" t="str">
            <v>JPC - 225332</v>
          </cell>
        </row>
        <row r="444">
          <cell r="A444">
            <v>1</v>
          </cell>
          <cell r="B444" t="str">
            <v>Trust</v>
          </cell>
          <cell r="C444" t="str">
            <v>Sreekanth Raghunathan</v>
          </cell>
          <cell r="D444" t="str">
            <v>Sana Zohra</v>
          </cell>
          <cell r="F444" t="str">
            <v>Harsh Agrawal</v>
          </cell>
          <cell r="G444" t="str">
            <v>Harsh Agrawal</v>
          </cell>
          <cell r="M444" t="str">
            <v>August</v>
          </cell>
          <cell r="N444">
            <v>45889</v>
          </cell>
          <cell r="O444" t="str">
            <v>NA</v>
          </cell>
          <cell r="P444" t="str">
            <v>Birlasoft</v>
          </cell>
          <cell r="R444" t="str">
            <v>FTE</v>
          </cell>
          <cell r="AA444" t="str">
            <v>NA</v>
          </cell>
          <cell r="AN444" t="str">
            <v>NA</v>
          </cell>
          <cell r="AO444">
            <v>22000</v>
          </cell>
          <cell r="AP444" t="str">
            <v>Done</v>
          </cell>
          <cell r="AR444">
            <v>150</v>
          </cell>
          <cell r="AS444" t="str">
            <v>JPC - 225333</v>
          </cell>
        </row>
        <row r="445">
          <cell r="A445">
            <v>1</v>
          </cell>
          <cell r="B445" t="str">
            <v>Trust</v>
          </cell>
          <cell r="C445" t="str">
            <v>Chad Mullin</v>
          </cell>
          <cell r="D445" t="str">
            <v>Abhishek Verma</v>
          </cell>
          <cell r="F445" t="str">
            <v>Bhanu Pratap Singh</v>
          </cell>
          <cell r="G445" t="str">
            <v>Shashank Yadav</v>
          </cell>
          <cell r="M445" t="str">
            <v>August</v>
          </cell>
          <cell r="N445">
            <v>45887</v>
          </cell>
          <cell r="O445" t="str">
            <v>NA</v>
          </cell>
          <cell r="P445" t="str">
            <v>Reflik</v>
          </cell>
          <cell r="R445" t="str">
            <v>FTE</v>
          </cell>
          <cell r="AA445" t="str">
            <v>NA</v>
          </cell>
          <cell r="AN445" t="str">
            <v>NA</v>
          </cell>
          <cell r="AO445">
            <v>5000</v>
          </cell>
          <cell r="AP445" t="str">
            <v>Done</v>
          </cell>
          <cell r="AR445">
            <v>438</v>
          </cell>
          <cell r="AS445" t="str">
            <v>JPC - 225334</v>
          </cell>
        </row>
        <row r="446">
          <cell r="A446">
            <v>1</v>
          </cell>
          <cell r="B446" t="str">
            <v>Titans</v>
          </cell>
          <cell r="C446" t="str">
            <v>Jason Troester</v>
          </cell>
          <cell r="D446" t="str">
            <v>Samad Quraishi</v>
          </cell>
          <cell r="F446" t="str">
            <v>Nitin Saxena</v>
          </cell>
          <cell r="G446" t="str">
            <v>Nitin Saxena</v>
          </cell>
          <cell r="M446" t="str">
            <v>September</v>
          </cell>
          <cell r="N446">
            <v>45908</v>
          </cell>
          <cell r="O446" t="str">
            <v>NA</v>
          </cell>
          <cell r="P446" t="str">
            <v>CBREX</v>
          </cell>
          <cell r="R446" t="str">
            <v>FTE</v>
          </cell>
          <cell r="AA446" t="str">
            <v>NA</v>
          </cell>
          <cell r="AN446" t="str">
            <v>NA</v>
          </cell>
          <cell r="AO446">
            <v>7280</v>
          </cell>
          <cell r="AP446" t="str">
            <v>Done</v>
          </cell>
          <cell r="AR446">
            <v>432</v>
          </cell>
          <cell r="AS446" t="str">
            <v>JPC - 225335</v>
          </cell>
        </row>
        <row r="447">
          <cell r="A447">
            <v>1</v>
          </cell>
          <cell r="B447" t="str">
            <v>Vantedge</v>
          </cell>
          <cell r="C447" t="str">
            <v>Amrita Singh</v>
          </cell>
          <cell r="D447" t="str">
            <v>Priyansh Khare</v>
          </cell>
          <cell r="F447" t="str">
            <v>Anshul Kumar</v>
          </cell>
          <cell r="G447" t="str">
            <v>Anshul Kumar</v>
          </cell>
          <cell r="M447" t="str">
            <v>September</v>
          </cell>
          <cell r="N447">
            <v>45915</v>
          </cell>
          <cell r="O447" t="str">
            <v>NA</v>
          </cell>
          <cell r="P447" t="str">
            <v>InfoBeans</v>
          </cell>
          <cell r="R447" t="str">
            <v>FTE</v>
          </cell>
          <cell r="AA447" t="str">
            <v>NA</v>
          </cell>
          <cell r="AN447" t="str">
            <v>NA</v>
          </cell>
          <cell r="AO447">
            <v>18000</v>
          </cell>
          <cell r="AP447" t="str">
            <v>Done</v>
          </cell>
          <cell r="AR447">
            <v>136</v>
          </cell>
          <cell r="AS447" t="str">
            <v>JPC - 225336</v>
          </cell>
        </row>
        <row r="448">
          <cell r="A448">
            <v>1</v>
          </cell>
          <cell r="B448" t="str">
            <v>CSK+Vantedge</v>
          </cell>
          <cell r="C448" t="str">
            <v>Kishore Babu Tenneti</v>
          </cell>
          <cell r="D448" t="str">
            <v>M Harinath</v>
          </cell>
          <cell r="F448" t="str">
            <v>Mayank Saxena</v>
          </cell>
          <cell r="G448" t="str">
            <v>Vinoth L</v>
          </cell>
          <cell r="M448" t="str">
            <v>September</v>
          </cell>
          <cell r="N448">
            <v>45903</v>
          </cell>
          <cell r="O448" t="str">
            <v>NA</v>
          </cell>
          <cell r="P448" t="str">
            <v>Tredence</v>
          </cell>
          <cell r="R448" t="str">
            <v>FTE</v>
          </cell>
          <cell r="AA448" t="str">
            <v>NA</v>
          </cell>
          <cell r="AN448" t="str">
            <v>NA</v>
          </cell>
          <cell r="AO448">
            <v>12400</v>
          </cell>
          <cell r="AP448" t="str">
            <v>Done</v>
          </cell>
          <cell r="AR448">
            <v>438</v>
          </cell>
          <cell r="AS448" t="str">
            <v>JPC - 225337</v>
          </cell>
        </row>
        <row r="449">
          <cell r="A449">
            <v>1</v>
          </cell>
          <cell r="B449" t="str">
            <v>Vantedge</v>
          </cell>
          <cell r="C449" t="str">
            <v>Chandra Bhagi</v>
          </cell>
          <cell r="D449" t="str">
            <v>Ankit Maurya</v>
          </cell>
          <cell r="F449" t="str">
            <v>Raunak Tripathi</v>
          </cell>
          <cell r="G449" t="str">
            <v>Raunak Tripathi</v>
          </cell>
          <cell r="M449" t="str">
            <v>September</v>
          </cell>
          <cell r="N449">
            <v>45908</v>
          </cell>
          <cell r="O449" t="str">
            <v>NA</v>
          </cell>
          <cell r="P449" t="str">
            <v>Birlasoft</v>
          </cell>
          <cell r="R449" t="str">
            <v>FTE</v>
          </cell>
          <cell r="AA449" t="str">
            <v>NA</v>
          </cell>
          <cell r="AN449" t="str">
            <v>NA</v>
          </cell>
          <cell r="AO449">
            <v>28800</v>
          </cell>
          <cell r="AP449" t="str">
            <v>Done</v>
          </cell>
          <cell r="AR449">
            <v>406</v>
          </cell>
          <cell r="AS449" t="str">
            <v>JPC - 225338</v>
          </cell>
        </row>
        <row r="450">
          <cell r="A450">
            <v>1</v>
          </cell>
          <cell r="B450" t="str">
            <v>Vantedge</v>
          </cell>
          <cell r="C450" t="str">
            <v>Minoji Thomas</v>
          </cell>
          <cell r="D450" t="str">
            <v>Devansh Mishra</v>
          </cell>
          <cell r="F450" t="str">
            <v>Raunak Tripathi</v>
          </cell>
          <cell r="G450" t="str">
            <v>Raunak Tripathi</v>
          </cell>
          <cell r="M450" t="str">
            <v>September</v>
          </cell>
          <cell r="N450">
            <v>45910</v>
          </cell>
          <cell r="O450" t="str">
            <v>NA</v>
          </cell>
          <cell r="P450" t="str">
            <v>Infogain</v>
          </cell>
          <cell r="R450" t="str">
            <v>FTE</v>
          </cell>
          <cell r="AA450" t="str">
            <v>NA</v>
          </cell>
          <cell r="AN450" t="str">
            <v>NA</v>
          </cell>
          <cell r="AO450">
            <v>37500</v>
          </cell>
          <cell r="AP450" t="str">
            <v>Done</v>
          </cell>
          <cell r="AR450">
            <v>393</v>
          </cell>
          <cell r="AS450" t="str">
            <v>JPC - 225339</v>
          </cell>
        </row>
        <row r="451">
          <cell r="A451">
            <v>1</v>
          </cell>
          <cell r="B451" t="str">
            <v>Trust</v>
          </cell>
          <cell r="C451" t="str">
            <v>Sreeramulu Alapati</v>
          </cell>
          <cell r="D451" t="str">
            <v>Virendra Vikram Singh</v>
          </cell>
          <cell r="F451" t="str">
            <v>Bhanu Pratap Singh</v>
          </cell>
          <cell r="G451" t="str">
            <v>Harsh Agrawal</v>
          </cell>
          <cell r="M451" t="str">
            <v>September</v>
          </cell>
          <cell r="N451">
            <v>45904</v>
          </cell>
          <cell r="O451" t="str">
            <v>NA</v>
          </cell>
          <cell r="P451" t="str">
            <v>Infosys</v>
          </cell>
          <cell r="R451" t="str">
            <v>FTE</v>
          </cell>
          <cell r="AA451" t="str">
            <v>NA</v>
          </cell>
          <cell r="AN451" t="str">
            <v>NA</v>
          </cell>
          <cell r="AO451">
            <v>3500</v>
          </cell>
          <cell r="AP451" t="str">
            <v>Done</v>
          </cell>
          <cell r="AR451">
            <v>380</v>
          </cell>
          <cell r="AS451" t="str">
            <v>JPC - 225340</v>
          </cell>
        </row>
        <row r="452">
          <cell r="A452">
            <v>1</v>
          </cell>
          <cell r="B452" t="str">
            <v>Trust</v>
          </cell>
          <cell r="C452" t="str">
            <v>Byron Dunning</v>
          </cell>
          <cell r="D452" t="str">
            <v>Abhishek Verma</v>
          </cell>
          <cell r="F452" t="str">
            <v>Bhanu Pratap Singh</v>
          </cell>
          <cell r="G452" t="str">
            <v>Shashank Yadav</v>
          </cell>
          <cell r="M452" t="str">
            <v>September</v>
          </cell>
          <cell r="N452">
            <v>45902</v>
          </cell>
          <cell r="O452" t="str">
            <v>NA</v>
          </cell>
          <cell r="P452" t="str">
            <v>Reflik</v>
          </cell>
          <cell r="R452" t="str">
            <v>FTE</v>
          </cell>
          <cell r="AA452" t="str">
            <v>NA</v>
          </cell>
          <cell r="AN452" t="str">
            <v>NA</v>
          </cell>
          <cell r="AO452">
            <v>18750</v>
          </cell>
          <cell r="AP452" t="str">
            <v>Done</v>
          </cell>
          <cell r="AR452">
            <v>367</v>
          </cell>
          <cell r="AS452" t="str">
            <v>JPC - 225341</v>
          </cell>
        </row>
        <row r="453">
          <cell r="A453">
            <v>1</v>
          </cell>
          <cell r="B453" t="str">
            <v>Trust</v>
          </cell>
          <cell r="C453" t="str">
            <v xml:space="preserve">Nalini Prava Kumar </v>
          </cell>
          <cell r="D453" t="str">
            <v>Vivek Mani Upadhyay</v>
          </cell>
          <cell r="F453" t="str">
            <v>Bhanu Pratap Singh</v>
          </cell>
          <cell r="G453" t="str">
            <v>Shashank Yadav</v>
          </cell>
          <cell r="M453" t="str">
            <v>September</v>
          </cell>
          <cell r="N453">
            <v>45904</v>
          </cell>
          <cell r="O453" t="str">
            <v>NA</v>
          </cell>
          <cell r="P453" t="str">
            <v>Infosys</v>
          </cell>
          <cell r="R453" t="str">
            <v>FTE</v>
          </cell>
          <cell r="AA453" t="str">
            <v>NA</v>
          </cell>
          <cell r="AN453" t="str">
            <v>NA</v>
          </cell>
          <cell r="AO453">
            <v>3500</v>
          </cell>
          <cell r="AP453" t="str">
            <v>Done</v>
          </cell>
          <cell r="AR453">
            <v>354</v>
          </cell>
          <cell r="AS453" t="str">
            <v>JPC - 225342</v>
          </cell>
        </row>
        <row r="454">
          <cell r="A454">
            <v>1</v>
          </cell>
          <cell r="B454" t="str">
            <v>Trust</v>
          </cell>
          <cell r="C454" t="str">
            <v>Sharon Harbor</v>
          </cell>
          <cell r="D454" t="str">
            <v>Shubham Patel</v>
          </cell>
          <cell r="F454" t="str">
            <v>Bhanu Pratap Singh</v>
          </cell>
          <cell r="G454" t="str">
            <v>Shashank Yadav</v>
          </cell>
          <cell r="M454" t="str">
            <v>September</v>
          </cell>
          <cell r="N454">
            <v>45904</v>
          </cell>
          <cell r="O454" t="str">
            <v>NA</v>
          </cell>
          <cell r="P454" t="str">
            <v>Infosys</v>
          </cell>
          <cell r="R454" t="str">
            <v>FTE</v>
          </cell>
          <cell r="AA454" t="str">
            <v>NA</v>
          </cell>
          <cell r="AN454" t="str">
            <v>NA</v>
          </cell>
          <cell r="AO454">
            <v>3500</v>
          </cell>
          <cell r="AP454" t="str">
            <v>Done</v>
          </cell>
          <cell r="AR454">
            <v>341</v>
          </cell>
          <cell r="AS454" t="str">
            <v>JPC - 225343</v>
          </cell>
        </row>
        <row r="455">
          <cell r="A455">
            <v>1</v>
          </cell>
          <cell r="B455" t="str">
            <v>Trust</v>
          </cell>
          <cell r="C455" t="str">
            <v xml:space="preserve">Syed Saad Qasim </v>
          </cell>
          <cell r="D455" t="str">
            <v>Vivek Kumar</v>
          </cell>
          <cell r="F455" t="str">
            <v>Bhanu Pratap Singh</v>
          </cell>
          <cell r="G455" t="str">
            <v>Vivek Mishra</v>
          </cell>
          <cell r="M455" t="str">
            <v>September</v>
          </cell>
          <cell r="N455">
            <v>45908</v>
          </cell>
          <cell r="O455" t="str">
            <v>NA</v>
          </cell>
          <cell r="P455" t="str">
            <v>Infosys</v>
          </cell>
          <cell r="R455" t="str">
            <v>FTE</v>
          </cell>
          <cell r="AA455" t="str">
            <v>NA</v>
          </cell>
          <cell r="AN455" t="str">
            <v>NA</v>
          </cell>
          <cell r="AO455">
            <v>3500</v>
          </cell>
          <cell r="AP455" t="str">
            <v>Done</v>
          </cell>
          <cell r="AR455">
            <v>328</v>
          </cell>
          <cell r="AS455" t="str">
            <v>JPC - 225344</v>
          </cell>
        </row>
        <row r="456">
          <cell r="A456">
            <v>1</v>
          </cell>
          <cell r="B456" t="str">
            <v>Wellness Warriors - Healthcare</v>
          </cell>
          <cell r="C456" t="str">
            <v>Patricia Sanchez</v>
          </cell>
          <cell r="D456" t="str">
            <v>Ananya Agarwal</v>
          </cell>
          <cell r="F456" t="str">
            <v>Ranveer Kumar</v>
          </cell>
          <cell r="G456" t="str">
            <v>Ranveer Kumar</v>
          </cell>
          <cell r="M456" t="str">
            <v>September</v>
          </cell>
          <cell r="N456">
            <v>45908</v>
          </cell>
          <cell r="O456">
            <v>45939</v>
          </cell>
          <cell r="P456" t="str">
            <v>CBREX</v>
          </cell>
          <cell r="R456" t="str">
            <v>FTE</v>
          </cell>
          <cell r="AA456" t="str">
            <v>NA</v>
          </cell>
          <cell r="AN456" t="str">
            <v>NA</v>
          </cell>
          <cell r="AP456" t="str">
            <v>Done</v>
          </cell>
          <cell r="AR456">
            <v>315</v>
          </cell>
          <cell r="AS456" t="str">
            <v>JPC - 225345</v>
          </cell>
        </row>
        <row r="457">
          <cell r="A457">
            <v>1</v>
          </cell>
          <cell r="B457" t="str">
            <v>Wellness Warriors - Healthcare</v>
          </cell>
          <cell r="C457" t="str">
            <v>Enrique Luna</v>
          </cell>
          <cell r="D457" t="str">
            <v xml:space="preserve">Ayush Chauhan </v>
          </cell>
          <cell r="F457" t="str">
            <v>Ranveer Kumar</v>
          </cell>
          <cell r="G457" t="str">
            <v>Ranveer Kumar</v>
          </cell>
          <cell r="M457" t="str">
            <v>September</v>
          </cell>
          <cell r="N457">
            <v>45922</v>
          </cell>
          <cell r="O457">
            <v>45933</v>
          </cell>
          <cell r="P457" t="str">
            <v>Recruitifi</v>
          </cell>
          <cell r="R457" t="str">
            <v>FTE</v>
          </cell>
          <cell r="AA457" t="str">
            <v>NA</v>
          </cell>
          <cell r="AN457" t="str">
            <v>NA</v>
          </cell>
          <cell r="AP457" t="str">
            <v>Done</v>
          </cell>
          <cell r="AR457">
            <v>302</v>
          </cell>
          <cell r="AS457" t="str">
            <v>JPC - 225346</v>
          </cell>
        </row>
        <row r="458">
          <cell r="A458">
            <v>1</v>
          </cell>
          <cell r="B458" t="str">
            <v>Mavericks</v>
          </cell>
          <cell r="C458" t="str">
            <v>Mansi Rajkumar Jangam</v>
          </cell>
          <cell r="D458" t="str">
            <v>Arpit Gupta</v>
          </cell>
          <cell r="F458" t="str">
            <v>Kashif Nabi</v>
          </cell>
          <cell r="G458" t="str">
            <v>Mohammad Tariq</v>
          </cell>
          <cell r="M458" t="str">
            <v>September</v>
          </cell>
          <cell r="N458">
            <v>45922</v>
          </cell>
          <cell r="O458" t="str">
            <v>NA</v>
          </cell>
          <cell r="P458" t="str">
            <v>Capgemini</v>
          </cell>
          <cell r="R458" t="str">
            <v>FTE</v>
          </cell>
          <cell r="AA458" t="str">
            <v>NA</v>
          </cell>
          <cell r="AN458" t="str">
            <v>NA</v>
          </cell>
          <cell r="AO458" t="str">
            <v xml:space="preserve">$                          5,000.00 </v>
          </cell>
          <cell r="AP458" t="str">
            <v>Done</v>
          </cell>
          <cell r="AR458">
            <v>289</v>
          </cell>
          <cell r="AS458" t="str">
            <v>JPC - 225347</v>
          </cell>
        </row>
        <row r="459">
          <cell r="A459">
            <v>1</v>
          </cell>
          <cell r="B459" t="str">
            <v>Mavericks</v>
          </cell>
          <cell r="C459" t="str">
            <v>Gerry Vasquez</v>
          </cell>
          <cell r="D459" t="str">
            <v>Mohammad Tariq</v>
          </cell>
          <cell r="F459" t="str">
            <v>Kashif Nabi</v>
          </cell>
          <cell r="G459" t="str">
            <v>Mohammad Tariq</v>
          </cell>
          <cell r="M459" t="str">
            <v>September</v>
          </cell>
          <cell r="N459">
            <v>45922</v>
          </cell>
          <cell r="O459" t="str">
            <v>NA</v>
          </cell>
          <cell r="P459" t="str">
            <v>Anderson Kill P.C.</v>
          </cell>
          <cell r="R459" t="str">
            <v>FTE</v>
          </cell>
          <cell r="AA459" t="str">
            <v>NA</v>
          </cell>
          <cell r="AN459" t="str">
            <v>NA</v>
          </cell>
          <cell r="AO459" t="str">
            <v xml:space="preserve">$                        22,000.00 </v>
          </cell>
          <cell r="AP459" t="str">
            <v>Done</v>
          </cell>
          <cell r="AR459">
            <v>276</v>
          </cell>
          <cell r="AS459" t="str">
            <v>JPC - 225348</v>
          </cell>
        </row>
        <row r="460">
          <cell r="A460">
            <v>1</v>
          </cell>
          <cell r="B460" t="str">
            <v>Trust</v>
          </cell>
          <cell r="C460" t="str">
            <v>Jason Agbodjah</v>
          </cell>
          <cell r="D460" t="str">
            <v>Sachendra Pal</v>
          </cell>
          <cell r="F460" t="str">
            <v>Bhanu Pratap Singh</v>
          </cell>
          <cell r="G460" t="str">
            <v>Shashank Yadav</v>
          </cell>
          <cell r="M460" t="str">
            <v>September</v>
          </cell>
          <cell r="N460">
            <v>45926</v>
          </cell>
          <cell r="O460" t="str">
            <v>NA</v>
          </cell>
          <cell r="P460" t="str">
            <v>Infosys</v>
          </cell>
          <cell r="R460" t="str">
            <v>FTE</v>
          </cell>
          <cell r="AA460" t="str">
            <v>NA</v>
          </cell>
          <cell r="AN460" t="str">
            <v>NA</v>
          </cell>
          <cell r="AO460">
            <v>3500</v>
          </cell>
          <cell r="AP460" t="str">
            <v>Done</v>
          </cell>
          <cell r="AR460">
            <v>263</v>
          </cell>
          <cell r="AS460" t="str">
            <v>JPC - 225349</v>
          </cell>
        </row>
        <row r="461">
          <cell r="A461">
            <v>1</v>
          </cell>
          <cell r="B461" t="str">
            <v>Trust</v>
          </cell>
          <cell r="C461" t="str">
            <v>Cristobal Parada</v>
          </cell>
          <cell r="D461" t="str">
            <v>Astha Sharma</v>
          </cell>
          <cell r="F461" t="str">
            <v>Bhanu Pratap Singh</v>
          </cell>
          <cell r="G461" t="str">
            <v>Shashank Yadav</v>
          </cell>
          <cell r="M461" t="str">
            <v>September</v>
          </cell>
          <cell r="N461">
            <v>45929</v>
          </cell>
          <cell r="O461" t="str">
            <v>NA</v>
          </cell>
          <cell r="P461" t="str">
            <v>Infosys</v>
          </cell>
          <cell r="R461" t="str">
            <v>FTE</v>
          </cell>
          <cell r="AA461" t="str">
            <v>NA</v>
          </cell>
          <cell r="AN461" t="str">
            <v>NA</v>
          </cell>
          <cell r="AO461">
            <v>3500</v>
          </cell>
          <cell r="AP461" t="str">
            <v>Done</v>
          </cell>
          <cell r="AR461">
            <v>250</v>
          </cell>
          <cell r="AS461" t="str">
            <v>JPC - 225350</v>
          </cell>
        </row>
        <row r="462">
          <cell r="A462">
            <v>1</v>
          </cell>
          <cell r="B462" t="str">
            <v>Trust</v>
          </cell>
          <cell r="C462" t="str">
            <v>Seshadri Chalikonda</v>
          </cell>
          <cell r="D462" t="str">
            <v>Pushpendra Kumar</v>
          </cell>
          <cell r="F462" t="str">
            <v>Bhanu Pratap Singh</v>
          </cell>
          <cell r="G462" t="str">
            <v>Harsh Agrawal</v>
          </cell>
          <cell r="M462" t="str">
            <v>September</v>
          </cell>
          <cell r="N462">
            <v>45929</v>
          </cell>
          <cell r="O462" t="str">
            <v>NA</v>
          </cell>
          <cell r="P462" t="str">
            <v>Infosys</v>
          </cell>
          <cell r="R462" t="str">
            <v>FTE</v>
          </cell>
          <cell r="AA462" t="str">
            <v>NA</v>
          </cell>
          <cell r="AN462" t="str">
            <v>NA</v>
          </cell>
          <cell r="AO462">
            <v>3500</v>
          </cell>
          <cell r="AP462" t="str">
            <v>Done</v>
          </cell>
          <cell r="AR462">
            <v>237</v>
          </cell>
          <cell r="AS462" t="str">
            <v>JPC - 225351</v>
          </cell>
        </row>
        <row r="463">
          <cell r="A463">
            <v>1</v>
          </cell>
          <cell r="B463" t="str">
            <v>Titans</v>
          </cell>
          <cell r="C463" t="str">
            <v>Catherine Lawrence</v>
          </cell>
          <cell r="D463" t="str">
            <v>Shubham Tripathi</v>
          </cell>
          <cell r="F463" t="str">
            <v>Abhishek Yadav</v>
          </cell>
          <cell r="G463" t="str">
            <v>Abhishek Yadav</v>
          </cell>
          <cell r="M463" t="str">
            <v>September</v>
          </cell>
          <cell r="N463">
            <v>45917</v>
          </cell>
          <cell r="O463" t="str">
            <v>NA</v>
          </cell>
          <cell r="P463" t="str">
            <v>Genpact</v>
          </cell>
          <cell r="R463" t="str">
            <v>FTE</v>
          </cell>
          <cell r="AA463" t="str">
            <v>NA</v>
          </cell>
          <cell r="AN463" t="str">
            <v>NA</v>
          </cell>
          <cell r="AO463">
            <v>6000</v>
          </cell>
          <cell r="AP463" t="str">
            <v>Done</v>
          </cell>
          <cell r="AR463">
            <v>224</v>
          </cell>
          <cell r="AS463" t="str">
            <v>JPC - 225352</v>
          </cell>
        </row>
        <row r="464">
          <cell r="A464">
            <v>1</v>
          </cell>
          <cell r="B464" t="str">
            <v>Titans</v>
          </cell>
          <cell r="C464" t="str">
            <v>Gonzalo Garza</v>
          </cell>
          <cell r="D464" t="str">
            <v>Mohd Imran</v>
          </cell>
          <cell r="F464" t="str">
            <v>Aditya Yadav</v>
          </cell>
          <cell r="G464" t="str">
            <v>Aditya Yadav</v>
          </cell>
          <cell r="M464" t="str">
            <v>September</v>
          </cell>
          <cell r="N464">
            <v>45918</v>
          </cell>
          <cell r="O464" t="str">
            <v>NA</v>
          </cell>
          <cell r="P464" t="str">
            <v>LTTS</v>
          </cell>
          <cell r="R464" t="str">
            <v>FTE</v>
          </cell>
          <cell r="AA464" t="str">
            <v>NA</v>
          </cell>
          <cell r="AN464" t="str">
            <v>NA</v>
          </cell>
          <cell r="AO464">
            <v>8429</v>
          </cell>
          <cell r="AP464" t="str">
            <v>Done</v>
          </cell>
          <cell r="AR464">
            <v>211</v>
          </cell>
          <cell r="AS464" t="str">
            <v>JPC - 225353</v>
          </cell>
        </row>
        <row r="465">
          <cell r="A465">
            <v>1</v>
          </cell>
          <cell r="B465" t="str">
            <v>Titans/Vantedge</v>
          </cell>
          <cell r="C465" t="str">
            <v>Jennifer My Yen To</v>
          </cell>
          <cell r="D465" t="str">
            <v>Hamza</v>
          </cell>
          <cell r="F465" t="str">
            <v>Umar Mujahid Hussain</v>
          </cell>
          <cell r="G465" t="str">
            <v>Nitin Saxena</v>
          </cell>
          <cell r="M465" t="str">
            <v>September</v>
          </cell>
          <cell r="N465">
            <v>45922</v>
          </cell>
          <cell r="O465" t="str">
            <v>NA</v>
          </cell>
          <cell r="P465" t="str">
            <v>Tech Mahindra</v>
          </cell>
          <cell r="R465" t="str">
            <v>FTE</v>
          </cell>
          <cell r="AA465" t="str">
            <v>NA</v>
          </cell>
          <cell r="AN465" t="str">
            <v>NA</v>
          </cell>
          <cell r="AO465">
            <v>4848.0600000000004</v>
          </cell>
          <cell r="AP465" t="str">
            <v>Done</v>
          </cell>
          <cell r="AR465">
            <v>150</v>
          </cell>
          <cell r="AS465" t="str">
            <v>JPC - 225354</v>
          </cell>
        </row>
        <row r="466">
          <cell r="A466">
            <v>1</v>
          </cell>
          <cell r="B466" t="str">
            <v>Titans</v>
          </cell>
          <cell r="C466" t="str">
            <v>Shashawnee Freeman</v>
          </cell>
          <cell r="D466" t="str">
            <v>Santosh Singh</v>
          </cell>
          <cell r="F466" t="str">
            <v>Aditya Yadav</v>
          </cell>
          <cell r="G466" t="str">
            <v>Aditya Yadav</v>
          </cell>
          <cell r="M466" t="str">
            <v>September</v>
          </cell>
          <cell r="N466">
            <v>45929</v>
          </cell>
          <cell r="O466" t="str">
            <v>NA</v>
          </cell>
          <cell r="P466" t="str">
            <v>LTTS</v>
          </cell>
          <cell r="R466" t="str">
            <v>FTE</v>
          </cell>
          <cell r="AA466" t="str">
            <v>NA</v>
          </cell>
          <cell r="AN466" t="str">
            <v>NA</v>
          </cell>
          <cell r="AO466">
            <v>6816</v>
          </cell>
          <cell r="AP466" t="str">
            <v>Done</v>
          </cell>
          <cell r="AR466">
            <v>438</v>
          </cell>
          <cell r="AS466" t="str">
            <v>JPC - 225355</v>
          </cell>
        </row>
        <row r="467">
          <cell r="A467">
            <v>1</v>
          </cell>
          <cell r="B467" t="str">
            <v>Titans</v>
          </cell>
          <cell r="C467" t="str">
            <v>Nima ShabaniJafroudi</v>
          </cell>
          <cell r="D467" t="str">
            <v>Aditya Yadav</v>
          </cell>
          <cell r="F467" t="str">
            <v>Aditya Yadav</v>
          </cell>
          <cell r="G467" t="str">
            <v>Aditya Yadav</v>
          </cell>
          <cell r="M467" t="str">
            <v>September</v>
          </cell>
          <cell r="N467">
            <v>45930</v>
          </cell>
          <cell r="O467" t="str">
            <v>NA</v>
          </cell>
          <cell r="P467" t="str">
            <v>Cyient</v>
          </cell>
          <cell r="R467" t="str">
            <v>FTE</v>
          </cell>
          <cell r="AA467" t="str">
            <v>NA</v>
          </cell>
          <cell r="AN467" t="str">
            <v>NA</v>
          </cell>
          <cell r="AO467">
            <v>4500</v>
          </cell>
          <cell r="AP467" t="str">
            <v>Done</v>
          </cell>
          <cell r="AR467">
            <v>432</v>
          </cell>
          <cell r="AS467" t="str">
            <v>JPC - 225356</v>
          </cell>
        </row>
        <row r="468">
          <cell r="A468">
            <v>1</v>
          </cell>
          <cell r="B468" t="str">
            <v>Vantedge</v>
          </cell>
          <cell r="C468" t="str">
            <v>Sachin Ahuja</v>
          </cell>
          <cell r="D468" t="str">
            <v>Anshul Kumar</v>
          </cell>
          <cell r="F468" t="str">
            <v>Anshul Kumar</v>
          </cell>
          <cell r="G468" t="str">
            <v>Anshul Kumar</v>
          </cell>
          <cell r="M468" t="str">
            <v>September</v>
          </cell>
          <cell r="N468">
            <v>45922</v>
          </cell>
          <cell r="O468" t="str">
            <v>NA</v>
          </cell>
          <cell r="P468" t="str">
            <v>LTTS</v>
          </cell>
          <cell r="R468" t="str">
            <v>FTE</v>
          </cell>
          <cell r="AA468" t="str">
            <v>NA</v>
          </cell>
          <cell r="AN468" t="str">
            <v>NA</v>
          </cell>
          <cell r="AO468">
            <v>26500</v>
          </cell>
          <cell r="AP468" t="str">
            <v>Done</v>
          </cell>
          <cell r="AR468">
            <v>136</v>
          </cell>
          <cell r="AS468" t="str">
            <v>JPC - 225357</v>
          </cell>
        </row>
        <row r="469">
          <cell r="A469">
            <v>1</v>
          </cell>
          <cell r="B469" t="str">
            <v>Vantedge</v>
          </cell>
          <cell r="C469" t="str">
            <v>Ehab Abbas</v>
          </cell>
          <cell r="D469" t="str">
            <v>Syed Ahrar Abbas Zaidi</v>
          </cell>
          <cell r="F469" t="str">
            <v>Anshul Kumar</v>
          </cell>
          <cell r="G469" t="str">
            <v>Umar Mujahid</v>
          </cell>
          <cell r="M469" t="str">
            <v>September</v>
          </cell>
          <cell r="N469">
            <v>45929</v>
          </cell>
          <cell r="O469" t="str">
            <v>NA</v>
          </cell>
          <cell r="P469" t="str">
            <v>InfoBeans</v>
          </cell>
          <cell r="R469" t="str">
            <v>FTE</v>
          </cell>
          <cell r="AA469" t="str">
            <v>NA</v>
          </cell>
          <cell r="AN469" t="str">
            <v>NA</v>
          </cell>
          <cell r="AO469">
            <v>32400</v>
          </cell>
          <cell r="AP469" t="str">
            <v>Done</v>
          </cell>
          <cell r="AR469">
            <v>438</v>
          </cell>
          <cell r="AS469" t="str">
            <v>JPC - 225358</v>
          </cell>
        </row>
        <row r="470">
          <cell r="A470">
            <v>1</v>
          </cell>
          <cell r="B470" t="str">
            <v>Vantedge</v>
          </cell>
          <cell r="C470" t="str">
            <v>Pallav Sharma</v>
          </cell>
          <cell r="D470" t="str">
            <v>Shreya Singh</v>
          </cell>
          <cell r="F470" t="str">
            <v>Umar Mujahid</v>
          </cell>
          <cell r="G470" t="str">
            <v>Anshul Kumar</v>
          </cell>
          <cell r="M470" t="str">
            <v>September</v>
          </cell>
          <cell r="N470">
            <v>45930</v>
          </cell>
          <cell r="O470" t="str">
            <v>NA</v>
          </cell>
          <cell r="P470" t="str">
            <v>BirlaSoft</v>
          </cell>
          <cell r="R470" t="str">
            <v>FTE</v>
          </cell>
          <cell r="AA470" t="str">
            <v>NA</v>
          </cell>
          <cell r="AN470" t="str">
            <v>NA</v>
          </cell>
          <cell r="AO470">
            <v>36000</v>
          </cell>
          <cell r="AP470" t="str">
            <v>Done</v>
          </cell>
          <cell r="AR470">
            <v>406</v>
          </cell>
          <cell r="AS470" t="str">
            <v>JPC - 225359</v>
          </cell>
        </row>
        <row r="471">
          <cell r="A471">
            <v>1</v>
          </cell>
          <cell r="B471" t="str">
            <v>Pioneer RPO</v>
          </cell>
          <cell r="C471" t="str">
            <v>Parker Moore</v>
          </cell>
          <cell r="D471" t="str">
            <v>Shubham Rastogi</v>
          </cell>
          <cell r="F471" t="str">
            <v>Ankit Pandey</v>
          </cell>
          <cell r="G471" t="str">
            <v>Shubham Rastogi</v>
          </cell>
          <cell r="M471" t="str">
            <v>September</v>
          </cell>
          <cell r="N471">
            <v>45902</v>
          </cell>
          <cell r="O471" t="str">
            <v>NA</v>
          </cell>
          <cell r="P471" t="str">
            <v xml:space="preserve">GPC IT </v>
          </cell>
          <cell r="R471" t="str">
            <v>FTE</v>
          </cell>
          <cell r="AA471" t="str">
            <v>NA</v>
          </cell>
          <cell r="AN471" t="str">
            <v>NA</v>
          </cell>
          <cell r="AO471">
            <v>300</v>
          </cell>
          <cell r="AP471" t="str">
            <v>Done</v>
          </cell>
          <cell r="AR471">
            <v>393</v>
          </cell>
          <cell r="AS471" t="str">
            <v>JPC - 225360</v>
          </cell>
        </row>
        <row r="472">
          <cell r="A472">
            <v>1</v>
          </cell>
          <cell r="B472" t="str">
            <v>Pioneer RPO</v>
          </cell>
          <cell r="C472" t="str">
            <v>Rajan Venkataguru</v>
          </cell>
          <cell r="D472" t="str">
            <v>Shubham Rastogi</v>
          </cell>
          <cell r="F472" t="str">
            <v>Ankit Pandey</v>
          </cell>
          <cell r="G472" t="str">
            <v>Shubham Rastogi</v>
          </cell>
          <cell r="M472" t="str">
            <v>September</v>
          </cell>
          <cell r="N472">
            <v>45915</v>
          </cell>
          <cell r="O472" t="str">
            <v>NA</v>
          </cell>
          <cell r="P472" t="str">
            <v xml:space="preserve">GPC IT </v>
          </cell>
          <cell r="R472" t="str">
            <v>FTE</v>
          </cell>
          <cell r="AA472" t="str">
            <v>NA</v>
          </cell>
          <cell r="AN472" t="str">
            <v>NA</v>
          </cell>
          <cell r="AO472">
            <v>300</v>
          </cell>
          <cell r="AP472" t="str">
            <v>Done</v>
          </cell>
          <cell r="AR472">
            <v>380</v>
          </cell>
          <cell r="AS472" t="str">
            <v>JPC - 225361</v>
          </cell>
        </row>
        <row r="473">
          <cell r="A473">
            <v>1</v>
          </cell>
          <cell r="B473" t="str">
            <v>Pioneer RPO</v>
          </cell>
          <cell r="C473" t="str">
            <v>Matthew Dale</v>
          </cell>
          <cell r="D473" t="str">
            <v>Sagar Chandani</v>
          </cell>
          <cell r="F473" t="str">
            <v>Ankit Pandey</v>
          </cell>
          <cell r="G473" t="str">
            <v>Shubham Rastogi</v>
          </cell>
          <cell r="M473" t="str">
            <v>September</v>
          </cell>
          <cell r="N473">
            <v>45915</v>
          </cell>
          <cell r="O473" t="str">
            <v>NA</v>
          </cell>
          <cell r="P473" t="str">
            <v xml:space="preserve">GPC IT </v>
          </cell>
          <cell r="R473" t="str">
            <v>FTE</v>
          </cell>
          <cell r="AA473" t="str">
            <v>NA</v>
          </cell>
          <cell r="AN473" t="str">
            <v>NA</v>
          </cell>
          <cell r="AO473">
            <v>3000</v>
          </cell>
          <cell r="AP473" t="str">
            <v>Done</v>
          </cell>
          <cell r="AR473">
            <v>367</v>
          </cell>
          <cell r="AS473" t="str">
            <v>JPC - 225362</v>
          </cell>
        </row>
        <row r="474">
          <cell r="A474">
            <v>1</v>
          </cell>
          <cell r="B474" t="str">
            <v>Pioneer RPO</v>
          </cell>
          <cell r="C474" t="str">
            <v>Johnny Li</v>
          </cell>
          <cell r="D474" t="str">
            <v>Sagar Chandani</v>
          </cell>
          <cell r="F474" t="str">
            <v>Ankit Pandey</v>
          </cell>
          <cell r="G474" t="str">
            <v>Shubham Rastogi</v>
          </cell>
          <cell r="M474" t="str">
            <v>September</v>
          </cell>
          <cell r="N474">
            <v>45929</v>
          </cell>
          <cell r="O474" t="str">
            <v>NA</v>
          </cell>
          <cell r="P474" t="str">
            <v xml:space="preserve">GPC IT </v>
          </cell>
          <cell r="R474" t="str">
            <v>FTE</v>
          </cell>
          <cell r="AA474" t="str">
            <v>NA</v>
          </cell>
          <cell r="AN474" t="str">
            <v>NA</v>
          </cell>
          <cell r="AO474">
            <v>3000</v>
          </cell>
          <cell r="AP474" t="str">
            <v>Done</v>
          </cell>
          <cell r="AR474">
            <v>354</v>
          </cell>
          <cell r="AS474" t="str">
            <v>JPC - 225363</v>
          </cell>
        </row>
        <row r="475">
          <cell r="A475">
            <v>1</v>
          </cell>
          <cell r="B475" t="str">
            <v>Titans</v>
          </cell>
          <cell r="C475" t="str">
            <v xml:space="preserve">Michelle Johnson </v>
          </cell>
          <cell r="D475" t="str">
            <v>Aastha Tiwari</v>
          </cell>
          <cell r="F475" t="str">
            <v>Aditya Yadav</v>
          </cell>
          <cell r="G475" t="str">
            <v>Aditya Yadav</v>
          </cell>
          <cell r="M475" t="str">
            <v>October</v>
          </cell>
          <cell r="N475">
            <v>45936</v>
          </cell>
          <cell r="O475" t="str">
            <v>NA</v>
          </cell>
          <cell r="P475" t="str">
            <v>LTTS</v>
          </cell>
          <cell r="R475" t="str">
            <v>FTE</v>
          </cell>
          <cell r="AA475" t="str">
            <v>NA</v>
          </cell>
          <cell r="AN475" t="str">
            <v>NA</v>
          </cell>
          <cell r="AO475">
            <v>6597</v>
          </cell>
          <cell r="AP475" t="str">
            <v>Done</v>
          </cell>
          <cell r="AR475">
            <v>341</v>
          </cell>
          <cell r="AS475" t="str">
            <v>JPC - 225364</v>
          </cell>
        </row>
        <row r="476">
          <cell r="A476">
            <v>1</v>
          </cell>
          <cell r="B476" t="str">
            <v>Trust</v>
          </cell>
          <cell r="C476" t="str">
            <v>Aaron Anzaldua</v>
          </cell>
          <cell r="D476" t="str">
            <v>Shivanshu Rastogi</v>
          </cell>
          <cell r="F476" t="str">
            <v>Bhanu Pratap Singh</v>
          </cell>
          <cell r="G476" t="str">
            <v>Shashank yadav</v>
          </cell>
          <cell r="M476" t="str">
            <v>October</v>
          </cell>
          <cell r="N476">
            <v>45943</v>
          </cell>
          <cell r="O476" t="str">
            <v>NA</v>
          </cell>
          <cell r="P476" t="str">
            <v>Reflik</v>
          </cell>
          <cell r="R476" t="str">
            <v>FTE</v>
          </cell>
          <cell r="AA476" t="str">
            <v>NA</v>
          </cell>
          <cell r="AN476" t="str">
            <v>NA</v>
          </cell>
          <cell r="AO476">
            <v>5000</v>
          </cell>
          <cell r="AP476" t="str">
            <v>Done</v>
          </cell>
          <cell r="AR476">
            <v>328</v>
          </cell>
          <cell r="AS476" t="str">
            <v>JPC - 225365</v>
          </cell>
        </row>
        <row r="477">
          <cell r="A477">
            <v>1</v>
          </cell>
          <cell r="B477" t="str">
            <v>Wellness Warriors - Healthcare</v>
          </cell>
          <cell r="C477" t="str">
            <v>Audrey Lewis</v>
          </cell>
          <cell r="D477" t="str">
            <v>Tushar Mishra</v>
          </cell>
          <cell r="F477" t="str">
            <v>Abhishek Singh</v>
          </cell>
          <cell r="M477" t="str">
            <v>October</v>
          </cell>
          <cell r="N477">
            <v>45936</v>
          </cell>
          <cell r="O477" t="str">
            <v>NA</v>
          </cell>
          <cell r="P477" t="str">
            <v>Recruitifi</v>
          </cell>
          <cell r="R477" t="str">
            <v>FTE</v>
          </cell>
          <cell r="AA477" t="str">
            <v>NA</v>
          </cell>
          <cell r="AN477" t="str">
            <v>NA</v>
          </cell>
          <cell r="AO477">
            <v>15789.69</v>
          </cell>
          <cell r="AP477" t="str">
            <v>Done</v>
          </cell>
          <cell r="AR477">
            <v>315</v>
          </cell>
          <cell r="AS477" t="str">
            <v>JPC - 225366</v>
          </cell>
        </row>
        <row r="478">
          <cell r="A478">
            <v>1</v>
          </cell>
          <cell r="B478" t="str">
            <v>CSK</v>
          </cell>
          <cell r="C478" t="str">
            <v xml:space="preserve">Taylor Fink </v>
          </cell>
          <cell r="D478" t="str">
            <v>Ajithkumar G</v>
          </cell>
          <cell r="F478" t="str">
            <v>Vinoth L</v>
          </cell>
          <cell r="G478" t="str">
            <v>Akbar I</v>
          </cell>
          <cell r="M478" t="str">
            <v>October</v>
          </cell>
          <cell r="N478">
            <v>45931</v>
          </cell>
          <cell r="O478" t="str">
            <v>NA</v>
          </cell>
          <cell r="P478" t="str">
            <v>Relevante</v>
          </cell>
          <cell r="R478" t="str">
            <v>FTE</v>
          </cell>
          <cell r="AA478" t="str">
            <v>NA</v>
          </cell>
          <cell r="AN478" t="str">
            <v>NA</v>
          </cell>
          <cell r="AO478">
            <v>4200</v>
          </cell>
          <cell r="AP478" t="str">
            <v>Done</v>
          </cell>
          <cell r="AR478">
            <v>302</v>
          </cell>
          <cell r="AS478" t="str">
            <v>JPC - 225367</v>
          </cell>
        </row>
        <row r="479">
          <cell r="A479">
            <v>1</v>
          </cell>
          <cell r="B479" t="str">
            <v>Mavericks</v>
          </cell>
          <cell r="C479" t="str">
            <v>Tongyu Terry Fei</v>
          </cell>
          <cell r="D479" t="str">
            <v>Ubaid Rahman</v>
          </cell>
          <cell r="F479" t="str">
            <v>Kashif Nabi</v>
          </cell>
          <cell r="G479" t="str">
            <v>Kashif Nabi</v>
          </cell>
          <cell r="M479" t="str">
            <v>October</v>
          </cell>
          <cell r="N479">
            <v>45945</v>
          </cell>
          <cell r="O479" t="str">
            <v>NA</v>
          </cell>
          <cell r="P479" t="str">
            <v>Genpact</v>
          </cell>
          <cell r="R479" t="str">
            <v>FTE</v>
          </cell>
          <cell r="AA479" t="str">
            <v>NA</v>
          </cell>
          <cell r="AN479" t="str">
            <v>NA</v>
          </cell>
          <cell r="AO479">
            <v>6000</v>
          </cell>
          <cell r="AP479" t="str">
            <v>Done</v>
          </cell>
          <cell r="AR479">
            <v>289</v>
          </cell>
          <cell r="AS479" t="str">
            <v>JPC - 225368</v>
          </cell>
        </row>
        <row r="480">
          <cell r="A480">
            <v>1</v>
          </cell>
          <cell r="B480" t="str">
            <v>Mavericks</v>
          </cell>
          <cell r="C480" t="str">
            <v>Ashish Kumar Shahane</v>
          </cell>
          <cell r="D480" t="str">
            <v>Ekta Singh</v>
          </cell>
          <cell r="F480" t="str">
            <v>Rohit Gupta</v>
          </cell>
          <cell r="G480" t="str">
            <v>Vivek Yadav</v>
          </cell>
          <cell r="M480" t="str">
            <v>October</v>
          </cell>
          <cell r="N480">
            <v>45936</v>
          </cell>
          <cell r="O480" t="str">
            <v>NA</v>
          </cell>
          <cell r="P480" t="str">
            <v>CoForge</v>
          </cell>
          <cell r="R480" t="str">
            <v>FTE</v>
          </cell>
          <cell r="AA480" t="str">
            <v>NA</v>
          </cell>
          <cell r="AN480" t="str">
            <v>NA</v>
          </cell>
          <cell r="AO480">
            <v>3000</v>
          </cell>
          <cell r="AP480" t="str">
            <v>Done</v>
          </cell>
          <cell r="AR480">
            <v>276</v>
          </cell>
          <cell r="AS480" t="str">
            <v>JPC - 225369</v>
          </cell>
        </row>
        <row r="481">
          <cell r="A481">
            <v>1</v>
          </cell>
          <cell r="B481" t="str">
            <v>Vantedge</v>
          </cell>
          <cell r="C481" t="str">
            <v>Anoop Nagaraj Sumithra</v>
          </cell>
          <cell r="D481" t="str">
            <v>Syed Ahrar Abbas Zaidi</v>
          </cell>
          <cell r="F481" t="str">
            <v>Mayank Saxena</v>
          </cell>
          <cell r="G481" t="str">
            <v>Umar Mujahid</v>
          </cell>
          <cell r="M481" t="str">
            <v>October</v>
          </cell>
          <cell r="N481">
            <v>45943</v>
          </cell>
          <cell r="O481" t="str">
            <v>NA</v>
          </cell>
          <cell r="P481" t="str">
            <v>Fanatics</v>
          </cell>
          <cell r="R481" t="str">
            <v>FTE</v>
          </cell>
          <cell r="AA481" t="str">
            <v>NA</v>
          </cell>
          <cell r="AN481" t="str">
            <v>NA</v>
          </cell>
          <cell r="AO481">
            <v>35250</v>
          </cell>
          <cell r="AP481" t="str">
            <v>Done</v>
          </cell>
          <cell r="AR481">
            <v>263</v>
          </cell>
          <cell r="AS481" t="str">
            <v>JPC - 225370</v>
          </cell>
        </row>
        <row r="482">
          <cell r="AR482">
            <v>250</v>
          </cell>
          <cell r="AS482" t="str">
            <v>JPC - 225371</v>
          </cell>
        </row>
        <row r="483">
          <cell r="A483">
            <v>1</v>
          </cell>
          <cell r="B483" t="str">
            <v>CSK</v>
          </cell>
          <cell r="C483" t="str">
            <v>Giga Songulashvil</v>
          </cell>
          <cell r="D483" t="str">
            <v>M Harinath</v>
          </cell>
          <cell r="F483" t="str">
            <v>Vinoth L</v>
          </cell>
          <cell r="M483" t="str">
            <v>October</v>
          </cell>
          <cell r="N483">
            <v>45957</v>
          </cell>
          <cell r="O483" t="str">
            <v>NA</v>
          </cell>
          <cell r="P483" t="str">
            <v>Apexon</v>
          </cell>
          <cell r="R483" t="str">
            <v>FTE</v>
          </cell>
          <cell r="AA483" t="str">
            <v>NA</v>
          </cell>
          <cell r="AN483" t="str">
            <v>NA</v>
          </cell>
          <cell r="AO483">
            <v>2500</v>
          </cell>
          <cell r="AP483" t="str">
            <v>Done</v>
          </cell>
          <cell r="AR483">
            <v>237</v>
          </cell>
          <cell r="AS483" t="str">
            <v>JPC - 225372</v>
          </cell>
        </row>
        <row r="484">
          <cell r="A484">
            <v>1</v>
          </cell>
          <cell r="B484" t="str">
            <v>Trust</v>
          </cell>
          <cell r="C484" t="str">
            <v>Shahin Maknojia</v>
          </cell>
          <cell r="D484" t="str">
            <v>Harsh Shukla</v>
          </cell>
          <cell r="F484" t="str">
            <v>Bhanu Pratap Singh</v>
          </cell>
          <cell r="G484" t="str">
            <v>Harsh Agrawal</v>
          </cell>
          <cell r="M484" t="str">
            <v>October</v>
          </cell>
          <cell r="N484">
            <v>45950</v>
          </cell>
          <cell r="O484" t="str">
            <v>NA</v>
          </cell>
          <cell r="P484" t="str">
            <v>Infosys</v>
          </cell>
          <cell r="R484" t="str">
            <v>FTE</v>
          </cell>
          <cell r="AA484" t="str">
            <v>NA</v>
          </cell>
          <cell r="AN484" t="str">
            <v>NA</v>
          </cell>
          <cell r="AO484">
            <v>3500</v>
          </cell>
          <cell r="AP484" t="str">
            <v>Done</v>
          </cell>
          <cell r="AR484">
            <v>224</v>
          </cell>
          <cell r="AS484" t="str">
            <v>JPC - 225373</v>
          </cell>
        </row>
        <row r="485">
          <cell r="A485">
            <v>1</v>
          </cell>
          <cell r="B485" t="str">
            <v>Trust</v>
          </cell>
          <cell r="C485" t="str">
            <v>Matthew Carl Anderson</v>
          </cell>
          <cell r="D485" t="str">
            <v>Aarzoo Khan</v>
          </cell>
          <cell r="F485" t="str">
            <v>Bhanu Pratap Singh</v>
          </cell>
          <cell r="G485" t="str">
            <v>Harsh Agrawal</v>
          </cell>
          <cell r="M485" t="str">
            <v>October</v>
          </cell>
          <cell r="N485">
            <v>45960</v>
          </cell>
          <cell r="O485" t="str">
            <v>NA</v>
          </cell>
          <cell r="P485" t="str">
            <v>Infosys</v>
          </cell>
          <cell r="R485" t="str">
            <v>FTE</v>
          </cell>
          <cell r="AA485" t="str">
            <v>NA</v>
          </cell>
          <cell r="AN485" t="str">
            <v>NA</v>
          </cell>
          <cell r="AO485">
            <v>3500</v>
          </cell>
          <cell r="AP485" t="str">
            <v>Done</v>
          </cell>
          <cell r="AR485">
            <v>211</v>
          </cell>
          <cell r="AS485" t="str">
            <v>JPC - 225374</v>
          </cell>
        </row>
        <row r="486">
          <cell r="A486">
            <v>1</v>
          </cell>
          <cell r="B486" t="str">
            <v>Trust</v>
          </cell>
          <cell r="C486" t="str">
            <v>Morgan Larkin</v>
          </cell>
          <cell r="D486" t="str">
            <v>Vivek Mani Upadhyay</v>
          </cell>
          <cell r="F486" t="str">
            <v>Bhanu Pratap Singh</v>
          </cell>
          <cell r="G486" t="str">
            <v>Shashank Yadav</v>
          </cell>
          <cell r="M486" t="str">
            <v>October</v>
          </cell>
          <cell r="N486">
            <v>45960</v>
          </cell>
          <cell r="O486" t="str">
            <v>NA</v>
          </cell>
          <cell r="P486" t="str">
            <v>Infosys</v>
          </cell>
          <cell r="R486" t="str">
            <v>FTE</v>
          </cell>
          <cell r="AA486" t="str">
            <v>NA</v>
          </cell>
          <cell r="AN486" t="str">
            <v>NA</v>
          </cell>
          <cell r="AO486">
            <v>3500</v>
          </cell>
          <cell r="AP486" t="str">
            <v>Done</v>
          </cell>
          <cell r="AR486">
            <v>150</v>
          </cell>
          <cell r="AS486" t="str">
            <v>JPC - 225375</v>
          </cell>
        </row>
        <row r="487">
          <cell r="A487">
            <v>1</v>
          </cell>
          <cell r="B487" t="str">
            <v>Vantedge</v>
          </cell>
          <cell r="C487" t="str">
            <v>Abhishek Pandey</v>
          </cell>
          <cell r="D487" t="str">
            <v>Mayank Saxena</v>
          </cell>
          <cell r="F487" t="str">
            <v>Mayank Saxena</v>
          </cell>
          <cell r="G487" t="str">
            <v>Mayank Saxena</v>
          </cell>
          <cell r="M487" t="str">
            <v>October</v>
          </cell>
          <cell r="N487">
            <v>45945</v>
          </cell>
          <cell r="O487">
            <v>45960</v>
          </cell>
          <cell r="P487" t="str">
            <v>Coforge</v>
          </cell>
          <cell r="R487" t="str">
            <v>FTE</v>
          </cell>
          <cell r="AA487" t="str">
            <v>NA</v>
          </cell>
          <cell r="AN487" t="str">
            <v>NA</v>
          </cell>
          <cell r="AO487">
            <v>0</v>
          </cell>
          <cell r="AP487" t="str">
            <v>Done</v>
          </cell>
          <cell r="AR487">
            <v>438</v>
          </cell>
          <cell r="AS487" t="str">
            <v>JPC - 225376</v>
          </cell>
        </row>
        <row r="488">
          <cell r="A488">
            <v>1</v>
          </cell>
          <cell r="B488" t="str">
            <v>Vantedge</v>
          </cell>
          <cell r="C488" t="str">
            <v>John Thornhill Williams</v>
          </cell>
          <cell r="D488" t="str">
            <v>Ranjeet Kumar</v>
          </cell>
          <cell r="F488" t="str">
            <v>Raunak Tripathi</v>
          </cell>
          <cell r="G488" t="str">
            <v>Raunak Tripathi</v>
          </cell>
          <cell r="M488" t="str">
            <v>October</v>
          </cell>
          <cell r="N488">
            <v>45960</v>
          </cell>
          <cell r="O488" t="str">
            <v>NA</v>
          </cell>
          <cell r="P488" t="str">
            <v>LTIMindtree</v>
          </cell>
          <cell r="R488" t="str">
            <v>FTE</v>
          </cell>
          <cell r="AA488" t="str">
            <v>NA</v>
          </cell>
          <cell r="AN488" t="str">
            <v>NA</v>
          </cell>
          <cell r="AO488">
            <v>28350</v>
          </cell>
          <cell r="AP488" t="str">
            <v>Done</v>
          </cell>
          <cell r="AR488">
            <v>432</v>
          </cell>
          <cell r="AS488" t="str">
            <v>JPC - 225377</v>
          </cell>
        </row>
        <row r="489">
          <cell r="A489">
            <v>1</v>
          </cell>
          <cell r="B489" t="str">
            <v>Vantedge</v>
          </cell>
          <cell r="C489" t="str">
            <v>Mickael Mounien</v>
          </cell>
          <cell r="D489" t="str">
            <v>Prachi Pandey</v>
          </cell>
          <cell r="F489" t="str">
            <v>Raunak Tripathi</v>
          </cell>
          <cell r="G489" t="str">
            <v>Raunak Tripathi</v>
          </cell>
          <cell r="M489" t="str">
            <v>October</v>
          </cell>
          <cell r="N489">
            <v>45936</v>
          </cell>
          <cell r="O489" t="str">
            <v>NA</v>
          </cell>
          <cell r="P489" t="str">
            <v>PocketFM</v>
          </cell>
          <cell r="R489" t="str">
            <v>FTE</v>
          </cell>
          <cell r="AA489" t="str">
            <v>NA</v>
          </cell>
          <cell r="AN489" t="str">
            <v>NA</v>
          </cell>
          <cell r="AO489">
            <v>3450</v>
          </cell>
          <cell r="AP489" t="str">
            <v>Done</v>
          </cell>
          <cell r="AR489">
            <v>136</v>
          </cell>
          <cell r="AS489" t="str">
            <v>JPC - 225378</v>
          </cell>
        </row>
        <row r="490">
          <cell r="A490">
            <v>1</v>
          </cell>
          <cell r="B490" t="str">
            <v>Pioneer RPO</v>
          </cell>
          <cell r="C490" t="str">
            <v>Anand Chellakumar Singaram</v>
          </cell>
          <cell r="D490" t="str">
            <v>Sagar Chandani</v>
          </cell>
          <cell r="F490" t="str">
            <v>Ankit Pandey</v>
          </cell>
          <cell r="G490" t="str">
            <v>Shubham Rastogi</v>
          </cell>
          <cell r="M490" t="str">
            <v>October</v>
          </cell>
          <cell r="N490">
            <v>45959</v>
          </cell>
          <cell r="O490" t="str">
            <v>NA</v>
          </cell>
          <cell r="P490" t="str">
            <v xml:space="preserve">GPC IT </v>
          </cell>
          <cell r="R490" t="str">
            <v>FTE</v>
          </cell>
          <cell r="AA490" t="str">
            <v>NA</v>
          </cell>
          <cell r="AN490" t="str">
            <v>NA</v>
          </cell>
          <cell r="AO490">
            <v>300</v>
          </cell>
          <cell r="AP490" t="str">
            <v>Done</v>
          </cell>
          <cell r="AR490">
            <v>438</v>
          </cell>
          <cell r="AS490" t="str">
            <v>JPC - 225379</v>
          </cell>
        </row>
        <row r="491">
          <cell r="AR491">
            <v>406</v>
          </cell>
          <cell r="AS491" t="str">
            <v>JPC - 225380</v>
          </cell>
        </row>
        <row r="492">
          <cell r="AR492">
            <v>393</v>
          </cell>
          <cell r="AS492" t="str">
            <v>JPC - 225381</v>
          </cell>
        </row>
      </sheetData>
      <sheetData sheetId="7"/>
      <sheetData sheetId="8">
        <row r="2">
          <cell r="E2">
            <v>1</v>
          </cell>
          <cell r="F2">
            <v>2</v>
          </cell>
          <cell r="G2">
            <v>3</v>
          </cell>
          <cell r="H2">
            <v>4</v>
          </cell>
          <cell r="I2">
            <v>5</v>
          </cell>
          <cell r="J2">
            <v>6</v>
          </cell>
          <cell r="K2">
            <v>7</v>
          </cell>
          <cell r="L2">
            <v>8</v>
          </cell>
          <cell r="M2">
            <v>9</v>
          </cell>
          <cell r="N2">
            <v>10</v>
          </cell>
          <cell r="O2">
            <v>11</v>
          </cell>
          <cell r="P2">
            <v>12</v>
          </cell>
          <cell r="Q2">
            <v>13</v>
          </cell>
          <cell r="R2">
            <v>14</v>
          </cell>
          <cell r="S2">
            <v>15</v>
          </cell>
        </row>
        <row r="3">
          <cell r="B3" t="str">
            <v>Recruiter</v>
          </cell>
          <cell r="E3" t="str">
            <v>Placement</v>
          </cell>
          <cell r="F3" t="str">
            <v>VB Account Manager</v>
          </cell>
          <cell r="G3" t="str">
            <v>VB Account Manager count</v>
          </cell>
          <cell r="H3" t="str">
            <v>TL</v>
          </cell>
          <cell r="I3" t="str">
            <v>TL Count</v>
          </cell>
          <cell r="J3" t="str">
            <v>Sales</v>
          </cell>
          <cell r="L3" t="str">
            <v>Sourcer/Researcher</v>
          </cell>
          <cell r="M3" t="str">
            <v>DOJ (MM/DD/YYYY)</v>
          </cell>
          <cell r="N3" t="str">
            <v>DOQ</v>
          </cell>
          <cell r="O3" t="str">
            <v>Client Name</v>
          </cell>
          <cell r="P3" t="str">
            <v>Placement type</v>
          </cell>
          <cell r="Q3" t="str">
            <v>CTC (For FTE billing)</v>
          </cell>
          <cell r="R3" t="str">
            <v>Billed %</v>
          </cell>
          <cell r="S3" t="str">
            <v>Billable Amount</v>
          </cell>
        </row>
        <row r="4">
          <cell r="B4" t="str">
            <v>Anshul Kumar</v>
          </cell>
          <cell r="E4" t="str">
            <v>David Mussan-Levy</v>
          </cell>
          <cell r="F4" t="str">
            <v>Raunak Tripathi</v>
          </cell>
          <cell r="G4">
            <v>0.5</v>
          </cell>
          <cell r="H4" t="str">
            <v>Anshul Kumar</v>
          </cell>
          <cell r="I4">
            <v>0.5</v>
          </cell>
          <cell r="J4" t="str">
            <v>Rashmi Bhatnagar</v>
          </cell>
          <cell r="K4">
            <v>1</v>
          </cell>
          <cell r="L4" t="str">
            <v>Priyansh Khare</v>
          </cell>
          <cell r="M4">
            <v>45659</v>
          </cell>
          <cell r="O4" t="str">
            <v>Visionet</v>
          </cell>
          <cell r="P4" t="str">
            <v>FTE</v>
          </cell>
          <cell r="Q4">
            <v>120000</v>
          </cell>
          <cell r="R4">
            <v>0.08</v>
          </cell>
          <cell r="S4">
            <v>9600</v>
          </cell>
        </row>
        <row r="5">
          <cell r="B5" t="str">
            <v>Mayank Saxena</v>
          </cell>
          <cell r="E5" t="str">
            <v>Arbindoo Sood</v>
          </cell>
          <cell r="F5" t="str">
            <v>Mayank Saxena</v>
          </cell>
          <cell r="G5">
            <v>0.5</v>
          </cell>
          <cell r="H5" t="str">
            <v>Mayank Saxena</v>
          </cell>
          <cell r="I5">
            <v>0.5</v>
          </cell>
          <cell r="J5" t="str">
            <v>Rashmi Bhatnagar</v>
          </cell>
          <cell r="K5">
            <v>1</v>
          </cell>
          <cell r="L5" t="str">
            <v>Rohini Parihar</v>
          </cell>
          <cell r="M5">
            <v>45665</v>
          </cell>
          <cell r="O5" t="str">
            <v>Myridius</v>
          </cell>
          <cell r="P5" t="str">
            <v>FTE</v>
          </cell>
          <cell r="Q5">
            <v>140000</v>
          </cell>
          <cell r="R5">
            <v>0.05</v>
          </cell>
          <cell r="S5">
            <v>7000</v>
          </cell>
        </row>
        <row r="6">
          <cell r="B6" t="str">
            <v>Abhay Pratap Singh</v>
          </cell>
          <cell r="E6" t="str">
            <v>Sindhu Venkatesh</v>
          </cell>
          <cell r="F6" t="str">
            <v>Rohini Parihar</v>
          </cell>
          <cell r="G6">
            <v>0.5</v>
          </cell>
          <cell r="H6" t="str">
            <v>Umar Mujahid</v>
          </cell>
          <cell r="I6">
            <v>0.5</v>
          </cell>
          <cell r="J6" t="str">
            <v>Dev Srivastava</v>
          </cell>
          <cell r="K6">
            <v>1</v>
          </cell>
          <cell r="L6" t="str">
            <v>Tanya Mishra</v>
          </cell>
          <cell r="M6">
            <v>45698</v>
          </cell>
          <cell r="O6" t="str">
            <v>QualiZeal </v>
          </cell>
          <cell r="P6" t="str">
            <v>FTE</v>
          </cell>
          <cell r="Q6">
            <v>160000</v>
          </cell>
          <cell r="R6">
            <v>0.1</v>
          </cell>
          <cell r="S6">
            <v>16000</v>
          </cell>
        </row>
        <row r="7">
          <cell r="B7" t="str">
            <v>Umar Mujahid Husain</v>
          </cell>
          <cell r="E7" t="str">
            <v>John Donaldson</v>
          </cell>
          <cell r="F7" t="str">
            <v>Anshul Kumar</v>
          </cell>
          <cell r="G7">
            <v>0.5</v>
          </cell>
          <cell r="H7" t="str">
            <v>Anshul Kumar</v>
          </cell>
          <cell r="I7">
            <v>0.5</v>
          </cell>
          <cell r="J7" t="str">
            <v>Dev Srivastava</v>
          </cell>
          <cell r="K7">
            <v>1</v>
          </cell>
          <cell r="L7" t="str">
            <v>Anshul Kumar</v>
          </cell>
          <cell r="M7">
            <v>45712</v>
          </cell>
          <cell r="O7" t="str">
            <v>WNS</v>
          </cell>
          <cell r="P7" t="str">
            <v>FTE</v>
          </cell>
          <cell r="Q7">
            <v>180000</v>
          </cell>
          <cell r="R7">
            <v>0.15</v>
          </cell>
          <cell r="S7">
            <v>27000</v>
          </cell>
        </row>
        <row r="8">
          <cell r="B8" t="str">
            <v>Shreya Singh</v>
          </cell>
          <cell r="E8" t="str">
            <v>Juan salazar</v>
          </cell>
          <cell r="F8" t="str">
            <v>Anshul Kumar</v>
          </cell>
          <cell r="G8">
            <v>0.5</v>
          </cell>
          <cell r="H8" t="str">
            <v>Anshul Kumar</v>
          </cell>
          <cell r="I8">
            <v>0.5</v>
          </cell>
          <cell r="J8" t="str">
            <v>Rashmi Bhatnagar</v>
          </cell>
          <cell r="K8">
            <v>1</v>
          </cell>
          <cell r="L8" t="str">
            <v>Tanya Mishra</v>
          </cell>
          <cell r="M8">
            <v>45705</v>
          </cell>
          <cell r="O8" t="str">
            <v>Myridius</v>
          </cell>
          <cell r="P8" t="str">
            <v>FTE</v>
          </cell>
          <cell r="Q8">
            <v>200000</v>
          </cell>
          <cell r="R8">
            <v>7.0000000000000007E-2</v>
          </cell>
          <cell r="S8">
            <v>14000.000000000002</v>
          </cell>
        </row>
        <row r="9">
          <cell r="B9" t="str">
            <v>Abhay Pratap Singh</v>
          </cell>
          <cell r="E9" t="str">
            <v>Pooja Agarwal</v>
          </cell>
          <cell r="F9" t="str">
            <v>Umar Mujahid</v>
          </cell>
          <cell r="G9">
            <v>0.5</v>
          </cell>
          <cell r="H9" t="str">
            <v>Umar Mujahid</v>
          </cell>
          <cell r="I9">
            <v>0.5</v>
          </cell>
          <cell r="J9" t="str">
            <v>Dev Srivastava</v>
          </cell>
          <cell r="K9">
            <v>1</v>
          </cell>
          <cell r="L9" t="str">
            <v>Nida Khan</v>
          </cell>
          <cell r="M9">
            <v>45733</v>
          </cell>
          <cell r="O9" t="str">
            <v>Qualitest</v>
          </cell>
          <cell r="P9" t="str">
            <v>FTE</v>
          </cell>
          <cell r="Q9">
            <v>220000</v>
          </cell>
          <cell r="R9">
            <v>0.09</v>
          </cell>
          <cell r="S9">
            <v>19800</v>
          </cell>
        </row>
        <row r="10">
          <cell r="B10" t="str">
            <v>Umar Mujahid Husain</v>
          </cell>
          <cell r="E10" t="str">
            <v>David Smith</v>
          </cell>
          <cell r="F10" t="str">
            <v>Umar Mujahid</v>
          </cell>
          <cell r="G10">
            <v>0.5</v>
          </cell>
          <cell r="H10" t="str">
            <v>Umar Mujahid</v>
          </cell>
          <cell r="I10">
            <v>0.5</v>
          </cell>
          <cell r="J10" t="str">
            <v>Dev Srivastava</v>
          </cell>
          <cell r="K10">
            <v>1</v>
          </cell>
          <cell r="L10" t="str">
            <v>Nida Khan</v>
          </cell>
          <cell r="M10">
            <v>45734</v>
          </cell>
          <cell r="O10" t="str">
            <v>PocketFM</v>
          </cell>
          <cell r="P10" t="str">
            <v>FTE</v>
          </cell>
          <cell r="Q10">
            <v>120000</v>
          </cell>
          <cell r="R10">
            <v>0.11</v>
          </cell>
          <cell r="S10">
            <v>13200</v>
          </cell>
        </row>
        <row r="11">
          <cell r="B11" t="str">
            <v>Shruti Shukla</v>
          </cell>
          <cell r="E11" t="str">
            <v>Kishore Ramakrishnan</v>
          </cell>
          <cell r="F11" t="str">
            <v>Mayank Saxena</v>
          </cell>
          <cell r="G11">
            <v>0.5</v>
          </cell>
          <cell r="H11" t="str">
            <v>Mayank Saxena</v>
          </cell>
          <cell r="I11">
            <v>0.5</v>
          </cell>
          <cell r="J11" t="str">
            <v>Rashmi Bhatnagar</v>
          </cell>
          <cell r="K11">
            <v>1</v>
          </cell>
          <cell r="L11" t="str">
            <v>Richa Srivastava</v>
          </cell>
          <cell r="M11">
            <v>45726</v>
          </cell>
          <cell r="O11" t="str">
            <v>Tredence</v>
          </cell>
          <cell r="P11" t="str">
            <v>FTE</v>
          </cell>
          <cell r="Q11">
            <v>140000</v>
          </cell>
          <cell r="R11">
            <v>0.12</v>
          </cell>
          <cell r="S11">
            <v>16800</v>
          </cell>
        </row>
        <row r="12">
          <cell r="B12" t="str">
            <v>Priyansh Khare</v>
          </cell>
          <cell r="E12" t="str">
            <v>Brandon Ross</v>
          </cell>
          <cell r="F12" t="str">
            <v>Anshul Kumar</v>
          </cell>
          <cell r="G12">
            <v>0.5</v>
          </cell>
          <cell r="H12" t="str">
            <v>Anshul Kumar</v>
          </cell>
          <cell r="I12">
            <v>0.5</v>
          </cell>
          <cell r="J12" t="str">
            <v>Dev Srivastava</v>
          </cell>
          <cell r="K12">
            <v>1</v>
          </cell>
          <cell r="M12">
            <v>45733</v>
          </cell>
          <cell r="O12" t="str">
            <v>VXI</v>
          </cell>
          <cell r="P12" t="str">
            <v>FTE</v>
          </cell>
          <cell r="Q12">
            <v>160000</v>
          </cell>
          <cell r="R12">
            <v>0.15</v>
          </cell>
          <cell r="S12">
            <v>24000</v>
          </cell>
        </row>
        <row r="13">
          <cell r="B13" t="str">
            <v>Anshul Kumar</v>
          </cell>
          <cell r="E13" t="str">
            <v>David Jaime Illescas</v>
          </cell>
          <cell r="F13" t="str">
            <v>Anshul Kumar</v>
          </cell>
          <cell r="G13">
            <v>0.5</v>
          </cell>
          <cell r="H13" t="str">
            <v>Anshul Kumar</v>
          </cell>
          <cell r="I13">
            <v>0.5</v>
          </cell>
          <cell r="J13" t="str">
            <v>Dev Srivastava</v>
          </cell>
          <cell r="K13">
            <v>1</v>
          </cell>
          <cell r="M13">
            <v>45740</v>
          </cell>
          <cell r="O13" t="str">
            <v>ACL Digital</v>
          </cell>
          <cell r="P13" t="str">
            <v>FTE</v>
          </cell>
          <cell r="Q13">
            <v>180000</v>
          </cell>
          <cell r="R13">
            <v>0.139722222222222</v>
          </cell>
          <cell r="S13">
            <v>25149.99999999996</v>
          </cell>
        </row>
        <row r="14">
          <cell r="B14" t="str">
            <v>Devansh Mishra</v>
          </cell>
          <cell r="E14" t="str">
            <v>Alex Dee</v>
          </cell>
          <cell r="F14" t="str">
            <v>Anshul Kumar</v>
          </cell>
          <cell r="G14">
            <v>0.5</v>
          </cell>
          <cell r="H14" t="str">
            <v>Raunak Tripathi</v>
          </cell>
          <cell r="I14">
            <v>0.5</v>
          </cell>
          <cell r="J14" t="str">
            <v>Dev Srivastava</v>
          </cell>
          <cell r="K14">
            <v>1</v>
          </cell>
          <cell r="L14" t="str">
            <v>Nida Khan</v>
          </cell>
          <cell r="M14">
            <v>45747</v>
          </cell>
          <cell r="N14">
            <v>45762</v>
          </cell>
          <cell r="O14" t="str">
            <v>Waverly</v>
          </cell>
          <cell r="P14" t="str">
            <v>FTE</v>
          </cell>
          <cell r="Q14">
            <v>200000</v>
          </cell>
          <cell r="R14">
            <v>0.147222222222222</v>
          </cell>
          <cell r="S14">
            <v>29444.444444444402</v>
          </cell>
        </row>
        <row r="15">
          <cell r="B15" t="str">
            <v>Govind Srivastava</v>
          </cell>
          <cell r="E15" t="str">
            <v>Satish Manam</v>
          </cell>
          <cell r="F15" t="str">
            <v>Mayank Saxena</v>
          </cell>
          <cell r="G15">
            <v>0.5</v>
          </cell>
          <cell r="H15" t="str">
            <v>Mayank Saxena</v>
          </cell>
          <cell r="I15">
            <v>0.5</v>
          </cell>
          <cell r="J15" t="str">
            <v>Alok Mishra</v>
          </cell>
          <cell r="K15">
            <v>1</v>
          </cell>
          <cell r="L15" t="str">
            <v> Tanya Mishra</v>
          </cell>
          <cell r="M15">
            <v>45740</v>
          </cell>
          <cell r="O15" t="str">
            <v>Quess</v>
          </cell>
          <cell r="P15" t="str">
            <v>FTE</v>
          </cell>
          <cell r="Q15">
            <v>220000</v>
          </cell>
          <cell r="R15">
            <v>0.15472222222222201</v>
          </cell>
          <cell r="S15">
            <v>34038.88888888884</v>
          </cell>
        </row>
        <row r="16">
          <cell r="B16" t="str">
            <v>Abhay Pratap Singh</v>
          </cell>
          <cell r="E16" t="str">
            <v>Praveen Narayana</v>
          </cell>
          <cell r="F16" t="str">
            <v>Umar Mujahid</v>
          </cell>
          <cell r="G16">
            <v>0.5</v>
          </cell>
          <cell r="H16" t="str">
            <v>Umar Mujahid</v>
          </cell>
          <cell r="I16">
            <v>0.5</v>
          </cell>
          <cell r="J16" t="str">
            <v>Dev Srivastava</v>
          </cell>
          <cell r="K16">
            <v>1</v>
          </cell>
          <cell r="M16">
            <v>45761</v>
          </cell>
          <cell r="O16" t="str">
            <v>Tech Mahindra</v>
          </cell>
          <cell r="P16" t="str">
            <v>FTE</v>
          </cell>
          <cell r="Q16">
            <v>120000</v>
          </cell>
          <cell r="R16">
            <v>0.16222222222222199</v>
          </cell>
          <cell r="S16">
            <v>19466.666666666639</v>
          </cell>
        </row>
        <row r="17">
          <cell r="B17" t="str">
            <v>Ranjeet Kumar</v>
          </cell>
          <cell r="E17" t="str">
            <v>Helen Kim</v>
          </cell>
          <cell r="F17" t="str">
            <v>Raunak Tripathi</v>
          </cell>
          <cell r="G17">
            <v>0.5</v>
          </cell>
          <cell r="H17" t="str">
            <v>Raunak Tripathi</v>
          </cell>
          <cell r="I17">
            <v>0.5</v>
          </cell>
          <cell r="J17" t="str">
            <v>Alok Mishra</v>
          </cell>
          <cell r="K17">
            <v>1</v>
          </cell>
          <cell r="L17" t="str">
            <v>Raunak Tripathi</v>
          </cell>
          <cell r="M17">
            <v>45754</v>
          </cell>
          <cell r="O17" t="str">
            <v>Coforge</v>
          </cell>
          <cell r="P17" t="str">
            <v>FTE</v>
          </cell>
          <cell r="Q17">
            <v>140000</v>
          </cell>
          <cell r="R17">
            <v>0.169722222222222</v>
          </cell>
          <cell r="S17">
            <v>23761.11111111108</v>
          </cell>
        </row>
        <row r="18">
          <cell r="B18" t="str">
            <v>Alok Mishra</v>
          </cell>
          <cell r="E18" t="str">
            <v>Maria Flock</v>
          </cell>
          <cell r="F18" t="str">
            <v>Alok Mishra</v>
          </cell>
          <cell r="G18">
            <v>0.5</v>
          </cell>
          <cell r="H18" t="str">
            <v>Alok Mishra</v>
          </cell>
          <cell r="I18">
            <v>0.5</v>
          </cell>
          <cell r="J18" t="str">
            <v>Alok Mishra</v>
          </cell>
          <cell r="K18">
            <v>1</v>
          </cell>
          <cell r="L18" t="str">
            <v>Rohini Parihar</v>
          </cell>
          <cell r="M18">
            <v>45754</v>
          </cell>
          <cell r="O18" t="str">
            <v>Sutherland</v>
          </cell>
          <cell r="P18" t="str">
            <v>FTE</v>
          </cell>
          <cell r="Q18">
            <v>160000</v>
          </cell>
          <cell r="R18">
            <v>0.177222222222222</v>
          </cell>
          <cell r="S18">
            <v>28355.555555555522</v>
          </cell>
        </row>
        <row r="19">
          <cell r="B19" t="str">
            <v>Mayank Saxena</v>
          </cell>
          <cell r="E19" t="str">
            <v>Shekhar Patwardhan</v>
          </cell>
          <cell r="F19" t="str">
            <v>Mayank Saxena</v>
          </cell>
          <cell r="G19">
            <v>0.5</v>
          </cell>
          <cell r="H19" t="str">
            <v>Mayank Saxena</v>
          </cell>
          <cell r="I19">
            <v>0.5</v>
          </cell>
          <cell r="J19" t="str">
            <v>Rashmi Bhatnagar</v>
          </cell>
          <cell r="K19">
            <v>1</v>
          </cell>
          <cell r="M19">
            <v>45782</v>
          </cell>
          <cell r="O19" t="str">
            <v>Sutherland</v>
          </cell>
          <cell r="P19" t="str">
            <v>FTE</v>
          </cell>
          <cell r="Q19">
            <v>180000</v>
          </cell>
          <cell r="R19">
            <v>0.18472222222222201</v>
          </cell>
          <cell r="S19">
            <v>33249.999999999964</v>
          </cell>
        </row>
        <row r="20">
          <cell r="B20" t="str">
            <v>Govind Srivastava</v>
          </cell>
          <cell r="E20" t="str">
            <v>Donna Hulina</v>
          </cell>
          <cell r="F20" t="str">
            <v>Mayank Saxena</v>
          </cell>
          <cell r="G20">
            <v>0.5</v>
          </cell>
          <cell r="H20" t="str">
            <v>Mayank Saxena</v>
          </cell>
          <cell r="I20">
            <v>0.5</v>
          </cell>
          <cell r="J20" t="str">
            <v>Rashmi Bhatnagar</v>
          </cell>
          <cell r="K20">
            <v>1</v>
          </cell>
          <cell r="M20">
            <v>45789</v>
          </cell>
          <cell r="O20" t="str">
            <v>Myridius</v>
          </cell>
          <cell r="P20" t="str">
            <v>FTE</v>
          </cell>
          <cell r="Q20">
            <v>200000</v>
          </cell>
          <cell r="R20">
            <v>0.19222222222222199</v>
          </cell>
          <cell r="S20">
            <v>38444.444444444394</v>
          </cell>
        </row>
        <row r="21">
          <cell r="B21" t="str">
            <v>Priyansh Khare</v>
          </cell>
          <cell r="E21" t="str">
            <v>Shawn Elkon</v>
          </cell>
          <cell r="F21" t="str">
            <v>Umar Mujahid</v>
          </cell>
          <cell r="G21">
            <v>0.5</v>
          </cell>
          <cell r="H21" t="str">
            <v>Anshul Kumar</v>
          </cell>
          <cell r="I21">
            <v>0.5</v>
          </cell>
          <cell r="J21" t="str">
            <v>Dev Srivastava</v>
          </cell>
          <cell r="K21">
            <v>1</v>
          </cell>
          <cell r="M21">
            <v>45782</v>
          </cell>
          <cell r="O21" t="str">
            <v>Tech Mahindra</v>
          </cell>
          <cell r="P21" t="str">
            <v>FTE</v>
          </cell>
          <cell r="Q21">
            <v>220000</v>
          </cell>
          <cell r="R21">
            <v>0.199722222222222</v>
          </cell>
          <cell r="S21">
            <v>43938.88888888884</v>
          </cell>
        </row>
        <row r="22">
          <cell r="B22" t="str">
            <v>Pulkit Prakash</v>
          </cell>
          <cell r="E22" t="str">
            <v>Sergei Smirnov</v>
          </cell>
          <cell r="F22" t="str">
            <v>Raunak Tripathi</v>
          </cell>
          <cell r="G22">
            <v>0.5</v>
          </cell>
          <cell r="H22" t="str">
            <v>Raunak Tripathi</v>
          </cell>
          <cell r="I22">
            <v>0.5</v>
          </cell>
          <cell r="J22" t="str">
            <v>Alok Mishra</v>
          </cell>
          <cell r="K22">
            <v>1</v>
          </cell>
          <cell r="M22">
            <v>45804</v>
          </cell>
          <cell r="O22" t="str">
            <v>Kale Logistics</v>
          </cell>
          <cell r="P22" t="str">
            <v>FTE</v>
          </cell>
          <cell r="Q22">
            <v>120000</v>
          </cell>
          <cell r="R22">
            <v>0.207222222222222</v>
          </cell>
          <cell r="S22">
            <v>24866.666666666639</v>
          </cell>
        </row>
        <row r="23">
          <cell r="B23" t="str">
            <v>Umar Mujahid Husain</v>
          </cell>
          <cell r="E23" t="str">
            <v>Taylor Carlson</v>
          </cell>
          <cell r="F23" t="str">
            <v>Umar Mujahid</v>
          </cell>
          <cell r="G23">
            <v>0.5</v>
          </cell>
          <cell r="H23" t="str">
            <v>Umar Mujahid</v>
          </cell>
          <cell r="I23">
            <v>0.5</v>
          </cell>
          <cell r="J23" t="str">
            <v>Dev Srivastava</v>
          </cell>
          <cell r="K23">
            <v>1</v>
          </cell>
          <cell r="L23" t="str">
            <v>Nida Khan</v>
          </cell>
          <cell r="M23">
            <v>45811</v>
          </cell>
          <cell r="O23" t="str">
            <v>PocketFM</v>
          </cell>
          <cell r="P23" t="str">
            <v>FTE</v>
          </cell>
          <cell r="Q23">
            <v>140000</v>
          </cell>
          <cell r="R23">
            <v>0.21472222222222201</v>
          </cell>
          <cell r="S23">
            <v>30061.11111111108</v>
          </cell>
        </row>
        <row r="24">
          <cell r="B24" t="str">
            <v>Pulkit Prakash</v>
          </cell>
          <cell r="E24" t="str">
            <v>Sandeep Sanon</v>
          </cell>
          <cell r="F24" t="str">
            <v>Raunak Tripathi</v>
          </cell>
          <cell r="G24">
            <v>0.5</v>
          </cell>
          <cell r="H24" t="str">
            <v>Raunak Tripathi</v>
          </cell>
          <cell r="I24">
            <v>0.5</v>
          </cell>
          <cell r="J24" t="str">
            <v>Alok Mishra</v>
          </cell>
          <cell r="K24">
            <v>1</v>
          </cell>
          <cell r="M24">
            <v>45810</v>
          </cell>
          <cell r="O24" t="str">
            <v>LTIMindtree</v>
          </cell>
          <cell r="P24" t="str">
            <v>FTE</v>
          </cell>
          <cell r="Q24">
            <v>160000</v>
          </cell>
          <cell r="R24">
            <v>0.22222222222222199</v>
          </cell>
          <cell r="S24">
            <v>35555.555555555518</v>
          </cell>
        </row>
        <row r="25">
          <cell r="B25" t="str">
            <v>Govind Srivastava</v>
          </cell>
          <cell r="E25" t="str">
            <v>Inderpuneet Sohanpal</v>
          </cell>
          <cell r="F25" t="str">
            <v>Raunak Tripathi</v>
          </cell>
          <cell r="G25">
            <v>0.5</v>
          </cell>
          <cell r="H25" t="str">
            <v>Mayank Saxena</v>
          </cell>
          <cell r="I25">
            <v>0.5</v>
          </cell>
          <cell r="J25" t="str">
            <v>Rashmi Bhatnagar</v>
          </cell>
          <cell r="K25">
            <v>1</v>
          </cell>
          <cell r="L25" t="str">
            <v>Nida Khan</v>
          </cell>
          <cell r="M25">
            <v>45845</v>
          </cell>
          <cell r="O25" t="str">
            <v>Visionet</v>
          </cell>
          <cell r="P25" t="str">
            <v>FTE</v>
          </cell>
          <cell r="Q25">
            <v>180000</v>
          </cell>
          <cell r="R25">
            <v>0.22972222222222199</v>
          </cell>
          <cell r="S25">
            <v>41349.999999999956</v>
          </cell>
        </row>
        <row r="26">
          <cell r="B26" t="str">
            <v>Umang Srivastava</v>
          </cell>
          <cell r="E26" t="str">
            <v>Ramkishen Kalyana</v>
          </cell>
          <cell r="F26" t="str">
            <v>Mayank Saxena</v>
          </cell>
          <cell r="G26">
            <v>0.5</v>
          </cell>
          <cell r="H26" t="str">
            <v>Mayank Saxena</v>
          </cell>
          <cell r="I26">
            <v>0.5</v>
          </cell>
          <cell r="J26" t="str">
            <v>Rashmi Bhatnagar</v>
          </cell>
          <cell r="K26">
            <v>1</v>
          </cell>
          <cell r="M26">
            <v>45840</v>
          </cell>
          <cell r="O26" t="str">
            <v>Sutherland</v>
          </cell>
          <cell r="P26" t="str">
            <v>FTE</v>
          </cell>
          <cell r="Q26">
            <v>200000</v>
          </cell>
          <cell r="R26">
            <v>0.237222222222222</v>
          </cell>
          <cell r="S26">
            <v>47444.444444444402</v>
          </cell>
        </row>
        <row r="27">
          <cell r="B27" t="str">
            <v>Govind Srivastava</v>
          </cell>
          <cell r="E27" t="str">
            <v>Satheesh Naik</v>
          </cell>
          <cell r="F27" t="str">
            <v>Mayank Saxena</v>
          </cell>
          <cell r="G27">
            <v>0.5</v>
          </cell>
          <cell r="H27" t="str">
            <v>Mayank Saxena</v>
          </cell>
          <cell r="I27">
            <v>0.5</v>
          </cell>
          <cell r="J27" t="str">
            <v>Rashmi Bhatnagar</v>
          </cell>
          <cell r="K27">
            <v>1</v>
          </cell>
          <cell r="M27">
            <v>45848</v>
          </cell>
          <cell r="O27" t="str">
            <v>Sutherland</v>
          </cell>
          <cell r="P27" t="str">
            <v>FTE</v>
          </cell>
          <cell r="Q27">
            <v>220000</v>
          </cell>
          <cell r="R27">
            <v>0.24472222222222201</v>
          </cell>
          <cell r="S27">
            <v>53838.88888888884</v>
          </cell>
        </row>
        <row r="28">
          <cell r="B28" t="str">
            <v>Pulkit Prakash</v>
          </cell>
          <cell r="E28" t="str">
            <v>Robert Gonzalez</v>
          </cell>
          <cell r="F28" t="str">
            <v>Raunak Tripathi</v>
          </cell>
          <cell r="G28">
            <v>0.5</v>
          </cell>
          <cell r="H28" t="str">
            <v>Raunak Tripathi</v>
          </cell>
          <cell r="I28">
            <v>0.5</v>
          </cell>
          <cell r="J28" t="str">
            <v>Alok Mishra</v>
          </cell>
          <cell r="K28">
            <v>1</v>
          </cell>
          <cell r="M28">
            <v>45848</v>
          </cell>
          <cell r="O28" t="str">
            <v>Kale Logistics</v>
          </cell>
          <cell r="P28" t="str">
            <v>FTE</v>
          </cell>
          <cell r="Q28">
            <v>120000</v>
          </cell>
          <cell r="R28">
            <v>0.25222222222222201</v>
          </cell>
          <cell r="S28">
            <v>30266.666666666642</v>
          </cell>
        </row>
        <row r="29">
          <cell r="B29" t="str">
            <v>Sagar Chandani</v>
          </cell>
          <cell r="E29" t="str">
            <v>Nestor Miranda</v>
          </cell>
          <cell r="F29" t="str">
            <v>Rashmi Bhatnagar</v>
          </cell>
          <cell r="G29">
            <v>0.5</v>
          </cell>
          <cell r="H29" t="str">
            <v>Ankit Pandey</v>
          </cell>
          <cell r="I29">
            <v>0.5</v>
          </cell>
          <cell r="J29" t="str">
            <v>Rashmi Bhatnagar</v>
          </cell>
          <cell r="K29">
            <v>1</v>
          </cell>
          <cell r="M29">
            <v>45846</v>
          </cell>
          <cell r="O29" t="str">
            <v>Sutherland</v>
          </cell>
          <cell r="P29" t="str">
            <v>FTE</v>
          </cell>
          <cell r="Q29">
            <v>140000</v>
          </cell>
          <cell r="R29">
            <v>0.25972222222222202</v>
          </cell>
          <cell r="S29">
            <v>36361.11111111108</v>
          </cell>
        </row>
        <row r="30">
          <cell r="B30" t="str">
            <v>Syed Zaidi</v>
          </cell>
          <cell r="E30" t="str">
            <v>Sandeep Padhye</v>
          </cell>
          <cell r="F30" t="str">
            <v>Anshul Kumar</v>
          </cell>
          <cell r="G30">
            <v>0.5</v>
          </cell>
          <cell r="H30" t="str">
            <v>Umar Mujahid</v>
          </cell>
          <cell r="I30">
            <v>0.5</v>
          </cell>
          <cell r="J30" t="str">
            <v>Dev Srivastava</v>
          </cell>
          <cell r="K30">
            <v>1</v>
          </cell>
          <cell r="L30" t="str">
            <v>Qausain Abbass</v>
          </cell>
          <cell r="M30">
            <v>45859</v>
          </cell>
          <cell r="O30" t="str">
            <v>InfoBeans</v>
          </cell>
          <cell r="P30" t="str">
            <v>FTE</v>
          </cell>
          <cell r="Q30">
            <v>160000</v>
          </cell>
          <cell r="R30">
            <v>0.26722222222222197</v>
          </cell>
          <cell r="S30">
            <v>42755.555555555518</v>
          </cell>
        </row>
        <row r="31">
          <cell r="B31" t="str">
            <v>Pulkit Prakash</v>
          </cell>
          <cell r="E31" t="str">
            <v>Travis Leemreis</v>
          </cell>
          <cell r="F31" t="str">
            <v>Raunak Tripathi</v>
          </cell>
          <cell r="G31">
            <v>0.5</v>
          </cell>
          <cell r="H31" t="str">
            <v>Raunak Tripathi</v>
          </cell>
          <cell r="I31">
            <v>0.5</v>
          </cell>
          <cell r="J31" t="str">
            <v>Alok Mishra</v>
          </cell>
          <cell r="K31">
            <v>1</v>
          </cell>
          <cell r="M31">
            <v>45855</v>
          </cell>
          <cell r="O31" t="str">
            <v>Kale Logistics</v>
          </cell>
          <cell r="P31" t="str">
            <v>FTE</v>
          </cell>
          <cell r="Q31">
            <v>180000</v>
          </cell>
          <cell r="R31">
            <v>0.27472222222222198</v>
          </cell>
          <cell r="S31">
            <v>49449.999999999956</v>
          </cell>
        </row>
        <row r="32">
          <cell r="B32" t="str">
            <v>Pulkit Prakash</v>
          </cell>
          <cell r="E32" t="str">
            <v>Leroy Cervantes</v>
          </cell>
          <cell r="F32" t="str">
            <v>Raunak Tripathi</v>
          </cell>
          <cell r="G32">
            <v>0.5</v>
          </cell>
          <cell r="H32" t="str">
            <v>Raunak Tripathi</v>
          </cell>
          <cell r="I32">
            <v>0.5</v>
          </cell>
          <cell r="J32" t="str">
            <v>Alok Mishra</v>
          </cell>
          <cell r="K32">
            <v>1</v>
          </cell>
          <cell r="M32">
            <v>45859</v>
          </cell>
          <cell r="N32">
            <v>45920</v>
          </cell>
          <cell r="O32" t="str">
            <v>Kale Logistics</v>
          </cell>
          <cell r="P32" t="str">
            <v>FTE</v>
          </cell>
          <cell r="Q32">
            <v>200000</v>
          </cell>
          <cell r="R32">
            <v>0.28222222222222199</v>
          </cell>
          <cell r="S32">
            <v>0</v>
          </cell>
        </row>
        <row r="33">
          <cell r="B33" t="str">
            <v>Rashmi Bhatnagar</v>
          </cell>
          <cell r="E33" t="str">
            <v>Manish Hemrajani</v>
          </cell>
          <cell r="F33" t="str">
            <v>Rashmi Bhatnagar</v>
          </cell>
          <cell r="G33">
            <v>0.5</v>
          </cell>
          <cell r="H33" t="str">
            <v>Rashmi Bhatnagar</v>
          </cell>
          <cell r="I33">
            <v>0.5</v>
          </cell>
          <cell r="J33" t="str">
            <v>Rashmi Bhatnagar</v>
          </cell>
          <cell r="K33">
            <v>1</v>
          </cell>
          <cell r="M33">
            <v>45866</v>
          </cell>
          <cell r="O33" t="str">
            <v>Coforge</v>
          </cell>
          <cell r="P33" t="str">
            <v>FTE</v>
          </cell>
          <cell r="Q33">
            <v>220000</v>
          </cell>
          <cell r="R33">
            <v>0.28972222222222199</v>
          </cell>
          <cell r="S33">
            <v>63738.88888888884</v>
          </cell>
        </row>
        <row r="34">
          <cell r="B34" t="str">
            <v>Rashmi Bhatnagar</v>
          </cell>
          <cell r="E34" t="str">
            <v>Mary Andrews</v>
          </cell>
          <cell r="F34" t="str">
            <v>Rashmi Bhatnagar</v>
          </cell>
          <cell r="G34">
            <v>0.5</v>
          </cell>
          <cell r="H34" t="str">
            <v>Rashmi Bhatnagar</v>
          </cell>
          <cell r="I34">
            <v>0.5</v>
          </cell>
          <cell r="J34" t="str">
            <v>Rashmi Bhatnagar</v>
          </cell>
          <cell r="K34">
            <v>1</v>
          </cell>
          <cell r="M34">
            <v>45728</v>
          </cell>
          <cell r="O34" t="str">
            <v>Sutherland</v>
          </cell>
          <cell r="P34" t="str">
            <v>FTE</v>
          </cell>
          <cell r="Q34">
            <v>120000</v>
          </cell>
          <cell r="R34">
            <v>0.297222222222222</v>
          </cell>
          <cell r="S34">
            <v>35666.666666666642</v>
          </cell>
        </row>
        <row r="35">
          <cell r="B35" t="str">
            <v>Syed Zaidi</v>
          </cell>
          <cell r="E35" t="str">
            <v>Devin Currens</v>
          </cell>
          <cell r="F35" t="str">
            <v>Anshul Kumar</v>
          </cell>
          <cell r="G35">
            <v>0.5</v>
          </cell>
          <cell r="H35" t="str">
            <v>Umar Mujahid</v>
          </cell>
          <cell r="I35">
            <v>0.5</v>
          </cell>
          <cell r="J35" t="str">
            <v>Dev Srivastava</v>
          </cell>
          <cell r="K35">
            <v>1</v>
          </cell>
          <cell r="L35" t="str">
            <v>Qausain Abbass</v>
          </cell>
          <cell r="M35">
            <v>45887</v>
          </cell>
          <cell r="O35" t="str">
            <v>InfoBeans</v>
          </cell>
          <cell r="P35" t="str">
            <v>FTE</v>
          </cell>
          <cell r="Q35">
            <v>140000</v>
          </cell>
          <cell r="R35">
            <v>0.30472222222222201</v>
          </cell>
          <cell r="S35">
            <v>42661.11111111108</v>
          </cell>
        </row>
        <row r="36">
          <cell r="B36" t="str">
            <v>Syed Zaidi</v>
          </cell>
          <cell r="E36" t="str">
            <v>Natasha Allen</v>
          </cell>
          <cell r="F36" t="str">
            <v>Mayank Saxena</v>
          </cell>
          <cell r="G36">
            <v>0.5</v>
          </cell>
          <cell r="H36" t="str">
            <v>Umar Mujahid</v>
          </cell>
          <cell r="I36">
            <v>0.5</v>
          </cell>
          <cell r="J36" t="str">
            <v>Alok Mishra</v>
          </cell>
          <cell r="K36">
            <v>1</v>
          </cell>
          <cell r="M36">
            <v>45887</v>
          </cell>
          <cell r="O36" t="str">
            <v>Fanatics</v>
          </cell>
          <cell r="P36" t="str">
            <v>FTE</v>
          </cell>
          <cell r="Q36">
            <v>160000</v>
          </cell>
          <cell r="R36">
            <v>0.31222222222222201</v>
          </cell>
          <cell r="S36">
            <v>49955.555555555518</v>
          </cell>
        </row>
        <row r="37">
          <cell r="B37" t="str">
            <v>Shreya Singh</v>
          </cell>
          <cell r="E37" t="str">
            <v>Brian Taylor</v>
          </cell>
          <cell r="F37" t="str">
            <v>Umar Mujahid</v>
          </cell>
          <cell r="G37">
            <v>0.5</v>
          </cell>
          <cell r="H37" t="str">
            <v>Anshul Kumar</v>
          </cell>
          <cell r="I37">
            <v>0.5</v>
          </cell>
          <cell r="J37" t="str">
            <v>Dev Srivastava</v>
          </cell>
          <cell r="K37">
            <v>1</v>
          </cell>
          <cell r="M37">
            <v>45870</v>
          </cell>
          <cell r="O37" t="str">
            <v>FPT Software</v>
          </cell>
          <cell r="P37" t="str">
            <v>FTE</v>
          </cell>
          <cell r="Q37">
            <v>180000</v>
          </cell>
          <cell r="R37">
            <v>0.31972222222222202</v>
          </cell>
          <cell r="S37">
            <v>57549.999999999964</v>
          </cell>
        </row>
        <row r="38">
          <cell r="B38" t="str">
            <v>Syed Zaidi</v>
          </cell>
          <cell r="E38" t="str">
            <v>Taylor Brandon Grace</v>
          </cell>
          <cell r="F38" t="str">
            <v>Anshul Kumar</v>
          </cell>
          <cell r="G38">
            <v>0.5</v>
          </cell>
          <cell r="H38" t="str">
            <v>Umar Mujahid</v>
          </cell>
          <cell r="I38">
            <v>0.5</v>
          </cell>
          <cell r="J38" t="str">
            <v>Dev Srivastava</v>
          </cell>
          <cell r="K38">
            <v>1</v>
          </cell>
          <cell r="L38" t="str">
            <v>Qausain Abbass</v>
          </cell>
          <cell r="M38">
            <v>45894</v>
          </cell>
          <cell r="O38" t="str">
            <v>InfoBeans</v>
          </cell>
          <cell r="P38" t="str">
            <v>FTE</v>
          </cell>
          <cell r="Q38">
            <v>200000</v>
          </cell>
          <cell r="R38">
            <v>0.32722222222222203</v>
          </cell>
          <cell r="S38">
            <v>65444.444444444402</v>
          </cell>
        </row>
        <row r="39">
          <cell r="B39" t="str">
            <v>Priyansh Khare</v>
          </cell>
          <cell r="E39" t="str">
            <v>Amrita Singh</v>
          </cell>
          <cell r="F39" t="str">
            <v>Anshul Kumar</v>
          </cell>
          <cell r="G39">
            <v>0.5</v>
          </cell>
          <cell r="H39" t="str">
            <v>Anshul Kumar</v>
          </cell>
          <cell r="I39">
            <v>0.5</v>
          </cell>
          <cell r="J39" t="str">
            <v>Dev Srivastava</v>
          </cell>
          <cell r="K39">
            <v>1</v>
          </cell>
          <cell r="M39">
            <v>45915</v>
          </cell>
          <cell r="O39" t="str">
            <v>InfoBeans</v>
          </cell>
          <cell r="P39" t="str">
            <v>FTE</v>
          </cell>
          <cell r="Q39">
            <v>220000</v>
          </cell>
          <cell r="R39">
            <v>0.33472222222222198</v>
          </cell>
          <cell r="S39">
            <v>73638.888888888832</v>
          </cell>
        </row>
        <row r="40">
          <cell r="B40" t="str">
            <v>Ankit Maurya</v>
          </cell>
          <cell r="E40" t="str">
            <v>Chandra Bhagi</v>
          </cell>
          <cell r="F40" t="str">
            <v>Raunak Tripathi</v>
          </cell>
          <cell r="G40">
            <v>0.5</v>
          </cell>
          <cell r="H40" t="str">
            <v>Raunak Tripathi</v>
          </cell>
          <cell r="I40">
            <v>0.5</v>
          </cell>
          <cell r="J40" t="str">
            <v>Rashmi Bhatnagar</v>
          </cell>
          <cell r="K40">
            <v>1</v>
          </cell>
          <cell r="L40" t="str">
            <v>Nida Khan</v>
          </cell>
          <cell r="M40">
            <v>45908</v>
          </cell>
          <cell r="O40" t="str">
            <v>InfoBeans</v>
          </cell>
          <cell r="P40" t="str">
            <v>FTE</v>
          </cell>
          <cell r="Q40">
            <v>120000</v>
          </cell>
          <cell r="R40">
            <v>0.34222222222222198</v>
          </cell>
          <cell r="S40">
            <v>41066.666666666635</v>
          </cell>
        </row>
        <row r="41">
          <cell r="B41" t="str">
            <v>Devansh Mishra</v>
          </cell>
          <cell r="E41" t="str">
            <v>Minoji Thomas</v>
          </cell>
          <cell r="F41" t="str">
            <v>Raunak Tripathi</v>
          </cell>
          <cell r="G41">
            <v>0.5</v>
          </cell>
          <cell r="H41" t="str">
            <v>Raunak Tripathi</v>
          </cell>
          <cell r="I41">
            <v>0.5</v>
          </cell>
          <cell r="J41" t="str">
            <v>Alok Mishra</v>
          </cell>
          <cell r="K41">
            <v>1</v>
          </cell>
          <cell r="L41" t="str">
            <v>Anam</v>
          </cell>
          <cell r="M41">
            <v>45910</v>
          </cell>
          <cell r="O41" t="str">
            <v>Infogain</v>
          </cell>
          <cell r="P41" t="str">
            <v>FTE</v>
          </cell>
          <cell r="Q41">
            <v>140000</v>
          </cell>
          <cell r="R41">
            <v>0.34972222222222199</v>
          </cell>
          <cell r="S41">
            <v>48961.11111111108</v>
          </cell>
        </row>
        <row r="42">
          <cell r="B42" t="str">
            <v>Anshul Kumar</v>
          </cell>
          <cell r="E42" t="str">
            <v>Sachin Ahuja</v>
          </cell>
          <cell r="F42" t="str">
            <v>Anshul Kumar</v>
          </cell>
          <cell r="G42">
            <v>0.5</v>
          </cell>
          <cell r="H42" t="str">
            <v>Anshul Kumar</v>
          </cell>
          <cell r="I42">
            <v>0.5</v>
          </cell>
          <cell r="J42" t="str">
            <v>Dev Srivastava</v>
          </cell>
          <cell r="K42">
            <v>1</v>
          </cell>
          <cell r="M42">
            <v>45922</v>
          </cell>
          <cell r="O42" t="str">
            <v>LTTS</v>
          </cell>
          <cell r="P42" t="str">
            <v>FTE</v>
          </cell>
          <cell r="Q42">
            <v>160000</v>
          </cell>
          <cell r="R42">
            <v>0.357222222222222</v>
          </cell>
          <cell r="S42">
            <v>57155.555555555518</v>
          </cell>
        </row>
        <row r="43">
          <cell r="B43" t="str">
            <v>Syed Zaidi</v>
          </cell>
          <cell r="E43" t="str">
            <v>Ehab Abbas</v>
          </cell>
          <cell r="F43" t="str">
            <v>Anshul Kumar</v>
          </cell>
          <cell r="G43">
            <v>0.5</v>
          </cell>
          <cell r="H43" t="str">
            <v>Umar Mujahid</v>
          </cell>
          <cell r="I43">
            <v>0.5</v>
          </cell>
          <cell r="J43" t="str">
            <v>Dev Srivastava</v>
          </cell>
          <cell r="K43">
            <v>1</v>
          </cell>
          <cell r="L43" t="str">
            <v>Qausain Abbass</v>
          </cell>
          <cell r="M43">
            <v>45929</v>
          </cell>
          <cell r="O43" t="str">
            <v>InfoBeans</v>
          </cell>
          <cell r="P43" t="str">
            <v>FTE</v>
          </cell>
          <cell r="Q43">
            <v>180000</v>
          </cell>
          <cell r="R43">
            <v>0.364722222222222</v>
          </cell>
          <cell r="S43">
            <v>65649.999999999956</v>
          </cell>
        </row>
        <row r="44">
          <cell r="B44" t="str">
            <v>Shreya Singh</v>
          </cell>
          <cell r="E44" t="str">
            <v>Pallav Sharma</v>
          </cell>
          <cell r="F44" t="str">
            <v>Umar Mujahid</v>
          </cell>
          <cell r="G44">
            <v>0.5</v>
          </cell>
          <cell r="H44" t="str">
            <v>Anshul Kumar</v>
          </cell>
          <cell r="I44">
            <v>0.5</v>
          </cell>
          <cell r="J44" t="str">
            <v>Dev Srivastava</v>
          </cell>
          <cell r="K44">
            <v>1</v>
          </cell>
          <cell r="M44">
            <v>45930</v>
          </cell>
          <cell r="O44" t="str">
            <v>BirlaSoft</v>
          </cell>
          <cell r="P44" t="str">
            <v>FTE</v>
          </cell>
          <cell r="Q44">
            <v>200000</v>
          </cell>
          <cell r="R44">
            <v>0.37222222222222201</v>
          </cell>
          <cell r="S44">
            <v>74444.444444444409</v>
          </cell>
        </row>
      </sheetData>
      <sheetData sheetId="9"/>
      <sheetData sheetId="10">
        <row r="2">
          <cell r="B2" t="str">
            <v>Umar Mujahid Husain</v>
          </cell>
          <cell r="E2">
            <v>100000</v>
          </cell>
          <cell r="F2">
            <v>122050</v>
          </cell>
        </row>
        <row r="3">
          <cell r="B3" t="str">
            <v>Syed Ahrar Abbas Zaidi</v>
          </cell>
          <cell r="E3">
            <v>100000</v>
          </cell>
          <cell r="F3">
            <v>180150</v>
          </cell>
        </row>
        <row r="4">
          <cell r="B4" t="str">
            <v>Abhay Pratap Singh</v>
          </cell>
          <cell r="E4">
            <v>75000</v>
          </cell>
          <cell r="F4">
            <v>68075</v>
          </cell>
        </row>
        <row r="5">
          <cell r="B5" t="str">
            <v>Astha Srivastava</v>
          </cell>
          <cell r="E5">
            <v>55000</v>
          </cell>
          <cell r="F5">
            <v>0</v>
          </cell>
        </row>
        <row r="6">
          <cell r="B6" t="str">
            <v>Raunak Tripathi</v>
          </cell>
          <cell r="E6">
            <v>50000</v>
          </cell>
          <cell r="F6">
            <v>0</v>
          </cell>
        </row>
        <row r="7">
          <cell r="B7" t="str">
            <v>Ankit Maurya</v>
          </cell>
          <cell r="E7">
            <v>100000</v>
          </cell>
          <cell r="F7">
            <v>28800</v>
          </cell>
        </row>
        <row r="8">
          <cell r="B8" t="str">
            <v>Prithvi Singh</v>
          </cell>
          <cell r="E8">
            <v>80000</v>
          </cell>
          <cell r="F8">
            <v>0</v>
          </cell>
        </row>
        <row r="9">
          <cell r="B9" t="str">
            <v>Ranjeet Kumar</v>
          </cell>
          <cell r="E9">
            <v>80000</v>
          </cell>
          <cell r="F9">
            <v>61350</v>
          </cell>
        </row>
        <row r="10">
          <cell r="B10" t="str">
            <v>Devansh Mishra</v>
          </cell>
          <cell r="E10">
            <v>55000</v>
          </cell>
          <cell r="F10">
            <v>37500</v>
          </cell>
        </row>
        <row r="11">
          <cell r="B11" t="str">
            <v>Prachi Pandey</v>
          </cell>
          <cell r="E11">
            <v>80000</v>
          </cell>
          <cell r="F11">
            <v>3450</v>
          </cell>
        </row>
        <row r="12">
          <cell r="B12" t="str">
            <v>Pulkit prakash</v>
          </cell>
          <cell r="E12">
            <v>80000</v>
          </cell>
          <cell r="F12">
            <v>42544</v>
          </cell>
        </row>
        <row r="13">
          <cell r="B13" t="str">
            <v>Mayank Saxena</v>
          </cell>
          <cell r="E13">
            <v>50000</v>
          </cell>
          <cell r="F13">
            <v>90450</v>
          </cell>
        </row>
        <row r="14">
          <cell r="B14" t="str">
            <v>Govind Srivastava</v>
          </cell>
          <cell r="E14">
            <v>120000</v>
          </cell>
          <cell r="F14">
            <v>152000</v>
          </cell>
        </row>
        <row r="15">
          <cell r="B15" t="str">
            <v>Umang Srivastava</v>
          </cell>
          <cell r="E15">
            <v>55000</v>
          </cell>
          <cell r="F15">
            <v>57500</v>
          </cell>
        </row>
        <row r="16">
          <cell r="B16" t="str">
            <v>Anshul Kumar</v>
          </cell>
          <cell r="E16">
            <v>50000</v>
          </cell>
          <cell r="F16">
            <v>96100</v>
          </cell>
        </row>
        <row r="17">
          <cell r="B17" t="str">
            <v>Priyansh Khare</v>
          </cell>
          <cell r="E17">
            <v>100000</v>
          </cell>
          <cell r="F17">
            <v>38250</v>
          </cell>
        </row>
        <row r="18">
          <cell r="B18" t="str">
            <v>Shreya Singh</v>
          </cell>
          <cell r="E18">
            <v>100000</v>
          </cell>
          <cell r="F18">
            <v>86050</v>
          </cell>
        </row>
        <row r="19">
          <cell r="B19" t="str">
            <v>Anamika Dwivedi</v>
          </cell>
          <cell r="E19">
            <v>30000</v>
          </cell>
          <cell r="F19">
            <v>0</v>
          </cell>
        </row>
        <row r="20">
          <cell r="B20" t="str">
            <v>Smriti Jha</v>
          </cell>
          <cell r="E20">
            <v>30000</v>
          </cell>
          <cell r="F20">
            <v>0</v>
          </cell>
        </row>
        <row r="21">
          <cell r="B21" t="str">
            <v>Abhishek Srivastava</v>
          </cell>
          <cell r="E21">
            <v>60000</v>
          </cell>
          <cell r="F21">
            <v>0</v>
          </cell>
        </row>
        <row r="22">
          <cell r="B22" t="str">
            <v>Shivanshu Mishra</v>
          </cell>
          <cell r="E22">
            <v>75000</v>
          </cell>
          <cell r="F22">
            <v>0</v>
          </cell>
        </row>
        <row r="23">
          <cell r="B23" t="str">
            <v>Rohini Parihar</v>
          </cell>
          <cell r="F23">
            <v>2</v>
          </cell>
        </row>
        <row r="24">
          <cell r="B24" t="str">
            <v>Qausain Abbass</v>
          </cell>
          <cell r="E24">
            <v>5</v>
          </cell>
          <cell r="F24">
            <v>4</v>
          </cell>
        </row>
        <row r="25">
          <cell r="B25" t="str">
            <v>Anam Hasan</v>
          </cell>
          <cell r="E25">
            <v>4</v>
          </cell>
          <cell r="F25">
            <v>1</v>
          </cell>
        </row>
        <row r="26">
          <cell r="B26" t="str">
            <v>Tanya Mishra</v>
          </cell>
          <cell r="E26">
            <v>4</v>
          </cell>
          <cell r="F26">
            <v>3</v>
          </cell>
        </row>
        <row r="27">
          <cell r="B27" t="str">
            <v>Devashish Sinha</v>
          </cell>
          <cell r="E27">
            <v>4</v>
          </cell>
          <cell r="F27">
            <v>0</v>
          </cell>
        </row>
        <row r="28">
          <cell r="B28" t="str">
            <v>Lucky Jain</v>
          </cell>
          <cell r="E28" t="str">
            <v>-</v>
          </cell>
          <cell r="F28">
            <v>0</v>
          </cell>
        </row>
        <row r="29">
          <cell r="B29" t="str">
            <v>Abhishek Rajpoot</v>
          </cell>
          <cell r="E29">
            <v>6</v>
          </cell>
          <cell r="F29">
            <v>4</v>
          </cell>
        </row>
        <row r="30">
          <cell r="B30" t="str">
            <v>Pragati Mishra</v>
          </cell>
          <cell r="E30">
            <v>5</v>
          </cell>
          <cell r="F30">
            <v>1</v>
          </cell>
        </row>
        <row r="31">
          <cell r="B31" t="str">
            <v>Rishabh Singh</v>
          </cell>
          <cell r="E31">
            <v>6</v>
          </cell>
          <cell r="F31">
            <v>1</v>
          </cell>
        </row>
        <row r="32">
          <cell r="B32" t="str">
            <v>Prachi Verma</v>
          </cell>
          <cell r="E32">
            <v>5</v>
          </cell>
          <cell r="F32">
            <v>1</v>
          </cell>
        </row>
        <row r="33">
          <cell r="B33" t="str">
            <v>Ansh Singh Rathore</v>
          </cell>
          <cell r="E33">
            <v>3</v>
          </cell>
          <cell r="F33">
            <v>2</v>
          </cell>
        </row>
        <row r="34">
          <cell r="B34" t="str">
            <v>Vinay Kumar Pandey</v>
          </cell>
          <cell r="E34">
            <v>6</v>
          </cell>
          <cell r="F34">
            <v>0</v>
          </cell>
        </row>
        <row r="35">
          <cell r="B35" t="str">
            <v>Akbar Ibrahim</v>
          </cell>
          <cell r="E35" t="str">
            <v>-</v>
          </cell>
          <cell r="F35">
            <v>0</v>
          </cell>
        </row>
        <row r="36">
          <cell r="B36" t="str">
            <v>Ajith Gunasekar</v>
          </cell>
          <cell r="E36">
            <v>6</v>
          </cell>
          <cell r="F36">
            <v>3</v>
          </cell>
        </row>
        <row r="37">
          <cell r="B37" t="str">
            <v>Kishore Gopi</v>
          </cell>
          <cell r="E37">
            <v>5</v>
          </cell>
          <cell r="F37">
            <v>0</v>
          </cell>
        </row>
        <row r="38">
          <cell r="B38" t="str">
            <v>Lokesh R</v>
          </cell>
          <cell r="E38">
            <v>4</v>
          </cell>
          <cell r="F38">
            <v>0</v>
          </cell>
        </row>
        <row r="39">
          <cell r="B39" t="str">
            <v>Rubini Mohan</v>
          </cell>
          <cell r="E39">
            <v>4</v>
          </cell>
          <cell r="F39">
            <v>1</v>
          </cell>
        </row>
        <row r="40">
          <cell r="B40" t="str">
            <v>Ramanan K</v>
          </cell>
          <cell r="E40">
            <v>4</v>
          </cell>
          <cell r="F40">
            <v>0</v>
          </cell>
        </row>
        <row r="41">
          <cell r="B41" t="str">
            <v>Rohini L</v>
          </cell>
          <cell r="E41">
            <v>2</v>
          </cell>
          <cell r="F41">
            <v>0</v>
          </cell>
        </row>
        <row r="42">
          <cell r="B42" t="str">
            <v>Sophia R</v>
          </cell>
          <cell r="E42">
            <v>2</v>
          </cell>
          <cell r="F42">
            <v>0</v>
          </cell>
        </row>
        <row r="43">
          <cell r="B43" t="str">
            <v>Jagan Prabhu Vedhagiri</v>
          </cell>
          <cell r="E43">
            <v>3</v>
          </cell>
          <cell r="F43">
            <v>1</v>
          </cell>
        </row>
        <row r="44">
          <cell r="B44" t="str">
            <v>Dasive Prakash S</v>
          </cell>
          <cell r="E44">
            <v>3</v>
          </cell>
          <cell r="F44">
            <v>1</v>
          </cell>
        </row>
        <row r="45">
          <cell r="B45" t="str">
            <v>Dhivakar B</v>
          </cell>
        </row>
        <row r="46">
          <cell r="B46" t="str">
            <v>Vinoth L</v>
          </cell>
          <cell r="F46">
            <v>0</v>
          </cell>
        </row>
        <row r="47">
          <cell r="B47" t="str">
            <v>Priyanga Selvarasu</v>
          </cell>
          <cell r="E47">
            <v>6</v>
          </cell>
          <cell r="F47">
            <v>0</v>
          </cell>
        </row>
        <row r="48">
          <cell r="B48" t="str">
            <v>M Harinath</v>
          </cell>
          <cell r="E48">
            <v>6</v>
          </cell>
          <cell r="F48">
            <v>8</v>
          </cell>
        </row>
        <row r="49">
          <cell r="B49" t="str">
            <v>R Richardson Richardson</v>
          </cell>
          <cell r="E49">
            <v>4</v>
          </cell>
          <cell r="F49">
            <v>2</v>
          </cell>
        </row>
        <row r="50">
          <cell r="B50" t="str">
            <v>Dinesh Veluchamy</v>
          </cell>
          <cell r="E50">
            <v>5</v>
          </cell>
          <cell r="F50">
            <v>6</v>
          </cell>
        </row>
        <row r="51">
          <cell r="B51" t="str">
            <v>J Gayathri</v>
          </cell>
          <cell r="E51">
            <v>5</v>
          </cell>
          <cell r="F51">
            <v>3</v>
          </cell>
        </row>
        <row r="52">
          <cell r="B52" t="str">
            <v>Sriram Arasu</v>
          </cell>
          <cell r="E52">
            <v>3</v>
          </cell>
          <cell r="F52">
            <v>1</v>
          </cell>
        </row>
        <row r="53">
          <cell r="B53" t="str">
            <v>Thomas J</v>
          </cell>
          <cell r="E53">
            <v>2</v>
          </cell>
          <cell r="F53">
            <v>0</v>
          </cell>
        </row>
        <row r="54">
          <cell r="B54" t="str">
            <v>Rohit Gupta</v>
          </cell>
          <cell r="E54">
            <v>0</v>
          </cell>
          <cell r="F54">
            <v>0</v>
          </cell>
        </row>
        <row r="55">
          <cell r="B55" t="str">
            <v>Yogesh Bisht</v>
          </cell>
          <cell r="E55">
            <v>8</v>
          </cell>
          <cell r="F55">
            <v>2</v>
          </cell>
        </row>
        <row r="56">
          <cell r="B56" t="str">
            <v>Saif Ahmad Ansari</v>
          </cell>
          <cell r="E56">
            <v>8</v>
          </cell>
          <cell r="F56">
            <v>1</v>
          </cell>
        </row>
        <row r="57">
          <cell r="B57" t="str">
            <v>Akhilesh Gupta</v>
          </cell>
          <cell r="E57">
            <v>6</v>
          </cell>
          <cell r="F57">
            <v>2</v>
          </cell>
        </row>
        <row r="58">
          <cell r="B58" t="str">
            <v>Mohd Danish</v>
          </cell>
          <cell r="E58">
            <v>6</v>
          </cell>
          <cell r="F58">
            <v>1</v>
          </cell>
        </row>
        <row r="59">
          <cell r="B59" t="str">
            <v>Ekta Singh</v>
          </cell>
          <cell r="E59">
            <v>5</v>
          </cell>
          <cell r="F59">
            <v>5</v>
          </cell>
        </row>
        <row r="60">
          <cell r="B60" t="str">
            <v>Nilesh Shahi</v>
          </cell>
          <cell r="E60">
            <v>5</v>
          </cell>
          <cell r="F60">
            <v>1</v>
          </cell>
        </row>
        <row r="61">
          <cell r="B61" t="str">
            <v>Himanshu Gupta Mavericks</v>
          </cell>
          <cell r="E61">
            <v>7</v>
          </cell>
          <cell r="F61">
            <v>2</v>
          </cell>
        </row>
        <row r="62">
          <cell r="B62" t="str">
            <v>Tushar Saxena</v>
          </cell>
          <cell r="E62">
            <v>3</v>
          </cell>
          <cell r="F62">
            <v>0</v>
          </cell>
        </row>
        <row r="63">
          <cell r="B63" t="str">
            <v>Vivek Yadav</v>
          </cell>
          <cell r="E63">
            <v>0</v>
          </cell>
          <cell r="F63">
            <v>1</v>
          </cell>
        </row>
        <row r="64">
          <cell r="B64" t="str">
            <v>Akash Raj Srivastava</v>
          </cell>
          <cell r="E64">
            <v>8</v>
          </cell>
          <cell r="F64">
            <v>2</v>
          </cell>
        </row>
        <row r="65">
          <cell r="B65" t="str">
            <v>Abhishek Mishra Mavericks</v>
          </cell>
          <cell r="E65">
            <v>8</v>
          </cell>
          <cell r="F65">
            <v>2</v>
          </cell>
        </row>
        <row r="66">
          <cell r="B66" t="str">
            <v>Arpit Yadav</v>
          </cell>
          <cell r="E66">
            <v>6</v>
          </cell>
          <cell r="F66">
            <v>0</v>
          </cell>
        </row>
        <row r="67">
          <cell r="B67" t="str">
            <v>Anuj Tewari</v>
          </cell>
          <cell r="E67">
            <v>6</v>
          </cell>
          <cell r="F67">
            <v>6</v>
          </cell>
        </row>
        <row r="68">
          <cell r="B68" t="str">
            <v>Tauheed Ali</v>
          </cell>
          <cell r="E68">
            <v>3</v>
          </cell>
          <cell r="F68">
            <v>1</v>
          </cell>
        </row>
        <row r="69">
          <cell r="B69" t="str">
            <v>Kashif Nabi</v>
          </cell>
          <cell r="E69">
            <v>0</v>
          </cell>
          <cell r="F69">
            <v>0</v>
          </cell>
        </row>
        <row r="70">
          <cell r="B70" t="str">
            <v>Ubaid Rahman</v>
          </cell>
          <cell r="E70">
            <v>7</v>
          </cell>
          <cell r="F70">
            <v>5</v>
          </cell>
        </row>
        <row r="71">
          <cell r="B71" t="str">
            <v>Priyanka Sharma</v>
          </cell>
          <cell r="E71">
            <v>6</v>
          </cell>
          <cell r="F71">
            <v>4</v>
          </cell>
        </row>
        <row r="72">
          <cell r="B72" t="str">
            <v>Harshita Mani Srivastava</v>
          </cell>
          <cell r="E72">
            <v>5</v>
          </cell>
          <cell r="F72">
            <v>3</v>
          </cell>
        </row>
        <row r="73">
          <cell r="B73" t="str">
            <v>Satyajeet Singh</v>
          </cell>
          <cell r="E73">
            <v>6</v>
          </cell>
          <cell r="F73">
            <v>2</v>
          </cell>
        </row>
        <row r="74">
          <cell r="B74" t="str">
            <v>Sakshi Tiwari</v>
          </cell>
          <cell r="E74">
            <v>3</v>
          </cell>
          <cell r="F74">
            <v>1</v>
          </cell>
        </row>
        <row r="75">
          <cell r="B75" t="str">
            <v>Mohammad Tariq</v>
          </cell>
          <cell r="E75">
            <v>4</v>
          </cell>
          <cell r="F75">
            <v>3</v>
          </cell>
        </row>
        <row r="76">
          <cell r="B76" t="str">
            <v>Ritik Arya</v>
          </cell>
          <cell r="E76">
            <v>6</v>
          </cell>
          <cell r="F76">
            <v>3</v>
          </cell>
        </row>
        <row r="77">
          <cell r="B77" t="str">
            <v>Arpit Gupta</v>
          </cell>
          <cell r="E77">
            <v>5</v>
          </cell>
          <cell r="F77">
            <v>2</v>
          </cell>
        </row>
        <row r="78">
          <cell r="B78" t="str">
            <v>Apurv Joshi</v>
          </cell>
          <cell r="E78">
            <v>3</v>
          </cell>
          <cell r="F78">
            <v>0</v>
          </cell>
        </row>
        <row r="79">
          <cell r="B79" t="str">
            <v>Ashish Kushwaha</v>
          </cell>
          <cell r="E79">
            <v>4</v>
          </cell>
          <cell r="F79">
            <v>0</v>
          </cell>
        </row>
        <row r="80">
          <cell r="B80" t="str">
            <v>Khatib Rahman</v>
          </cell>
          <cell r="E80">
            <v>6</v>
          </cell>
          <cell r="F80">
            <v>4</v>
          </cell>
        </row>
        <row r="81">
          <cell r="B81" t="str">
            <v>Vasudev Srivastava</v>
          </cell>
          <cell r="E81">
            <v>4</v>
          </cell>
          <cell r="F81">
            <v>3</v>
          </cell>
        </row>
        <row r="82">
          <cell r="B82" t="str">
            <v>Saurabh Mishra</v>
          </cell>
          <cell r="E82">
            <v>8</v>
          </cell>
          <cell r="F82">
            <v>1</v>
          </cell>
        </row>
        <row r="83">
          <cell r="B83" t="str">
            <v>Vaibhav Kumar</v>
          </cell>
          <cell r="E83">
            <v>8</v>
          </cell>
          <cell r="F83">
            <v>3</v>
          </cell>
        </row>
        <row r="84">
          <cell r="B84" t="str">
            <v>Vikas Malik</v>
          </cell>
          <cell r="F84">
            <v>1</v>
          </cell>
        </row>
        <row r="85">
          <cell r="B85" t="str">
            <v>Durgesh Kumar Jha</v>
          </cell>
          <cell r="F85">
            <v>0</v>
          </cell>
        </row>
        <row r="86">
          <cell r="B86" t="str">
            <v>MD Rahmat Ali</v>
          </cell>
          <cell r="F86">
            <v>0</v>
          </cell>
        </row>
        <row r="87">
          <cell r="B87" t="str">
            <v>Nitin Saxena</v>
          </cell>
          <cell r="E87" t="str">
            <v>-</v>
          </cell>
          <cell r="F87">
            <v>0</v>
          </cell>
        </row>
        <row r="88">
          <cell r="B88" t="str">
            <v>Aviral Shukla</v>
          </cell>
          <cell r="E88">
            <v>8</v>
          </cell>
          <cell r="F88">
            <v>3</v>
          </cell>
        </row>
        <row r="89">
          <cell r="B89" t="str">
            <v>Samad Quraishi</v>
          </cell>
          <cell r="E89">
            <v>8</v>
          </cell>
          <cell r="F89">
            <v>7</v>
          </cell>
        </row>
        <row r="90">
          <cell r="B90" t="str">
            <v>Ratnesh Kashyap</v>
          </cell>
          <cell r="E90">
            <v>7</v>
          </cell>
          <cell r="F90">
            <v>1</v>
          </cell>
        </row>
        <row r="91">
          <cell r="B91" t="str">
            <v>Hamza</v>
          </cell>
          <cell r="E91">
            <v>8</v>
          </cell>
          <cell r="F91">
            <v>16</v>
          </cell>
        </row>
        <row r="92">
          <cell r="B92" t="str">
            <v>Aman Bajpai</v>
          </cell>
          <cell r="E92">
            <v>8</v>
          </cell>
          <cell r="F92">
            <v>4</v>
          </cell>
        </row>
        <row r="93">
          <cell r="B93" t="str">
            <v>Anshita Dwivedi</v>
          </cell>
          <cell r="E93">
            <v>5</v>
          </cell>
          <cell r="F93">
            <v>1</v>
          </cell>
        </row>
        <row r="94">
          <cell r="B94" t="str">
            <v>Shruti Kumari</v>
          </cell>
          <cell r="E94">
            <v>4</v>
          </cell>
          <cell r="F94">
            <v>0</v>
          </cell>
        </row>
        <row r="95">
          <cell r="B95" t="str">
            <v>Kajal Vats</v>
          </cell>
          <cell r="F95">
            <v>1</v>
          </cell>
        </row>
        <row r="96">
          <cell r="B96" t="str">
            <v>Ambresh Tripathi</v>
          </cell>
          <cell r="F96">
            <v>0</v>
          </cell>
        </row>
        <row r="97">
          <cell r="B97" t="str">
            <v>Anurag Mishra</v>
          </cell>
          <cell r="F97">
            <v>0</v>
          </cell>
        </row>
        <row r="98">
          <cell r="B98" t="str">
            <v>Aditya Yadav</v>
          </cell>
          <cell r="E98">
            <v>2</v>
          </cell>
          <cell r="F98">
            <v>3</v>
          </cell>
        </row>
        <row r="99">
          <cell r="B99" t="str">
            <v>Santosh Singh</v>
          </cell>
          <cell r="E99">
            <v>7</v>
          </cell>
          <cell r="F99">
            <v>2</v>
          </cell>
        </row>
        <row r="100">
          <cell r="B100" t="str">
            <v>Aastha Tiwari</v>
          </cell>
          <cell r="E100">
            <v>7</v>
          </cell>
          <cell r="F100">
            <v>4</v>
          </cell>
        </row>
        <row r="101">
          <cell r="B101" t="str">
            <v>Shubham Yadav</v>
          </cell>
          <cell r="E101">
            <v>4</v>
          </cell>
          <cell r="F101">
            <v>0</v>
          </cell>
        </row>
        <row r="102">
          <cell r="B102" t="str">
            <v>Shagun Jaiswal</v>
          </cell>
          <cell r="E102">
            <v>2</v>
          </cell>
          <cell r="F102">
            <v>0</v>
          </cell>
        </row>
        <row r="103">
          <cell r="B103" t="str">
            <v>Shagun Tewari</v>
          </cell>
        </row>
        <row r="104">
          <cell r="B104" t="str">
            <v>Abhishek Yadav</v>
          </cell>
          <cell r="E104" t="str">
            <v>-</v>
          </cell>
          <cell r="F104">
            <v>0</v>
          </cell>
        </row>
        <row r="105">
          <cell r="B105" t="str">
            <v>Manish Kumar Dhiman</v>
          </cell>
          <cell r="E105">
            <v>8</v>
          </cell>
          <cell r="F105">
            <v>7</v>
          </cell>
        </row>
        <row r="106">
          <cell r="B106" t="str">
            <v>Heena Akshay Pandey</v>
          </cell>
          <cell r="E106">
            <v>8</v>
          </cell>
          <cell r="F106">
            <v>4</v>
          </cell>
        </row>
        <row r="107">
          <cell r="B107" t="str">
            <v>Priya Yadav</v>
          </cell>
          <cell r="E107">
            <v>6</v>
          </cell>
          <cell r="F107">
            <v>7</v>
          </cell>
        </row>
        <row r="108">
          <cell r="B108" t="str">
            <v>Shubham Tripathi</v>
          </cell>
          <cell r="E108">
            <v>5</v>
          </cell>
          <cell r="F108">
            <v>5</v>
          </cell>
        </row>
        <row r="109">
          <cell r="B109" t="str">
            <v>Shubham Srivastava</v>
          </cell>
          <cell r="E109">
            <v>8</v>
          </cell>
          <cell r="F109">
            <v>3</v>
          </cell>
        </row>
        <row r="110">
          <cell r="B110" t="str">
            <v>Raj Chaudhary</v>
          </cell>
          <cell r="E110">
            <v>4</v>
          </cell>
          <cell r="F110">
            <v>1</v>
          </cell>
        </row>
        <row r="111">
          <cell r="B111" t="str">
            <v>Satyam Pandey</v>
          </cell>
          <cell r="E111">
            <v>4</v>
          </cell>
          <cell r="F111">
            <v>0</v>
          </cell>
        </row>
        <row r="112">
          <cell r="B112" t="str">
            <v>Dheeraj Verma</v>
          </cell>
          <cell r="E112">
            <v>5</v>
          </cell>
          <cell r="F112">
            <v>1</v>
          </cell>
        </row>
        <row r="113">
          <cell r="B113" t="str">
            <v>Harsh Agrawal</v>
          </cell>
          <cell r="E113" t="str">
            <v>-</v>
          </cell>
          <cell r="F113">
            <v>0</v>
          </cell>
        </row>
        <row r="114">
          <cell r="B114" t="str">
            <v>Rajat Arora</v>
          </cell>
          <cell r="E114">
            <v>6</v>
          </cell>
          <cell r="F114">
            <v>1</v>
          </cell>
        </row>
        <row r="115">
          <cell r="B115" t="str">
            <v>Pushpendra Kumar</v>
          </cell>
          <cell r="E115">
            <v>6</v>
          </cell>
          <cell r="F115">
            <v>3</v>
          </cell>
        </row>
        <row r="116">
          <cell r="B116" t="str">
            <v>Sana Zohra</v>
          </cell>
          <cell r="E116">
            <v>6</v>
          </cell>
          <cell r="F116">
            <v>3.5</v>
          </cell>
        </row>
        <row r="117">
          <cell r="B117" t="str">
            <v>Harsh Shukla</v>
          </cell>
          <cell r="E117">
            <v>6</v>
          </cell>
          <cell r="F117">
            <v>5</v>
          </cell>
        </row>
        <row r="118">
          <cell r="B118" t="str">
            <v>Harsh Patel</v>
          </cell>
          <cell r="E118">
            <v>5</v>
          </cell>
          <cell r="F118">
            <v>0</v>
          </cell>
        </row>
        <row r="119">
          <cell r="B119" t="str">
            <v>Virendra Vikram Singh</v>
          </cell>
          <cell r="E119">
            <v>7</v>
          </cell>
          <cell r="F119">
            <v>5</v>
          </cell>
        </row>
        <row r="120">
          <cell r="B120" t="str">
            <v>Rishabh Kapoor</v>
          </cell>
          <cell r="E120">
            <v>7</v>
          </cell>
          <cell r="F120">
            <v>2</v>
          </cell>
        </row>
        <row r="121">
          <cell r="B121" t="str">
            <v>Aarzoo Khan</v>
          </cell>
          <cell r="E121">
            <v>6</v>
          </cell>
          <cell r="F121">
            <v>3</v>
          </cell>
        </row>
        <row r="122">
          <cell r="B122" t="str">
            <v>Neelendra Dhar Dwivedi</v>
          </cell>
          <cell r="E122">
            <v>6</v>
          </cell>
          <cell r="F122">
            <v>3</v>
          </cell>
        </row>
        <row r="123">
          <cell r="B123" t="str">
            <v>Ashish Saxena</v>
          </cell>
          <cell r="E123">
            <v>6</v>
          </cell>
          <cell r="F123">
            <v>3</v>
          </cell>
        </row>
        <row r="124">
          <cell r="B124" t="str">
            <v>Gufran Ali</v>
          </cell>
          <cell r="E124">
            <v>4</v>
          </cell>
          <cell r="F124">
            <v>0</v>
          </cell>
        </row>
        <row r="125">
          <cell r="B125" t="str">
            <v>Abhishek Singh</v>
          </cell>
          <cell r="E125">
            <v>3</v>
          </cell>
          <cell r="F125">
            <v>0</v>
          </cell>
        </row>
        <row r="126">
          <cell r="B126" t="str">
            <v>Purneshwar Mishra</v>
          </cell>
          <cell r="E126">
            <v>7</v>
          </cell>
          <cell r="F126">
            <v>1</v>
          </cell>
        </row>
        <row r="127">
          <cell r="B127" t="str">
            <v>Shashank Yadav</v>
          </cell>
          <cell r="E127" t="str">
            <v>-</v>
          </cell>
          <cell r="F127">
            <v>0</v>
          </cell>
        </row>
        <row r="128">
          <cell r="B128" t="str">
            <v>Astha Sharma</v>
          </cell>
          <cell r="E128">
            <v>7</v>
          </cell>
          <cell r="F128">
            <v>1</v>
          </cell>
        </row>
        <row r="129">
          <cell r="B129" t="str">
            <v>Vivek Mani Upadhyay</v>
          </cell>
          <cell r="E129">
            <v>7</v>
          </cell>
          <cell r="F129">
            <v>3</v>
          </cell>
        </row>
        <row r="130">
          <cell r="B130" t="str">
            <v>Shivanshu Rastogi</v>
          </cell>
          <cell r="E130">
            <v>6</v>
          </cell>
          <cell r="F130">
            <v>3</v>
          </cell>
        </row>
        <row r="131">
          <cell r="B131" t="str">
            <v>Abhishek Verma</v>
          </cell>
          <cell r="E131">
            <v>6</v>
          </cell>
          <cell r="F131">
            <v>7</v>
          </cell>
        </row>
        <row r="132">
          <cell r="B132" t="str">
            <v>Shubham Patel</v>
          </cell>
          <cell r="E132">
            <v>4</v>
          </cell>
          <cell r="F132">
            <v>1</v>
          </cell>
        </row>
        <row r="133">
          <cell r="B133" t="str">
            <v>Mohd Akbar</v>
          </cell>
          <cell r="E133">
            <v>2</v>
          </cell>
          <cell r="F133">
            <v>0</v>
          </cell>
        </row>
        <row r="134">
          <cell r="B134" t="str">
            <v>Sachendra Singh Pal</v>
          </cell>
          <cell r="E134">
            <v>4</v>
          </cell>
          <cell r="F134">
            <v>1</v>
          </cell>
        </row>
        <row r="135">
          <cell r="B135" t="str">
            <v>Aditi Singh</v>
          </cell>
          <cell r="E135">
            <v>2</v>
          </cell>
          <cell r="F135">
            <v>0</v>
          </cell>
        </row>
        <row r="136">
          <cell r="B136" t="str">
            <v>Vaishnavi Tiwari</v>
          </cell>
          <cell r="E136">
            <v>2</v>
          </cell>
          <cell r="F136">
            <v>0</v>
          </cell>
        </row>
        <row r="137">
          <cell r="B137" t="str">
            <v>Vivek Mishra</v>
          </cell>
          <cell r="E137">
            <v>3</v>
          </cell>
          <cell r="F137">
            <v>0</v>
          </cell>
        </row>
        <row r="138">
          <cell r="B138" t="str">
            <v>Rahul Srivastava</v>
          </cell>
          <cell r="E138">
            <v>4</v>
          </cell>
          <cell r="F138">
            <v>1</v>
          </cell>
        </row>
        <row r="139">
          <cell r="B139" t="str">
            <v>Shubham Saini</v>
          </cell>
          <cell r="E139">
            <v>4</v>
          </cell>
          <cell r="F139">
            <v>1</v>
          </cell>
        </row>
        <row r="140">
          <cell r="B140" t="str">
            <v>Akash Saxena</v>
          </cell>
          <cell r="E140" t="str">
            <v>-</v>
          </cell>
          <cell r="F140">
            <v>0</v>
          </cell>
        </row>
        <row r="141">
          <cell r="B141" t="str">
            <v>Hemant Kumar</v>
          </cell>
          <cell r="E141">
            <v>6</v>
          </cell>
          <cell r="F141">
            <v>5</v>
          </cell>
        </row>
        <row r="142">
          <cell r="B142" t="str">
            <v>Prashant Pal</v>
          </cell>
          <cell r="E142">
            <v>5</v>
          </cell>
          <cell r="F142">
            <v>2</v>
          </cell>
        </row>
        <row r="143">
          <cell r="B143" t="str">
            <v>Kartik Parashar</v>
          </cell>
          <cell r="E143">
            <v>5</v>
          </cell>
          <cell r="F143">
            <v>2</v>
          </cell>
        </row>
        <row r="144">
          <cell r="B144" t="str">
            <v>Ravi Yadav</v>
          </cell>
          <cell r="E144">
            <v>6</v>
          </cell>
          <cell r="F144">
            <v>1</v>
          </cell>
        </row>
        <row r="145">
          <cell r="B145" t="str">
            <v>Shaneha Kumari</v>
          </cell>
          <cell r="E145">
            <v>3</v>
          </cell>
          <cell r="F145">
            <v>0</v>
          </cell>
        </row>
        <row r="146">
          <cell r="B146" t="str">
            <v>Abdul Rahman</v>
          </cell>
          <cell r="E146" t="str">
            <v>-</v>
          </cell>
          <cell r="F146">
            <v>0</v>
          </cell>
        </row>
        <row r="147">
          <cell r="B147" t="str">
            <v>Mohd Ateeq</v>
          </cell>
          <cell r="E147">
            <v>5</v>
          </cell>
          <cell r="F147">
            <v>4</v>
          </cell>
        </row>
        <row r="148">
          <cell r="B148" t="str">
            <v>Aatma Nand Vihangam</v>
          </cell>
          <cell r="E148">
            <v>4</v>
          </cell>
          <cell r="F148">
            <v>1</v>
          </cell>
        </row>
        <row r="149">
          <cell r="B149" t="str">
            <v>Yatu Raj Prajee</v>
          </cell>
          <cell r="E149">
            <v>3</v>
          </cell>
          <cell r="F149">
            <v>1</v>
          </cell>
        </row>
        <row r="150">
          <cell r="B150" t="str">
            <v>Priya Dhiraniya</v>
          </cell>
          <cell r="E150">
            <v>2</v>
          </cell>
          <cell r="F150">
            <v>0</v>
          </cell>
        </row>
        <row r="151">
          <cell r="B151" t="str">
            <v>Suraj Suman</v>
          </cell>
          <cell r="E151">
            <v>3</v>
          </cell>
          <cell r="F151">
            <v>0</v>
          </cell>
        </row>
        <row r="152">
          <cell r="B152" t="str">
            <v>Vishali Kundal</v>
          </cell>
          <cell r="E152">
            <v>2</v>
          </cell>
          <cell r="F152">
            <v>1</v>
          </cell>
        </row>
        <row r="153">
          <cell r="B153" t="str">
            <v>Avinay Shrivastav</v>
          </cell>
          <cell r="E153">
            <v>2</v>
          </cell>
          <cell r="F153">
            <v>1</v>
          </cell>
        </row>
        <row r="154">
          <cell r="B154" t="str">
            <v>Ranveer Kumar</v>
          </cell>
          <cell r="E154" t="str">
            <v>-</v>
          </cell>
          <cell r="F154">
            <v>0</v>
          </cell>
        </row>
        <row r="155">
          <cell r="B155" t="str">
            <v>Uttam Chandra</v>
          </cell>
          <cell r="E155">
            <v>7</v>
          </cell>
          <cell r="F155">
            <v>4</v>
          </cell>
        </row>
        <row r="156">
          <cell r="B156" t="str">
            <v>Ananya Agarwal</v>
          </cell>
          <cell r="E156">
            <v>6</v>
          </cell>
          <cell r="F156">
            <v>5</v>
          </cell>
        </row>
        <row r="157">
          <cell r="B157" t="str">
            <v>Nimisha Singh</v>
          </cell>
          <cell r="E157">
            <v>6</v>
          </cell>
          <cell r="F157">
            <v>1</v>
          </cell>
        </row>
        <row r="158">
          <cell r="B158" t="str">
            <v>Tushar Sarkar</v>
          </cell>
          <cell r="E158">
            <v>5</v>
          </cell>
          <cell r="F158">
            <v>0</v>
          </cell>
        </row>
        <row r="159">
          <cell r="B159" t="str">
            <v>Ayush Chauhan</v>
          </cell>
          <cell r="E159">
            <v>5</v>
          </cell>
          <cell r="F159">
            <v>0</v>
          </cell>
        </row>
        <row r="160">
          <cell r="B160" t="str">
            <v>Aviral Sachan</v>
          </cell>
          <cell r="F160">
            <v>0</v>
          </cell>
        </row>
        <row r="161">
          <cell r="B161" t="str">
            <v>Abhishek Singh</v>
          </cell>
          <cell r="E161" t="str">
            <v>-</v>
          </cell>
          <cell r="F161">
            <v>0</v>
          </cell>
        </row>
        <row r="162">
          <cell r="B162" t="str">
            <v>Tushar Mishra</v>
          </cell>
          <cell r="E162">
            <v>5</v>
          </cell>
          <cell r="F162">
            <v>9</v>
          </cell>
        </row>
        <row r="163">
          <cell r="B163" t="str">
            <v>Abhinesh Yadav</v>
          </cell>
          <cell r="E163">
            <v>8</v>
          </cell>
          <cell r="F163">
            <v>4</v>
          </cell>
        </row>
        <row r="164">
          <cell r="B164" t="str">
            <v>Vishal Jaiswal</v>
          </cell>
          <cell r="E164">
            <v>6</v>
          </cell>
          <cell r="F164">
            <v>1</v>
          </cell>
        </row>
        <row r="165">
          <cell r="B165" t="str">
            <v>Arpita Singh</v>
          </cell>
          <cell r="E165">
            <v>6</v>
          </cell>
          <cell r="F165">
            <v>0</v>
          </cell>
        </row>
        <row r="166">
          <cell r="B166" t="str">
            <v>Anuj Kumar</v>
          </cell>
          <cell r="E166">
            <v>6</v>
          </cell>
          <cell r="F166">
            <v>5</v>
          </cell>
        </row>
        <row r="167">
          <cell r="B167" t="str">
            <v>Sachin Singh</v>
          </cell>
          <cell r="E167">
            <v>6</v>
          </cell>
          <cell r="F167">
            <v>2</v>
          </cell>
        </row>
        <row r="168">
          <cell r="B168" t="str">
            <v>Shailesh Sharma</v>
          </cell>
          <cell r="E168" t="str">
            <v>-</v>
          </cell>
          <cell r="F168">
            <v>0</v>
          </cell>
        </row>
        <row r="169">
          <cell r="B169" t="str">
            <v>Panna Roy</v>
          </cell>
          <cell r="E169">
            <v>5</v>
          </cell>
          <cell r="F169">
            <v>1</v>
          </cell>
        </row>
        <row r="170">
          <cell r="B170" t="str">
            <v>Anjali Sah</v>
          </cell>
          <cell r="E170">
            <v>6</v>
          </cell>
          <cell r="F170">
            <v>4</v>
          </cell>
        </row>
        <row r="171">
          <cell r="B171" t="str">
            <v>Shivam Chaurasia</v>
          </cell>
          <cell r="E171">
            <v>6</v>
          </cell>
          <cell r="F171">
            <v>4</v>
          </cell>
        </row>
        <row r="172">
          <cell r="B172" t="str">
            <v>Mohini Chand</v>
          </cell>
          <cell r="E172">
            <v>6</v>
          </cell>
          <cell r="F172">
            <v>5</v>
          </cell>
        </row>
        <row r="173">
          <cell r="B173" t="str">
            <v>Tanishq Srivastava</v>
          </cell>
          <cell r="E173">
            <v>0</v>
          </cell>
          <cell r="F173">
            <v>0</v>
          </cell>
        </row>
        <row r="174">
          <cell r="B174" t="str">
            <v>Puneet Pandey</v>
          </cell>
          <cell r="E174">
            <v>5</v>
          </cell>
          <cell r="F174">
            <v>1</v>
          </cell>
        </row>
        <row r="175">
          <cell r="B175" t="str">
            <v>Kirti Gautam</v>
          </cell>
          <cell r="E175">
            <v>4</v>
          </cell>
          <cell r="F175">
            <v>0</v>
          </cell>
        </row>
        <row r="176">
          <cell r="B176" t="str">
            <v>Naina Shukla</v>
          </cell>
          <cell r="E176">
            <v>4</v>
          </cell>
          <cell r="F176">
            <v>0</v>
          </cell>
        </row>
        <row r="177">
          <cell r="B177" t="str">
            <v>Falguni Srivastava</v>
          </cell>
          <cell r="E177">
            <v>4</v>
          </cell>
          <cell r="F177">
            <v>1</v>
          </cell>
        </row>
        <row r="178">
          <cell r="B178" t="str">
            <v>Hiten Sehgal</v>
          </cell>
          <cell r="F178">
            <v>0</v>
          </cell>
        </row>
        <row r="179">
          <cell r="B179" t="str">
            <v>Umar Mujahid Husain</v>
          </cell>
          <cell r="E179">
            <v>100000</v>
          </cell>
          <cell r="F179">
            <v>122050</v>
          </cell>
        </row>
        <row r="180">
          <cell r="B180" t="str">
            <v>Syed Zaidi</v>
          </cell>
          <cell r="E180">
            <v>100000</v>
          </cell>
          <cell r="F180">
            <v>180150</v>
          </cell>
        </row>
        <row r="181">
          <cell r="B181" t="str">
            <v>Abhay Pratap Singh</v>
          </cell>
          <cell r="E181">
            <v>75000</v>
          </cell>
          <cell r="F181">
            <v>68075</v>
          </cell>
        </row>
        <row r="182">
          <cell r="B182" t="str">
            <v>Astha Srivastava</v>
          </cell>
          <cell r="E182">
            <v>55000</v>
          </cell>
          <cell r="F182">
            <v>0</v>
          </cell>
        </row>
        <row r="183">
          <cell r="B183" t="str">
            <v>Raunak Tripathi</v>
          </cell>
          <cell r="E183">
            <v>50000</v>
          </cell>
          <cell r="F183">
            <v>0</v>
          </cell>
        </row>
        <row r="184">
          <cell r="B184" t="str">
            <v>Ankit Maurya</v>
          </cell>
          <cell r="E184">
            <v>100000</v>
          </cell>
          <cell r="F184">
            <v>28800</v>
          </cell>
        </row>
        <row r="185">
          <cell r="B185" t="str">
            <v>Prithvi Singh</v>
          </cell>
          <cell r="E185">
            <v>80000</v>
          </cell>
          <cell r="F185">
            <v>0</v>
          </cell>
        </row>
        <row r="186">
          <cell r="B186" t="str">
            <v>Ranjeet Kumar</v>
          </cell>
          <cell r="E186">
            <v>80000</v>
          </cell>
          <cell r="F186">
            <v>61350</v>
          </cell>
        </row>
        <row r="187">
          <cell r="B187" t="str">
            <v>Devansh Mishra</v>
          </cell>
          <cell r="E187">
            <v>55000</v>
          </cell>
          <cell r="F187">
            <v>37500</v>
          </cell>
        </row>
        <row r="188">
          <cell r="B188" t="str">
            <v>Prachi Pandey</v>
          </cell>
          <cell r="E188">
            <v>80000</v>
          </cell>
          <cell r="F188">
            <v>3450</v>
          </cell>
        </row>
        <row r="189">
          <cell r="B189" t="str">
            <v>Pulkit prakash</v>
          </cell>
          <cell r="E189">
            <v>80000</v>
          </cell>
          <cell r="F189">
            <v>42544</v>
          </cell>
        </row>
        <row r="190">
          <cell r="B190" t="str">
            <v>Mayank Saxena</v>
          </cell>
          <cell r="E190">
            <v>50000</v>
          </cell>
          <cell r="F190">
            <v>90450</v>
          </cell>
        </row>
        <row r="191">
          <cell r="B191" t="str">
            <v>Govind Srivastava</v>
          </cell>
          <cell r="E191">
            <v>120000</v>
          </cell>
          <cell r="F191">
            <v>152000</v>
          </cell>
        </row>
        <row r="192">
          <cell r="B192" t="str">
            <v>Umang Srivastava</v>
          </cell>
          <cell r="E192">
            <v>55000</v>
          </cell>
          <cell r="F192">
            <v>57500</v>
          </cell>
        </row>
        <row r="193">
          <cell r="B193" t="str">
            <v>Anshul Kumar</v>
          </cell>
          <cell r="E193">
            <v>50000</v>
          </cell>
          <cell r="F193">
            <v>96100</v>
          </cell>
        </row>
        <row r="194">
          <cell r="B194" t="str">
            <v>Priyansh Khare</v>
          </cell>
          <cell r="E194">
            <v>100000</v>
          </cell>
          <cell r="F194">
            <v>38250</v>
          </cell>
        </row>
        <row r="195">
          <cell r="B195" t="str">
            <v>Shreya Singh</v>
          </cell>
          <cell r="E195">
            <v>100000</v>
          </cell>
          <cell r="F195">
            <v>86050</v>
          </cell>
        </row>
        <row r="196">
          <cell r="B196" t="str">
            <v>Anamika Dwivedi</v>
          </cell>
          <cell r="E196">
            <v>30000</v>
          </cell>
          <cell r="F196">
            <v>0</v>
          </cell>
        </row>
        <row r="197">
          <cell r="B197" t="str">
            <v>Smriti Jha</v>
          </cell>
          <cell r="E197">
            <v>30000</v>
          </cell>
          <cell r="F197">
            <v>0</v>
          </cell>
        </row>
        <row r="198">
          <cell r="B198" t="str">
            <v>Abhishek Srivastava</v>
          </cell>
          <cell r="E198">
            <v>60000</v>
          </cell>
          <cell r="F198">
            <v>0</v>
          </cell>
        </row>
        <row r="199">
          <cell r="B199" t="str">
            <v>Shivanshu Mishra</v>
          </cell>
          <cell r="E199">
            <v>75000</v>
          </cell>
          <cell r="F199">
            <v>0</v>
          </cell>
        </row>
        <row r="200">
          <cell r="B200" t="str">
            <v>Rohini Parihar</v>
          </cell>
          <cell r="F200">
            <v>2</v>
          </cell>
        </row>
        <row r="201">
          <cell r="B201" t="str">
            <v>Qausain Abbass</v>
          </cell>
          <cell r="E201">
            <v>5</v>
          </cell>
          <cell r="F201">
            <v>4</v>
          </cell>
        </row>
        <row r="202">
          <cell r="B202" t="str">
            <v>Anam Hasan</v>
          </cell>
          <cell r="E202">
            <v>4</v>
          </cell>
          <cell r="F202">
            <v>1</v>
          </cell>
        </row>
        <row r="203">
          <cell r="B203" t="str">
            <v>Tanya Mishra</v>
          </cell>
          <cell r="E203">
            <v>4</v>
          </cell>
          <cell r="F203">
            <v>3</v>
          </cell>
        </row>
        <row r="204">
          <cell r="B204" t="str">
            <v>Devashish Sinha</v>
          </cell>
          <cell r="E204">
            <v>4</v>
          </cell>
          <cell r="F204">
            <v>0</v>
          </cell>
        </row>
        <row r="205">
          <cell r="B205" t="str">
            <v>Shubham Rastogi</v>
          </cell>
          <cell r="E205">
            <v>8</v>
          </cell>
          <cell r="F205">
            <v>8.3000000000000007</v>
          </cell>
        </row>
        <row r="206">
          <cell r="B206" t="str">
            <v>Priyanka Mishra</v>
          </cell>
          <cell r="E206">
            <v>10</v>
          </cell>
          <cell r="F206">
            <v>2.9800000000000004</v>
          </cell>
        </row>
        <row r="207">
          <cell r="B207" t="str">
            <v>Sagar Chandani</v>
          </cell>
          <cell r="E207">
            <v>10</v>
          </cell>
          <cell r="F207">
            <v>11.63</v>
          </cell>
        </row>
        <row r="208">
          <cell r="B208" t="str">
            <v>Bibhore Bhattacharya</v>
          </cell>
          <cell r="E208">
            <v>14</v>
          </cell>
          <cell r="F208">
            <v>0.99</v>
          </cell>
        </row>
        <row r="209">
          <cell r="B209" t="str">
            <v>Prachi Gupta</v>
          </cell>
          <cell r="E209">
            <v>16</v>
          </cell>
          <cell r="F209">
            <v>8.2600000000000016</v>
          </cell>
        </row>
        <row r="210">
          <cell r="B210" t="str">
            <v>Ankit Pandey</v>
          </cell>
          <cell r="E210">
            <v>12</v>
          </cell>
          <cell r="F210">
            <v>7.3100000000000005</v>
          </cell>
        </row>
        <row r="211">
          <cell r="B211" t="str">
            <v>Vanshika Srivastava</v>
          </cell>
          <cell r="E211">
            <v>8</v>
          </cell>
          <cell r="F211">
            <v>1</v>
          </cell>
        </row>
        <row r="212">
          <cell r="B212" t="str">
            <v>Sudhir Kumar</v>
          </cell>
          <cell r="E212">
            <v>7</v>
          </cell>
          <cell r="F212">
            <v>2</v>
          </cell>
        </row>
        <row r="213">
          <cell r="B213" t="str">
            <v>Rishabh Singh 2</v>
          </cell>
          <cell r="E213">
            <v>5</v>
          </cell>
          <cell r="F213">
            <v>0</v>
          </cell>
        </row>
        <row r="214">
          <cell r="B214" t="str">
            <v>Aman Ayubi</v>
          </cell>
          <cell r="E214">
            <v>6</v>
          </cell>
          <cell r="F214">
            <v>0</v>
          </cell>
        </row>
      </sheetData>
      <sheetData sheetId="11"/>
      <sheetData sheetId="12">
        <row r="3">
          <cell r="M3" t="str">
            <v>Rohit Gupta</v>
          </cell>
          <cell r="N3" t="str">
            <v>Mavericks</v>
          </cell>
          <cell r="O3" t="str">
            <v>Rohit Gupta</v>
          </cell>
          <cell r="P3" t="str">
            <v>VB0037</v>
          </cell>
        </row>
        <row r="4">
          <cell r="M4" t="str">
            <v>Yogesh Bisht</v>
          </cell>
          <cell r="N4" t="str">
            <v>Mavericks</v>
          </cell>
          <cell r="O4" t="str">
            <v>Rohit Gupta</v>
          </cell>
          <cell r="P4" t="str">
            <v>VB0038</v>
          </cell>
        </row>
        <row r="5">
          <cell r="M5" t="str">
            <v>Saif Ahmad Ansari</v>
          </cell>
          <cell r="N5" t="str">
            <v>Mavericks</v>
          </cell>
          <cell r="O5" t="str">
            <v>Rohit Gupta</v>
          </cell>
          <cell r="P5" t="str">
            <v>VB0039</v>
          </cell>
        </row>
        <row r="6">
          <cell r="M6" t="str">
            <v>Akhilesh Gupta</v>
          </cell>
          <cell r="N6" t="str">
            <v>Mavericks</v>
          </cell>
          <cell r="O6" t="str">
            <v>Rohit Gupta</v>
          </cell>
          <cell r="P6" t="str">
            <v>VB0040</v>
          </cell>
        </row>
        <row r="7">
          <cell r="M7" t="str">
            <v>Mohd Danish</v>
          </cell>
          <cell r="N7" t="str">
            <v>Mavericks</v>
          </cell>
          <cell r="O7" t="str">
            <v>Rohit Gupta</v>
          </cell>
          <cell r="P7" t="str">
            <v>VB0041</v>
          </cell>
        </row>
        <row r="8">
          <cell r="M8" t="str">
            <v>Ekta Singh</v>
          </cell>
          <cell r="N8" t="str">
            <v>Mavericks</v>
          </cell>
          <cell r="O8" t="str">
            <v>Rohit Gupta</v>
          </cell>
          <cell r="P8" t="str">
            <v>VB0042</v>
          </cell>
        </row>
        <row r="9">
          <cell r="M9" t="str">
            <v>Nilesh Shahi</v>
          </cell>
          <cell r="N9" t="str">
            <v>Mavericks</v>
          </cell>
          <cell r="O9" t="str">
            <v>Rohit Gupta</v>
          </cell>
          <cell r="P9" t="str">
            <v>VB0043</v>
          </cell>
        </row>
        <row r="10">
          <cell r="M10" t="str">
            <v>Himanshu Gupta Mavericks</v>
          </cell>
          <cell r="N10" t="str">
            <v>Mavericks</v>
          </cell>
          <cell r="O10" t="str">
            <v>Rohit Gupta</v>
          </cell>
          <cell r="P10" t="str">
            <v>VB0044</v>
          </cell>
        </row>
        <row r="11">
          <cell r="M11" t="str">
            <v>Tushar Saxena</v>
          </cell>
          <cell r="N11" t="str">
            <v>Mavericks</v>
          </cell>
          <cell r="O11" t="str">
            <v>Rohit Gupta</v>
          </cell>
          <cell r="P11" t="str">
            <v>VB0045</v>
          </cell>
        </row>
        <row r="12">
          <cell r="M12" t="str">
            <v>Vivek Yadav</v>
          </cell>
          <cell r="N12" t="str">
            <v>Mavericks</v>
          </cell>
          <cell r="O12" t="str">
            <v>Vivek Yadav</v>
          </cell>
          <cell r="P12" t="str">
            <v>VB0046</v>
          </cell>
        </row>
        <row r="13">
          <cell r="M13" t="str">
            <v>Akash Raj Srivastava</v>
          </cell>
          <cell r="N13" t="str">
            <v>Mavericks</v>
          </cell>
          <cell r="O13" t="str">
            <v>Vivek Yadav</v>
          </cell>
          <cell r="P13" t="str">
            <v>VB0047</v>
          </cell>
        </row>
        <row r="14">
          <cell r="M14" t="str">
            <v>Abhishek Mishra Mavericks</v>
          </cell>
          <cell r="N14" t="str">
            <v>Mavericks</v>
          </cell>
          <cell r="O14" t="str">
            <v>Vivek Yadav</v>
          </cell>
          <cell r="P14" t="str">
            <v>VB0048</v>
          </cell>
        </row>
        <row r="15">
          <cell r="M15" t="str">
            <v>Arpit Yadav</v>
          </cell>
          <cell r="N15" t="str">
            <v>Mavericks</v>
          </cell>
          <cell r="O15" t="str">
            <v>Vivek Yadav</v>
          </cell>
          <cell r="P15" t="str">
            <v>VB0049</v>
          </cell>
        </row>
        <row r="16">
          <cell r="M16" t="str">
            <v>Anuj Tewari</v>
          </cell>
          <cell r="N16" t="str">
            <v>Mavericks</v>
          </cell>
          <cell r="O16" t="str">
            <v>Vivek Yadav</v>
          </cell>
          <cell r="P16" t="str">
            <v>VB0050</v>
          </cell>
        </row>
        <row r="17">
          <cell r="M17" t="str">
            <v>Tauheed Ali</v>
          </cell>
          <cell r="N17" t="str">
            <v>Mavericks</v>
          </cell>
          <cell r="O17" t="str">
            <v>Vivek Yadav</v>
          </cell>
          <cell r="P17" t="str">
            <v>VB0051</v>
          </cell>
        </row>
        <row r="18">
          <cell r="M18" t="str">
            <v>Kashif Nabi</v>
          </cell>
          <cell r="N18" t="str">
            <v>Mavericks</v>
          </cell>
          <cell r="O18" t="str">
            <v>Kashif Nabi</v>
          </cell>
          <cell r="P18" t="str">
            <v>VB0052</v>
          </cell>
        </row>
        <row r="19">
          <cell r="M19" t="str">
            <v>Ubaid Rahman</v>
          </cell>
          <cell r="N19" t="str">
            <v>Mavericks</v>
          </cell>
          <cell r="O19" t="str">
            <v>Kashif Nabi</v>
          </cell>
          <cell r="P19" t="str">
            <v>VB0053</v>
          </cell>
        </row>
        <row r="20">
          <cell r="M20" t="str">
            <v>Priyanka Sharma</v>
          </cell>
          <cell r="N20" t="str">
            <v>Mavericks</v>
          </cell>
          <cell r="O20" t="str">
            <v>Kashif Nabi</v>
          </cell>
          <cell r="P20" t="str">
            <v>VB0054</v>
          </cell>
        </row>
        <row r="21">
          <cell r="M21" t="str">
            <v>Harshita Mani Srivastava</v>
          </cell>
          <cell r="N21" t="str">
            <v>Mavericks</v>
          </cell>
          <cell r="O21" t="str">
            <v>Kashif Nabi</v>
          </cell>
          <cell r="P21" t="str">
            <v>VB0055</v>
          </cell>
        </row>
        <row r="22">
          <cell r="M22" t="str">
            <v>Satyajeet Singh</v>
          </cell>
          <cell r="N22" t="str">
            <v>Mavericks</v>
          </cell>
          <cell r="O22" t="str">
            <v>Kashif Nabi</v>
          </cell>
          <cell r="P22" t="str">
            <v>VB0056</v>
          </cell>
        </row>
        <row r="23">
          <cell r="M23" t="str">
            <v>Sakshi Tiwari</v>
          </cell>
          <cell r="N23" t="str">
            <v>Mavericks</v>
          </cell>
          <cell r="O23" t="str">
            <v>Kashif Nabi</v>
          </cell>
          <cell r="P23" t="str">
            <v>VB0057</v>
          </cell>
        </row>
        <row r="24">
          <cell r="M24" t="str">
            <v>Mohammad Tariq</v>
          </cell>
          <cell r="N24" t="str">
            <v>Mavericks</v>
          </cell>
          <cell r="O24" t="str">
            <v>Mohammad Tariq</v>
          </cell>
          <cell r="P24" t="str">
            <v>VB0058</v>
          </cell>
        </row>
        <row r="25">
          <cell r="M25" t="str">
            <v>Ritik Arya</v>
          </cell>
          <cell r="N25" t="str">
            <v>Mavericks</v>
          </cell>
          <cell r="O25" t="str">
            <v>Mohammad Tariq</v>
          </cell>
          <cell r="P25" t="str">
            <v>VB0059</v>
          </cell>
        </row>
        <row r="26">
          <cell r="M26" t="str">
            <v>Arpit Gupta</v>
          </cell>
          <cell r="N26" t="str">
            <v>Mavericks</v>
          </cell>
          <cell r="O26" t="str">
            <v>Mohammad Tariq</v>
          </cell>
          <cell r="P26" t="str">
            <v>VB0060</v>
          </cell>
        </row>
        <row r="27">
          <cell r="M27" t="str">
            <v>Apurv Joshi</v>
          </cell>
          <cell r="N27" t="str">
            <v>Mavericks</v>
          </cell>
          <cell r="O27" t="str">
            <v>Mohammad Tariq</v>
          </cell>
          <cell r="P27" t="str">
            <v>VB0061</v>
          </cell>
        </row>
        <row r="28">
          <cell r="M28" t="str">
            <v>Ashish Kushwaha</v>
          </cell>
          <cell r="N28" t="str">
            <v>Mavericks</v>
          </cell>
          <cell r="O28" t="str">
            <v>Mohammad Tariq</v>
          </cell>
          <cell r="P28" t="str">
            <v>VB0062</v>
          </cell>
        </row>
        <row r="29">
          <cell r="M29" t="str">
            <v>Khatib Rahman</v>
          </cell>
          <cell r="N29" t="str">
            <v>Mavericks</v>
          </cell>
          <cell r="O29" t="str">
            <v>Khatib Rahman</v>
          </cell>
          <cell r="P29" t="str">
            <v>VB0063</v>
          </cell>
        </row>
        <row r="30">
          <cell r="M30" t="str">
            <v>Vasudev Srivastava</v>
          </cell>
          <cell r="N30" t="str">
            <v>Mavericks</v>
          </cell>
          <cell r="O30" t="str">
            <v>Khatib Rahman</v>
          </cell>
          <cell r="P30" t="str">
            <v>VB0064</v>
          </cell>
        </row>
        <row r="31">
          <cell r="M31" t="str">
            <v>Saurabh Mishra</v>
          </cell>
          <cell r="N31" t="str">
            <v>Mavericks</v>
          </cell>
          <cell r="O31" t="str">
            <v>Khatib Rahman</v>
          </cell>
          <cell r="P31" t="str">
            <v>VB0065</v>
          </cell>
        </row>
        <row r="32">
          <cell r="M32" t="str">
            <v>Vaibhav Kumar</v>
          </cell>
          <cell r="N32" t="str">
            <v>Mavericks</v>
          </cell>
          <cell r="O32" t="str">
            <v>Khatib Rahman</v>
          </cell>
          <cell r="P32" t="str">
            <v>VB0066</v>
          </cell>
        </row>
        <row r="33">
          <cell r="M33" t="str">
            <v>Vikas Malik</v>
          </cell>
          <cell r="N33" t="str">
            <v>Mavericks</v>
          </cell>
          <cell r="O33" t="str">
            <v>Khatib Rahman</v>
          </cell>
          <cell r="P33" t="str">
            <v>VB0067</v>
          </cell>
        </row>
        <row r="34">
          <cell r="M34" t="str">
            <v>Durgesh Kumar Jha</v>
          </cell>
          <cell r="N34" t="str">
            <v>Mavericks</v>
          </cell>
          <cell r="O34" t="str">
            <v>Khatib Rahman</v>
          </cell>
          <cell r="P34" t="str">
            <v>VB0068</v>
          </cell>
        </row>
        <row r="35">
          <cell r="M35" t="str">
            <v>MD Rahmat Ali</v>
          </cell>
          <cell r="N35" t="str">
            <v>Mavericks</v>
          </cell>
          <cell r="O35" t="str">
            <v>Khatib Rahman</v>
          </cell>
          <cell r="P35" t="str">
            <v>VB0069</v>
          </cell>
        </row>
        <row r="36">
          <cell r="M36" t="str">
            <v>Nitin Saxena</v>
          </cell>
          <cell r="N36" t="str">
            <v>Titans</v>
          </cell>
          <cell r="O36" t="str">
            <v>Nitin Saxena</v>
          </cell>
          <cell r="P36" t="str">
            <v>VB0070</v>
          </cell>
        </row>
        <row r="37">
          <cell r="M37" t="str">
            <v>Aviral Shukla</v>
          </cell>
          <cell r="N37" t="str">
            <v>Titans</v>
          </cell>
          <cell r="O37" t="str">
            <v>Nitin Saxena</v>
          </cell>
          <cell r="P37" t="str">
            <v>VB0071</v>
          </cell>
        </row>
        <row r="38">
          <cell r="M38" t="str">
            <v>Samad Quraishi</v>
          </cell>
          <cell r="N38" t="str">
            <v>Titans</v>
          </cell>
          <cell r="O38" t="str">
            <v>Nitin Saxena</v>
          </cell>
          <cell r="P38" t="str">
            <v>VB0072</v>
          </cell>
        </row>
        <row r="39">
          <cell r="M39" t="str">
            <v>Ratnesh Kashyap</v>
          </cell>
          <cell r="N39" t="str">
            <v>Titans</v>
          </cell>
          <cell r="O39" t="str">
            <v>Nitin Saxena</v>
          </cell>
          <cell r="P39" t="str">
            <v>VB0073</v>
          </cell>
        </row>
        <row r="40">
          <cell r="M40" t="str">
            <v>Hamza</v>
          </cell>
          <cell r="N40" t="str">
            <v>Titans</v>
          </cell>
          <cell r="O40" t="str">
            <v>Nitin Saxena</v>
          </cell>
          <cell r="P40" t="str">
            <v>VB0074</v>
          </cell>
        </row>
        <row r="41">
          <cell r="M41" t="str">
            <v>Aman Bajpai</v>
          </cell>
          <cell r="N41" t="str">
            <v>Titans</v>
          </cell>
          <cell r="O41" t="str">
            <v>Nitin Saxena</v>
          </cell>
          <cell r="P41" t="str">
            <v>VB0075</v>
          </cell>
        </row>
        <row r="42">
          <cell r="M42" t="str">
            <v>Anshita Dwivedi</v>
          </cell>
          <cell r="N42" t="str">
            <v>Titans</v>
          </cell>
          <cell r="O42" t="str">
            <v>Nitin Saxena</v>
          </cell>
          <cell r="P42" t="str">
            <v>VB0076</v>
          </cell>
        </row>
        <row r="43">
          <cell r="M43" t="str">
            <v>Shruti Kumari</v>
          </cell>
          <cell r="N43" t="str">
            <v>Titans</v>
          </cell>
          <cell r="O43" t="str">
            <v>Nitin Saxena</v>
          </cell>
          <cell r="P43" t="str">
            <v>VB0077</v>
          </cell>
        </row>
        <row r="44">
          <cell r="M44" t="str">
            <v>Kajal Vats</v>
          </cell>
          <cell r="N44" t="str">
            <v>Titans</v>
          </cell>
          <cell r="O44" t="str">
            <v>Nitin Saxena</v>
          </cell>
          <cell r="P44" t="str">
            <v>VB0078</v>
          </cell>
        </row>
        <row r="45">
          <cell r="M45" t="str">
            <v>Ambresh Tripathi</v>
          </cell>
          <cell r="N45" t="str">
            <v>Titans</v>
          </cell>
          <cell r="O45" t="str">
            <v>Nitin Saxena</v>
          </cell>
          <cell r="P45" t="str">
            <v>VB0079</v>
          </cell>
        </row>
        <row r="46">
          <cell r="M46" t="str">
            <v>Anurag Mishra</v>
          </cell>
          <cell r="N46" t="str">
            <v>Titans</v>
          </cell>
          <cell r="O46" t="str">
            <v>Nitin Saxena</v>
          </cell>
          <cell r="P46" t="str">
            <v>VB0080</v>
          </cell>
        </row>
        <row r="47">
          <cell r="M47" t="str">
            <v>Aditya Yadav</v>
          </cell>
          <cell r="N47" t="str">
            <v>Titans</v>
          </cell>
          <cell r="O47" t="str">
            <v>Aditya Yadav</v>
          </cell>
          <cell r="P47" t="str">
            <v>VB0081</v>
          </cell>
        </row>
        <row r="48">
          <cell r="M48" t="str">
            <v>Santosh Singh</v>
          </cell>
          <cell r="N48" t="str">
            <v>Titans</v>
          </cell>
          <cell r="O48" t="str">
            <v>Aditya Yadav</v>
          </cell>
          <cell r="P48" t="str">
            <v>VB0082</v>
          </cell>
        </row>
        <row r="49">
          <cell r="M49" t="str">
            <v>Aastha Tiwari</v>
          </cell>
          <cell r="N49" t="str">
            <v>Titans</v>
          </cell>
          <cell r="O49" t="str">
            <v>Aditya Yadav</v>
          </cell>
          <cell r="P49" t="str">
            <v>VB0083</v>
          </cell>
        </row>
        <row r="50">
          <cell r="M50" t="str">
            <v>Shubham Yadav</v>
          </cell>
          <cell r="N50" t="str">
            <v>Titans</v>
          </cell>
          <cell r="O50" t="str">
            <v>Aditya Yadav</v>
          </cell>
          <cell r="P50" t="str">
            <v>VB0084</v>
          </cell>
        </row>
        <row r="51">
          <cell r="M51" t="str">
            <v>Shagun Jaiswal</v>
          </cell>
          <cell r="N51" t="str">
            <v>Titans</v>
          </cell>
          <cell r="O51" t="str">
            <v>Aditya Yadav</v>
          </cell>
          <cell r="P51" t="str">
            <v>VB0085</v>
          </cell>
        </row>
        <row r="52">
          <cell r="M52" t="str">
            <v>Shagun Tewari</v>
          </cell>
          <cell r="N52" t="str">
            <v>Titans</v>
          </cell>
          <cell r="O52" t="str">
            <v>Aditya Yadav</v>
          </cell>
          <cell r="P52" t="str">
            <v>VB0086</v>
          </cell>
        </row>
        <row r="53">
          <cell r="M53" t="str">
            <v>Abhishek Yadav</v>
          </cell>
          <cell r="N53" t="str">
            <v>Titans</v>
          </cell>
          <cell r="O53" t="str">
            <v>Abhishek Yadav</v>
          </cell>
          <cell r="P53" t="str">
            <v>VB0087</v>
          </cell>
        </row>
        <row r="54">
          <cell r="M54" t="str">
            <v>Manish Kumar Dhiman</v>
          </cell>
          <cell r="N54" t="str">
            <v>Titans</v>
          </cell>
          <cell r="O54" t="str">
            <v>Abhishek Yadav</v>
          </cell>
          <cell r="P54" t="str">
            <v>VB0088</v>
          </cell>
        </row>
        <row r="55">
          <cell r="M55" t="str">
            <v>Heena Akshay Pandey</v>
          </cell>
          <cell r="N55" t="str">
            <v>Titans</v>
          </cell>
          <cell r="O55" t="str">
            <v>Abhishek Yadav</v>
          </cell>
          <cell r="P55" t="str">
            <v>VB0089</v>
          </cell>
        </row>
        <row r="56">
          <cell r="M56" t="str">
            <v>Priya Yadav</v>
          </cell>
          <cell r="N56" t="str">
            <v>Titans</v>
          </cell>
          <cell r="O56" t="str">
            <v>Abhishek Yadav</v>
          </cell>
          <cell r="P56" t="str">
            <v>VB0090</v>
          </cell>
        </row>
        <row r="57">
          <cell r="M57" t="str">
            <v>Shubham Tripathi</v>
          </cell>
          <cell r="N57" t="str">
            <v>Titans</v>
          </cell>
          <cell r="O57" t="str">
            <v>Abhishek Yadav</v>
          </cell>
          <cell r="P57" t="str">
            <v>VB0091</v>
          </cell>
        </row>
        <row r="58">
          <cell r="M58" t="str">
            <v>Shubham Srivastava</v>
          </cell>
          <cell r="N58" t="str">
            <v>Titans</v>
          </cell>
          <cell r="O58" t="str">
            <v>Abhishek Yadav</v>
          </cell>
          <cell r="P58" t="str">
            <v>VB0092</v>
          </cell>
        </row>
        <row r="59">
          <cell r="M59" t="str">
            <v>Raj Chaudhary</v>
          </cell>
          <cell r="N59" t="str">
            <v>Titans</v>
          </cell>
          <cell r="O59" t="str">
            <v>Abhishek Yadav</v>
          </cell>
          <cell r="P59" t="str">
            <v>VB0093</v>
          </cell>
        </row>
        <row r="60">
          <cell r="M60" t="str">
            <v>Satyam Pandey</v>
          </cell>
          <cell r="N60" t="str">
            <v>Titans</v>
          </cell>
          <cell r="O60" t="str">
            <v>Abhishek Yadav</v>
          </cell>
          <cell r="P60" t="str">
            <v>VB0094</v>
          </cell>
        </row>
        <row r="61">
          <cell r="M61" t="str">
            <v>Dheeraj Verma</v>
          </cell>
          <cell r="N61" t="str">
            <v>Titans</v>
          </cell>
          <cell r="O61" t="str">
            <v>Abhishek Yadav</v>
          </cell>
          <cell r="P61" t="str">
            <v>VB0095</v>
          </cell>
        </row>
        <row r="62">
          <cell r="M62" t="str">
            <v>Harsh Agrawal</v>
          </cell>
          <cell r="N62" t="str">
            <v>Trust</v>
          </cell>
          <cell r="O62" t="str">
            <v>Harsh Agrawal</v>
          </cell>
          <cell r="P62" t="str">
            <v>VB0096</v>
          </cell>
        </row>
        <row r="63">
          <cell r="M63" t="str">
            <v>Rajat Arora</v>
          </cell>
          <cell r="N63" t="str">
            <v>Trust</v>
          </cell>
          <cell r="O63" t="str">
            <v>Harsh Agrawal</v>
          </cell>
          <cell r="P63" t="str">
            <v>VB0097</v>
          </cell>
        </row>
        <row r="64">
          <cell r="M64" t="str">
            <v>Pushpendra Kumar</v>
          </cell>
          <cell r="N64" t="str">
            <v>Trust</v>
          </cell>
          <cell r="O64" t="str">
            <v>Harsh Agrawal</v>
          </cell>
          <cell r="P64" t="str">
            <v>VB0098</v>
          </cell>
        </row>
        <row r="65">
          <cell r="M65" t="str">
            <v>Sana Zohra</v>
          </cell>
          <cell r="N65" t="str">
            <v>Trust</v>
          </cell>
          <cell r="O65" t="str">
            <v>Harsh Agrawal</v>
          </cell>
          <cell r="P65" t="str">
            <v>VB0099</v>
          </cell>
        </row>
        <row r="66">
          <cell r="M66" t="str">
            <v>Harsh Shukla</v>
          </cell>
          <cell r="N66" t="str">
            <v>Trust</v>
          </cell>
          <cell r="O66" t="str">
            <v>Harsh Agrawal</v>
          </cell>
          <cell r="P66" t="str">
            <v>VB0100</v>
          </cell>
        </row>
        <row r="67">
          <cell r="M67" t="str">
            <v>Harsh Patel</v>
          </cell>
          <cell r="N67" t="str">
            <v>Trust</v>
          </cell>
          <cell r="O67" t="str">
            <v>Harsh Agrawal</v>
          </cell>
          <cell r="P67" t="str">
            <v>VB0101</v>
          </cell>
        </row>
        <row r="68">
          <cell r="M68" t="str">
            <v>Virendra Vikram Singh</v>
          </cell>
          <cell r="N68" t="str">
            <v>Trust</v>
          </cell>
          <cell r="O68" t="str">
            <v>Harsh Agrawal</v>
          </cell>
          <cell r="P68" t="str">
            <v>VB0102</v>
          </cell>
        </row>
        <row r="69">
          <cell r="M69" t="str">
            <v>Rishabh Kapoor</v>
          </cell>
          <cell r="N69" t="str">
            <v>Trust</v>
          </cell>
          <cell r="O69" t="str">
            <v>Harsh Agrawal</v>
          </cell>
          <cell r="P69" t="str">
            <v>VB0103</v>
          </cell>
        </row>
        <row r="70">
          <cell r="M70" t="str">
            <v>Aarzoo Khan</v>
          </cell>
          <cell r="N70" t="str">
            <v>Trust</v>
          </cell>
          <cell r="O70" t="str">
            <v>Harsh Agrawal</v>
          </cell>
          <cell r="P70" t="str">
            <v>VB0104</v>
          </cell>
        </row>
        <row r="71">
          <cell r="M71" t="str">
            <v>Neelendra Dhar Dwivedi</v>
          </cell>
          <cell r="N71" t="str">
            <v>Trust</v>
          </cell>
          <cell r="O71" t="str">
            <v>Harsh Agrawal</v>
          </cell>
          <cell r="P71" t="str">
            <v>VB0105</v>
          </cell>
        </row>
        <row r="72">
          <cell r="M72" t="str">
            <v>Ashish Saxena</v>
          </cell>
          <cell r="N72" t="str">
            <v>Trust</v>
          </cell>
          <cell r="O72" t="str">
            <v>Harsh Agrawal</v>
          </cell>
          <cell r="P72" t="str">
            <v>VB0106</v>
          </cell>
        </row>
        <row r="73">
          <cell r="M73" t="str">
            <v>Gufran Ali</v>
          </cell>
          <cell r="N73" t="str">
            <v>Trust</v>
          </cell>
          <cell r="O73" t="str">
            <v>Harsh Agrawal</v>
          </cell>
          <cell r="P73" t="str">
            <v>VB0107</v>
          </cell>
        </row>
        <row r="74">
          <cell r="M74" t="str">
            <v>Abhishek Singh</v>
          </cell>
          <cell r="N74" t="str">
            <v>Trust</v>
          </cell>
          <cell r="O74" t="str">
            <v>Harsh Agrawal</v>
          </cell>
          <cell r="P74" t="str">
            <v>VB0108</v>
          </cell>
        </row>
        <row r="75">
          <cell r="M75" t="str">
            <v>Purneshwar Mishra</v>
          </cell>
          <cell r="N75" t="str">
            <v>Trust</v>
          </cell>
          <cell r="O75" t="str">
            <v>Harsh Agrawal</v>
          </cell>
          <cell r="P75" t="str">
            <v>VB0109</v>
          </cell>
        </row>
        <row r="76">
          <cell r="M76" t="str">
            <v>Shashank Yadav</v>
          </cell>
          <cell r="N76" t="str">
            <v>Trust</v>
          </cell>
          <cell r="O76" t="str">
            <v>Shashank Yadav</v>
          </cell>
          <cell r="P76" t="str">
            <v>VB0110</v>
          </cell>
        </row>
        <row r="77">
          <cell r="M77" t="str">
            <v>Astha Sharma</v>
          </cell>
          <cell r="N77" t="str">
            <v>Trust</v>
          </cell>
          <cell r="O77" t="str">
            <v>Shashank Yadav</v>
          </cell>
          <cell r="P77" t="str">
            <v>VB0111</v>
          </cell>
        </row>
        <row r="78">
          <cell r="M78" t="str">
            <v>Vivek Mani Upadhyay</v>
          </cell>
          <cell r="N78" t="str">
            <v>Trust</v>
          </cell>
          <cell r="O78" t="str">
            <v>Shashank Yadav</v>
          </cell>
          <cell r="P78" t="str">
            <v>VB0112</v>
          </cell>
        </row>
        <row r="79">
          <cell r="M79" t="str">
            <v>Shivanshu Rastogi</v>
          </cell>
          <cell r="N79" t="str">
            <v>Trust</v>
          </cell>
          <cell r="O79" t="str">
            <v>Shashank Yadav</v>
          </cell>
          <cell r="P79" t="str">
            <v>VB0113</v>
          </cell>
        </row>
        <row r="80">
          <cell r="M80" t="str">
            <v>Abhishek Verma</v>
          </cell>
          <cell r="N80" t="str">
            <v>Trust</v>
          </cell>
          <cell r="O80" t="str">
            <v>Shashank Yadav</v>
          </cell>
          <cell r="P80" t="str">
            <v>VB0114</v>
          </cell>
        </row>
        <row r="81">
          <cell r="M81" t="str">
            <v>Shubham Patel</v>
          </cell>
          <cell r="N81" t="str">
            <v>Trust</v>
          </cell>
          <cell r="O81" t="str">
            <v>Shashank Yadav</v>
          </cell>
          <cell r="P81" t="str">
            <v>VB0115</v>
          </cell>
        </row>
        <row r="82">
          <cell r="M82" t="str">
            <v>Mohd Akbar</v>
          </cell>
          <cell r="N82" t="str">
            <v>Trust</v>
          </cell>
          <cell r="O82" t="str">
            <v>Shashank Yadav</v>
          </cell>
          <cell r="P82" t="str">
            <v>VB0116</v>
          </cell>
        </row>
        <row r="83">
          <cell r="M83" t="str">
            <v>Sachendra Singh Pal</v>
          </cell>
          <cell r="N83" t="str">
            <v>Trust</v>
          </cell>
          <cell r="O83" t="str">
            <v>Shashank Yadav</v>
          </cell>
          <cell r="P83" t="str">
            <v>VB0117</v>
          </cell>
        </row>
        <row r="84">
          <cell r="M84" t="str">
            <v>Aditi Singh</v>
          </cell>
          <cell r="N84" t="str">
            <v>Trust</v>
          </cell>
          <cell r="O84" t="str">
            <v>Shashank Yadav</v>
          </cell>
          <cell r="P84" t="str">
            <v>VB0118</v>
          </cell>
        </row>
        <row r="85">
          <cell r="M85" t="str">
            <v>Vaishnavi Tiwari</v>
          </cell>
          <cell r="N85" t="str">
            <v>Trust</v>
          </cell>
          <cell r="O85" t="str">
            <v>Shashank Yadav</v>
          </cell>
          <cell r="P85" t="str">
            <v>VB0119</v>
          </cell>
        </row>
        <row r="86">
          <cell r="M86" t="str">
            <v>Vivek Mishra</v>
          </cell>
          <cell r="N86" t="str">
            <v>Trust</v>
          </cell>
          <cell r="O86" t="str">
            <v>Shashank Yadav</v>
          </cell>
          <cell r="P86" t="str">
            <v>VB0120</v>
          </cell>
        </row>
        <row r="87">
          <cell r="M87" t="str">
            <v>Rahul Srivastava</v>
          </cell>
          <cell r="N87" t="str">
            <v>Trust</v>
          </cell>
          <cell r="O87" t="str">
            <v>Shashank Yadav</v>
          </cell>
          <cell r="P87" t="str">
            <v>VB0121</v>
          </cell>
        </row>
        <row r="88">
          <cell r="M88" t="str">
            <v>Shubham Saini</v>
          </cell>
          <cell r="N88" t="str">
            <v>Trust</v>
          </cell>
          <cell r="O88" t="str">
            <v>Shashank Yadav</v>
          </cell>
          <cell r="P88" t="str">
            <v>VB0122</v>
          </cell>
        </row>
        <row r="89">
          <cell r="M89" t="str">
            <v>Akash Saxena</v>
          </cell>
          <cell r="N89" t="str">
            <v>WWT</v>
          </cell>
          <cell r="O89" t="str">
            <v>Akash Saxena</v>
          </cell>
          <cell r="P89" t="str">
            <v>VB0123</v>
          </cell>
        </row>
        <row r="90">
          <cell r="M90" t="str">
            <v>Hemant Kumar</v>
          </cell>
          <cell r="N90" t="str">
            <v>WWT</v>
          </cell>
          <cell r="O90" t="str">
            <v>Akash Saxena</v>
          </cell>
          <cell r="P90" t="str">
            <v>VB0124</v>
          </cell>
        </row>
        <row r="91">
          <cell r="M91" t="str">
            <v>Prashant Pal</v>
          </cell>
          <cell r="N91" t="str">
            <v>WWT</v>
          </cell>
          <cell r="O91" t="str">
            <v>Akash Saxena</v>
          </cell>
          <cell r="P91" t="str">
            <v>VB0125</v>
          </cell>
        </row>
        <row r="92">
          <cell r="M92" t="str">
            <v>Kartik Parashar</v>
          </cell>
          <cell r="N92" t="str">
            <v>WWT</v>
          </cell>
          <cell r="O92" t="str">
            <v>Akash Saxena</v>
          </cell>
          <cell r="P92" t="str">
            <v>VB0126</v>
          </cell>
        </row>
        <row r="93">
          <cell r="M93" t="str">
            <v>Ravi Yadav</v>
          </cell>
          <cell r="N93" t="str">
            <v>WWT</v>
          </cell>
          <cell r="O93" t="str">
            <v>Akash Saxena</v>
          </cell>
          <cell r="P93" t="str">
            <v>VB0127</v>
          </cell>
        </row>
        <row r="94">
          <cell r="M94" t="str">
            <v>Shaneha Kumari</v>
          </cell>
          <cell r="N94" t="str">
            <v>WWT</v>
          </cell>
          <cell r="O94" t="str">
            <v>Akash Saxena</v>
          </cell>
          <cell r="P94" t="str">
            <v>VB0128</v>
          </cell>
        </row>
        <row r="95">
          <cell r="M95" t="str">
            <v>Abdul Rahman</v>
          </cell>
          <cell r="N95" t="str">
            <v>WWT</v>
          </cell>
          <cell r="O95" t="str">
            <v>Abdul Rahman</v>
          </cell>
          <cell r="P95" t="str">
            <v>VB0129</v>
          </cell>
        </row>
        <row r="96">
          <cell r="M96" t="str">
            <v>Mohd Ateeq</v>
          </cell>
          <cell r="N96" t="str">
            <v>WWT</v>
          </cell>
          <cell r="O96" t="str">
            <v>Abdul Rahman</v>
          </cell>
          <cell r="P96" t="str">
            <v>VB0130</v>
          </cell>
        </row>
        <row r="97">
          <cell r="M97" t="str">
            <v>Aatma Nand Vihangam</v>
          </cell>
          <cell r="N97" t="str">
            <v>WWT</v>
          </cell>
          <cell r="O97" t="str">
            <v>Abdul Rahman</v>
          </cell>
          <cell r="P97" t="str">
            <v>VB0131</v>
          </cell>
        </row>
        <row r="98">
          <cell r="M98" t="str">
            <v>Yatu Raj Prajee</v>
          </cell>
          <cell r="N98" t="str">
            <v>WWT</v>
          </cell>
          <cell r="O98" t="str">
            <v>Abdul Rahman</v>
          </cell>
          <cell r="P98" t="str">
            <v>VB0132</v>
          </cell>
        </row>
        <row r="99">
          <cell r="M99" t="str">
            <v>Priya Dhiraniya</v>
          </cell>
          <cell r="N99" t="str">
            <v>WWT</v>
          </cell>
          <cell r="O99" t="str">
            <v>Abdul Rahman</v>
          </cell>
          <cell r="P99" t="str">
            <v>VB0133</v>
          </cell>
        </row>
        <row r="100">
          <cell r="M100" t="str">
            <v>Suraj Suman</v>
          </cell>
          <cell r="N100" t="str">
            <v>WWT</v>
          </cell>
          <cell r="O100" t="str">
            <v>Abdul Rahman</v>
          </cell>
          <cell r="P100" t="str">
            <v>VB0134</v>
          </cell>
        </row>
        <row r="101">
          <cell r="M101" t="str">
            <v>Vishali Kundal</v>
          </cell>
          <cell r="N101" t="str">
            <v>WWT</v>
          </cell>
          <cell r="O101" t="str">
            <v>Abdul Rahman</v>
          </cell>
          <cell r="P101" t="str">
            <v>VB0135</v>
          </cell>
        </row>
        <row r="102">
          <cell r="M102" t="str">
            <v>Avinay Shrivastav</v>
          </cell>
          <cell r="N102" t="str">
            <v>WWT</v>
          </cell>
          <cell r="O102" t="str">
            <v>Abdul Rahman</v>
          </cell>
          <cell r="P102" t="str">
            <v>VB0136</v>
          </cell>
        </row>
        <row r="103">
          <cell r="M103" t="str">
            <v>Ranveer Kumar</v>
          </cell>
          <cell r="N103" t="str">
            <v>WWH</v>
          </cell>
          <cell r="O103" t="str">
            <v>Ranveer Kumar</v>
          </cell>
          <cell r="P103" t="str">
            <v>VB0137</v>
          </cell>
        </row>
        <row r="104">
          <cell r="M104" t="str">
            <v>Uttam Chandra</v>
          </cell>
          <cell r="N104" t="str">
            <v>WWH</v>
          </cell>
          <cell r="O104" t="str">
            <v>Ranveer Kumar</v>
          </cell>
          <cell r="P104" t="str">
            <v>VB0138</v>
          </cell>
        </row>
        <row r="105">
          <cell r="M105" t="str">
            <v>Ananya Agarwal</v>
          </cell>
          <cell r="N105" t="str">
            <v>WWH</v>
          </cell>
          <cell r="O105" t="str">
            <v>Ranveer Kumar</v>
          </cell>
          <cell r="P105" t="str">
            <v>VB0139</v>
          </cell>
        </row>
        <row r="106">
          <cell r="M106" t="str">
            <v>Nimisha Singh</v>
          </cell>
          <cell r="N106" t="str">
            <v>WWH</v>
          </cell>
          <cell r="O106" t="str">
            <v>Ranveer Kumar</v>
          </cell>
          <cell r="P106" t="str">
            <v>VB0140</v>
          </cell>
        </row>
        <row r="107">
          <cell r="M107" t="str">
            <v>Tushar Sarkar</v>
          </cell>
          <cell r="N107" t="str">
            <v>WWH</v>
          </cell>
          <cell r="O107" t="str">
            <v>Ranveer Kumar</v>
          </cell>
          <cell r="P107" t="str">
            <v>VB0141</v>
          </cell>
        </row>
        <row r="108">
          <cell r="M108" t="str">
            <v>Ayush Chauhan</v>
          </cell>
          <cell r="N108" t="str">
            <v>WWH</v>
          </cell>
          <cell r="O108" t="str">
            <v>Ranveer Kumar</v>
          </cell>
          <cell r="P108" t="str">
            <v>VB0142</v>
          </cell>
        </row>
        <row r="109">
          <cell r="M109" t="str">
            <v>Aviral Sachan</v>
          </cell>
          <cell r="N109" t="str">
            <v>WWH</v>
          </cell>
          <cell r="O109" t="str">
            <v>Ranveer Kumar</v>
          </cell>
          <cell r="P109" t="str">
            <v>VB0143</v>
          </cell>
        </row>
        <row r="110">
          <cell r="M110" t="str">
            <v>Abhishek Singh</v>
          </cell>
          <cell r="N110" t="str">
            <v>WWH</v>
          </cell>
          <cell r="O110" t="str">
            <v>Abhishek Singh</v>
          </cell>
          <cell r="P110" t="str">
            <v>VB0144</v>
          </cell>
        </row>
        <row r="111">
          <cell r="M111" t="str">
            <v>Tushar Mishra</v>
          </cell>
          <cell r="N111" t="str">
            <v>WWH</v>
          </cell>
          <cell r="O111" t="str">
            <v>Abhishek Singh</v>
          </cell>
          <cell r="P111" t="str">
            <v>VB0145</v>
          </cell>
        </row>
        <row r="112">
          <cell r="M112" t="str">
            <v>Abhinesh Yadav</v>
          </cell>
          <cell r="N112" t="str">
            <v>WWH</v>
          </cell>
          <cell r="O112" t="str">
            <v>Abhishek Singh</v>
          </cell>
          <cell r="P112" t="str">
            <v>VB0146</v>
          </cell>
        </row>
        <row r="113">
          <cell r="M113" t="str">
            <v>Vishal Jaiswal</v>
          </cell>
          <cell r="N113" t="str">
            <v>WWH</v>
          </cell>
          <cell r="O113" t="str">
            <v>Abhishek Singh</v>
          </cell>
          <cell r="P113" t="str">
            <v>VB0147</v>
          </cell>
        </row>
        <row r="114">
          <cell r="M114" t="str">
            <v>Arpita Singh</v>
          </cell>
          <cell r="N114" t="str">
            <v>WWH</v>
          </cell>
          <cell r="O114" t="str">
            <v>Abhishek Singh</v>
          </cell>
          <cell r="P114" t="str">
            <v>VB0148</v>
          </cell>
        </row>
        <row r="115">
          <cell r="M115" t="str">
            <v>Anuj Kumar</v>
          </cell>
          <cell r="N115" t="str">
            <v>WWH</v>
          </cell>
          <cell r="O115" t="str">
            <v>Abhishek Singh</v>
          </cell>
          <cell r="P115" t="str">
            <v>VB0149</v>
          </cell>
        </row>
        <row r="116">
          <cell r="M116" t="str">
            <v>Sachin Singh</v>
          </cell>
          <cell r="N116" t="str">
            <v>WWH</v>
          </cell>
          <cell r="O116" t="str">
            <v>Abhishek Singh</v>
          </cell>
          <cell r="P116" t="str">
            <v>VB0150</v>
          </cell>
        </row>
        <row r="117">
          <cell r="M117" t="str">
            <v>Shailesh Sharma</v>
          </cell>
          <cell r="N117" t="str">
            <v>WWH</v>
          </cell>
          <cell r="O117" t="str">
            <v>Shailesh Sharma</v>
          </cell>
          <cell r="P117" t="str">
            <v>VB0151</v>
          </cell>
        </row>
        <row r="118">
          <cell r="M118" t="str">
            <v>Panna Roy</v>
          </cell>
          <cell r="N118" t="str">
            <v>WWH</v>
          </cell>
          <cell r="O118" t="str">
            <v>Shailesh Sharma</v>
          </cell>
          <cell r="P118" t="str">
            <v>VB0152</v>
          </cell>
        </row>
        <row r="119">
          <cell r="M119" t="str">
            <v>Anjali Sah</v>
          </cell>
          <cell r="N119" t="str">
            <v>WWH</v>
          </cell>
          <cell r="O119" t="str">
            <v>Shailesh Sharma</v>
          </cell>
          <cell r="P119" t="str">
            <v>VB0153</v>
          </cell>
        </row>
        <row r="120">
          <cell r="M120" t="str">
            <v>Shivam Chaurasia</v>
          </cell>
          <cell r="N120" t="str">
            <v>WWH</v>
          </cell>
          <cell r="O120" t="str">
            <v>Shailesh Sharma</v>
          </cell>
          <cell r="P120" t="str">
            <v>VB0154</v>
          </cell>
        </row>
        <row r="121">
          <cell r="M121" t="str">
            <v>Mohini Chand</v>
          </cell>
          <cell r="N121" t="str">
            <v>WWH</v>
          </cell>
          <cell r="O121" t="str">
            <v>Shailesh Sharma</v>
          </cell>
          <cell r="P121" t="str">
            <v>VB0155</v>
          </cell>
        </row>
        <row r="122">
          <cell r="M122" t="str">
            <v>Tanishq Srivastava</v>
          </cell>
          <cell r="N122" t="str">
            <v>WWH</v>
          </cell>
          <cell r="O122" t="str">
            <v>Shailesh Sharma</v>
          </cell>
          <cell r="P122" t="str">
            <v>VB0156</v>
          </cell>
        </row>
        <row r="123">
          <cell r="M123" t="str">
            <v>Puneet Pandey</v>
          </cell>
          <cell r="N123" t="str">
            <v>WWH</v>
          </cell>
          <cell r="O123" t="str">
            <v>Shailesh Sharma</v>
          </cell>
          <cell r="P123" t="str">
            <v>VB0157</v>
          </cell>
        </row>
        <row r="124">
          <cell r="M124" t="str">
            <v>Kirti Gautam</v>
          </cell>
          <cell r="N124" t="str">
            <v>WWH</v>
          </cell>
          <cell r="O124" t="str">
            <v>Shailesh Sharma</v>
          </cell>
          <cell r="P124" t="str">
            <v>VB0158</v>
          </cell>
        </row>
        <row r="125">
          <cell r="M125" t="str">
            <v>Naina Shukla</v>
          </cell>
          <cell r="N125" t="str">
            <v>WWH</v>
          </cell>
          <cell r="O125" t="str">
            <v>Shailesh Sharma</v>
          </cell>
          <cell r="P125" t="str">
            <v>VB0159</v>
          </cell>
        </row>
        <row r="126">
          <cell r="M126" t="str">
            <v>Falguni Srivastava</v>
          </cell>
          <cell r="N126" t="str">
            <v>WWH</v>
          </cell>
          <cell r="O126" t="str">
            <v>Shailesh Sharma</v>
          </cell>
          <cell r="P126" t="str">
            <v>VB0160</v>
          </cell>
        </row>
        <row r="127">
          <cell r="M127" t="str">
            <v>Hiten Sehgal</v>
          </cell>
          <cell r="N127" t="str">
            <v>WWH</v>
          </cell>
          <cell r="O127" t="str">
            <v>Shailesh Sharma</v>
          </cell>
          <cell r="P127" t="str">
            <v>VB0161</v>
          </cell>
        </row>
        <row r="128">
          <cell r="M128" t="str">
            <v>Shubham Rastogi</v>
          </cell>
          <cell r="N128" t="str">
            <v>RPO</v>
          </cell>
          <cell r="O128" t="str">
            <v>Shubham Rastogi</v>
          </cell>
          <cell r="P128" t="str">
            <v>VB0162</v>
          </cell>
        </row>
        <row r="129">
          <cell r="M129" t="str">
            <v>Priyanka Mishra</v>
          </cell>
          <cell r="N129" t="str">
            <v>RPO</v>
          </cell>
          <cell r="O129" t="str">
            <v>Shubham Rastogi</v>
          </cell>
          <cell r="P129" t="str">
            <v>VB0163</v>
          </cell>
        </row>
        <row r="130">
          <cell r="M130" t="str">
            <v>Sagar Chandani</v>
          </cell>
          <cell r="N130" t="str">
            <v>RPO</v>
          </cell>
          <cell r="O130" t="str">
            <v>Shubham Rastogi</v>
          </cell>
          <cell r="P130" t="str">
            <v>VB0164</v>
          </cell>
        </row>
        <row r="131">
          <cell r="M131" t="str">
            <v>Bibhore Bhattacharya</v>
          </cell>
          <cell r="N131" t="str">
            <v>RPO</v>
          </cell>
          <cell r="O131" t="str">
            <v>Shubham Rastogi</v>
          </cell>
          <cell r="P131" t="str">
            <v>VB0165</v>
          </cell>
        </row>
        <row r="132">
          <cell r="M132" t="str">
            <v>Prachi Gupta</v>
          </cell>
          <cell r="N132" t="str">
            <v>RPO</v>
          </cell>
          <cell r="O132" t="str">
            <v>Shubham Rastogi</v>
          </cell>
          <cell r="P132" t="str">
            <v>VB0166</v>
          </cell>
        </row>
        <row r="133">
          <cell r="M133" t="str">
            <v>Ankit Pandey</v>
          </cell>
          <cell r="N133" t="str">
            <v>RPO</v>
          </cell>
          <cell r="O133" t="str">
            <v>Shubham Rastogi</v>
          </cell>
          <cell r="P133" t="str">
            <v>VB0167</v>
          </cell>
        </row>
        <row r="134">
          <cell r="M134" t="str">
            <v>Vanshika Srivastava</v>
          </cell>
          <cell r="N134" t="str">
            <v>RPO</v>
          </cell>
          <cell r="O134" t="str">
            <v>Shubham Rastogi</v>
          </cell>
          <cell r="P134" t="str">
            <v>VB0168</v>
          </cell>
        </row>
        <row r="135">
          <cell r="M135" t="str">
            <v>Sudhir Kumar</v>
          </cell>
          <cell r="N135" t="str">
            <v>RPO</v>
          </cell>
          <cell r="O135" t="str">
            <v>Shubham Rastogi</v>
          </cell>
          <cell r="P135" t="str">
            <v>VB0169</v>
          </cell>
        </row>
        <row r="136">
          <cell r="M136" t="str">
            <v>Rishabh Singh 2</v>
          </cell>
          <cell r="N136" t="str">
            <v>RPO</v>
          </cell>
          <cell r="O136" t="str">
            <v>Shubham Rastogi</v>
          </cell>
          <cell r="P136" t="str">
            <v>VB0170</v>
          </cell>
        </row>
        <row r="137">
          <cell r="M137" t="str">
            <v>Aman Ayubi</v>
          </cell>
          <cell r="N137" t="str">
            <v>RPO</v>
          </cell>
          <cell r="O137" t="str">
            <v>Shubham Rastogi</v>
          </cell>
          <cell r="P137" t="str">
            <v>VB0171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50802-9E5B-41BF-BFD7-C21643DFD786}">
  <dimension ref="A1:P528"/>
  <sheetViews>
    <sheetView tabSelected="1" workbookViewId="0">
      <selection sqref="A1:XFD1048576"/>
    </sheetView>
  </sheetViews>
  <sheetFormatPr defaultColWidth="20.33203125" defaultRowHeight="14.4" x14ac:dyDescent="0.3"/>
  <cols>
    <col min="1" max="1" width="21.5546875" style="4" bestFit="1" customWidth="1"/>
    <col min="2" max="2" width="33.5546875" style="4" bestFit="1" customWidth="1"/>
    <col min="3" max="3" width="21.5546875" style="4" bestFit="1" customWidth="1"/>
    <col min="4" max="4" width="14.88671875" style="4" bestFit="1" customWidth="1"/>
    <col min="5" max="5" width="23" style="4" bestFit="1" customWidth="1"/>
    <col min="6" max="7" width="23" style="4" customWidth="1"/>
    <col min="8" max="8" width="10.21875" style="4" bestFit="1" customWidth="1"/>
    <col min="9" max="9" width="10.88671875" style="4" bestFit="1" customWidth="1"/>
    <col min="10" max="10" width="10.44140625" style="4" bestFit="1" customWidth="1"/>
    <col min="11" max="11" width="15.77734375" style="4" customWidth="1"/>
    <col min="12" max="12" width="13.44140625" style="4" bestFit="1" customWidth="1"/>
    <col min="13" max="13" width="16" style="4" bestFit="1" customWidth="1"/>
    <col min="14" max="14" width="13.77734375" style="4" bestFit="1" customWidth="1"/>
    <col min="15" max="15" width="16" style="4" bestFit="1" customWidth="1"/>
    <col min="16" max="16" width="14.109375" style="4" bestFit="1" customWidth="1"/>
    <col min="17" max="16384" width="20.33203125" style="4"/>
  </cols>
  <sheetData>
    <row r="1" spans="1:16" ht="18.600000000000001" thickBo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6" ht="15" thickBot="1" x14ac:dyDescent="0.35"/>
    <row r="3" spans="1:16" s="8" customFormat="1" ht="28.8" x14ac:dyDescent="0.3">
      <c r="A3" s="5" t="s">
        <v>1</v>
      </c>
      <c r="B3" s="6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7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6" x14ac:dyDescent="0.3">
      <c r="A4" s="9" t="str">
        <f>_xlfn.XLOOKUP($C4,'[1]Data Validation (2)'!$M$3:$M$137,'[1]Data Validation (2)'!$N$3:$N$137)</f>
        <v>Titans</v>
      </c>
      <c r="B4" s="10" t="str">
        <f>_xlfn.XLOOKUP($C4,'[1]Data Validation (2)'!$M$3:$M$137,'[1]Data Validation (2)'!$P$3:$P$137)</f>
        <v>VB0071</v>
      </c>
      <c r="C4" s="11" t="s">
        <v>15</v>
      </c>
      <c r="D4" s="9" t="str">
        <f>_xlfn.XLOOKUP($C4,'[1]Data Validation (2)'!$M$3:$M$137,'[1]Data Validation (2)'!$O$3:$O$137)</f>
        <v>Nitin Saxena</v>
      </c>
      <c r="E4" s="9">
        <f>_xlfn.XLOOKUP($C4,'[1]Ach % - L4'!$B$2:$B$214,'[1]Ach % - L4'!$E$2:$E$214)</f>
        <v>8</v>
      </c>
      <c r="F4" s="9">
        <f>_xlfn.XLOOKUP($C4,'[1]Ach % - L4'!$B$2:$B$214,'[1]Ach % - L4'!$F$2:$F$214)</f>
        <v>3</v>
      </c>
      <c r="G4" s="12">
        <f>F4/E4</f>
        <v>0.375</v>
      </c>
      <c r="H4" s="13">
        <f>SUM(I6:I12)</f>
        <v>6052</v>
      </c>
      <c r="I4" s="14">
        <f ca="1">SUMIFS($I5:$I13,$N5:$N13,"yes")</f>
        <v>6052</v>
      </c>
      <c r="J4" s="15" cm="1">
        <f t="array" ref="J4">_xlfn.IFS($G4&lt;=34%,0%,$G4&lt;=75%,3%,$G4&lt;=120%,4%,$G4&gt;120%,5%)</f>
        <v>0.03</v>
      </c>
      <c r="K4" s="13">
        <f ca="1">I4*J4</f>
        <v>181.56</v>
      </c>
      <c r="L4" s="9">
        <f ca="1">K4*80</f>
        <v>14524.8</v>
      </c>
      <c r="M4" s="11">
        <f ca="1">L4*50%</f>
        <v>7262.4</v>
      </c>
      <c r="N4" s="11"/>
    </row>
    <row r="5" spans="1:16" s="8" customFormat="1" ht="28.8" x14ac:dyDescent="0.3">
      <c r="A5" s="16" t="s">
        <v>3</v>
      </c>
      <c r="B5" s="16" t="s">
        <v>16</v>
      </c>
      <c r="C5" s="16" t="s">
        <v>17</v>
      </c>
      <c r="D5" s="16" t="s">
        <v>18</v>
      </c>
      <c r="E5" s="16" t="s">
        <v>19</v>
      </c>
      <c r="F5" s="17" t="s">
        <v>20</v>
      </c>
      <c r="G5" s="17" t="s">
        <v>21</v>
      </c>
      <c r="H5" s="16" t="s">
        <v>22</v>
      </c>
      <c r="I5" s="16" t="s">
        <v>8</v>
      </c>
      <c r="J5" s="16" t="s">
        <v>23</v>
      </c>
      <c r="K5" s="16" t="s">
        <v>24</v>
      </c>
      <c r="L5" s="16" t="s">
        <v>25</v>
      </c>
      <c r="M5" s="16" t="s">
        <v>26</v>
      </c>
      <c r="N5" s="16" t="s">
        <v>27</v>
      </c>
      <c r="O5" s="16" t="s">
        <v>28</v>
      </c>
      <c r="P5" s="16" t="s">
        <v>29</v>
      </c>
    </row>
    <row r="6" spans="1:16" x14ac:dyDescent="0.3">
      <c r="A6" s="18" t="str">
        <f>C4</f>
        <v>Aviral Shukla</v>
      </c>
      <c r="B6" s="9" t="str" cm="1">
        <f t="array" ref="B6:L9">IFERROR(_xlfn.CHOOSECOLS(_xlfn._xlws.FILTER('[1]L4 dummy data'!A:AS, '[1]L4 dummy data'!D:D=$C4), 3, 14, 15, 16, 44, 45, 18, 41, 27, 40, 42), "")</f>
        <v>Sukruth Shiva Swamy</v>
      </c>
      <c r="C6" s="19">
        <v>45845</v>
      </c>
      <c r="D6" s="9" t="str">
        <v>NA</v>
      </c>
      <c r="E6" s="20" t="str">
        <v>Genpact</v>
      </c>
      <c r="F6" s="20">
        <v>289</v>
      </c>
      <c r="G6" s="20" t="str">
        <v>JPC - 225032</v>
      </c>
      <c r="H6" s="15" t="str">
        <v>Contract</v>
      </c>
      <c r="I6" s="21">
        <v>1552</v>
      </c>
      <c r="J6" s="9">
        <v>2</v>
      </c>
      <c r="K6" s="9">
        <v>776</v>
      </c>
      <c r="L6" s="9" t="str">
        <v>Active</v>
      </c>
      <c r="M6" s="9">
        <f ca="1">IF(D6&lt;&gt;"NA", D6 - C6, TODAY() - C6)</f>
        <v>200</v>
      </c>
      <c r="N6" s="9" t="str">
        <f ca="1">IF(OR(AND(H6="Contract",L6="Active"),AND(H6="Contract",L6="Done"),AND(H6="FTE",M6&gt;90,L6="Done")),"Yes","NO")</f>
        <v>Yes</v>
      </c>
      <c r="O6" s="9">
        <f ca="1">IF(N6="Yes",(I6*$J$4)*80,0)</f>
        <v>3724.7999999999997</v>
      </c>
      <c r="P6" s="9"/>
    </row>
    <row r="7" spans="1:16" x14ac:dyDescent="0.3">
      <c r="A7" s="18"/>
      <c r="B7" s="9" t="str">
        <v>Raphael Limontas</v>
      </c>
      <c r="C7" s="19">
        <v>45943</v>
      </c>
      <c r="D7" s="9" t="str">
        <v>NA</v>
      </c>
      <c r="E7" s="20" t="str">
        <v>Genpact</v>
      </c>
      <c r="F7" s="20">
        <v>393</v>
      </c>
      <c r="G7" s="20" t="str">
        <v>JPC - 225150</v>
      </c>
      <c r="H7" s="15" t="str">
        <v>Contract</v>
      </c>
      <c r="I7" s="21">
        <v>0</v>
      </c>
      <c r="J7" s="9">
        <v>7.25</v>
      </c>
      <c r="K7" s="9">
        <v>0</v>
      </c>
      <c r="L7" s="9" t="str">
        <v>Pending</v>
      </c>
      <c r="M7" s="9">
        <f ca="1">IF(D7&lt;&gt;"NA", D7 - C7, TODAY() - C7)</f>
        <v>102</v>
      </c>
      <c r="N7" s="9" t="str">
        <f t="shared" ref="N7:N9" ca="1" si="0">IF(OR(AND(H7="Contract",L7="Active"),AND(H7="Contract",L7="Done"),AND(H7="FTE",M7&gt;90,L7="Done")),"Yes","NO")</f>
        <v>NO</v>
      </c>
      <c r="O7" s="9">
        <f ca="1">IF(N7="Yes",(I7*$J$4)*80,0)</f>
        <v>0</v>
      </c>
      <c r="P7" s="9"/>
    </row>
    <row r="8" spans="1:16" x14ac:dyDescent="0.3">
      <c r="A8" s="18"/>
      <c r="B8" s="9" t="str">
        <v>Joseph Kerns</v>
      </c>
      <c r="C8" s="19">
        <v>45705</v>
      </c>
      <c r="D8" s="9" t="str">
        <v>NA</v>
      </c>
      <c r="E8" s="20" t="str">
        <v>WNS</v>
      </c>
      <c r="F8" s="20">
        <v>328</v>
      </c>
      <c r="G8" s="20" t="str">
        <v>JPC - 225218</v>
      </c>
      <c r="H8" s="15" t="str">
        <v>FTE</v>
      </c>
      <c r="I8" s="21">
        <v>0</v>
      </c>
      <c r="J8" s="9" t="str">
        <v>NA</v>
      </c>
      <c r="K8" s="9" t="str">
        <v>NA</v>
      </c>
      <c r="L8" s="9" t="str">
        <v>Done</v>
      </c>
      <c r="M8" s="9">
        <f t="shared" ref="M8:M9" ca="1" si="1">IF(D8&lt;&gt;"NA", D8 - C8, TODAY() - C8)</f>
        <v>340</v>
      </c>
      <c r="N8" s="9" t="str">
        <f t="shared" ca="1" si="0"/>
        <v>Yes</v>
      </c>
      <c r="O8" s="9">
        <f ca="1">IF(N8="Yes",(I8*$J$4)*80,0)</f>
        <v>0</v>
      </c>
      <c r="P8" s="9"/>
    </row>
    <row r="9" spans="1:16" x14ac:dyDescent="0.3">
      <c r="A9" s="18"/>
      <c r="B9" s="9" t="str">
        <v>Steven Cruz</v>
      </c>
      <c r="C9" s="19">
        <v>45775</v>
      </c>
      <c r="D9" s="9" t="str">
        <v>NA</v>
      </c>
      <c r="E9" s="20" t="str">
        <v>Genpact</v>
      </c>
      <c r="F9" s="20">
        <v>211</v>
      </c>
      <c r="G9" s="20" t="str">
        <v>JPC - 225248</v>
      </c>
      <c r="H9" s="15" t="str">
        <v>FTE</v>
      </c>
      <c r="I9" s="21">
        <v>4500</v>
      </c>
      <c r="J9" s="9" t="str">
        <v>NA</v>
      </c>
      <c r="K9" s="9" t="str">
        <v>NA</v>
      </c>
      <c r="L9" s="9" t="str">
        <v>Done</v>
      </c>
      <c r="M9" s="9">
        <f t="shared" ca="1" si="1"/>
        <v>270</v>
      </c>
      <c r="N9" s="9" t="str">
        <f t="shared" ca="1" si="0"/>
        <v>Yes</v>
      </c>
      <c r="O9" s="9">
        <f ca="1">IF(N9="Yes",(I9*$J$4)*80,0)</f>
        <v>10800</v>
      </c>
      <c r="P9" s="9"/>
    </row>
    <row r="10" spans="1:16" x14ac:dyDescent="0.3">
      <c r="A10" s="18"/>
      <c r="B10" s="9"/>
      <c r="C10" s="19"/>
      <c r="D10" s="9"/>
      <c r="E10" s="20"/>
      <c r="F10" s="20"/>
      <c r="G10" s="20"/>
      <c r="H10" s="15"/>
      <c r="I10" s="19"/>
      <c r="J10" s="9"/>
      <c r="K10" s="9"/>
      <c r="L10" s="9"/>
      <c r="M10" s="9"/>
      <c r="N10" s="9"/>
      <c r="O10" s="9"/>
      <c r="P10" s="9"/>
    </row>
    <row r="11" spans="1:16" x14ac:dyDescent="0.3">
      <c r="A11" s="18"/>
      <c r="B11" s="9"/>
      <c r="C11" s="19"/>
      <c r="D11" s="9"/>
      <c r="E11" s="20"/>
      <c r="F11" s="20"/>
      <c r="G11" s="20"/>
      <c r="H11" s="15"/>
      <c r="I11" s="19"/>
      <c r="J11" s="9"/>
      <c r="K11" s="9"/>
      <c r="L11" s="9"/>
      <c r="M11" s="9"/>
      <c r="N11" s="9"/>
      <c r="O11" s="9"/>
      <c r="P11" s="9"/>
    </row>
    <row r="12" spans="1:16" x14ac:dyDescent="0.3">
      <c r="A12" s="18"/>
      <c r="B12" s="9"/>
      <c r="C12" s="19"/>
      <c r="D12" s="9"/>
      <c r="E12" s="20"/>
      <c r="F12" s="20"/>
      <c r="G12" s="20"/>
      <c r="H12" s="15"/>
      <c r="I12" s="19"/>
      <c r="J12" s="9"/>
      <c r="K12" s="9"/>
      <c r="L12" s="9"/>
      <c r="M12" s="9"/>
      <c r="N12" s="9"/>
      <c r="O12" s="9"/>
      <c r="P12" s="9"/>
    </row>
    <row r="13" spans="1:16" x14ac:dyDescent="0.3">
      <c r="A13" s="18"/>
      <c r="B13" s="9"/>
      <c r="C13" s="19"/>
      <c r="D13" s="9"/>
      <c r="E13" s="20"/>
      <c r="F13" s="20"/>
      <c r="G13" s="20"/>
      <c r="H13" s="15"/>
      <c r="I13" s="19"/>
      <c r="J13" s="9"/>
      <c r="K13" s="9"/>
      <c r="L13" s="9"/>
      <c r="M13" s="9"/>
      <c r="N13" s="9"/>
      <c r="O13" s="9"/>
      <c r="P13" s="9"/>
    </row>
    <row r="14" spans="1:16" x14ac:dyDescent="0.3">
      <c r="E14" s="22"/>
      <c r="F14" s="22"/>
      <c r="G14" s="22"/>
      <c r="H14" s="4" t="str" cm="1">
        <f t="array" ref="H14">IFERROR(_xlfn.CHOOSECOLS(_xlfn._xlws.FILTER('[1]Vantedge - dummy Placement'!E:S, '[1]Vantedge - dummy Placement'!B:B=$B5), 1, 6, 7, 8, 10), "")</f>
        <v/>
      </c>
    </row>
    <row r="17" spans="1:16" ht="15" thickBot="1" x14ac:dyDescent="0.35"/>
    <row r="18" spans="1:16" ht="28.8" x14ac:dyDescent="0.3">
      <c r="A18" s="5" t="s">
        <v>1</v>
      </c>
      <c r="B18" s="6" t="s">
        <v>2</v>
      </c>
      <c r="C18" s="5" t="s">
        <v>3</v>
      </c>
      <c r="D18" s="5" t="s">
        <v>4</v>
      </c>
      <c r="E18" s="5" t="s">
        <v>5</v>
      </c>
      <c r="F18" s="5" t="s">
        <v>6</v>
      </c>
      <c r="G18" s="5" t="s">
        <v>7</v>
      </c>
      <c r="H18" s="5" t="s">
        <v>8</v>
      </c>
      <c r="I18" s="7" t="s">
        <v>9</v>
      </c>
      <c r="J18" s="5" t="s">
        <v>10</v>
      </c>
      <c r="K18" s="5" t="s">
        <v>11</v>
      </c>
      <c r="L18" s="5" t="s">
        <v>12</v>
      </c>
      <c r="M18" s="5" t="s">
        <v>13</v>
      </c>
      <c r="N18" s="5" t="s">
        <v>14</v>
      </c>
    </row>
    <row r="19" spans="1:16" x14ac:dyDescent="0.3">
      <c r="A19" s="9" t="str">
        <f>_xlfn.XLOOKUP($C19,'[1]Data Validation (2)'!$M$3:$M$137,'[1]Data Validation (2)'!$N$3:$N$137)</f>
        <v>Titans</v>
      </c>
      <c r="B19" s="10" t="str">
        <f>_xlfn.XLOOKUP($C19,'[1]Data Validation (2)'!$M$3:$M$137,'[1]Data Validation (2)'!$P$3:$P$137)</f>
        <v>VB0072</v>
      </c>
      <c r="C19" s="11" t="s">
        <v>30</v>
      </c>
      <c r="D19" s="9" t="str">
        <f>_xlfn.XLOOKUP($C19,'[1]Data Validation (2)'!$M$3:$M$137,'[1]Data Validation (2)'!$O$3:$O$137)</f>
        <v>Nitin Saxena</v>
      </c>
      <c r="E19" s="9">
        <f>_xlfn.XLOOKUP($C19,'[1]Ach % - L4'!$B$2:$B$214,'[1]Ach % - L4'!$E$2:$E$214)</f>
        <v>8</v>
      </c>
      <c r="F19" s="9">
        <f>_xlfn.XLOOKUP($C19,'[1]Ach % - L4'!$B$2:$B$214,'[1]Ach % - L4'!$F$2:$F$214)</f>
        <v>7</v>
      </c>
      <c r="G19" s="12">
        <f>F19/E19</f>
        <v>0.875</v>
      </c>
      <c r="H19" s="13">
        <f>SUM(I21:I31)</f>
        <v>30924.400000000001</v>
      </c>
      <c r="I19" s="14">
        <f ca="1">SUMIFS($I20:$I31,$N20:$N31,"yes")</f>
        <v>30924.400000000001</v>
      </c>
      <c r="J19" s="15" cm="1">
        <f t="array" ref="J19">_xlfn.IFS($G19&lt;=34%,0%,$G19&lt;=75%,3%,$G19&lt;=120%,4%,$G19&gt;120%,5%)</f>
        <v>0.04</v>
      </c>
      <c r="K19" s="13">
        <f ca="1">I19*J19</f>
        <v>1236.9760000000001</v>
      </c>
      <c r="L19" s="9">
        <f ca="1">K19*80</f>
        <v>98958.080000000016</v>
      </c>
      <c r="M19" s="11">
        <f ca="1">L19*50%</f>
        <v>49479.040000000008</v>
      </c>
      <c r="N19" s="11"/>
    </row>
    <row r="20" spans="1:16" s="8" customFormat="1" ht="28.8" x14ac:dyDescent="0.3">
      <c r="A20" s="16" t="s">
        <v>3</v>
      </c>
      <c r="B20" s="16" t="s">
        <v>16</v>
      </c>
      <c r="C20" s="16" t="s">
        <v>17</v>
      </c>
      <c r="D20" s="16" t="s">
        <v>18</v>
      </c>
      <c r="E20" s="16" t="s">
        <v>19</v>
      </c>
      <c r="F20" s="17" t="s">
        <v>20</v>
      </c>
      <c r="G20" s="17" t="s">
        <v>21</v>
      </c>
      <c r="H20" s="16" t="s">
        <v>22</v>
      </c>
      <c r="I20" s="16" t="s">
        <v>8</v>
      </c>
      <c r="J20" s="16" t="s">
        <v>23</v>
      </c>
      <c r="K20" s="16" t="s">
        <v>24</v>
      </c>
      <c r="L20" s="16" t="s">
        <v>25</v>
      </c>
      <c r="M20" s="16" t="s">
        <v>26</v>
      </c>
      <c r="N20" s="16" t="s">
        <v>27</v>
      </c>
      <c r="O20" s="16" t="s">
        <v>28</v>
      </c>
      <c r="P20" s="16" t="s">
        <v>29</v>
      </c>
    </row>
    <row r="21" spans="1:16" x14ac:dyDescent="0.3">
      <c r="A21" s="18" t="str">
        <f>C19</f>
        <v>Samad Quraishi</v>
      </c>
      <c r="B21" s="9" t="str" cm="1">
        <f t="array" ref="B21:L28">IFERROR(_xlfn.CHOOSECOLS(_xlfn._xlws.FILTER('[1]L4 dummy data'!A:AS, '[1]L4 dummy data'!D:D=$C19), 3, 14, 15, 16, 44, 45, 18, 41, 27, 40, 42), "")</f>
        <v>Stephanie Sue Hall</v>
      </c>
      <c r="C21" s="19">
        <v>45819</v>
      </c>
      <c r="D21" s="19" t="str">
        <v>NA</v>
      </c>
      <c r="E21" s="20" t="str">
        <v>Genpact</v>
      </c>
      <c r="F21" s="20">
        <v>315</v>
      </c>
      <c r="G21" s="20" t="str">
        <v>JPC - 225030</v>
      </c>
      <c r="H21" s="15" t="str">
        <v>Contract</v>
      </c>
      <c r="I21" s="21">
        <v>1584</v>
      </c>
      <c r="J21" s="9">
        <v>6</v>
      </c>
      <c r="K21" s="9">
        <v>264</v>
      </c>
      <c r="L21" s="9" t="str">
        <v>Active</v>
      </c>
      <c r="M21" s="9">
        <f ca="1">IF(D21&lt;&gt;"NA", D21 - C21, TODAY() - C21)</f>
        <v>226</v>
      </c>
      <c r="N21" s="9" t="str">
        <f ca="1">IF(OR(AND(H21="Contract",L21="Active"),AND(H21="Contract",L21="Done"),AND(H21="FTE",M21&gt;90,L21="Done")),"Yes","NO")</f>
        <v>Yes</v>
      </c>
      <c r="O21" s="9">
        <f t="shared" ref="O21:O31" ca="1" si="2">IF(N21="Yes",(I21*$J$19)*80,0)</f>
        <v>5068.8</v>
      </c>
      <c r="P21" s="9"/>
    </row>
    <row r="22" spans="1:16" x14ac:dyDescent="0.3">
      <c r="A22" s="18"/>
      <c r="B22" s="9" t="str">
        <v>Venkata Pramod Varma Yarakaraju</v>
      </c>
      <c r="C22" s="19">
        <v>45868</v>
      </c>
      <c r="D22" s="19" t="str">
        <v>NA</v>
      </c>
      <c r="E22" s="20" t="str">
        <v>Genpact</v>
      </c>
      <c r="F22" s="20">
        <v>263</v>
      </c>
      <c r="G22" s="20" t="str">
        <v>JPC - 225034</v>
      </c>
      <c r="H22" s="15" t="str">
        <v>Contract</v>
      </c>
      <c r="I22" s="21">
        <v>6826.4000000000005</v>
      </c>
      <c r="J22" s="9">
        <v>8.0500000000000007</v>
      </c>
      <c r="K22" s="9">
        <v>848</v>
      </c>
      <c r="L22" s="9" t="str">
        <v>Active</v>
      </c>
      <c r="M22" s="9">
        <f t="shared" ref="M22:M31" ca="1" si="3">IF(D22&lt;&gt;"NA", D22 - C22, TODAY() - C22)</f>
        <v>177</v>
      </c>
      <c r="N22" s="9" t="str">
        <f t="shared" ref="N22:N31" ca="1" si="4">IF(OR(AND(H22="Contract",L22="Active"),AND(H22="Contract",L22="Done"),AND(H22="FTE",M22&gt;90,L22="Done")),"Yes","NO")</f>
        <v>Yes</v>
      </c>
      <c r="O22" s="9">
        <f t="shared" ca="1" si="2"/>
        <v>21844.480000000003</v>
      </c>
      <c r="P22" s="9"/>
    </row>
    <row r="23" spans="1:16" x14ac:dyDescent="0.3">
      <c r="A23" s="18"/>
      <c r="B23" s="9" t="str">
        <v>Soumyashree Sarangi</v>
      </c>
      <c r="C23" s="19">
        <v>45891</v>
      </c>
      <c r="D23" s="19" t="str">
        <v>NA</v>
      </c>
      <c r="E23" s="20" t="str">
        <v>Genpact</v>
      </c>
      <c r="F23" s="20">
        <v>393</v>
      </c>
      <c r="G23" s="20" t="str">
        <v>JPC - 225129</v>
      </c>
      <c r="H23" s="15" t="str">
        <v>Contract</v>
      </c>
      <c r="I23" s="21">
        <v>0</v>
      </c>
      <c r="J23" s="9">
        <v>7</v>
      </c>
      <c r="K23" s="9">
        <v>0</v>
      </c>
      <c r="L23" s="9" t="str">
        <v>Active</v>
      </c>
      <c r="M23" s="9">
        <f t="shared" ca="1" si="3"/>
        <v>154</v>
      </c>
      <c r="N23" s="9" t="str">
        <f t="shared" ca="1" si="4"/>
        <v>Yes</v>
      </c>
      <c r="O23" s="9">
        <f t="shared" ca="1" si="2"/>
        <v>0</v>
      </c>
      <c r="P23" s="9"/>
    </row>
    <row r="24" spans="1:16" x14ac:dyDescent="0.3">
      <c r="A24" s="18"/>
      <c r="B24" s="9" t="str">
        <v>Yuko Namiki</v>
      </c>
      <c r="C24" s="19">
        <v>45706</v>
      </c>
      <c r="D24" s="19" t="str">
        <v>NA</v>
      </c>
      <c r="E24" s="20" t="str">
        <v>Relevante</v>
      </c>
      <c r="F24" s="20">
        <v>367</v>
      </c>
      <c r="G24" s="20" t="str">
        <v>JPC - 225215</v>
      </c>
      <c r="H24" s="15" t="str">
        <v>FTE</v>
      </c>
      <c r="I24" s="21">
        <v>5250</v>
      </c>
      <c r="J24" s="9" t="str">
        <v>NA</v>
      </c>
      <c r="K24" s="9" t="str">
        <v>NA</v>
      </c>
      <c r="L24" s="9" t="str">
        <v>Done</v>
      </c>
      <c r="M24" s="9">
        <f t="shared" ca="1" si="3"/>
        <v>339</v>
      </c>
      <c r="N24" s="9" t="str">
        <f t="shared" ca="1" si="4"/>
        <v>Yes</v>
      </c>
      <c r="O24" s="9">
        <f t="shared" ca="1" si="2"/>
        <v>16800</v>
      </c>
      <c r="P24" s="9"/>
    </row>
    <row r="25" spans="1:16" x14ac:dyDescent="0.3">
      <c r="A25" s="18"/>
      <c r="B25" s="9" t="str">
        <v>Brianna Myers</v>
      </c>
      <c r="C25" s="19">
        <v>45747</v>
      </c>
      <c r="D25" s="19" t="str">
        <v>NA</v>
      </c>
      <c r="E25" s="20" t="str">
        <v>WNS</v>
      </c>
      <c r="F25" s="20">
        <v>224</v>
      </c>
      <c r="G25" s="20" t="str">
        <v>JPC - 225226</v>
      </c>
      <c r="H25" s="15" t="str">
        <v>FTE</v>
      </c>
      <c r="I25" s="21">
        <v>4784</v>
      </c>
      <c r="J25" s="9" t="str">
        <v>NA</v>
      </c>
      <c r="K25" s="9" t="str">
        <v>NA</v>
      </c>
      <c r="L25" s="9" t="str">
        <v>Done</v>
      </c>
      <c r="M25" s="9">
        <f t="shared" ca="1" si="3"/>
        <v>298</v>
      </c>
      <c r="N25" s="9" t="str">
        <f t="shared" ca="1" si="4"/>
        <v>Yes</v>
      </c>
      <c r="O25" s="9">
        <f t="shared" ca="1" si="2"/>
        <v>15308.800000000001</v>
      </c>
      <c r="P25" s="9"/>
    </row>
    <row r="26" spans="1:16" x14ac:dyDescent="0.3">
      <c r="A26" s="18"/>
      <c r="B26" s="9" t="str">
        <v>Marysol Serrano</v>
      </c>
      <c r="C26" s="19">
        <v>45747</v>
      </c>
      <c r="D26" s="19" t="str">
        <v>NA</v>
      </c>
      <c r="E26" s="20" t="str">
        <v>WNS</v>
      </c>
      <c r="F26" s="20">
        <v>211</v>
      </c>
      <c r="G26" s="20" t="str">
        <v>JPC - 225227</v>
      </c>
      <c r="H26" s="15" t="str">
        <v>FTE</v>
      </c>
      <c r="I26" s="21">
        <v>5200</v>
      </c>
      <c r="J26" s="9" t="str">
        <v>NA</v>
      </c>
      <c r="K26" s="9" t="str">
        <v>NA</v>
      </c>
      <c r="L26" s="9" t="str">
        <v>Done</v>
      </c>
      <c r="M26" s="9">
        <f t="shared" ca="1" si="3"/>
        <v>298</v>
      </c>
      <c r="N26" s="9" t="str">
        <f t="shared" ca="1" si="4"/>
        <v>Yes</v>
      </c>
      <c r="O26" s="9">
        <f t="shared" ca="1" si="2"/>
        <v>16640</v>
      </c>
      <c r="P26" s="9"/>
    </row>
    <row r="27" spans="1:16" x14ac:dyDescent="0.3">
      <c r="A27" s="18"/>
      <c r="B27" s="9" t="str">
        <v>Breanna Gonzalez</v>
      </c>
      <c r="C27" s="19">
        <v>45748</v>
      </c>
      <c r="D27" s="19">
        <v>45829</v>
      </c>
      <c r="E27" s="20" t="str">
        <v>WNS</v>
      </c>
      <c r="F27" s="20">
        <v>367</v>
      </c>
      <c r="G27" s="20" t="str">
        <v>JPC - 225257</v>
      </c>
      <c r="H27" s="15" t="str">
        <v>FTE</v>
      </c>
      <c r="I27" s="21">
        <v>0</v>
      </c>
      <c r="J27" s="9" t="str">
        <v>NA</v>
      </c>
      <c r="K27" s="9" t="str">
        <v>NA</v>
      </c>
      <c r="L27" s="9" t="str">
        <v>Done</v>
      </c>
      <c r="M27" s="9">
        <f t="shared" ca="1" si="3"/>
        <v>81</v>
      </c>
      <c r="N27" s="9" t="str">
        <f t="shared" ca="1" si="4"/>
        <v>NO</v>
      </c>
      <c r="O27" s="9">
        <f t="shared" ca="1" si="2"/>
        <v>0</v>
      </c>
      <c r="P27" s="9"/>
    </row>
    <row r="28" spans="1:16" x14ac:dyDescent="0.3">
      <c r="A28" s="18"/>
      <c r="B28" s="9" t="str">
        <v>Jason Troester</v>
      </c>
      <c r="C28" s="19">
        <v>45908</v>
      </c>
      <c r="D28" s="19" t="str">
        <v>NA</v>
      </c>
      <c r="E28" s="20" t="str">
        <v>CBREX</v>
      </c>
      <c r="F28" s="20">
        <v>432</v>
      </c>
      <c r="G28" s="20" t="str">
        <v>JPC - 225335</v>
      </c>
      <c r="H28" s="15" t="str">
        <v>FTE</v>
      </c>
      <c r="I28" s="21">
        <v>7280</v>
      </c>
      <c r="J28" s="9" t="str">
        <v>NA</v>
      </c>
      <c r="K28" s="9" t="str">
        <v>NA</v>
      </c>
      <c r="L28" s="9" t="str">
        <v>Done</v>
      </c>
      <c r="M28" s="9">
        <f t="shared" ca="1" si="3"/>
        <v>137</v>
      </c>
      <c r="N28" s="9" t="str">
        <f t="shared" ca="1" si="4"/>
        <v>Yes</v>
      </c>
      <c r="O28" s="9">
        <f t="shared" ca="1" si="2"/>
        <v>23296</v>
      </c>
      <c r="P28" s="9"/>
    </row>
    <row r="29" spans="1:16" x14ac:dyDescent="0.3">
      <c r="A29" s="18"/>
      <c r="B29" s="9"/>
      <c r="C29" s="19"/>
      <c r="D29" s="19"/>
      <c r="E29" s="20"/>
      <c r="F29" s="20"/>
      <c r="G29" s="20"/>
      <c r="H29" s="15"/>
      <c r="I29" s="21"/>
      <c r="J29" s="9"/>
      <c r="K29" s="9"/>
      <c r="L29" s="9"/>
      <c r="M29" s="9"/>
      <c r="N29" s="9"/>
      <c r="O29" s="9">
        <f t="shared" si="2"/>
        <v>0</v>
      </c>
      <c r="P29" s="9"/>
    </row>
    <row r="30" spans="1:16" x14ac:dyDescent="0.3">
      <c r="A30" s="18"/>
      <c r="B30" s="9"/>
      <c r="C30" s="19"/>
      <c r="D30" s="19"/>
      <c r="E30" s="20"/>
      <c r="F30" s="20"/>
      <c r="G30" s="20"/>
      <c r="H30" s="15"/>
      <c r="I30" s="19"/>
      <c r="J30" s="9"/>
      <c r="K30" s="9"/>
      <c r="L30" s="9"/>
      <c r="M30" s="9"/>
      <c r="N30" s="9"/>
      <c r="O30" s="9">
        <f t="shared" si="2"/>
        <v>0</v>
      </c>
      <c r="P30" s="9"/>
    </row>
    <row r="31" spans="1:16" x14ac:dyDescent="0.3">
      <c r="A31" s="18"/>
      <c r="B31" s="9"/>
      <c r="C31" s="19"/>
      <c r="D31" s="19"/>
      <c r="E31" s="20"/>
      <c r="F31" s="20"/>
      <c r="G31" s="20"/>
      <c r="H31" s="15"/>
      <c r="I31" s="19"/>
      <c r="J31" s="9"/>
      <c r="K31" s="9"/>
      <c r="L31" s="9"/>
      <c r="M31" s="9">
        <f t="shared" ca="1" si="3"/>
        <v>0</v>
      </c>
      <c r="N31" s="9" t="str">
        <f t="shared" ca="1" si="4"/>
        <v>NO</v>
      </c>
      <c r="O31" s="9">
        <f t="shared" ca="1" si="2"/>
        <v>0</v>
      </c>
      <c r="P31" s="9"/>
    </row>
    <row r="35" spans="1:16" ht="15" thickBot="1" x14ac:dyDescent="0.35"/>
    <row r="36" spans="1:16" ht="28.8" x14ac:dyDescent="0.3">
      <c r="A36" s="5" t="s">
        <v>1</v>
      </c>
      <c r="B36" s="6" t="s">
        <v>2</v>
      </c>
      <c r="C36" s="5" t="s">
        <v>3</v>
      </c>
      <c r="D36" s="5" t="s">
        <v>4</v>
      </c>
      <c r="E36" s="5" t="s">
        <v>5</v>
      </c>
      <c r="F36" s="5" t="s">
        <v>6</v>
      </c>
      <c r="G36" s="5" t="s">
        <v>7</v>
      </c>
      <c r="H36" s="5" t="s">
        <v>8</v>
      </c>
      <c r="I36" s="7" t="s">
        <v>9</v>
      </c>
      <c r="J36" s="5" t="s">
        <v>10</v>
      </c>
      <c r="K36" s="5" t="s">
        <v>11</v>
      </c>
      <c r="L36" s="5" t="s">
        <v>12</v>
      </c>
      <c r="M36" s="5" t="s">
        <v>13</v>
      </c>
      <c r="N36" s="5" t="s">
        <v>14</v>
      </c>
    </row>
    <row r="37" spans="1:16" x14ac:dyDescent="0.3">
      <c r="A37" s="9" t="str">
        <f>_xlfn.XLOOKUP($C37,'[1]Data Validation (2)'!$M$3:$M$137,'[1]Data Validation (2)'!$N$3:$N$137)</f>
        <v>Titans</v>
      </c>
      <c r="B37" s="10" t="str">
        <f>_xlfn.XLOOKUP($C37,'[1]Data Validation (2)'!$M$3:$M$137,'[1]Data Validation (2)'!$P$3:$P$137)</f>
        <v>VB0073</v>
      </c>
      <c r="C37" s="11" t="s">
        <v>31</v>
      </c>
      <c r="D37" s="9" t="str">
        <f>_xlfn.XLOOKUP($C37,'[1]Data Validation (2)'!$M$3:$M$137,'[1]Data Validation (2)'!$O$3:$O$137)</f>
        <v>Nitin Saxena</v>
      </c>
      <c r="E37" s="9">
        <f>_xlfn.XLOOKUP($C37,'[1]Ach % - L4'!$B$2:$B$214,'[1]Ach % - L4'!$E$2:$E$214)</f>
        <v>7</v>
      </c>
      <c r="F37" s="9">
        <f>_xlfn.XLOOKUP($C37,'[1]Ach % - L4'!$B$2:$B$214,'[1]Ach % - L4'!$F$2:$F$214)</f>
        <v>1</v>
      </c>
      <c r="G37" s="12">
        <f>F37/E37</f>
        <v>0.14285714285714285</v>
      </c>
      <c r="H37" s="13">
        <f>SUM(I39:I49)</f>
        <v>17450</v>
      </c>
      <c r="I37" s="14">
        <f ca="1">SUMIFS($I38:$I49,$N38:$N49,"yes")</f>
        <v>4500</v>
      </c>
      <c r="J37" s="15" cm="1">
        <f t="array" ref="J37">_xlfn.IFS($G37&lt;=34%,0%,$G37&lt;=75%,3%,$G37&lt;=120%,4%,$G37&gt;120%,5%)</f>
        <v>0</v>
      </c>
      <c r="K37" s="13">
        <f ca="1">I37*J37</f>
        <v>0</v>
      </c>
      <c r="L37" s="9">
        <f ca="1">K37*80</f>
        <v>0</v>
      </c>
      <c r="M37" s="11">
        <f ca="1">L37*50%</f>
        <v>0</v>
      </c>
      <c r="N37" s="11"/>
    </row>
    <row r="38" spans="1:16" s="8" customFormat="1" ht="28.8" x14ac:dyDescent="0.3">
      <c r="A38" s="16" t="s">
        <v>3</v>
      </c>
      <c r="B38" s="16" t="s">
        <v>16</v>
      </c>
      <c r="C38" s="16" t="s">
        <v>17</v>
      </c>
      <c r="D38" s="16" t="s">
        <v>18</v>
      </c>
      <c r="E38" s="16" t="s">
        <v>19</v>
      </c>
      <c r="F38" s="17" t="s">
        <v>20</v>
      </c>
      <c r="G38" s="17" t="s">
        <v>21</v>
      </c>
      <c r="H38" s="16" t="s">
        <v>22</v>
      </c>
      <c r="I38" s="16" t="s">
        <v>8</v>
      </c>
      <c r="J38" s="16" t="s">
        <v>23</v>
      </c>
      <c r="K38" s="16" t="s">
        <v>24</v>
      </c>
      <c r="L38" s="16" t="s">
        <v>25</v>
      </c>
      <c r="M38" s="16" t="s">
        <v>26</v>
      </c>
      <c r="N38" s="16" t="s">
        <v>27</v>
      </c>
      <c r="O38" s="16" t="s">
        <v>28</v>
      </c>
      <c r="P38" s="16" t="s">
        <v>29</v>
      </c>
    </row>
    <row r="39" spans="1:16" x14ac:dyDescent="0.3">
      <c r="A39" s="18" t="str">
        <f>C37</f>
        <v>Ratnesh Kashyap</v>
      </c>
      <c r="B39" s="9" t="str" cm="1">
        <f t="array" ref="B39:L42">IFERROR(_xlfn.CHOOSECOLS(_xlfn._xlws.FILTER('[1]L4 dummy data'!A:AS, '[1]L4 dummy data'!D:D=$C37), 3, 14, 15, 16, 44, 45, 18, 41, 27, 40, 42), "")</f>
        <v>Dionte T Lindsey</v>
      </c>
      <c r="C39" s="19">
        <v>45887</v>
      </c>
      <c r="D39" s="19">
        <v>45954</v>
      </c>
      <c r="E39" s="20" t="str">
        <v>Genpact</v>
      </c>
      <c r="F39" s="20">
        <v>432</v>
      </c>
      <c r="G39" s="20" t="str">
        <v>JPC - 225104</v>
      </c>
      <c r="H39" s="15" t="str">
        <v>Contract</v>
      </c>
      <c r="I39" s="21">
        <v>9790</v>
      </c>
      <c r="J39" s="9">
        <v>10</v>
      </c>
      <c r="K39" s="9">
        <v>979</v>
      </c>
      <c r="L39" s="9" t="str">
        <v>No Bill No Pay</v>
      </c>
      <c r="M39" s="9">
        <f ca="1">IF(D39&lt;&gt;"NA", D39 - C39, TODAY() - C39)</f>
        <v>67</v>
      </c>
      <c r="N39" s="9" t="str">
        <f ca="1">IF(OR(AND(H39="Contract",L39="Active"),AND(H39="Contract",L39="Done"),AND(H39="FTE",M39&gt;90,L39="Done")),"Yes","NO")</f>
        <v>NO</v>
      </c>
      <c r="O39" s="9">
        <f t="shared" ref="O39:O49" ca="1" si="5">IF(N39="Yes",(I39*$J$37)*80,0)</f>
        <v>0</v>
      </c>
      <c r="P39" s="9"/>
    </row>
    <row r="40" spans="1:16" x14ac:dyDescent="0.3">
      <c r="A40" s="18"/>
      <c r="B40" s="9" t="str">
        <v>Myrthala Aurora Trevino</v>
      </c>
      <c r="C40" s="19">
        <v>45950</v>
      </c>
      <c r="D40" s="19">
        <v>45954</v>
      </c>
      <c r="E40" s="20" t="str">
        <v>Genpact</v>
      </c>
      <c r="F40" s="20">
        <v>354</v>
      </c>
      <c r="G40" s="20" t="str">
        <v>JPC - 225153</v>
      </c>
      <c r="H40" s="15" t="str">
        <v>Contract</v>
      </c>
      <c r="I40" s="21">
        <v>3160</v>
      </c>
      <c r="J40" s="9">
        <v>5</v>
      </c>
      <c r="K40" s="9">
        <v>632</v>
      </c>
      <c r="L40" s="9" t="str">
        <v>No Bill No Pay</v>
      </c>
      <c r="M40" s="9">
        <f t="shared" ref="M40:M49" ca="1" si="6">IF(D40&lt;&gt;"NA", D40 - C40, TODAY() - C40)</f>
        <v>4</v>
      </c>
      <c r="N40" s="9" t="str">
        <f t="shared" ref="N40:N49" ca="1" si="7">IF(OR(AND(H40="Contract",L40="Active"),AND(H40="Contract",L40="Done"),AND(H40="FTE",M40&gt;90,L40="Done")),"Yes","NO")</f>
        <v>NO</v>
      </c>
      <c r="O40" s="9">
        <f t="shared" ca="1" si="5"/>
        <v>0</v>
      </c>
      <c r="P40" s="9"/>
    </row>
    <row r="41" spans="1:16" x14ac:dyDescent="0.3">
      <c r="A41" s="18"/>
      <c r="B41" s="9" t="str">
        <v>Kendall Wade</v>
      </c>
      <c r="C41" s="19">
        <v>45712</v>
      </c>
      <c r="D41" s="19" t="str">
        <v>NA</v>
      </c>
      <c r="E41" s="20" t="str">
        <v xml:space="preserve">Cyient | Parker Hannifin </v>
      </c>
      <c r="F41" s="20">
        <v>380</v>
      </c>
      <c r="G41" s="20" t="str">
        <v>JPC - 225214</v>
      </c>
      <c r="H41" s="15" t="str">
        <v>FTE</v>
      </c>
      <c r="I41" s="21">
        <v>4500</v>
      </c>
      <c r="J41" s="9" t="str">
        <v>NA</v>
      </c>
      <c r="K41" s="9" t="str">
        <v>NA</v>
      </c>
      <c r="L41" s="9" t="str">
        <v>Done</v>
      </c>
      <c r="M41" s="9">
        <f t="shared" ca="1" si="6"/>
        <v>333</v>
      </c>
      <c r="N41" s="9" t="str">
        <f t="shared" ca="1" si="7"/>
        <v>Yes</v>
      </c>
      <c r="O41" s="9">
        <f t="shared" ca="1" si="5"/>
        <v>0</v>
      </c>
      <c r="P41" s="9"/>
    </row>
    <row r="42" spans="1:16" x14ac:dyDescent="0.3">
      <c r="A42" s="18"/>
      <c r="B42" s="9" t="str">
        <v xml:space="preserve">Alexander Berendt </v>
      </c>
      <c r="C42" s="19">
        <v>45698</v>
      </c>
      <c r="D42" s="19">
        <v>45758</v>
      </c>
      <c r="E42" s="20" t="str">
        <v>LTTS</v>
      </c>
      <c r="F42" s="20">
        <v>341</v>
      </c>
      <c r="G42" s="20" t="str">
        <v>JPC - 225217</v>
      </c>
      <c r="H42" s="15" t="str">
        <v>FTE</v>
      </c>
      <c r="I42" s="21">
        <v>0</v>
      </c>
      <c r="J42" s="9" t="str">
        <v>NA</v>
      </c>
      <c r="K42" s="9" t="str">
        <v>NA</v>
      </c>
      <c r="L42" s="9" t="str">
        <v>Done</v>
      </c>
      <c r="M42" s="9">
        <f t="shared" ca="1" si="6"/>
        <v>60</v>
      </c>
      <c r="N42" s="9" t="str">
        <f t="shared" ca="1" si="7"/>
        <v>NO</v>
      </c>
      <c r="O42" s="9">
        <f t="shared" ca="1" si="5"/>
        <v>0</v>
      </c>
      <c r="P42" s="9"/>
    </row>
    <row r="43" spans="1:16" x14ac:dyDescent="0.3">
      <c r="A43" s="18"/>
      <c r="B43" s="9"/>
      <c r="C43" s="19"/>
      <c r="D43" s="19"/>
      <c r="E43" s="20"/>
      <c r="F43" s="20"/>
      <c r="G43" s="20"/>
      <c r="H43" s="15"/>
      <c r="I43" s="21"/>
      <c r="J43" s="9"/>
      <c r="K43" s="9"/>
      <c r="L43" s="9"/>
      <c r="M43" s="9">
        <f t="shared" ca="1" si="6"/>
        <v>0</v>
      </c>
      <c r="N43" s="9" t="str">
        <f t="shared" ca="1" si="7"/>
        <v>NO</v>
      </c>
      <c r="O43" s="9">
        <f t="shared" ca="1" si="5"/>
        <v>0</v>
      </c>
      <c r="P43" s="9"/>
    </row>
    <row r="44" spans="1:16" x14ac:dyDescent="0.3">
      <c r="A44" s="18"/>
      <c r="B44" s="9"/>
      <c r="C44" s="19"/>
      <c r="D44" s="19"/>
      <c r="E44" s="20"/>
      <c r="F44" s="20"/>
      <c r="G44" s="20"/>
      <c r="H44" s="15"/>
      <c r="I44" s="21"/>
      <c r="J44" s="9"/>
      <c r="K44" s="9"/>
      <c r="L44" s="9"/>
      <c r="M44" s="9">
        <f t="shared" ca="1" si="6"/>
        <v>0</v>
      </c>
      <c r="N44" s="9" t="str">
        <f t="shared" ca="1" si="7"/>
        <v>NO</v>
      </c>
      <c r="O44" s="9">
        <f t="shared" ca="1" si="5"/>
        <v>0</v>
      </c>
      <c r="P44" s="9"/>
    </row>
    <row r="45" spans="1:16" x14ac:dyDescent="0.3">
      <c r="A45" s="18"/>
      <c r="B45" s="9"/>
      <c r="C45" s="19"/>
      <c r="D45" s="19"/>
      <c r="E45" s="20"/>
      <c r="F45" s="20"/>
      <c r="G45" s="20"/>
      <c r="H45" s="15"/>
      <c r="I45" s="21"/>
      <c r="J45" s="9"/>
      <c r="K45" s="9"/>
      <c r="L45" s="9"/>
      <c r="M45" s="9">
        <f t="shared" ca="1" si="6"/>
        <v>0</v>
      </c>
      <c r="N45" s="9" t="str">
        <f t="shared" ca="1" si="7"/>
        <v>NO</v>
      </c>
      <c r="O45" s="9">
        <f t="shared" ca="1" si="5"/>
        <v>0</v>
      </c>
      <c r="P45" s="9"/>
    </row>
    <row r="46" spans="1:16" x14ac:dyDescent="0.3">
      <c r="A46" s="18"/>
      <c r="B46" s="9"/>
      <c r="C46" s="19"/>
      <c r="D46" s="19"/>
      <c r="E46" s="20"/>
      <c r="F46" s="20"/>
      <c r="G46" s="20"/>
      <c r="H46" s="15"/>
      <c r="I46" s="21"/>
      <c r="J46" s="9"/>
      <c r="K46" s="9"/>
      <c r="L46" s="9"/>
      <c r="M46" s="9">
        <f t="shared" ca="1" si="6"/>
        <v>0</v>
      </c>
      <c r="N46" s="9" t="str">
        <f t="shared" ca="1" si="7"/>
        <v>NO</v>
      </c>
      <c r="O46" s="9">
        <f t="shared" ca="1" si="5"/>
        <v>0</v>
      </c>
      <c r="P46" s="9"/>
    </row>
    <row r="47" spans="1:16" x14ac:dyDescent="0.3">
      <c r="A47" s="18"/>
      <c r="B47" s="9"/>
      <c r="C47" s="19"/>
      <c r="D47" s="19"/>
      <c r="E47" s="20"/>
      <c r="F47" s="20"/>
      <c r="G47" s="20"/>
      <c r="H47" s="15"/>
      <c r="I47" s="21"/>
      <c r="J47" s="9"/>
      <c r="K47" s="9"/>
      <c r="L47" s="9"/>
      <c r="M47" s="9">
        <f t="shared" ca="1" si="6"/>
        <v>0</v>
      </c>
      <c r="N47" s="9" t="str">
        <f t="shared" ca="1" si="7"/>
        <v>NO</v>
      </c>
      <c r="O47" s="9">
        <f t="shared" ca="1" si="5"/>
        <v>0</v>
      </c>
      <c r="P47" s="9"/>
    </row>
    <row r="48" spans="1:16" x14ac:dyDescent="0.3">
      <c r="A48" s="18"/>
      <c r="B48" s="9"/>
      <c r="C48" s="19"/>
      <c r="D48" s="19"/>
      <c r="E48" s="20"/>
      <c r="F48" s="20"/>
      <c r="G48" s="20"/>
      <c r="H48" s="15"/>
      <c r="I48" s="19"/>
      <c r="J48" s="9"/>
      <c r="K48" s="9"/>
      <c r="L48" s="9"/>
      <c r="M48" s="9">
        <f t="shared" ca="1" si="6"/>
        <v>0</v>
      </c>
      <c r="N48" s="9" t="str">
        <f t="shared" ca="1" si="7"/>
        <v>NO</v>
      </c>
      <c r="O48" s="9">
        <f t="shared" ca="1" si="5"/>
        <v>0</v>
      </c>
      <c r="P48" s="9"/>
    </row>
    <row r="49" spans="1:16" x14ac:dyDescent="0.3">
      <c r="A49" s="18"/>
      <c r="B49" s="9"/>
      <c r="C49" s="19"/>
      <c r="D49" s="19"/>
      <c r="E49" s="20"/>
      <c r="F49" s="20"/>
      <c r="G49" s="20"/>
      <c r="H49" s="15"/>
      <c r="I49" s="19"/>
      <c r="J49" s="9"/>
      <c r="K49" s="9"/>
      <c r="L49" s="9"/>
      <c r="M49" s="9">
        <f t="shared" ca="1" si="6"/>
        <v>0</v>
      </c>
      <c r="N49" s="9" t="str">
        <f t="shared" ca="1" si="7"/>
        <v>NO</v>
      </c>
      <c r="O49" s="9">
        <f t="shared" ca="1" si="5"/>
        <v>0</v>
      </c>
      <c r="P49" s="9"/>
    </row>
    <row r="52" spans="1:16" ht="15" thickBot="1" x14ac:dyDescent="0.35"/>
    <row r="53" spans="1:16" ht="28.8" x14ac:dyDescent="0.3">
      <c r="A53" s="5" t="s">
        <v>1</v>
      </c>
      <c r="B53" s="6" t="s">
        <v>2</v>
      </c>
      <c r="C53" s="5" t="s">
        <v>3</v>
      </c>
      <c r="D53" s="5" t="s">
        <v>4</v>
      </c>
      <c r="E53" s="5" t="s">
        <v>5</v>
      </c>
      <c r="F53" s="5" t="s">
        <v>6</v>
      </c>
      <c r="G53" s="5" t="s">
        <v>7</v>
      </c>
      <c r="H53" s="5" t="s">
        <v>8</v>
      </c>
      <c r="I53" s="7" t="s">
        <v>9</v>
      </c>
      <c r="J53" s="5" t="s">
        <v>10</v>
      </c>
      <c r="K53" s="5" t="s">
        <v>11</v>
      </c>
      <c r="L53" s="5" t="s">
        <v>12</v>
      </c>
      <c r="M53" s="5" t="s">
        <v>13</v>
      </c>
      <c r="N53" s="5" t="s">
        <v>14</v>
      </c>
    </row>
    <row r="54" spans="1:16" x14ac:dyDescent="0.3">
      <c r="A54" s="9" t="str">
        <f>_xlfn.XLOOKUP($C54,'[1]Data Validation (2)'!$M$3:$M$137,'[1]Data Validation (2)'!$N$3:$N$137)</f>
        <v>Titans</v>
      </c>
      <c r="B54" s="10" t="str">
        <f>_xlfn.XLOOKUP($C54,'[1]Data Validation (2)'!$M$3:$M$137,'[1]Data Validation (2)'!$P$3:$P$137)</f>
        <v>VB0074</v>
      </c>
      <c r="C54" s="11" t="s">
        <v>32</v>
      </c>
      <c r="D54" s="9" t="str">
        <f>_xlfn.XLOOKUP($C54,'[1]Data Validation (2)'!$M$3:$M$137,'[1]Data Validation (2)'!$O$3:$O$137)</f>
        <v>Nitin Saxena</v>
      </c>
      <c r="E54" s="9">
        <f>_xlfn.XLOOKUP($C54,'[1]Ach % - L4'!$B$2:$B$214,'[1]Ach % - L4'!$E$2:$E$214)</f>
        <v>8</v>
      </c>
      <c r="F54" s="9">
        <f>_xlfn.XLOOKUP($C54,'[1]Ach % - L4'!$B$2:$B$214,'[1]Ach % - L4'!$F$2:$F$214)</f>
        <v>16</v>
      </c>
      <c r="G54" s="12">
        <f>F54/E54</f>
        <v>2</v>
      </c>
      <c r="H54" s="13">
        <f>SUM(I56:I76)</f>
        <v>71454.459999999992</v>
      </c>
      <c r="I54" s="14">
        <f ca="1">SUMIFS($I55:$I76,$N55:$N76,"yes")</f>
        <v>65262.46</v>
      </c>
      <c r="J54" s="15" cm="1">
        <f t="array" ref="J54">_xlfn.IFS($G54&lt;=34%,0%,$G54&lt;=75%,3%,$G54&lt;=120%,4%,$G54&gt;120%,5%)</f>
        <v>0.05</v>
      </c>
      <c r="K54" s="13">
        <f ca="1">I54*J54</f>
        <v>3263.123</v>
      </c>
      <c r="L54" s="9">
        <f ca="1">K54*80</f>
        <v>261049.84</v>
      </c>
      <c r="M54" s="11">
        <f ca="1">L54*50%</f>
        <v>130524.92</v>
      </c>
      <c r="N54" s="11"/>
    </row>
    <row r="55" spans="1:16" s="8" customFormat="1" ht="28.8" x14ac:dyDescent="0.3">
      <c r="A55" s="16" t="s">
        <v>3</v>
      </c>
      <c r="B55" s="16" t="s">
        <v>16</v>
      </c>
      <c r="C55" s="16" t="s">
        <v>17</v>
      </c>
      <c r="D55" s="16" t="s">
        <v>18</v>
      </c>
      <c r="E55" s="16" t="s">
        <v>19</v>
      </c>
      <c r="F55" s="17" t="s">
        <v>20</v>
      </c>
      <c r="G55" s="17" t="s">
        <v>21</v>
      </c>
      <c r="H55" s="16" t="s">
        <v>22</v>
      </c>
      <c r="I55" s="16" t="s">
        <v>8</v>
      </c>
      <c r="J55" s="16" t="s">
        <v>23</v>
      </c>
      <c r="K55" s="16" t="s">
        <v>24</v>
      </c>
      <c r="L55" s="16" t="s">
        <v>25</v>
      </c>
      <c r="M55" s="16" t="s">
        <v>26</v>
      </c>
      <c r="N55" s="16" t="s">
        <v>27</v>
      </c>
      <c r="O55" s="16" t="s">
        <v>28</v>
      </c>
      <c r="P55" s="16" t="s">
        <v>29</v>
      </c>
    </row>
    <row r="56" spans="1:16" x14ac:dyDescent="0.3">
      <c r="A56" s="18" t="str">
        <f>C54</f>
        <v>Hamza</v>
      </c>
      <c r="B56" s="9" t="str" cm="1">
        <f t="array" ref="B56:L74">IFERROR(_xlfn.CHOOSECOLS(_xlfn._xlws.FILTER('[1]L4 dummy data'!A:AS, '[1]L4 dummy data'!D:D=$C54), 3, 14, 15, 16, 44, 45, 18, 41, 27, 40, 42), "")</f>
        <v>Saye Matthew Williams</v>
      </c>
      <c r="C56" s="19">
        <v>45679</v>
      </c>
      <c r="D56" s="19">
        <v>45921</v>
      </c>
      <c r="E56" s="20" t="str">
        <v>Genpact</v>
      </c>
      <c r="F56" s="20">
        <v>150</v>
      </c>
      <c r="G56" s="20" t="str">
        <v>JPC - 225018</v>
      </c>
      <c r="H56" s="15" t="str">
        <v>Contract</v>
      </c>
      <c r="I56" s="21">
        <v>560</v>
      </c>
      <c r="J56" s="9">
        <v>10</v>
      </c>
      <c r="K56" s="9">
        <v>56</v>
      </c>
      <c r="L56" s="9" t="str">
        <v>Active</v>
      </c>
      <c r="M56" s="9">
        <f ca="1">IF(D56&lt;&gt;"NA", D56 - C56, TODAY() - C56)</f>
        <v>242</v>
      </c>
      <c r="N56" s="9" t="str">
        <f ca="1">IF(OR(AND(H56="Contract",L56="Active"),AND(H56="Contract",L56="Done"),AND(H56="FTE",M56&gt;90,L56="Done")),"Yes","NO")</f>
        <v>Yes</v>
      </c>
      <c r="O56" s="9">
        <f t="shared" ref="O56:O74" ca="1" si="8">IF(N56="Yes",(I56*$J$54)*80,0)</f>
        <v>2240</v>
      </c>
      <c r="P56" s="9"/>
    </row>
    <row r="57" spans="1:16" x14ac:dyDescent="0.3">
      <c r="A57" s="18"/>
      <c r="B57" s="9" t="str">
        <v>Keris Collier</v>
      </c>
      <c r="C57" s="19">
        <v>45679</v>
      </c>
      <c r="D57" s="19">
        <v>45737</v>
      </c>
      <c r="E57" s="20" t="str">
        <v>Genpact</v>
      </c>
      <c r="F57" s="20">
        <v>438</v>
      </c>
      <c r="G57" s="20" t="str">
        <v>JPC - 225019</v>
      </c>
      <c r="H57" s="15" t="str">
        <v>Contract</v>
      </c>
      <c r="I57" s="21">
        <v>160</v>
      </c>
      <c r="J57" s="9">
        <v>4</v>
      </c>
      <c r="K57" s="9">
        <v>40</v>
      </c>
      <c r="L57" s="9" t="str">
        <v>Active</v>
      </c>
      <c r="M57" s="9">
        <f t="shared" ref="M57:M74" ca="1" si="9">IF(D57&lt;&gt;"NA", D57 - C57, TODAY() - C57)</f>
        <v>58</v>
      </c>
      <c r="N57" s="9" t="str">
        <f t="shared" ref="N57:N74" ca="1" si="10">IF(OR(AND(H57="Contract",L57="Active"),AND(H57="Contract",L57="Done"),AND(H57="FTE",M57&gt;90,L57="Done")),"Yes","NO")</f>
        <v>Yes</v>
      </c>
      <c r="O57" s="9">
        <f t="shared" ca="1" si="8"/>
        <v>640</v>
      </c>
      <c r="P57" s="9"/>
    </row>
    <row r="58" spans="1:16" x14ac:dyDescent="0.3">
      <c r="A58" s="18"/>
      <c r="B58" s="9" t="str">
        <v>Irfan Sarfraz</v>
      </c>
      <c r="C58" s="19">
        <v>45747</v>
      </c>
      <c r="D58" s="19">
        <v>45789</v>
      </c>
      <c r="E58" s="20" t="str">
        <v>Genpact</v>
      </c>
      <c r="F58" s="20">
        <v>136</v>
      </c>
      <c r="G58" s="20" t="str">
        <v>JPC - 225021</v>
      </c>
      <c r="H58" s="15" t="str">
        <v>Contract</v>
      </c>
      <c r="I58" s="21">
        <v>0</v>
      </c>
      <c r="J58" s="9">
        <v>2</v>
      </c>
      <c r="K58" s="9">
        <v>0</v>
      </c>
      <c r="L58" s="9" t="str">
        <v>Active</v>
      </c>
      <c r="M58" s="9">
        <f t="shared" ca="1" si="9"/>
        <v>42</v>
      </c>
      <c r="N58" s="9" t="str">
        <f t="shared" ca="1" si="10"/>
        <v>Yes</v>
      </c>
      <c r="O58" s="9">
        <f t="shared" ca="1" si="8"/>
        <v>0</v>
      </c>
      <c r="P58" s="9"/>
    </row>
    <row r="59" spans="1:16" x14ac:dyDescent="0.3">
      <c r="A59" s="18"/>
      <c r="B59" s="9" t="str">
        <v>Nicholas Coyle</v>
      </c>
      <c r="C59" s="19">
        <v>45740</v>
      </c>
      <c r="D59" s="19" t="str">
        <v>NA</v>
      </c>
      <c r="E59" s="20" t="str">
        <v>Genpact</v>
      </c>
      <c r="F59" s="20">
        <v>438</v>
      </c>
      <c r="G59" s="20" t="str">
        <v>JPC - 225022</v>
      </c>
      <c r="H59" s="15" t="str">
        <v>Contract</v>
      </c>
      <c r="I59" s="21">
        <v>5976</v>
      </c>
      <c r="J59" s="9">
        <v>9</v>
      </c>
      <c r="K59" s="9">
        <v>664</v>
      </c>
      <c r="L59" s="9" t="str">
        <v>Active</v>
      </c>
      <c r="M59" s="9">
        <f t="shared" ca="1" si="9"/>
        <v>305</v>
      </c>
      <c r="N59" s="9" t="str">
        <f t="shared" ca="1" si="10"/>
        <v>Yes</v>
      </c>
      <c r="O59" s="9">
        <f t="shared" ca="1" si="8"/>
        <v>23904</v>
      </c>
      <c r="P59" s="9"/>
    </row>
    <row r="60" spans="1:16" x14ac:dyDescent="0.3">
      <c r="A60" s="18"/>
      <c r="B60" s="9" t="str">
        <v>Markian Ougrin</v>
      </c>
      <c r="C60" s="19">
        <v>45763</v>
      </c>
      <c r="D60" s="19" t="str">
        <v>NA</v>
      </c>
      <c r="E60" s="20" t="str">
        <v>Genpact</v>
      </c>
      <c r="F60" s="20">
        <v>393</v>
      </c>
      <c r="G60" s="20" t="str">
        <v>JPC - 225024</v>
      </c>
      <c r="H60" s="15" t="str">
        <v>Contract</v>
      </c>
      <c r="I60" s="21">
        <v>7337</v>
      </c>
      <c r="J60" s="9">
        <v>7.25</v>
      </c>
      <c r="K60" s="9">
        <v>1012</v>
      </c>
      <c r="L60" s="9" t="str">
        <v>Active</v>
      </c>
      <c r="M60" s="9">
        <f t="shared" ca="1" si="9"/>
        <v>282</v>
      </c>
      <c r="N60" s="9" t="str">
        <f t="shared" ca="1" si="10"/>
        <v>Yes</v>
      </c>
      <c r="O60" s="9">
        <f t="shared" ca="1" si="8"/>
        <v>29348</v>
      </c>
      <c r="P60" s="9"/>
    </row>
    <row r="61" spans="1:16" x14ac:dyDescent="0.3">
      <c r="A61" s="18"/>
      <c r="B61" s="9" t="str">
        <v>Willis Fowlkes</v>
      </c>
      <c r="C61" s="19">
        <v>45763</v>
      </c>
      <c r="D61" s="19">
        <v>45950</v>
      </c>
      <c r="E61" s="20" t="str">
        <v>Genpact</v>
      </c>
      <c r="F61" s="20">
        <v>380</v>
      </c>
      <c r="G61" s="20" t="str">
        <v>JPC - 225025</v>
      </c>
      <c r="H61" s="15" t="str">
        <v>Contract</v>
      </c>
      <c r="I61" s="21">
        <v>101.39999999999999</v>
      </c>
      <c r="J61" s="9">
        <v>8.4499999999999993</v>
      </c>
      <c r="K61" s="9">
        <v>12</v>
      </c>
      <c r="L61" s="9" t="str">
        <v>Active</v>
      </c>
      <c r="M61" s="9">
        <f t="shared" ca="1" si="9"/>
        <v>187</v>
      </c>
      <c r="N61" s="9" t="str">
        <f t="shared" ca="1" si="10"/>
        <v>Yes</v>
      </c>
      <c r="O61" s="9">
        <f t="shared" ca="1" si="8"/>
        <v>405.6</v>
      </c>
      <c r="P61" s="9"/>
    </row>
    <row r="62" spans="1:16" x14ac:dyDescent="0.3">
      <c r="A62" s="18"/>
      <c r="B62" s="9" t="str">
        <v>Blesson Varghese Thomas</v>
      </c>
      <c r="C62" s="19">
        <v>45763</v>
      </c>
      <c r="D62" s="19" t="str">
        <v>NA</v>
      </c>
      <c r="E62" s="20" t="str">
        <v>Genpact</v>
      </c>
      <c r="F62" s="20">
        <v>367</v>
      </c>
      <c r="G62" s="20" t="str">
        <v>JPC - 225026</v>
      </c>
      <c r="H62" s="15" t="str">
        <v>Contract</v>
      </c>
      <c r="I62" s="21">
        <v>9288</v>
      </c>
      <c r="J62" s="9">
        <v>9</v>
      </c>
      <c r="K62" s="9">
        <v>1032</v>
      </c>
      <c r="L62" s="9" t="str">
        <v>Active</v>
      </c>
      <c r="M62" s="9">
        <f t="shared" ca="1" si="9"/>
        <v>282</v>
      </c>
      <c r="N62" s="9" t="str">
        <f t="shared" ca="1" si="10"/>
        <v>Yes</v>
      </c>
      <c r="O62" s="9">
        <f t="shared" ca="1" si="8"/>
        <v>37152</v>
      </c>
      <c r="P62" s="9"/>
    </row>
    <row r="63" spans="1:16" x14ac:dyDescent="0.3">
      <c r="A63" s="18"/>
      <c r="B63" s="9" t="str">
        <v>Edouard Roberto Adjovi</v>
      </c>
      <c r="C63" s="19">
        <v>45943</v>
      </c>
      <c r="D63" s="19" t="str">
        <v>NA</v>
      </c>
      <c r="E63" s="20" t="str">
        <v>Genpact</v>
      </c>
      <c r="F63" s="20">
        <v>211</v>
      </c>
      <c r="G63" s="20" t="str">
        <v>JPC - 225143</v>
      </c>
      <c r="H63" s="15" t="str">
        <v>Contract</v>
      </c>
      <c r="I63" s="21">
        <v>1824</v>
      </c>
      <c r="J63" s="9">
        <v>2</v>
      </c>
      <c r="K63" s="9">
        <v>912</v>
      </c>
      <c r="L63" s="9" t="str">
        <v>Active</v>
      </c>
      <c r="M63" s="9">
        <f t="shared" ca="1" si="9"/>
        <v>102</v>
      </c>
      <c r="N63" s="9" t="str">
        <f t="shared" ca="1" si="10"/>
        <v>Yes</v>
      </c>
      <c r="O63" s="9">
        <f t="shared" ca="1" si="8"/>
        <v>7296</v>
      </c>
      <c r="P63" s="9"/>
    </row>
    <row r="64" spans="1:16" x14ac:dyDescent="0.3">
      <c r="A64" s="18"/>
      <c r="B64" s="9" t="str">
        <v>Shannon Michelle Cook</v>
      </c>
      <c r="C64" s="19">
        <v>45943</v>
      </c>
      <c r="D64" s="19" t="str">
        <v>NA</v>
      </c>
      <c r="E64" s="20" t="str">
        <v>Genpact</v>
      </c>
      <c r="F64" s="20">
        <v>438</v>
      </c>
      <c r="G64" s="20" t="str">
        <v>JPC - 225148</v>
      </c>
      <c r="H64" s="15" t="str">
        <v>Contract</v>
      </c>
      <c r="I64" s="21">
        <v>6192</v>
      </c>
      <c r="J64" s="9">
        <v>9</v>
      </c>
      <c r="K64" s="9">
        <v>688</v>
      </c>
      <c r="L64" s="9" t="str">
        <v>Pending</v>
      </c>
      <c r="M64" s="9">
        <f t="shared" ca="1" si="9"/>
        <v>102</v>
      </c>
      <c r="N64" s="9" t="str">
        <f t="shared" ca="1" si="10"/>
        <v>NO</v>
      </c>
      <c r="O64" s="9">
        <f t="shared" ca="1" si="8"/>
        <v>0</v>
      </c>
      <c r="P64" s="9"/>
    </row>
    <row r="65" spans="1:16" x14ac:dyDescent="0.3">
      <c r="A65" s="18"/>
      <c r="B65" s="9" t="str">
        <v>Moses Bukenya</v>
      </c>
      <c r="C65" s="19">
        <v>45952</v>
      </c>
      <c r="D65" s="19" t="str">
        <v>NA</v>
      </c>
      <c r="E65" s="20" t="str">
        <v>Genpact</v>
      </c>
      <c r="F65" s="20">
        <v>289</v>
      </c>
      <c r="G65" s="20" t="str">
        <v>JPC - 225158</v>
      </c>
      <c r="H65" s="15" t="str">
        <v>Contract</v>
      </c>
      <c r="I65" s="21">
        <v>848</v>
      </c>
      <c r="J65" s="9">
        <v>2</v>
      </c>
      <c r="K65" s="9">
        <v>424</v>
      </c>
      <c r="L65" s="9" t="str">
        <v>Active</v>
      </c>
      <c r="M65" s="9">
        <f t="shared" ca="1" si="9"/>
        <v>93</v>
      </c>
      <c r="N65" s="9" t="str">
        <f t="shared" ca="1" si="10"/>
        <v>Yes</v>
      </c>
      <c r="O65" s="9">
        <f t="shared" ca="1" si="8"/>
        <v>3392.0000000000005</v>
      </c>
      <c r="P65" s="9"/>
    </row>
    <row r="66" spans="1:16" x14ac:dyDescent="0.3">
      <c r="A66" s="18"/>
      <c r="B66" s="9" t="str">
        <v>Jonathan Papay</v>
      </c>
      <c r="C66" s="19">
        <v>45713</v>
      </c>
      <c r="D66" s="19" t="str">
        <v>NA</v>
      </c>
      <c r="E66" s="20" t="str">
        <v>WNS</v>
      </c>
      <c r="F66" s="20">
        <v>354</v>
      </c>
      <c r="G66" s="20" t="str">
        <v>JPC - 225216</v>
      </c>
      <c r="H66" s="15" t="str">
        <v>FTE</v>
      </c>
      <c r="I66" s="21">
        <v>4576</v>
      </c>
      <c r="J66" s="9" t="str">
        <v>NA</v>
      </c>
      <c r="K66" s="9" t="str">
        <v>NA</v>
      </c>
      <c r="L66" s="9" t="str">
        <v>Done</v>
      </c>
      <c r="M66" s="9">
        <f t="shared" ca="1" si="9"/>
        <v>332</v>
      </c>
      <c r="N66" s="9" t="str">
        <f t="shared" ca="1" si="10"/>
        <v>Yes</v>
      </c>
      <c r="O66" s="9">
        <f t="shared" ca="1" si="8"/>
        <v>18304</v>
      </c>
      <c r="P66" s="9"/>
    </row>
    <row r="67" spans="1:16" x14ac:dyDescent="0.3">
      <c r="A67" s="18"/>
      <c r="B67" s="9" t="str">
        <v>Shermal Thomas</v>
      </c>
      <c r="C67" s="19">
        <v>45705</v>
      </c>
      <c r="D67" s="9" t="str">
        <v>NA</v>
      </c>
      <c r="E67" s="20" t="str">
        <v>WNS</v>
      </c>
      <c r="F67" s="20">
        <v>315</v>
      </c>
      <c r="G67" s="20" t="str">
        <v>JPC - 225219</v>
      </c>
      <c r="H67" s="15" t="str">
        <v>FTE</v>
      </c>
      <c r="I67" s="21">
        <v>0</v>
      </c>
      <c r="J67" s="9" t="str">
        <v>NA</v>
      </c>
      <c r="K67" s="9" t="str">
        <v>NA</v>
      </c>
      <c r="L67" s="9" t="str">
        <v>Done</v>
      </c>
      <c r="M67" s="9">
        <f t="shared" ca="1" si="9"/>
        <v>340</v>
      </c>
      <c r="N67" s="9" t="str">
        <f t="shared" ca="1" si="10"/>
        <v>Yes</v>
      </c>
      <c r="O67" s="9">
        <f t="shared" ca="1" si="8"/>
        <v>0</v>
      </c>
      <c r="P67" s="9"/>
    </row>
    <row r="68" spans="1:16" x14ac:dyDescent="0.3">
      <c r="A68" s="18"/>
      <c r="B68" s="9" t="str">
        <v>Siara Barrera</v>
      </c>
      <c r="C68" s="19">
        <v>45726</v>
      </c>
      <c r="D68" s="9" t="str">
        <v>NA</v>
      </c>
      <c r="E68" s="9" t="str">
        <v>WNS</v>
      </c>
      <c r="F68" s="9">
        <v>263</v>
      </c>
      <c r="G68" s="9" t="str">
        <v>JPC - 225223</v>
      </c>
      <c r="H68" s="9" t="str">
        <v>FTE</v>
      </c>
      <c r="I68" s="21">
        <v>4576</v>
      </c>
      <c r="J68" s="9" t="str">
        <v>NA</v>
      </c>
      <c r="K68" s="9" t="str">
        <v>NA</v>
      </c>
      <c r="L68" s="9" t="str">
        <v>Done</v>
      </c>
      <c r="M68" s="9">
        <f t="shared" ca="1" si="9"/>
        <v>319</v>
      </c>
      <c r="N68" s="9" t="str">
        <f t="shared" ca="1" si="10"/>
        <v>Yes</v>
      </c>
      <c r="O68" s="9">
        <f t="shared" ca="1" si="8"/>
        <v>18304</v>
      </c>
      <c r="P68" s="9"/>
    </row>
    <row r="69" spans="1:16" x14ac:dyDescent="0.3">
      <c r="A69" s="18"/>
      <c r="B69" s="9" t="str">
        <v>Alex Gonzalez</v>
      </c>
      <c r="C69" s="19">
        <v>45748</v>
      </c>
      <c r="D69" s="9" t="str">
        <v>NA</v>
      </c>
      <c r="E69" s="9" t="str">
        <v>WNS</v>
      </c>
      <c r="F69" s="9">
        <v>302</v>
      </c>
      <c r="G69" s="9" t="str">
        <v>JPC - 225241</v>
      </c>
      <c r="H69" s="9" t="str">
        <v>FTE</v>
      </c>
      <c r="I69" s="21">
        <v>4992</v>
      </c>
      <c r="J69" s="9" t="str">
        <v>NA</v>
      </c>
      <c r="K69" s="9" t="str">
        <v>NA</v>
      </c>
      <c r="L69" s="9" t="str">
        <v>Done</v>
      </c>
      <c r="M69" s="9">
        <f t="shared" ca="1" si="9"/>
        <v>297</v>
      </c>
      <c r="N69" s="9" t="str">
        <f t="shared" ca="1" si="10"/>
        <v>Yes</v>
      </c>
      <c r="O69" s="9">
        <f t="shared" ca="1" si="8"/>
        <v>19968</v>
      </c>
      <c r="P69" s="9"/>
    </row>
    <row r="70" spans="1:16" x14ac:dyDescent="0.3">
      <c r="A70" s="18"/>
      <c r="B70" s="9" t="str">
        <v>Yuleisa Cordova</v>
      </c>
      <c r="C70" s="19">
        <v>45748</v>
      </c>
      <c r="D70" s="9" t="str">
        <v>NA</v>
      </c>
      <c r="E70" s="9" t="str">
        <v>WNS</v>
      </c>
      <c r="F70" s="9">
        <v>354</v>
      </c>
      <c r="G70" s="9" t="str">
        <v>JPC - 225258</v>
      </c>
      <c r="H70" s="9" t="str">
        <v>FTE</v>
      </c>
      <c r="I70" s="21">
        <v>5200</v>
      </c>
      <c r="J70" s="9" t="str">
        <v>NA</v>
      </c>
      <c r="K70" s="9" t="str">
        <v>NA</v>
      </c>
      <c r="L70" s="9" t="str">
        <v>Done</v>
      </c>
      <c r="M70" s="9">
        <f t="shared" ca="1" si="9"/>
        <v>297</v>
      </c>
      <c r="N70" s="9" t="str">
        <f t="shared" ca="1" si="10"/>
        <v>Yes</v>
      </c>
      <c r="O70" s="9">
        <f t="shared" ca="1" si="8"/>
        <v>20800</v>
      </c>
      <c r="P70" s="9"/>
    </row>
    <row r="71" spans="1:16" x14ac:dyDescent="0.3">
      <c r="A71" s="18"/>
      <c r="B71" s="9" t="str">
        <v>India Pietenpol</v>
      </c>
      <c r="C71" s="19">
        <v>45797</v>
      </c>
      <c r="D71" s="9" t="str">
        <v>NA</v>
      </c>
      <c r="E71" s="9" t="str">
        <v>WNS</v>
      </c>
      <c r="F71" s="9">
        <v>250</v>
      </c>
      <c r="G71" s="9" t="str">
        <v>JPC - 225266</v>
      </c>
      <c r="H71" s="9" t="str">
        <v>FTE</v>
      </c>
      <c r="I71" s="21">
        <v>4992</v>
      </c>
      <c r="J71" s="9" t="str">
        <v>NA</v>
      </c>
      <c r="K71" s="9" t="str">
        <v>NA</v>
      </c>
      <c r="L71" s="9" t="str">
        <v>Done</v>
      </c>
      <c r="M71" s="9">
        <f t="shared" ca="1" si="9"/>
        <v>248</v>
      </c>
      <c r="N71" s="9" t="str">
        <f t="shared" ca="1" si="10"/>
        <v>Yes</v>
      </c>
      <c r="O71" s="9">
        <f t="shared" ca="1" si="8"/>
        <v>19968</v>
      </c>
      <c r="P71" s="9"/>
    </row>
    <row r="72" spans="1:16" x14ac:dyDescent="0.3">
      <c r="A72" s="18"/>
      <c r="B72" s="9" t="str">
        <v>Gaffney Neptune</v>
      </c>
      <c r="C72" s="19">
        <v>45797</v>
      </c>
      <c r="D72" s="9" t="str">
        <v>NA</v>
      </c>
      <c r="E72" s="9" t="str">
        <v>WNS</v>
      </c>
      <c r="F72" s="9">
        <v>237</v>
      </c>
      <c r="G72" s="9" t="str">
        <v>JPC - 225267</v>
      </c>
      <c r="H72" s="9" t="str">
        <v>FTE</v>
      </c>
      <c r="I72" s="21">
        <v>4992</v>
      </c>
      <c r="J72" s="9" t="str">
        <v>NA</v>
      </c>
      <c r="K72" s="9" t="str">
        <v>NA</v>
      </c>
      <c r="L72" s="9" t="str">
        <v>Done</v>
      </c>
      <c r="M72" s="9">
        <f t="shared" ca="1" si="9"/>
        <v>248</v>
      </c>
      <c r="N72" s="9" t="str">
        <f t="shared" ca="1" si="10"/>
        <v>Yes</v>
      </c>
      <c r="O72" s="9">
        <f t="shared" ca="1" si="8"/>
        <v>19968</v>
      </c>
      <c r="P72" s="9"/>
    </row>
    <row r="73" spans="1:16" x14ac:dyDescent="0.3">
      <c r="A73" s="18"/>
      <c r="B73" s="9" t="str">
        <v xml:space="preserve">Kaitlyn Caron </v>
      </c>
      <c r="C73" s="19">
        <v>45797</v>
      </c>
      <c r="D73" s="9" t="str">
        <v>NA</v>
      </c>
      <c r="E73" s="9" t="str">
        <v>WNS</v>
      </c>
      <c r="F73" s="9">
        <v>224</v>
      </c>
      <c r="G73" s="9" t="str">
        <v>JPC - 225268</v>
      </c>
      <c r="H73" s="9" t="str">
        <v>FTE</v>
      </c>
      <c r="I73" s="21">
        <v>4992</v>
      </c>
      <c r="J73" s="9" t="str">
        <v>NA</v>
      </c>
      <c r="K73" s="9" t="str">
        <v>NA</v>
      </c>
      <c r="L73" s="9" t="str">
        <v>Done</v>
      </c>
      <c r="M73" s="9">
        <f t="shared" ca="1" si="9"/>
        <v>248</v>
      </c>
      <c r="N73" s="9" t="str">
        <f t="shared" ca="1" si="10"/>
        <v>Yes</v>
      </c>
      <c r="O73" s="9">
        <f t="shared" ca="1" si="8"/>
        <v>19968</v>
      </c>
      <c r="P73" s="9"/>
    </row>
    <row r="74" spans="1:16" x14ac:dyDescent="0.3">
      <c r="A74" s="18"/>
      <c r="B74" s="9" t="str">
        <v>Jennifer My Yen To</v>
      </c>
      <c r="C74" s="19">
        <v>45922</v>
      </c>
      <c r="D74" s="9" t="str">
        <v>NA</v>
      </c>
      <c r="E74" s="9" t="str">
        <v>Tech Mahindra</v>
      </c>
      <c r="F74" s="9">
        <v>150</v>
      </c>
      <c r="G74" s="9" t="str">
        <v>JPC - 225354</v>
      </c>
      <c r="H74" s="9" t="str">
        <v>FTE</v>
      </c>
      <c r="I74" s="21">
        <v>4848.0600000000004</v>
      </c>
      <c r="J74" s="9" t="str">
        <v>NA</v>
      </c>
      <c r="K74" s="9" t="str">
        <v>NA</v>
      </c>
      <c r="L74" s="9" t="str">
        <v>Done</v>
      </c>
      <c r="M74" s="9">
        <f t="shared" ca="1" si="9"/>
        <v>123</v>
      </c>
      <c r="N74" s="9" t="str">
        <f t="shared" ca="1" si="10"/>
        <v>Yes</v>
      </c>
      <c r="O74" s="9">
        <f t="shared" ca="1" si="8"/>
        <v>19392.240000000002</v>
      </c>
      <c r="P74" s="9"/>
    </row>
    <row r="75" spans="1:16" x14ac:dyDescent="0.3">
      <c r="A75" s="18"/>
      <c r="B75" s="9"/>
      <c r="C75" s="9"/>
      <c r="D75" s="9"/>
      <c r="E75" s="9"/>
      <c r="F75" s="9"/>
      <c r="G75" s="9"/>
      <c r="H75" s="9"/>
      <c r="I75" s="21"/>
      <c r="J75" s="9"/>
      <c r="K75" s="9"/>
      <c r="L75" s="9"/>
      <c r="M75" s="9"/>
      <c r="N75" s="9"/>
      <c r="O75" s="9"/>
      <c r="P75" s="9"/>
    </row>
    <row r="76" spans="1:16" x14ac:dyDescent="0.3">
      <c r="A76" s="1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8" spans="1:16" ht="15" thickBot="1" x14ac:dyDescent="0.35"/>
    <row r="79" spans="1:16" ht="28.8" x14ac:dyDescent="0.3">
      <c r="A79" s="5" t="s">
        <v>1</v>
      </c>
      <c r="B79" s="6" t="s">
        <v>2</v>
      </c>
      <c r="C79" s="5" t="s">
        <v>3</v>
      </c>
      <c r="D79" s="5" t="s">
        <v>4</v>
      </c>
      <c r="E79" s="5" t="s">
        <v>5</v>
      </c>
      <c r="F79" s="5" t="s">
        <v>6</v>
      </c>
      <c r="G79" s="5" t="s">
        <v>7</v>
      </c>
      <c r="H79" s="5" t="s">
        <v>8</v>
      </c>
      <c r="I79" s="7" t="s">
        <v>9</v>
      </c>
      <c r="J79" s="5" t="s">
        <v>10</v>
      </c>
      <c r="K79" s="5" t="s">
        <v>11</v>
      </c>
      <c r="L79" s="5" t="s">
        <v>12</v>
      </c>
      <c r="M79" s="5" t="s">
        <v>13</v>
      </c>
      <c r="N79" s="5" t="s">
        <v>14</v>
      </c>
    </row>
    <row r="80" spans="1:16" x14ac:dyDescent="0.3">
      <c r="A80" s="9" t="str">
        <f>_xlfn.XLOOKUP($C80,'[1]Data Validation (2)'!$M$3:$M$137,'[1]Data Validation (2)'!$N$3:$N$137)</f>
        <v>Titans</v>
      </c>
      <c r="B80" s="10" t="str">
        <f>_xlfn.XLOOKUP($C80,'[1]Data Validation (2)'!$M$3:$M$137,'[1]Data Validation (2)'!$P$3:$P$137)</f>
        <v>VB0075</v>
      </c>
      <c r="C80" s="11" t="s">
        <v>33</v>
      </c>
      <c r="D80" s="9" t="str">
        <f>_xlfn.XLOOKUP($C80,'[1]Data Validation (2)'!$M$3:$M$137,'[1]Data Validation (2)'!$O$3:$O$137)</f>
        <v>Nitin Saxena</v>
      </c>
      <c r="E80" s="9">
        <f>_xlfn.XLOOKUP($C80,'[1]Ach % - L4'!$B$2:$B$214,'[1]Ach % - L4'!$E$2:$E$214)</f>
        <v>8</v>
      </c>
      <c r="F80" s="9">
        <f>_xlfn.XLOOKUP($C80,'[1]Ach % - L4'!$B$2:$B$214,'[1]Ach % - L4'!$F$2:$F$214)</f>
        <v>4</v>
      </c>
      <c r="G80" s="12">
        <f>F80/E80</f>
        <v>0.5</v>
      </c>
      <c r="H80" s="13">
        <f>SUM(I82:I102)</f>
        <v>18607</v>
      </c>
      <c r="I80" s="14">
        <f ca="1">SUMIFS($I81:$I102,$N81:$N102,"yes")</f>
        <v>18607</v>
      </c>
      <c r="J80" s="15" cm="1">
        <f t="array" ref="J80">_xlfn.IFS($G80&lt;=34%,0%,$G80&lt;=75%,3%,$G80&lt;=120%,4%,$G80&gt;120%,5%)</f>
        <v>0.03</v>
      </c>
      <c r="K80" s="13">
        <f ca="1">I80*J80</f>
        <v>558.20999999999992</v>
      </c>
      <c r="L80" s="9">
        <f ca="1">K80*80</f>
        <v>44656.799999999996</v>
      </c>
      <c r="M80" s="11">
        <f ca="1">L80*50%</f>
        <v>22328.399999999998</v>
      </c>
      <c r="N80" s="11"/>
    </row>
    <row r="81" spans="1:16" s="8" customFormat="1" ht="28.8" x14ac:dyDescent="0.3">
      <c r="A81" s="16" t="s">
        <v>3</v>
      </c>
      <c r="B81" s="16" t="s">
        <v>16</v>
      </c>
      <c r="C81" s="16" t="s">
        <v>17</v>
      </c>
      <c r="D81" s="16" t="s">
        <v>18</v>
      </c>
      <c r="E81" s="16" t="s">
        <v>19</v>
      </c>
      <c r="F81" s="17" t="s">
        <v>20</v>
      </c>
      <c r="G81" s="17" t="s">
        <v>21</v>
      </c>
      <c r="H81" s="16" t="s">
        <v>22</v>
      </c>
      <c r="I81" s="16" t="s">
        <v>8</v>
      </c>
      <c r="J81" s="16" t="s">
        <v>23</v>
      </c>
      <c r="K81" s="16" t="s">
        <v>24</v>
      </c>
      <c r="L81" s="16" t="s">
        <v>25</v>
      </c>
      <c r="M81" s="16" t="s">
        <v>26</v>
      </c>
      <c r="N81" s="16" t="s">
        <v>27</v>
      </c>
      <c r="O81" s="16" t="s">
        <v>28</v>
      </c>
      <c r="P81" s="16" t="s">
        <v>29</v>
      </c>
    </row>
    <row r="82" spans="1:16" x14ac:dyDescent="0.3">
      <c r="A82" s="18" t="str">
        <f>C80</f>
        <v>Aman Bajpai</v>
      </c>
      <c r="B82" s="9" t="str" cm="1">
        <f t="array" ref="B82:L86">IFERROR(_xlfn.CHOOSECOLS(_xlfn._xlws.FILTER('[1]L4 dummy data'!A:AS, '[1]L4 dummy data'!D:D=$C80), 3, 14, 15, 16, 44, 45, 18, 41, 27, 40, 42), "")</f>
        <v>Shubham Chavan</v>
      </c>
      <c r="C82" s="19">
        <v>45776</v>
      </c>
      <c r="D82" s="19">
        <v>45953</v>
      </c>
      <c r="E82" s="20" t="str">
        <v>Genpact</v>
      </c>
      <c r="F82" s="20">
        <v>354</v>
      </c>
      <c r="G82" s="20" t="str">
        <v>JPC - 225027</v>
      </c>
      <c r="H82" s="15" t="str">
        <v>Contract</v>
      </c>
      <c r="I82" s="21">
        <v>4895</v>
      </c>
      <c r="J82" s="9">
        <v>5</v>
      </c>
      <c r="K82" s="9">
        <v>979</v>
      </c>
      <c r="L82" s="9" t="str">
        <v>Active</v>
      </c>
      <c r="M82" s="9">
        <f ca="1">IF(D82&lt;&gt;"NA", D82 - C82, TODAY() - C82)</f>
        <v>177</v>
      </c>
      <c r="N82" s="9" t="str">
        <f ca="1">IF(OR(AND(H82="Contract",L82="Active"),AND(H82="Contract",L82="Done"),AND(H82="FTE",M82&gt;90,L82="Done")),"Yes","NO")</f>
        <v>Yes</v>
      </c>
      <c r="O82" s="9">
        <f t="shared" ref="O82:O100" ca="1" si="11">IF(N82="Yes",(I82*$J$80)*80,0)</f>
        <v>11748</v>
      </c>
      <c r="P82" s="9"/>
    </row>
    <row r="83" spans="1:16" x14ac:dyDescent="0.3">
      <c r="A83" s="18"/>
      <c r="B83" s="9" t="str">
        <v>Yolanada Nicole Jones</v>
      </c>
      <c r="C83" s="19">
        <v>45786</v>
      </c>
      <c r="D83" s="19" t="str">
        <v>NA</v>
      </c>
      <c r="E83" s="20" t="str">
        <v>Genpact</v>
      </c>
      <c r="F83" s="20">
        <v>341</v>
      </c>
      <c r="G83" s="20" t="str">
        <v>JPC - 225028</v>
      </c>
      <c r="H83" s="15" t="str">
        <v>Contract</v>
      </c>
      <c r="I83" s="21">
        <v>5472</v>
      </c>
      <c r="J83" s="9">
        <v>6</v>
      </c>
      <c r="K83" s="9">
        <v>912</v>
      </c>
      <c r="L83" s="9" t="str">
        <v>Active</v>
      </c>
      <c r="M83" s="9">
        <f t="shared" ref="M83:M100" ca="1" si="12">IF(D83&lt;&gt;"NA", D83 - C83, TODAY() - C83)</f>
        <v>259</v>
      </c>
      <c r="N83" s="9" t="str">
        <f t="shared" ref="N83:N100" ca="1" si="13">IF(OR(AND(H83="Contract",L83="Active"),AND(H83="Contract",L83="Done"),AND(H83="FTE",M83&gt;90,L83="Done")),"Yes","NO")</f>
        <v>Yes</v>
      </c>
      <c r="O83" s="9">
        <f t="shared" ca="1" si="11"/>
        <v>13132.8</v>
      </c>
      <c r="P83" s="9"/>
    </row>
    <row r="84" spans="1:16" x14ac:dyDescent="0.3">
      <c r="A84" s="18"/>
      <c r="B84" s="9" t="str">
        <v>Tash Nomiya</v>
      </c>
      <c r="C84" s="19">
        <v>45845</v>
      </c>
      <c r="D84" s="19" t="str">
        <v>NA</v>
      </c>
      <c r="E84" s="20" t="str">
        <v>Genpact</v>
      </c>
      <c r="F84" s="20">
        <v>302</v>
      </c>
      <c r="G84" s="20" t="str">
        <v>JPC - 225031</v>
      </c>
      <c r="H84" s="15" t="str">
        <v>Contract</v>
      </c>
      <c r="I84" s="21">
        <v>4240</v>
      </c>
      <c r="J84" s="9">
        <v>5</v>
      </c>
      <c r="K84" s="9">
        <v>848</v>
      </c>
      <c r="L84" s="9" t="str">
        <v>Active</v>
      </c>
      <c r="M84" s="9">
        <f t="shared" ca="1" si="12"/>
        <v>200</v>
      </c>
      <c r="N84" s="9" t="str">
        <f t="shared" ca="1" si="13"/>
        <v>Yes</v>
      </c>
      <c r="O84" s="9">
        <f t="shared" ca="1" si="11"/>
        <v>10176</v>
      </c>
      <c r="P84" s="9"/>
    </row>
    <row r="85" spans="1:16" x14ac:dyDescent="0.3">
      <c r="A85" s="18"/>
      <c r="B85" s="9" t="str">
        <v>Sharon L. Moore</v>
      </c>
      <c r="C85" s="19">
        <v>45713</v>
      </c>
      <c r="D85" s="19">
        <v>45764</v>
      </c>
      <c r="E85" s="20" t="str">
        <v>WNS</v>
      </c>
      <c r="F85" s="20">
        <v>302</v>
      </c>
      <c r="G85" s="20" t="str">
        <v>JPC - 225220</v>
      </c>
      <c r="H85" s="15" t="str">
        <v>FTE</v>
      </c>
      <c r="I85" s="21">
        <v>0</v>
      </c>
      <c r="J85" s="9" t="str">
        <v>NA</v>
      </c>
      <c r="K85" s="9" t="str">
        <v>NA</v>
      </c>
      <c r="L85" s="9" t="str">
        <v>Done</v>
      </c>
      <c r="M85" s="9">
        <f t="shared" ca="1" si="12"/>
        <v>51</v>
      </c>
      <c r="N85" s="9" t="str">
        <f t="shared" ca="1" si="13"/>
        <v>NO</v>
      </c>
      <c r="O85" s="9">
        <f t="shared" ca="1" si="11"/>
        <v>0</v>
      </c>
      <c r="P85" s="9"/>
    </row>
    <row r="86" spans="1:16" x14ac:dyDescent="0.3">
      <c r="A86" s="18"/>
      <c r="B86" s="9" t="str">
        <v>Carla Hicks</v>
      </c>
      <c r="C86" s="19">
        <v>45880</v>
      </c>
      <c r="D86" s="19" t="str">
        <v>NA</v>
      </c>
      <c r="E86" s="20" t="str">
        <v>Xceedence</v>
      </c>
      <c r="F86" s="20">
        <v>150</v>
      </c>
      <c r="G86" s="20" t="str">
        <v>JPC - 225312</v>
      </c>
      <c r="H86" s="15" t="str">
        <v>FTE</v>
      </c>
      <c r="I86" s="21">
        <v>4000</v>
      </c>
      <c r="J86" s="9" t="str">
        <v>NA</v>
      </c>
      <c r="K86" s="9" t="str">
        <v>NA</v>
      </c>
      <c r="L86" s="9" t="str">
        <v>Done</v>
      </c>
      <c r="M86" s="9">
        <f t="shared" ca="1" si="12"/>
        <v>165</v>
      </c>
      <c r="N86" s="9" t="str">
        <f t="shared" ca="1" si="13"/>
        <v>Yes</v>
      </c>
      <c r="O86" s="9">
        <f t="shared" ca="1" si="11"/>
        <v>9600</v>
      </c>
      <c r="P86" s="9"/>
    </row>
    <row r="87" spans="1:16" x14ac:dyDescent="0.3">
      <c r="A87" s="18"/>
      <c r="B87" s="9"/>
      <c r="C87" s="19"/>
      <c r="D87" s="19"/>
      <c r="E87" s="20"/>
      <c r="F87" s="20"/>
      <c r="G87" s="20"/>
      <c r="H87" s="15"/>
      <c r="I87" s="21"/>
      <c r="J87" s="9"/>
      <c r="K87" s="9"/>
      <c r="L87" s="9"/>
      <c r="M87" s="9">
        <f t="shared" ca="1" si="12"/>
        <v>0</v>
      </c>
      <c r="N87" s="9" t="str">
        <f t="shared" ca="1" si="13"/>
        <v>NO</v>
      </c>
      <c r="O87" s="9">
        <f t="shared" ca="1" si="11"/>
        <v>0</v>
      </c>
      <c r="P87" s="9"/>
    </row>
    <row r="88" spans="1:16" x14ac:dyDescent="0.3">
      <c r="A88" s="18"/>
      <c r="B88" s="9"/>
      <c r="C88" s="19"/>
      <c r="D88" s="19"/>
      <c r="E88" s="20"/>
      <c r="F88" s="20"/>
      <c r="G88" s="20"/>
      <c r="H88" s="15"/>
      <c r="I88" s="21"/>
      <c r="J88" s="9"/>
      <c r="K88" s="9"/>
      <c r="L88" s="9"/>
      <c r="M88" s="9">
        <f t="shared" ca="1" si="12"/>
        <v>0</v>
      </c>
      <c r="N88" s="9" t="str">
        <f t="shared" ca="1" si="13"/>
        <v>NO</v>
      </c>
      <c r="O88" s="9">
        <f t="shared" ca="1" si="11"/>
        <v>0</v>
      </c>
      <c r="P88" s="9"/>
    </row>
    <row r="89" spans="1:16" x14ac:dyDescent="0.3">
      <c r="A89" s="18"/>
      <c r="B89" s="9"/>
      <c r="C89" s="19"/>
      <c r="D89" s="19"/>
      <c r="E89" s="20"/>
      <c r="F89" s="20"/>
      <c r="G89" s="20"/>
      <c r="H89" s="15"/>
      <c r="I89" s="21"/>
      <c r="J89" s="9"/>
      <c r="K89" s="9"/>
      <c r="L89" s="9"/>
      <c r="M89" s="9">
        <f t="shared" ca="1" si="12"/>
        <v>0</v>
      </c>
      <c r="N89" s="9" t="str">
        <f t="shared" ca="1" si="13"/>
        <v>NO</v>
      </c>
      <c r="O89" s="9">
        <f t="shared" ca="1" si="11"/>
        <v>0</v>
      </c>
      <c r="P89" s="9"/>
    </row>
    <row r="90" spans="1:16" x14ac:dyDescent="0.3">
      <c r="A90" s="18"/>
      <c r="B90" s="9"/>
      <c r="C90" s="19"/>
      <c r="D90" s="19"/>
      <c r="E90" s="20"/>
      <c r="F90" s="20"/>
      <c r="G90" s="20"/>
      <c r="H90" s="15"/>
      <c r="I90" s="21"/>
      <c r="J90" s="9"/>
      <c r="K90" s="9"/>
      <c r="L90" s="9"/>
      <c r="M90" s="9">
        <f t="shared" ca="1" si="12"/>
        <v>0</v>
      </c>
      <c r="N90" s="9" t="str">
        <f t="shared" ca="1" si="13"/>
        <v>NO</v>
      </c>
      <c r="O90" s="9">
        <f t="shared" ca="1" si="11"/>
        <v>0</v>
      </c>
      <c r="P90" s="9"/>
    </row>
    <row r="91" spans="1:16" x14ac:dyDescent="0.3">
      <c r="A91" s="18"/>
      <c r="B91" s="9"/>
      <c r="C91" s="19"/>
      <c r="D91" s="19"/>
      <c r="E91" s="20"/>
      <c r="F91" s="20"/>
      <c r="G91" s="20"/>
      <c r="H91" s="15"/>
      <c r="I91" s="21"/>
      <c r="J91" s="9"/>
      <c r="K91" s="9"/>
      <c r="L91" s="9"/>
      <c r="M91" s="9">
        <f t="shared" ca="1" si="12"/>
        <v>0</v>
      </c>
      <c r="N91" s="9" t="str">
        <f t="shared" ca="1" si="13"/>
        <v>NO</v>
      </c>
      <c r="O91" s="9">
        <f t="shared" ca="1" si="11"/>
        <v>0</v>
      </c>
      <c r="P91" s="9"/>
    </row>
    <row r="92" spans="1:16" x14ac:dyDescent="0.3">
      <c r="A92" s="18"/>
      <c r="B92" s="9"/>
      <c r="C92" s="19"/>
      <c r="D92" s="19"/>
      <c r="E92" s="20"/>
      <c r="F92" s="20"/>
      <c r="G92" s="20"/>
      <c r="H92" s="15"/>
      <c r="I92" s="21"/>
      <c r="J92" s="9"/>
      <c r="K92" s="9"/>
      <c r="L92" s="9"/>
      <c r="M92" s="9">
        <f t="shared" ca="1" si="12"/>
        <v>0</v>
      </c>
      <c r="N92" s="9" t="str">
        <f t="shared" ca="1" si="13"/>
        <v>NO</v>
      </c>
      <c r="O92" s="9">
        <f t="shared" ca="1" si="11"/>
        <v>0</v>
      </c>
      <c r="P92" s="9"/>
    </row>
    <row r="93" spans="1:16" x14ac:dyDescent="0.3">
      <c r="A93" s="18"/>
      <c r="B93" s="9"/>
      <c r="C93" s="19"/>
      <c r="D93" s="9"/>
      <c r="E93" s="20"/>
      <c r="F93" s="20"/>
      <c r="G93" s="20"/>
      <c r="H93" s="15"/>
      <c r="I93" s="21"/>
      <c r="J93" s="9"/>
      <c r="K93" s="9"/>
      <c r="L93" s="9"/>
      <c r="M93" s="9">
        <f t="shared" ca="1" si="12"/>
        <v>0</v>
      </c>
      <c r="N93" s="9" t="str">
        <f t="shared" ca="1" si="13"/>
        <v>NO</v>
      </c>
      <c r="O93" s="9">
        <f t="shared" ca="1" si="11"/>
        <v>0</v>
      </c>
      <c r="P93" s="9"/>
    </row>
    <row r="94" spans="1:16" x14ac:dyDescent="0.3">
      <c r="A94" s="18"/>
      <c r="B94" s="9"/>
      <c r="C94" s="19"/>
      <c r="D94" s="9"/>
      <c r="E94" s="9"/>
      <c r="F94" s="9"/>
      <c r="G94" s="9"/>
      <c r="H94" s="9"/>
      <c r="I94" s="21"/>
      <c r="J94" s="9"/>
      <c r="K94" s="9"/>
      <c r="L94" s="9"/>
      <c r="M94" s="9">
        <f t="shared" ca="1" si="12"/>
        <v>0</v>
      </c>
      <c r="N94" s="9" t="str">
        <f t="shared" ca="1" si="13"/>
        <v>NO</v>
      </c>
      <c r="O94" s="9">
        <f t="shared" ca="1" si="11"/>
        <v>0</v>
      </c>
      <c r="P94" s="9"/>
    </row>
    <row r="95" spans="1:16" x14ac:dyDescent="0.3">
      <c r="A95" s="18"/>
      <c r="B95" s="9"/>
      <c r="C95" s="19"/>
      <c r="D95" s="9"/>
      <c r="E95" s="9"/>
      <c r="F95" s="9"/>
      <c r="G95" s="9"/>
      <c r="H95" s="9"/>
      <c r="I95" s="21"/>
      <c r="J95" s="9"/>
      <c r="K95" s="9"/>
      <c r="L95" s="9"/>
      <c r="M95" s="9">
        <f t="shared" ca="1" si="12"/>
        <v>0</v>
      </c>
      <c r="N95" s="9" t="str">
        <f t="shared" ca="1" si="13"/>
        <v>NO</v>
      </c>
      <c r="O95" s="9">
        <f t="shared" ca="1" si="11"/>
        <v>0</v>
      </c>
      <c r="P95" s="9"/>
    </row>
    <row r="96" spans="1:16" x14ac:dyDescent="0.3">
      <c r="A96" s="18"/>
      <c r="B96" s="9"/>
      <c r="C96" s="19"/>
      <c r="D96" s="9"/>
      <c r="E96" s="9"/>
      <c r="F96" s="9"/>
      <c r="G96" s="9"/>
      <c r="H96" s="9"/>
      <c r="I96" s="21"/>
      <c r="J96" s="9"/>
      <c r="K96" s="9"/>
      <c r="L96" s="9"/>
      <c r="M96" s="9">
        <f t="shared" ca="1" si="12"/>
        <v>0</v>
      </c>
      <c r="N96" s="9" t="str">
        <f t="shared" ca="1" si="13"/>
        <v>NO</v>
      </c>
      <c r="O96" s="9">
        <f t="shared" ca="1" si="11"/>
        <v>0</v>
      </c>
      <c r="P96" s="9"/>
    </row>
    <row r="97" spans="1:16" x14ac:dyDescent="0.3">
      <c r="A97" s="18"/>
      <c r="B97" s="9"/>
      <c r="C97" s="19"/>
      <c r="D97" s="9"/>
      <c r="E97" s="9"/>
      <c r="F97" s="9"/>
      <c r="G97" s="9"/>
      <c r="H97" s="9"/>
      <c r="I97" s="21"/>
      <c r="J97" s="9"/>
      <c r="K97" s="9"/>
      <c r="L97" s="9"/>
      <c r="M97" s="9">
        <f t="shared" ca="1" si="12"/>
        <v>0</v>
      </c>
      <c r="N97" s="9" t="str">
        <f t="shared" ca="1" si="13"/>
        <v>NO</v>
      </c>
      <c r="O97" s="9">
        <f t="shared" ca="1" si="11"/>
        <v>0</v>
      </c>
      <c r="P97" s="9"/>
    </row>
    <row r="98" spans="1:16" x14ac:dyDescent="0.3">
      <c r="A98" s="18"/>
      <c r="B98" s="9"/>
      <c r="C98" s="19"/>
      <c r="D98" s="9"/>
      <c r="E98" s="9"/>
      <c r="F98" s="9"/>
      <c r="G98" s="9"/>
      <c r="H98" s="9"/>
      <c r="I98" s="21"/>
      <c r="J98" s="9"/>
      <c r="K98" s="9"/>
      <c r="L98" s="9"/>
      <c r="M98" s="9">
        <f t="shared" ca="1" si="12"/>
        <v>0</v>
      </c>
      <c r="N98" s="9" t="str">
        <f t="shared" ca="1" si="13"/>
        <v>NO</v>
      </c>
      <c r="O98" s="9">
        <f t="shared" ca="1" si="11"/>
        <v>0</v>
      </c>
      <c r="P98" s="9"/>
    </row>
    <row r="99" spans="1:16" x14ac:dyDescent="0.3">
      <c r="A99" s="18"/>
      <c r="B99" s="9"/>
      <c r="C99" s="19"/>
      <c r="D99" s="9"/>
      <c r="E99" s="9"/>
      <c r="F99" s="9"/>
      <c r="G99" s="9"/>
      <c r="H99" s="9"/>
      <c r="I99" s="21"/>
      <c r="J99" s="9"/>
      <c r="K99" s="9"/>
      <c r="L99" s="9"/>
      <c r="M99" s="9">
        <f t="shared" ca="1" si="12"/>
        <v>0</v>
      </c>
      <c r="N99" s="9" t="str">
        <f t="shared" ca="1" si="13"/>
        <v>NO</v>
      </c>
      <c r="O99" s="9">
        <f t="shared" ca="1" si="11"/>
        <v>0</v>
      </c>
      <c r="P99" s="9"/>
    </row>
    <row r="100" spans="1:16" x14ac:dyDescent="0.3">
      <c r="A100" s="18"/>
      <c r="B100" s="9"/>
      <c r="C100" s="19"/>
      <c r="D100" s="9"/>
      <c r="E100" s="9"/>
      <c r="F100" s="9"/>
      <c r="G100" s="9"/>
      <c r="H100" s="9"/>
      <c r="I100" s="21"/>
      <c r="J100" s="9"/>
      <c r="K100" s="9"/>
      <c r="L100" s="9"/>
      <c r="M100" s="9">
        <f t="shared" ca="1" si="12"/>
        <v>0</v>
      </c>
      <c r="N100" s="9" t="str">
        <f t="shared" ca="1" si="13"/>
        <v>NO</v>
      </c>
      <c r="O100" s="9">
        <f t="shared" ca="1" si="11"/>
        <v>0</v>
      </c>
      <c r="P100" s="9"/>
    </row>
    <row r="101" spans="1:16" x14ac:dyDescent="0.3">
      <c r="A101" s="18"/>
      <c r="B101" s="9"/>
      <c r="C101" s="9"/>
      <c r="D101" s="9"/>
      <c r="E101" s="9"/>
      <c r="F101" s="9"/>
      <c r="G101" s="9"/>
      <c r="H101" s="9"/>
      <c r="I101" s="21"/>
      <c r="J101" s="9"/>
      <c r="K101" s="9"/>
      <c r="L101" s="9"/>
      <c r="M101" s="9"/>
      <c r="N101" s="9"/>
      <c r="O101" s="9"/>
      <c r="P101" s="9"/>
    </row>
    <row r="102" spans="1:16" x14ac:dyDescent="0.3">
      <c r="A102" s="1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</row>
    <row r="104" spans="1:16" ht="15" thickBot="1" x14ac:dyDescent="0.35"/>
    <row r="105" spans="1:16" ht="28.8" x14ac:dyDescent="0.3">
      <c r="A105" s="5" t="s">
        <v>1</v>
      </c>
      <c r="B105" s="6" t="s">
        <v>2</v>
      </c>
      <c r="C105" s="5" t="s">
        <v>3</v>
      </c>
      <c r="D105" s="5" t="s">
        <v>4</v>
      </c>
      <c r="E105" s="5" t="s">
        <v>5</v>
      </c>
      <c r="F105" s="5" t="s">
        <v>6</v>
      </c>
      <c r="G105" s="5" t="s">
        <v>7</v>
      </c>
      <c r="H105" s="5" t="s">
        <v>8</v>
      </c>
      <c r="I105" s="7" t="s">
        <v>9</v>
      </c>
      <c r="J105" s="5" t="s">
        <v>10</v>
      </c>
      <c r="K105" s="5" t="s">
        <v>11</v>
      </c>
      <c r="L105" s="5" t="s">
        <v>12</v>
      </c>
      <c r="M105" s="5" t="s">
        <v>13</v>
      </c>
      <c r="N105" s="5" t="s">
        <v>14</v>
      </c>
    </row>
    <row r="106" spans="1:16" x14ac:dyDescent="0.3">
      <c r="A106" s="9" t="str">
        <f>_xlfn.XLOOKUP($C106,'[1]Data Validation (2)'!$M$3:$M$137,'[1]Data Validation (2)'!$N$3:$N$137)</f>
        <v>Titans</v>
      </c>
      <c r="B106" s="10" t="str">
        <f>_xlfn.XLOOKUP($C106,'[1]Data Validation (2)'!$M$3:$M$137,'[1]Data Validation (2)'!$P$3:$P$137)</f>
        <v>VB0076</v>
      </c>
      <c r="C106" s="11" t="s">
        <v>34</v>
      </c>
      <c r="D106" s="9" t="str">
        <f>_xlfn.XLOOKUP($C106,'[1]Data Validation (2)'!$M$3:$M$137,'[1]Data Validation (2)'!$O$3:$O$137)</f>
        <v>Nitin Saxena</v>
      </c>
      <c r="E106" s="9">
        <f>_xlfn.XLOOKUP($C106,'[1]Ach % - L4'!$B$2:$B$214,'[1]Ach % - L4'!$E$2:$E$214)</f>
        <v>5</v>
      </c>
      <c r="F106" s="9">
        <f>_xlfn.XLOOKUP($C106,'[1]Ach % - L4'!$B$2:$B$214,'[1]Ach % - L4'!$F$2:$F$214)</f>
        <v>1</v>
      </c>
      <c r="G106" s="12">
        <f>F106/E106</f>
        <v>0.2</v>
      </c>
      <c r="H106" s="13">
        <f>SUM(I108:I128)</f>
        <v>824</v>
      </c>
      <c r="I106" s="14">
        <f ca="1">SUMIFS($I107:$I128,$N107:$N128,"yes")</f>
        <v>824</v>
      </c>
      <c r="J106" s="15" cm="1">
        <f t="array" ref="J106">_xlfn.IFS($G106&lt;=34%,0%,$G106&lt;=75%,3%,$G106&lt;=120%,4%,$G106&gt;120%,5%)</f>
        <v>0</v>
      </c>
      <c r="K106" s="13">
        <f ca="1">I106*J106</f>
        <v>0</v>
      </c>
      <c r="L106" s="9">
        <f ca="1">K106*80</f>
        <v>0</v>
      </c>
      <c r="M106" s="11">
        <f ca="1">L106*50%</f>
        <v>0</v>
      </c>
      <c r="N106" s="11"/>
    </row>
    <row r="107" spans="1:16" s="8" customFormat="1" ht="28.8" x14ac:dyDescent="0.3">
      <c r="A107" s="16" t="s">
        <v>3</v>
      </c>
      <c r="B107" s="16" t="s">
        <v>16</v>
      </c>
      <c r="C107" s="16" t="s">
        <v>17</v>
      </c>
      <c r="D107" s="16" t="s">
        <v>18</v>
      </c>
      <c r="E107" s="16" t="s">
        <v>19</v>
      </c>
      <c r="F107" s="17" t="s">
        <v>20</v>
      </c>
      <c r="G107" s="17" t="s">
        <v>21</v>
      </c>
      <c r="H107" s="16" t="s">
        <v>22</v>
      </c>
      <c r="I107" s="16" t="s">
        <v>8</v>
      </c>
      <c r="J107" s="16" t="s">
        <v>23</v>
      </c>
      <c r="K107" s="16" t="s">
        <v>24</v>
      </c>
      <c r="L107" s="16" t="s">
        <v>25</v>
      </c>
      <c r="M107" s="16" t="s">
        <v>26</v>
      </c>
      <c r="N107" s="16" t="s">
        <v>27</v>
      </c>
      <c r="O107" s="16" t="s">
        <v>28</v>
      </c>
      <c r="P107" s="16" t="s">
        <v>29</v>
      </c>
    </row>
    <row r="108" spans="1:16" x14ac:dyDescent="0.3">
      <c r="A108" s="18" t="str">
        <f>C106</f>
        <v>Anshita Dwivedi</v>
      </c>
      <c r="B108" s="9" t="str" cm="1">
        <f t="array" ref="B108:L108">IFERROR(_xlfn.CHOOSECOLS(_xlfn._xlws.FILTER('[1]L4 dummy data'!A:AS, '[1]L4 dummy data'!D:D=$C106), 3, 14, 15, 16, 44, 45, 18, 41, 27, 40, 42), "")</f>
        <v>Eric Kaser</v>
      </c>
      <c r="C108" s="19">
        <v>45754</v>
      </c>
      <c r="D108" s="19">
        <v>45868</v>
      </c>
      <c r="E108" s="20" t="str">
        <v>Genpact</v>
      </c>
      <c r="F108" s="20">
        <v>406</v>
      </c>
      <c r="G108" s="20" t="str">
        <v>JPC - 225023</v>
      </c>
      <c r="H108" s="15" t="str">
        <v>Contract</v>
      </c>
      <c r="I108" s="21">
        <v>824</v>
      </c>
      <c r="J108" s="9">
        <v>1</v>
      </c>
      <c r="K108" s="9">
        <v>824</v>
      </c>
      <c r="L108" s="9" t="str">
        <v>Active</v>
      </c>
      <c r="M108" s="9">
        <f ca="1">IF(D108&lt;&gt;"NA", D108 - C108, TODAY() - C108)</f>
        <v>114</v>
      </c>
      <c r="N108" s="9" t="str">
        <f ca="1">IF(OR(AND(H108="Contract",L108="Active"),AND(H108="Contract",L108="Done"),AND(H108="FTE",M108&gt;90,L108="Done")),"Yes","NO")</f>
        <v>Yes</v>
      </c>
      <c r="O108" s="9">
        <f t="shared" ref="O108:O126" ca="1" si="14">IF(N108="Yes",(I108*$J$106)*80,0)</f>
        <v>0</v>
      </c>
      <c r="P108" s="9"/>
    </row>
    <row r="109" spans="1:16" x14ac:dyDescent="0.3">
      <c r="A109" s="18"/>
      <c r="B109" s="9"/>
      <c r="C109" s="19"/>
      <c r="D109" s="19"/>
      <c r="E109" s="20"/>
      <c r="F109" s="20"/>
      <c r="G109" s="20"/>
      <c r="H109" s="15"/>
      <c r="I109" s="21"/>
      <c r="J109" s="9"/>
      <c r="K109" s="9"/>
      <c r="L109" s="9"/>
      <c r="M109" s="9">
        <f t="shared" ref="M109:M126" ca="1" si="15">IF(D109&lt;&gt;"NA", D109 - C109, TODAY() - C109)</f>
        <v>0</v>
      </c>
      <c r="N109" s="9" t="str">
        <f t="shared" ref="N109:N126" ca="1" si="16">IF(OR(AND(H109="Contract",L109="Active"),AND(H109="Contract",L109="Done"),AND(H109="FTE",M109&gt;90,L109="Done")),"Yes","NO")</f>
        <v>NO</v>
      </c>
      <c r="O109" s="9">
        <f t="shared" ca="1" si="14"/>
        <v>0</v>
      </c>
      <c r="P109" s="9"/>
    </row>
    <row r="110" spans="1:16" x14ac:dyDescent="0.3">
      <c r="A110" s="18"/>
      <c r="B110" s="9"/>
      <c r="C110" s="19"/>
      <c r="D110" s="19"/>
      <c r="E110" s="20"/>
      <c r="F110" s="20"/>
      <c r="G110" s="20"/>
      <c r="H110" s="15"/>
      <c r="I110" s="21"/>
      <c r="J110" s="9"/>
      <c r="K110" s="9"/>
      <c r="L110" s="9"/>
      <c r="M110" s="9">
        <f t="shared" ca="1" si="15"/>
        <v>0</v>
      </c>
      <c r="N110" s="9" t="str">
        <f t="shared" ca="1" si="16"/>
        <v>NO</v>
      </c>
      <c r="O110" s="9">
        <f t="shared" ca="1" si="14"/>
        <v>0</v>
      </c>
      <c r="P110" s="9"/>
    </row>
    <row r="111" spans="1:16" x14ac:dyDescent="0.3">
      <c r="A111" s="18"/>
      <c r="B111" s="9"/>
      <c r="C111" s="19"/>
      <c r="D111" s="19"/>
      <c r="E111" s="20"/>
      <c r="F111" s="20"/>
      <c r="G111" s="20"/>
      <c r="H111" s="15"/>
      <c r="I111" s="21"/>
      <c r="J111" s="9"/>
      <c r="K111" s="9"/>
      <c r="L111" s="9"/>
      <c r="M111" s="9">
        <f t="shared" ca="1" si="15"/>
        <v>0</v>
      </c>
      <c r="N111" s="9" t="str">
        <f t="shared" ca="1" si="16"/>
        <v>NO</v>
      </c>
      <c r="O111" s="9">
        <f t="shared" ca="1" si="14"/>
        <v>0</v>
      </c>
      <c r="P111" s="9"/>
    </row>
    <row r="112" spans="1:16" x14ac:dyDescent="0.3">
      <c r="A112" s="18"/>
      <c r="B112" s="9"/>
      <c r="C112" s="19"/>
      <c r="D112" s="19"/>
      <c r="E112" s="20"/>
      <c r="F112" s="20"/>
      <c r="G112" s="20"/>
      <c r="H112" s="15"/>
      <c r="I112" s="21"/>
      <c r="J112" s="9"/>
      <c r="K112" s="9"/>
      <c r="L112" s="9"/>
      <c r="M112" s="9">
        <f t="shared" ca="1" si="15"/>
        <v>0</v>
      </c>
      <c r="N112" s="9" t="str">
        <f t="shared" ca="1" si="16"/>
        <v>NO</v>
      </c>
      <c r="O112" s="9">
        <f t="shared" ca="1" si="14"/>
        <v>0</v>
      </c>
      <c r="P112" s="9"/>
    </row>
    <row r="113" spans="1:16" x14ac:dyDescent="0.3">
      <c r="A113" s="18"/>
      <c r="B113" s="9"/>
      <c r="C113" s="19"/>
      <c r="D113" s="19"/>
      <c r="E113" s="20"/>
      <c r="F113" s="20"/>
      <c r="G113" s="20"/>
      <c r="H113" s="15"/>
      <c r="I113" s="21"/>
      <c r="J113" s="9"/>
      <c r="K113" s="9"/>
      <c r="L113" s="9"/>
      <c r="M113" s="9">
        <f t="shared" ca="1" si="15"/>
        <v>0</v>
      </c>
      <c r="N113" s="9" t="str">
        <f t="shared" ca="1" si="16"/>
        <v>NO</v>
      </c>
      <c r="O113" s="9">
        <f t="shared" ca="1" si="14"/>
        <v>0</v>
      </c>
      <c r="P113" s="9"/>
    </row>
    <row r="114" spans="1:16" x14ac:dyDescent="0.3">
      <c r="A114" s="18"/>
      <c r="B114" s="9"/>
      <c r="C114" s="19"/>
      <c r="D114" s="19"/>
      <c r="E114" s="20"/>
      <c r="F114" s="20"/>
      <c r="G114" s="20"/>
      <c r="H114" s="15"/>
      <c r="I114" s="21"/>
      <c r="J114" s="9"/>
      <c r="K114" s="9"/>
      <c r="L114" s="9"/>
      <c r="M114" s="9">
        <f t="shared" ca="1" si="15"/>
        <v>0</v>
      </c>
      <c r="N114" s="9" t="str">
        <f t="shared" ca="1" si="16"/>
        <v>NO</v>
      </c>
      <c r="O114" s="9">
        <f t="shared" ca="1" si="14"/>
        <v>0</v>
      </c>
      <c r="P114" s="9"/>
    </row>
    <row r="115" spans="1:16" x14ac:dyDescent="0.3">
      <c r="A115" s="18"/>
      <c r="B115" s="9"/>
      <c r="C115" s="19"/>
      <c r="D115" s="19"/>
      <c r="E115" s="20"/>
      <c r="F115" s="20"/>
      <c r="G115" s="20"/>
      <c r="H115" s="15"/>
      <c r="I115" s="21"/>
      <c r="J115" s="9"/>
      <c r="K115" s="9"/>
      <c r="L115" s="9"/>
      <c r="M115" s="9">
        <f t="shared" ca="1" si="15"/>
        <v>0</v>
      </c>
      <c r="N115" s="9" t="str">
        <f t="shared" ca="1" si="16"/>
        <v>NO</v>
      </c>
      <c r="O115" s="9">
        <f t="shared" ca="1" si="14"/>
        <v>0</v>
      </c>
      <c r="P115" s="9"/>
    </row>
    <row r="116" spans="1:16" x14ac:dyDescent="0.3">
      <c r="A116" s="18"/>
      <c r="B116" s="9"/>
      <c r="C116" s="19"/>
      <c r="D116" s="19"/>
      <c r="E116" s="20"/>
      <c r="F116" s="20"/>
      <c r="G116" s="20"/>
      <c r="H116" s="15"/>
      <c r="I116" s="21"/>
      <c r="J116" s="9"/>
      <c r="K116" s="9"/>
      <c r="L116" s="9"/>
      <c r="M116" s="9">
        <f t="shared" ca="1" si="15"/>
        <v>0</v>
      </c>
      <c r="N116" s="9" t="str">
        <f t="shared" ca="1" si="16"/>
        <v>NO</v>
      </c>
      <c r="O116" s="9">
        <f t="shared" ca="1" si="14"/>
        <v>0</v>
      </c>
      <c r="P116" s="9"/>
    </row>
    <row r="117" spans="1:16" x14ac:dyDescent="0.3">
      <c r="A117" s="18"/>
      <c r="B117" s="9"/>
      <c r="C117" s="19"/>
      <c r="D117" s="19"/>
      <c r="E117" s="20"/>
      <c r="F117" s="20"/>
      <c r="G117" s="20"/>
      <c r="H117" s="15"/>
      <c r="I117" s="21"/>
      <c r="J117" s="9"/>
      <c r="K117" s="9"/>
      <c r="L117" s="9"/>
      <c r="M117" s="9">
        <f t="shared" ca="1" si="15"/>
        <v>0</v>
      </c>
      <c r="N117" s="9" t="str">
        <f t="shared" ca="1" si="16"/>
        <v>NO</v>
      </c>
      <c r="O117" s="9">
        <f t="shared" ca="1" si="14"/>
        <v>0</v>
      </c>
      <c r="P117" s="9"/>
    </row>
    <row r="118" spans="1:16" x14ac:dyDescent="0.3">
      <c r="A118" s="18"/>
      <c r="B118" s="9"/>
      <c r="C118" s="19"/>
      <c r="D118" s="19"/>
      <c r="E118" s="20"/>
      <c r="F118" s="20"/>
      <c r="G118" s="20"/>
      <c r="H118" s="15"/>
      <c r="I118" s="21"/>
      <c r="J118" s="9"/>
      <c r="K118" s="9"/>
      <c r="L118" s="9"/>
      <c r="M118" s="9">
        <f t="shared" ca="1" si="15"/>
        <v>0</v>
      </c>
      <c r="N118" s="9" t="str">
        <f t="shared" ca="1" si="16"/>
        <v>NO</v>
      </c>
      <c r="O118" s="9">
        <f t="shared" ca="1" si="14"/>
        <v>0</v>
      </c>
      <c r="P118" s="9"/>
    </row>
    <row r="119" spans="1:16" x14ac:dyDescent="0.3">
      <c r="A119" s="18"/>
      <c r="B119" s="9"/>
      <c r="C119" s="19"/>
      <c r="D119" s="9"/>
      <c r="E119" s="20"/>
      <c r="F119" s="20"/>
      <c r="G119" s="20"/>
      <c r="H119" s="15"/>
      <c r="I119" s="21"/>
      <c r="J119" s="9"/>
      <c r="K119" s="9"/>
      <c r="L119" s="9"/>
      <c r="M119" s="9">
        <f t="shared" ca="1" si="15"/>
        <v>0</v>
      </c>
      <c r="N119" s="9" t="str">
        <f t="shared" ca="1" si="16"/>
        <v>NO</v>
      </c>
      <c r="O119" s="9">
        <f t="shared" ca="1" si="14"/>
        <v>0</v>
      </c>
      <c r="P119" s="9"/>
    </row>
    <row r="120" spans="1:16" x14ac:dyDescent="0.3">
      <c r="A120" s="18"/>
      <c r="B120" s="9"/>
      <c r="C120" s="19"/>
      <c r="D120" s="9"/>
      <c r="E120" s="9"/>
      <c r="F120" s="9"/>
      <c r="G120" s="9"/>
      <c r="H120" s="9"/>
      <c r="I120" s="21"/>
      <c r="J120" s="9"/>
      <c r="K120" s="9"/>
      <c r="L120" s="9"/>
      <c r="M120" s="9">
        <f t="shared" ca="1" si="15"/>
        <v>0</v>
      </c>
      <c r="N120" s="9" t="str">
        <f t="shared" ca="1" si="16"/>
        <v>NO</v>
      </c>
      <c r="O120" s="9">
        <f t="shared" ca="1" si="14"/>
        <v>0</v>
      </c>
      <c r="P120" s="9"/>
    </row>
    <row r="121" spans="1:16" x14ac:dyDescent="0.3">
      <c r="A121" s="18"/>
      <c r="B121" s="9"/>
      <c r="C121" s="19"/>
      <c r="D121" s="9"/>
      <c r="E121" s="9"/>
      <c r="F121" s="9"/>
      <c r="G121" s="9"/>
      <c r="H121" s="9"/>
      <c r="I121" s="21"/>
      <c r="J121" s="9"/>
      <c r="K121" s="9"/>
      <c r="L121" s="9"/>
      <c r="M121" s="9">
        <f t="shared" ca="1" si="15"/>
        <v>0</v>
      </c>
      <c r="N121" s="9" t="str">
        <f t="shared" ca="1" si="16"/>
        <v>NO</v>
      </c>
      <c r="O121" s="9">
        <f t="shared" ca="1" si="14"/>
        <v>0</v>
      </c>
      <c r="P121" s="9"/>
    </row>
    <row r="122" spans="1:16" x14ac:dyDescent="0.3">
      <c r="A122" s="18"/>
      <c r="B122" s="9"/>
      <c r="C122" s="19"/>
      <c r="D122" s="9"/>
      <c r="E122" s="9"/>
      <c r="F122" s="9"/>
      <c r="G122" s="9"/>
      <c r="H122" s="9"/>
      <c r="I122" s="21"/>
      <c r="J122" s="9"/>
      <c r="K122" s="9"/>
      <c r="L122" s="9"/>
      <c r="M122" s="9">
        <f t="shared" ca="1" si="15"/>
        <v>0</v>
      </c>
      <c r="N122" s="9" t="str">
        <f t="shared" ca="1" si="16"/>
        <v>NO</v>
      </c>
      <c r="O122" s="9">
        <f t="shared" ca="1" si="14"/>
        <v>0</v>
      </c>
      <c r="P122" s="9"/>
    </row>
    <row r="123" spans="1:16" x14ac:dyDescent="0.3">
      <c r="A123" s="18"/>
      <c r="B123" s="9"/>
      <c r="C123" s="19"/>
      <c r="D123" s="9"/>
      <c r="E123" s="9"/>
      <c r="F123" s="9"/>
      <c r="G123" s="9"/>
      <c r="H123" s="9"/>
      <c r="I123" s="21"/>
      <c r="J123" s="9"/>
      <c r="K123" s="9"/>
      <c r="L123" s="9"/>
      <c r="M123" s="9">
        <f t="shared" ca="1" si="15"/>
        <v>0</v>
      </c>
      <c r="N123" s="9" t="str">
        <f t="shared" ca="1" si="16"/>
        <v>NO</v>
      </c>
      <c r="O123" s="9">
        <f t="shared" ca="1" si="14"/>
        <v>0</v>
      </c>
      <c r="P123" s="9"/>
    </row>
    <row r="124" spans="1:16" x14ac:dyDescent="0.3">
      <c r="A124" s="18"/>
      <c r="B124" s="9"/>
      <c r="C124" s="19"/>
      <c r="D124" s="9"/>
      <c r="E124" s="9"/>
      <c r="F124" s="9"/>
      <c r="G124" s="9"/>
      <c r="H124" s="9"/>
      <c r="I124" s="21"/>
      <c r="J124" s="9"/>
      <c r="K124" s="9"/>
      <c r="L124" s="9"/>
      <c r="M124" s="9">
        <f t="shared" ca="1" si="15"/>
        <v>0</v>
      </c>
      <c r="N124" s="9" t="str">
        <f t="shared" ca="1" si="16"/>
        <v>NO</v>
      </c>
      <c r="O124" s="9">
        <f t="shared" ca="1" si="14"/>
        <v>0</v>
      </c>
      <c r="P124" s="9"/>
    </row>
    <row r="125" spans="1:16" x14ac:dyDescent="0.3">
      <c r="A125" s="18"/>
      <c r="B125" s="9"/>
      <c r="C125" s="19"/>
      <c r="D125" s="9"/>
      <c r="E125" s="9"/>
      <c r="F125" s="9"/>
      <c r="G125" s="9"/>
      <c r="H125" s="9"/>
      <c r="I125" s="21"/>
      <c r="J125" s="9"/>
      <c r="K125" s="9"/>
      <c r="L125" s="9"/>
      <c r="M125" s="9">
        <f t="shared" ca="1" si="15"/>
        <v>0</v>
      </c>
      <c r="N125" s="9" t="str">
        <f t="shared" ca="1" si="16"/>
        <v>NO</v>
      </c>
      <c r="O125" s="9">
        <f t="shared" ca="1" si="14"/>
        <v>0</v>
      </c>
      <c r="P125" s="9"/>
    </row>
    <row r="126" spans="1:16" x14ac:dyDescent="0.3">
      <c r="A126" s="18"/>
      <c r="B126" s="9"/>
      <c r="C126" s="19"/>
      <c r="D126" s="9"/>
      <c r="E126" s="9"/>
      <c r="F126" s="9"/>
      <c r="G126" s="9"/>
      <c r="H126" s="9"/>
      <c r="I126" s="21"/>
      <c r="J126" s="9"/>
      <c r="K126" s="9"/>
      <c r="L126" s="9"/>
      <c r="M126" s="9">
        <f t="shared" ca="1" si="15"/>
        <v>0</v>
      </c>
      <c r="N126" s="9" t="str">
        <f t="shared" ca="1" si="16"/>
        <v>NO</v>
      </c>
      <c r="O126" s="9">
        <f t="shared" ca="1" si="14"/>
        <v>0</v>
      </c>
      <c r="P126" s="9"/>
    </row>
    <row r="127" spans="1:16" x14ac:dyDescent="0.3">
      <c r="A127" s="18"/>
      <c r="B127" s="9"/>
      <c r="C127" s="9"/>
      <c r="D127" s="9"/>
      <c r="E127" s="9"/>
      <c r="F127" s="9"/>
      <c r="G127" s="9"/>
      <c r="H127" s="9"/>
      <c r="I127" s="21"/>
      <c r="J127" s="9"/>
      <c r="K127" s="9"/>
      <c r="L127" s="9"/>
      <c r="M127" s="9"/>
      <c r="N127" s="9"/>
      <c r="O127" s="9"/>
      <c r="P127" s="9"/>
    </row>
    <row r="128" spans="1:16" x14ac:dyDescent="0.3">
      <c r="A128" s="1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</row>
    <row r="131" spans="1:16" ht="15" thickBot="1" x14ac:dyDescent="0.35"/>
    <row r="132" spans="1:16" ht="28.8" x14ac:dyDescent="0.3">
      <c r="A132" s="5" t="s">
        <v>1</v>
      </c>
      <c r="B132" s="6" t="s">
        <v>2</v>
      </c>
      <c r="C132" s="5" t="s">
        <v>3</v>
      </c>
      <c r="D132" s="5" t="s">
        <v>4</v>
      </c>
      <c r="E132" s="5" t="s">
        <v>5</v>
      </c>
      <c r="F132" s="5" t="s">
        <v>6</v>
      </c>
      <c r="G132" s="5" t="s">
        <v>7</v>
      </c>
      <c r="H132" s="5" t="s">
        <v>8</v>
      </c>
      <c r="I132" s="7" t="s">
        <v>9</v>
      </c>
      <c r="J132" s="5" t="s">
        <v>10</v>
      </c>
      <c r="K132" s="5" t="s">
        <v>11</v>
      </c>
      <c r="L132" s="5" t="s">
        <v>12</v>
      </c>
      <c r="M132" s="5" t="s">
        <v>13</v>
      </c>
      <c r="N132" s="5" t="s">
        <v>14</v>
      </c>
    </row>
    <row r="133" spans="1:16" x14ac:dyDescent="0.3">
      <c r="A133" s="9" t="str">
        <f>_xlfn.XLOOKUP($C133,'[1]Data Validation (2)'!$M$3:$M$137,'[1]Data Validation (2)'!$N$3:$N$137)</f>
        <v>Titans</v>
      </c>
      <c r="B133" s="10" t="str">
        <f>_xlfn.XLOOKUP($C133,'[1]Data Validation (2)'!$M$3:$M$137,'[1]Data Validation (2)'!$P$3:$P$137)</f>
        <v>VB0077</v>
      </c>
      <c r="C133" s="11" t="s">
        <v>35</v>
      </c>
      <c r="D133" s="9" t="str">
        <f>_xlfn.XLOOKUP($C133,'[1]Data Validation (2)'!$M$3:$M$137,'[1]Data Validation (2)'!$O$3:$O$137)</f>
        <v>Nitin Saxena</v>
      </c>
      <c r="E133" s="9">
        <f>_xlfn.XLOOKUP($C133,'[1]Ach % - L4'!$B$2:$B$214,'[1]Ach % - L4'!$E$2:$E$214)</f>
        <v>4</v>
      </c>
      <c r="F133" s="9">
        <f>_xlfn.XLOOKUP($C133,'[1]Ach % - L4'!$B$2:$B$214,'[1]Ach % - L4'!$F$2:$F$214)</f>
        <v>0</v>
      </c>
      <c r="G133" s="12">
        <f>F133/E133</f>
        <v>0</v>
      </c>
      <c r="H133" s="13">
        <f>SUM(I135:I155)</f>
        <v>0</v>
      </c>
      <c r="I133" s="14">
        <f ca="1">SUMIFS($I134:$I155,$N134:$N155,"yes")</f>
        <v>0</v>
      </c>
      <c r="J133" s="15" cm="1">
        <f t="array" ref="J133">_xlfn.IFS($G133&lt;=34%,0%,$G133&lt;=75%,3%,$G133&lt;=120%,4%,$G133&gt;120%,5%)</f>
        <v>0</v>
      </c>
      <c r="K133" s="13">
        <f ca="1">I133*J133</f>
        <v>0</v>
      </c>
      <c r="L133" s="9">
        <f ca="1">K133*80</f>
        <v>0</v>
      </c>
      <c r="M133" s="11">
        <f ca="1">L133*50%</f>
        <v>0</v>
      </c>
      <c r="N133" s="11"/>
    </row>
    <row r="134" spans="1:16" s="8" customFormat="1" ht="28.8" x14ac:dyDescent="0.3">
      <c r="A134" s="16" t="s">
        <v>3</v>
      </c>
      <c r="B134" s="16" t="s">
        <v>16</v>
      </c>
      <c r="C134" s="16" t="s">
        <v>17</v>
      </c>
      <c r="D134" s="16" t="s">
        <v>18</v>
      </c>
      <c r="E134" s="16" t="s">
        <v>19</v>
      </c>
      <c r="F134" s="17" t="s">
        <v>20</v>
      </c>
      <c r="G134" s="17" t="s">
        <v>21</v>
      </c>
      <c r="H134" s="16" t="s">
        <v>22</v>
      </c>
      <c r="I134" s="16" t="s">
        <v>8</v>
      </c>
      <c r="J134" s="16" t="s">
        <v>23</v>
      </c>
      <c r="K134" s="16" t="s">
        <v>24</v>
      </c>
      <c r="L134" s="16" t="s">
        <v>25</v>
      </c>
      <c r="M134" s="16" t="s">
        <v>26</v>
      </c>
      <c r="N134" s="16" t="s">
        <v>27</v>
      </c>
      <c r="O134" s="16" t="s">
        <v>28</v>
      </c>
      <c r="P134" s="16" t="s">
        <v>29</v>
      </c>
    </row>
    <row r="135" spans="1:16" x14ac:dyDescent="0.3">
      <c r="A135" s="18" t="str">
        <f>C133</f>
        <v>Shruti Kumari</v>
      </c>
      <c r="B135" s="9" t="str" cm="1">
        <f t="array" ref="B135">IFERROR(_xlfn.CHOOSECOLS(_xlfn._xlws.FILTER('[1]L4 dummy data'!A:AS, '[1]L4 dummy data'!D:D=$C133), 3, 14, 15, 16, 44, 45, 18, 41, 27, 40, 42), "")</f>
        <v/>
      </c>
      <c r="C135" s="19"/>
      <c r="D135" s="19"/>
      <c r="E135" s="20"/>
      <c r="F135" s="20"/>
      <c r="G135" s="20"/>
      <c r="H135" s="15"/>
      <c r="I135" s="21"/>
      <c r="J135" s="9"/>
      <c r="K135" s="9"/>
      <c r="L135" s="9"/>
      <c r="M135" s="9">
        <f ca="1">IF(D135&lt;&gt;"NA", D135 - C135, TODAY() - C135)</f>
        <v>0</v>
      </c>
      <c r="N135" s="9" t="str">
        <f ca="1">IF(OR(AND(H135="Contract",L135="Active"),AND(H135="Contract",L135="Done"),AND(H135="FTE",M135&gt;90,L135="Done")),"Yes","NO")</f>
        <v>NO</v>
      </c>
      <c r="O135" s="9">
        <f t="shared" ref="O135:O153" ca="1" si="17">IF(N135="Yes",(I135*$J$133)*80,0)</f>
        <v>0</v>
      </c>
      <c r="P135" s="9"/>
    </row>
    <row r="136" spans="1:16" x14ac:dyDescent="0.3">
      <c r="A136" s="18"/>
      <c r="B136" s="9"/>
      <c r="C136" s="19"/>
      <c r="D136" s="19"/>
      <c r="E136" s="20"/>
      <c r="F136" s="20"/>
      <c r="G136" s="20"/>
      <c r="H136" s="15"/>
      <c r="I136" s="21"/>
      <c r="J136" s="9"/>
      <c r="K136" s="9"/>
      <c r="L136" s="9"/>
      <c r="M136" s="9">
        <f t="shared" ref="M136:M153" ca="1" si="18">IF(D136&lt;&gt;"NA", D136 - C136, TODAY() - C136)</f>
        <v>0</v>
      </c>
      <c r="N136" s="9" t="str">
        <f t="shared" ref="N136:N153" ca="1" si="19">IF(OR(AND(H136="Contract",L136="Active"),AND(H136="Contract",L136="Done"),AND(H136="FTE",M136&gt;90,L136="Done")),"Yes","NO")</f>
        <v>NO</v>
      </c>
      <c r="O136" s="9">
        <f t="shared" ca="1" si="17"/>
        <v>0</v>
      </c>
      <c r="P136" s="9"/>
    </row>
    <row r="137" spans="1:16" x14ac:dyDescent="0.3">
      <c r="A137" s="18"/>
      <c r="B137" s="9"/>
      <c r="C137" s="19"/>
      <c r="D137" s="19"/>
      <c r="E137" s="20"/>
      <c r="F137" s="20"/>
      <c r="G137" s="20"/>
      <c r="H137" s="15"/>
      <c r="I137" s="21"/>
      <c r="J137" s="9"/>
      <c r="K137" s="9"/>
      <c r="L137" s="9"/>
      <c r="M137" s="9">
        <f t="shared" ca="1" si="18"/>
        <v>0</v>
      </c>
      <c r="N137" s="9" t="str">
        <f t="shared" ca="1" si="19"/>
        <v>NO</v>
      </c>
      <c r="O137" s="9">
        <f t="shared" ca="1" si="17"/>
        <v>0</v>
      </c>
      <c r="P137" s="9"/>
    </row>
    <row r="138" spans="1:16" x14ac:dyDescent="0.3">
      <c r="A138" s="18"/>
      <c r="B138" s="9"/>
      <c r="C138" s="19"/>
      <c r="D138" s="19"/>
      <c r="E138" s="20"/>
      <c r="F138" s="20"/>
      <c r="G138" s="20"/>
      <c r="H138" s="15"/>
      <c r="I138" s="21"/>
      <c r="J138" s="9"/>
      <c r="K138" s="9"/>
      <c r="L138" s="9"/>
      <c r="M138" s="9">
        <f t="shared" ca="1" si="18"/>
        <v>0</v>
      </c>
      <c r="N138" s="9" t="str">
        <f t="shared" ca="1" si="19"/>
        <v>NO</v>
      </c>
      <c r="O138" s="9">
        <f t="shared" ca="1" si="17"/>
        <v>0</v>
      </c>
      <c r="P138" s="9"/>
    </row>
    <row r="139" spans="1:16" x14ac:dyDescent="0.3">
      <c r="A139" s="18"/>
      <c r="B139" s="9"/>
      <c r="C139" s="19"/>
      <c r="D139" s="19"/>
      <c r="E139" s="20"/>
      <c r="F139" s="20"/>
      <c r="G139" s="20"/>
      <c r="H139" s="15"/>
      <c r="I139" s="21"/>
      <c r="J139" s="9"/>
      <c r="K139" s="9"/>
      <c r="L139" s="9"/>
      <c r="M139" s="9">
        <f t="shared" ca="1" si="18"/>
        <v>0</v>
      </c>
      <c r="N139" s="9" t="str">
        <f t="shared" ca="1" si="19"/>
        <v>NO</v>
      </c>
      <c r="O139" s="9">
        <f t="shared" ca="1" si="17"/>
        <v>0</v>
      </c>
      <c r="P139" s="9"/>
    </row>
    <row r="140" spans="1:16" x14ac:dyDescent="0.3">
      <c r="A140" s="18"/>
      <c r="B140" s="9"/>
      <c r="C140" s="19"/>
      <c r="D140" s="19"/>
      <c r="E140" s="20"/>
      <c r="F140" s="20"/>
      <c r="G140" s="20"/>
      <c r="H140" s="15"/>
      <c r="I140" s="21"/>
      <c r="J140" s="9"/>
      <c r="K140" s="9"/>
      <c r="L140" s="9"/>
      <c r="M140" s="9">
        <f t="shared" ca="1" si="18"/>
        <v>0</v>
      </c>
      <c r="N140" s="9" t="str">
        <f t="shared" ca="1" si="19"/>
        <v>NO</v>
      </c>
      <c r="O140" s="9">
        <f t="shared" ca="1" si="17"/>
        <v>0</v>
      </c>
      <c r="P140" s="9"/>
    </row>
    <row r="141" spans="1:16" x14ac:dyDescent="0.3">
      <c r="A141" s="18"/>
      <c r="B141" s="9"/>
      <c r="C141" s="19"/>
      <c r="D141" s="19"/>
      <c r="E141" s="20"/>
      <c r="F141" s="20"/>
      <c r="G141" s="20"/>
      <c r="H141" s="15"/>
      <c r="I141" s="21"/>
      <c r="J141" s="9"/>
      <c r="K141" s="9"/>
      <c r="L141" s="9"/>
      <c r="M141" s="9">
        <f t="shared" ca="1" si="18"/>
        <v>0</v>
      </c>
      <c r="N141" s="9" t="str">
        <f t="shared" ca="1" si="19"/>
        <v>NO</v>
      </c>
      <c r="O141" s="9">
        <f t="shared" ca="1" si="17"/>
        <v>0</v>
      </c>
      <c r="P141" s="9"/>
    </row>
    <row r="142" spans="1:16" x14ac:dyDescent="0.3">
      <c r="A142" s="18"/>
      <c r="B142" s="9"/>
      <c r="C142" s="19"/>
      <c r="D142" s="19"/>
      <c r="E142" s="20"/>
      <c r="F142" s="20"/>
      <c r="G142" s="20"/>
      <c r="H142" s="15"/>
      <c r="I142" s="21"/>
      <c r="J142" s="9"/>
      <c r="K142" s="9"/>
      <c r="L142" s="9"/>
      <c r="M142" s="9">
        <f t="shared" ca="1" si="18"/>
        <v>0</v>
      </c>
      <c r="N142" s="9" t="str">
        <f t="shared" ca="1" si="19"/>
        <v>NO</v>
      </c>
      <c r="O142" s="9">
        <f t="shared" ca="1" si="17"/>
        <v>0</v>
      </c>
      <c r="P142" s="9"/>
    </row>
    <row r="143" spans="1:16" x14ac:dyDescent="0.3">
      <c r="A143" s="18"/>
      <c r="B143" s="9"/>
      <c r="C143" s="19"/>
      <c r="D143" s="19"/>
      <c r="E143" s="20"/>
      <c r="F143" s="20"/>
      <c r="G143" s="20"/>
      <c r="H143" s="15"/>
      <c r="I143" s="21"/>
      <c r="J143" s="9"/>
      <c r="K143" s="9"/>
      <c r="L143" s="9"/>
      <c r="M143" s="9">
        <f t="shared" ca="1" si="18"/>
        <v>0</v>
      </c>
      <c r="N143" s="9" t="str">
        <f t="shared" ca="1" si="19"/>
        <v>NO</v>
      </c>
      <c r="O143" s="9">
        <f t="shared" ca="1" si="17"/>
        <v>0</v>
      </c>
      <c r="P143" s="9"/>
    </row>
    <row r="144" spans="1:16" x14ac:dyDescent="0.3">
      <c r="A144" s="18"/>
      <c r="B144" s="9"/>
      <c r="C144" s="19"/>
      <c r="D144" s="19"/>
      <c r="E144" s="20"/>
      <c r="F144" s="20"/>
      <c r="G144" s="20"/>
      <c r="H144" s="15"/>
      <c r="I144" s="21"/>
      <c r="J144" s="9"/>
      <c r="K144" s="9"/>
      <c r="L144" s="9"/>
      <c r="M144" s="9">
        <f t="shared" ca="1" si="18"/>
        <v>0</v>
      </c>
      <c r="N144" s="9" t="str">
        <f t="shared" ca="1" si="19"/>
        <v>NO</v>
      </c>
      <c r="O144" s="9">
        <f t="shared" ca="1" si="17"/>
        <v>0</v>
      </c>
      <c r="P144" s="9"/>
    </row>
    <row r="145" spans="1:16" x14ac:dyDescent="0.3">
      <c r="A145" s="18"/>
      <c r="B145" s="9"/>
      <c r="C145" s="19"/>
      <c r="D145" s="19"/>
      <c r="E145" s="20"/>
      <c r="F145" s="20"/>
      <c r="G145" s="20"/>
      <c r="H145" s="15"/>
      <c r="I145" s="21"/>
      <c r="J145" s="9"/>
      <c r="K145" s="9"/>
      <c r="L145" s="9"/>
      <c r="M145" s="9">
        <f t="shared" ca="1" si="18"/>
        <v>0</v>
      </c>
      <c r="N145" s="9" t="str">
        <f t="shared" ca="1" si="19"/>
        <v>NO</v>
      </c>
      <c r="O145" s="9">
        <f t="shared" ca="1" si="17"/>
        <v>0</v>
      </c>
      <c r="P145" s="9"/>
    </row>
    <row r="146" spans="1:16" x14ac:dyDescent="0.3">
      <c r="A146" s="18"/>
      <c r="B146" s="9"/>
      <c r="C146" s="19"/>
      <c r="D146" s="9"/>
      <c r="E146" s="20"/>
      <c r="F146" s="20"/>
      <c r="G146" s="20"/>
      <c r="H146" s="15"/>
      <c r="I146" s="21"/>
      <c r="J146" s="9"/>
      <c r="K146" s="9"/>
      <c r="L146" s="9"/>
      <c r="M146" s="9">
        <f t="shared" ca="1" si="18"/>
        <v>0</v>
      </c>
      <c r="N146" s="9" t="str">
        <f t="shared" ca="1" si="19"/>
        <v>NO</v>
      </c>
      <c r="O146" s="9">
        <f t="shared" ca="1" si="17"/>
        <v>0</v>
      </c>
      <c r="P146" s="9"/>
    </row>
    <row r="147" spans="1:16" x14ac:dyDescent="0.3">
      <c r="A147" s="18"/>
      <c r="B147" s="9"/>
      <c r="C147" s="19"/>
      <c r="D147" s="9"/>
      <c r="E147" s="9"/>
      <c r="F147" s="9"/>
      <c r="G147" s="9"/>
      <c r="H147" s="9"/>
      <c r="I147" s="21"/>
      <c r="J147" s="9"/>
      <c r="K147" s="9"/>
      <c r="L147" s="9"/>
      <c r="M147" s="9">
        <f t="shared" ca="1" si="18"/>
        <v>0</v>
      </c>
      <c r="N147" s="9" t="str">
        <f t="shared" ca="1" si="19"/>
        <v>NO</v>
      </c>
      <c r="O147" s="9">
        <f t="shared" ca="1" si="17"/>
        <v>0</v>
      </c>
      <c r="P147" s="9"/>
    </row>
    <row r="148" spans="1:16" x14ac:dyDescent="0.3">
      <c r="A148" s="18"/>
      <c r="B148" s="9"/>
      <c r="C148" s="19"/>
      <c r="D148" s="9"/>
      <c r="E148" s="9"/>
      <c r="F148" s="9"/>
      <c r="G148" s="9"/>
      <c r="H148" s="9"/>
      <c r="I148" s="21"/>
      <c r="J148" s="9"/>
      <c r="K148" s="9"/>
      <c r="L148" s="9"/>
      <c r="M148" s="9">
        <f t="shared" ca="1" si="18"/>
        <v>0</v>
      </c>
      <c r="N148" s="9" t="str">
        <f t="shared" ca="1" si="19"/>
        <v>NO</v>
      </c>
      <c r="O148" s="9">
        <f t="shared" ca="1" si="17"/>
        <v>0</v>
      </c>
      <c r="P148" s="9"/>
    </row>
    <row r="149" spans="1:16" x14ac:dyDescent="0.3">
      <c r="A149" s="18"/>
      <c r="B149" s="9"/>
      <c r="C149" s="19"/>
      <c r="D149" s="9"/>
      <c r="E149" s="9"/>
      <c r="F149" s="9"/>
      <c r="G149" s="9"/>
      <c r="H149" s="9"/>
      <c r="I149" s="21"/>
      <c r="J149" s="9"/>
      <c r="K149" s="9"/>
      <c r="L149" s="9"/>
      <c r="M149" s="9">
        <f t="shared" ca="1" si="18"/>
        <v>0</v>
      </c>
      <c r="N149" s="9" t="str">
        <f t="shared" ca="1" si="19"/>
        <v>NO</v>
      </c>
      <c r="O149" s="9">
        <f t="shared" ca="1" si="17"/>
        <v>0</v>
      </c>
      <c r="P149" s="9"/>
    </row>
    <row r="150" spans="1:16" x14ac:dyDescent="0.3">
      <c r="A150" s="18"/>
      <c r="B150" s="9"/>
      <c r="C150" s="19"/>
      <c r="D150" s="9"/>
      <c r="E150" s="9"/>
      <c r="F150" s="9"/>
      <c r="G150" s="9"/>
      <c r="H150" s="9"/>
      <c r="I150" s="21"/>
      <c r="J150" s="9"/>
      <c r="K150" s="9"/>
      <c r="L150" s="9"/>
      <c r="M150" s="9">
        <f t="shared" ca="1" si="18"/>
        <v>0</v>
      </c>
      <c r="N150" s="9" t="str">
        <f t="shared" ca="1" si="19"/>
        <v>NO</v>
      </c>
      <c r="O150" s="9">
        <f t="shared" ca="1" si="17"/>
        <v>0</v>
      </c>
      <c r="P150" s="9"/>
    </row>
    <row r="151" spans="1:16" x14ac:dyDescent="0.3">
      <c r="A151" s="18"/>
      <c r="B151" s="9"/>
      <c r="C151" s="19"/>
      <c r="D151" s="9"/>
      <c r="E151" s="9"/>
      <c r="F151" s="9"/>
      <c r="G151" s="9"/>
      <c r="H151" s="9"/>
      <c r="I151" s="21"/>
      <c r="J151" s="9"/>
      <c r="K151" s="9"/>
      <c r="L151" s="9"/>
      <c r="M151" s="9">
        <f t="shared" ca="1" si="18"/>
        <v>0</v>
      </c>
      <c r="N151" s="9" t="str">
        <f t="shared" ca="1" si="19"/>
        <v>NO</v>
      </c>
      <c r="O151" s="9">
        <f t="shared" ca="1" si="17"/>
        <v>0</v>
      </c>
      <c r="P151" s="9"/>
    </row>
    <row r="152" spans="1:16" x14ac:dyDescent="0.3">
      <c r="A152" s="18"/>
      <c r="B152" s="9"/>
      <c r="C152" s="19"/>
      <c r="D152" s="9"/>
      <c r="E152" s="9"/>
      <c r="F152" s="9"/>
      <c r="G152" s="9"/>
      <c r="H152" s="9"/>
      <c r="I152" s="21"/>
      <c r="J152" s="9"/>
      <c r="K152" s="9"/>
      <c r="L152" s="9"/>
      <c r="M152" s="9">
        <f t="shared" ca="1" si="18"/>
        <v>0</v>
      </c>
      <c r="N152" s="9" t="str">
        <f t="shared" ca="1" si="19"/>
        <v>NO</v>
      </c>
      <c r="O152" s="9">
        <f t="shared" ca="1" si="17"/>
        <v>0</v>
      </c>
      <c r="P152" s="9"/>
    </row>
    <row r="153" spans="1:16" x14ac:dyDescent="0.3">
      <c r="A153" s="18"/>
      <c r="B153" s="9"/>
      <c r="C153" s="19"/>
      <c r="D153" s="9"/>
      <c r="E153" s="9"/>
      <c r="F153" s="9"/>
      <c r="G153" s="9"/>
      <c r="H153" s="9"/>
      <c r="I153" s="21"/>
      <c r="J153" s="9"/>
      <c r="K153" s="9"/>
      <c r="L153" s="9"/>
      <c r="M153" s="9">
        <f t="shared" ca="1" si="18"/>
        <v>0</v>
      </c>
      <c r="N153" s="9" t="str">
        <f t="shared" ca="1" si="19"/>
        <v>NO</v>
      </c>
      <c r="O153" s="9">
        <f t="shared" ca="1" si="17"/>
        <v>0</v>
      </c>
      <c r="P153" s="9"/>
    </row>
    <row r="154" spans="1:16" x14ac:dyDescent="0.3">
      <c r="A154" s="18"/>
      <c r="B154" s="9"/>
      <c r="C154" s="9"/>
      <c r="D154" s="9"/>
      <c r="E154" s="9"/>
      <c r="F154" s="9"/>
      <c r="G154" s="9"/>
      <c r="H154" s="9"/>
      <c r="I154" s="21"/>
      <c r="J154" s="9"/>
      <c r="K154" s="9"/>
      <c r="L154" s="9"/>
      <c r="M154" s="9"/>
      <c r="N154" s="9"/>
      <c r="O154" s="9"/>
      <c r="P154" s="9"/>
    </row>
    <row r="155" spans="1:16" x14ac:dyDescent="0.3">
      <c r="A155" s="1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9" spans="1:16" ht="15" thickBot="1" x14ac:dyDescent="0.35"/>
    <row r="160" spans="1:16" ht="28.8" x14ac:dyDescent="0.3">
      <c r="A160" s="5" t="s">
        <v>1</v>
      </c>
      <c r="B160" s="6" t="s">
        <v>2</v>
      </c>
      <c r="C160" s="5" t="s">
        <v>3</v>
      </c>
      <c r="D160" s="5" t="s">
        <v>4</v>
      </c>
      <c r="E160" s="5" t="s">
        <v>5</v>
      </c>
      <c r="F160" s="5" t="s">
        <v>6</v>
      </c>
      <c r="G160" s="5" t="s">
        <v>7</v>
      </c>
      <c r="H160" s="5" t="s">
        <v>8</v>
      </c>
      <c r="I160" s="7" t="s">
        <v>9</v>
      </c>
      <c r="J160" s="5" t="s">
        <v>10</v>
      </c>
      <c r="K160" s="5" t="s">
        <v>11</v>
      </c>
      <c r="L160" s="5" t="s">
        <v>12</v>
      </c>
      <c r="M160" s="5" t="s">
        <v>13</v>
      </c>
      <c r="N160" s="5" t="s">
        <v>14</v>
      </c>
    </row>
    <row r="161" spans="1:16" x14ac:dyDescent="0.3">
      <c r="A161" s="9" t="str">
        <f>_xlfn.XLOOKUP($C161,'[1]Data Validation (2)'!$M$3:$M$137,'[1]Data Validation (2)'!$N$3:$N$137)</f>
        <v>Titans</v>
      </c>
      <c r="B161" s="10" t="str">
        <f>_xlfn.XLOOKUP($C161,'[1]Data Validation (2)'!$M$3:$M$137,'[1]Data Validation (2)'!$P$3:$P$137)</f>
        <v>VB0079</v>
      </c>
      <c r="C161" s="11" t="s">
        <v>36</v>
      </c>
      <c r="D161" s="9" t="str">
        <f>_xlfn.XLOOKUP($C161,'[1]Data Validation (2)'!$M$3:$M$137,'[1]Data Validation (2)'!$O$3:$O$137)</f>
        <v>Nitin Saxena</v>
      </c>
      <c r="E161" s="9">
        <f>_xlfn.XLOOKUP($C161,'[1]Ach % - L4'!$B$2:$B$214,'[1]Ach % - L4'!$E$2:$E$214)</f>
        <v>0</v>
      </c>
      <c r="F161" s="9">
        <f>_xlfn.XLOOKUP($C161,'[1]Ach % - L4'!$B$2:$B$214,'[1]Ach % - L4'!$F$2:$F$214)</f>
        <v>0</v>
      </c>
      <c r="G161" s="12" t="e">
        <f>F161/E161</f>
        <v>#DIV/0!</v>
      </c>
      <c r="H161" s="13">
        <f>SUM(I163:I183)</f>
        <v>0</v>
      </c>
      <c r="I161" s="14">
        <f ca="1">SUMIFS($I162:$I183,$N162:$N183,"yes")</f>
        <v>0</v>
      </c>
      <c r="J161" s="15" t="e" cm="1">
        <f t="array" ref="J161">_xlfn.IFS($G161&lt;=34%,0%,$G161&lt;=75%,3%,$G161&lt;=120%,4%,$G161&gt;120%,5%)</f>
        <v>#DIV/0!</v>
      </c>
      <c r="K161" s="13" t="e">
        <f ca="1">I161*J161</f>
        <v>#DIV/0!</v>
      </c>
      <c r="L161" s="9" t="e">
        <f ca="1">K161*80</f>
        <v>#DIV/0!</v>
      </c>
      <c r="M161" s="11" t="e">
        <f ca="1">L161*50%</f>
        <v>#DIV/0!</v>
      </c>
      <c r="N161" s="11"/>
    </row>
    <row r="162" spans="1:16" s="8" customFormat="1" ht="28.8" x14ac:dyDescent="0.3">
      <c r="A162" s="16" t="s">
        <v>3</v>
      </c>
      <c r="B162" s="16" t="s">
        <v>16</v>
      </c>
      <c r="C162" s="16" t="s">
        <v>17</v>
      </c>
      <c r="D162" s="16" t="s">
        <v>18</v>
      </c>
      <c r="E162" s="16" t="s">
        <v>19</v>
      </c>
      <c r="F162" s="17" t="s">
        <v>20</v>
      </c>
      <c r="G162" s="17" t="s">
        <v>21</v>
      </c>
      <c r="H162" s="16" t="s">
        <v>22</v>
      </c>
      <c r="I162" s="16" t="s">
        <v>8</v>
      </c>
      <c r="J162" s="16" t="s">
        <v>23</v>
      </c>
      <c r="K162" s="16" t="s">
        <v>24</v>
      </c>
      <c r="L162" s="16" t="s">
        <v>25</v>
      </c>
      <c r="M162" s="16" t="s">
        <v>26</v>
      </c>
      <c r="N162" s="16" t="s">
        <v>27</v>
      </c>
      <c r="O162" s="16" t="s">
        <v>28</v>
      </c>
      <c r="P162" s="16" t="s">
        <v>29</v>
      </c>
    </row>
    <row r="163" spans="1:16" x14ac:dyDescent="0.3">
      <c r="A163" s="18" t="str">
        <f>C161</f>
        <v>Ambresh Tripathi</v>
      </c>
      <c r="B163" s="9" t="str" cm="1">
        <f t="array" ref="B163">IFERROR(_xlfn.CHOOSECOLS(_xlfn._xlws.FILTER('[1]L4 dummy data'!A:AS, '[1]L4 dummy data'!D:D=$C161), 3, 14, 15, 16, 44, 45, 18, 41, 27, 40, 42), "")</f>
        <v/>
      </c>
      <c r="C163" s="19"/>
      <c r="D163" s="19"/>
      <c r="E163" s="20"/>
      <c r="F163" s="20"/>
      <c r="G163" s="20"/>
      <c r="H163" s="15"/>
      <c r="I163" s="21"/>
      <c r="J163" s="9"/>
      <c r="K163" s="9"/>
      <c r="L163" s="9"/>
      <c r="M163" s="9">
        <f ca="1">IF(D163&lt;&gt;"NA", D163 - C163, TODAY() - C163)</f>
        <v>0</v>
      </c>
      <c r="N163" s="9" t="str">
        <f ca="1">IF(OR(AND(H163="Contract",L163="Active"),AND(H163="Contract",L163="Done"),AND(H163="FTE",M163&gt;90,L163="Done")),"Yes","NO")</f>
        <v>NO</v>
      </c>
      <c r="O163" s="9">
        <f ca="1">IF(N163="Yes",(I163*$K$162)*80,0)</f>
        <v>0</v>
      </c>
      <c r="P163" s="9"/>
    </row>
    <row r="164" spans="1:16" x14ac:dyDescent="0.3">
      <c r="A164" s="18"/>
      <c r="B164" s="9"/>
      <c r="C164" s="19"/>
      <c r="D164" s="19"/>
      <c r="E164" s="20"/>
      <c r="F164" s="20"/>
      <c r="G164" s="20"/>
      <c r="H164" s="15"/>
      <c r="I164" s="21"/>
      <c r="J164" s="9"/>
      <c r="K164" s="9"/>
      <c r="L164" s="9"/>
      <c r="M164" s="9">
        <f t="shared" ref="M164:M181" ca="1" si="20">IF(D164&lt;&gt;"NA", D164 - C164, TODAY() - C164)</f>
        <v>0</v>
      </c>
      <c r="N164" s="9" t="str">
        <f t="shared" ref="N164:N181" ca="1" si="21">IF(OR(AND(H164="Contract",L164="Active"),AND(H164="Contract",L164="Done"),AND(H164="FTE",M164&gt;90,L164="Done")),"Yes","NO")</f>
        <v>NO</v>
      </c>
      <c r="O164" s="9">
        <f t="shared" ref="O164:O181" ca="1" si="22">IF(N164="Yes",(I164*$K$162)*80,0)</f>
        <v>0</v>
      </c>
      <c r="P164" s="9"/>
    </row>
    <row r="165" spans="1:16" x14ac:dyDescent="0.3">
      <c r="A165" s="18"/>
      <c r="B165" s="9"/>
      <c r="C165" s="19"/>
      <c r="D165" s="19"/>
      <c r="E165" s="20"/>
      <c r="F165" s="20"/>
      <c r="G165" s="20"/>
      <c r="H165" s="15"/>
      <c r="I165" s="21"/>
      <c r="J165" s="9"/>
      <c r="K165" s="9"/>
      <c r="L165" s="9"/>
      <c r="M165" s="9">
        <f t="shared" ca="1" si="20"/>
        <v>0</v>
      </c>
      <c r="N165" s="9" t="str">
        <f t="shared" ca="1" si="21"/>
        <v>NO</v>
      </c>
      <c r="O165" s="9">
        <f t="shared" ca="1" si="22"/>
        <v>0</v>
      </c>
      <c r="P165" s="9"/>
    </row>
    <row r="166" spans="1:16" x14ac:dyDescent="0.3">
      <c r="A166" s="18"/>
      <c r="B166" s="9"/>
      <c r="C166" s="19"/>
      <c r="D166" s="19"/>
      <c r="E166" s="20"/>
      <c r="F166" s="20"/>
      <c r="G166" s="20"/>
      <c r="H166" s="15"/>
      <c r="I166" s="21"/>
      <c r="J166" s="9"/>
      <c r="K166" s="9"/>
      <c r="L166" s="9"/>
      <c r="M166" s="9">
        <f t="shared" ca="1" si="20"/>
        <v>0</v>
      </c>
      <c r="N166" s="9" t="str">
        <f t="shared" ca="1" si="21"/>
        <v>NO</v>
      </c>
      <c r="O166" s="9">
        <f t="shared" ca="1" si="22"/>
        <v>0</v>
      </c>
      <c r="P166" s="9"/>
    </row>
    <row r="167" spans="1:16" x14ac:dyDescent="0.3">
      <c r="A167" s="18"/>
      <c r="B167" s="9"/>
      <c r="C167" s="19"/>
      <c r="D167" s="19"/>
      <c r="E167" s="20"/>
      <c r="F167" s="20"/>
      <c r="G167" s="20"/>
      <c r="H167" s="15"/>
      <c r="I167" s="21"/>
      <c r="J167" s="9"/>
      <c r="K167" s="9"/>
      <c r="L167" s="9"/>
      <c r="M167" s="9">
        <f t="shared" ca="1" si="20"/>
        <v>0</v>
      </c>
      <c r="N167" s="9" t="str">
        <f t="shared" ca="1" si="21"/>
        <v>NO</v>
      </c>
      <c r="O167" s="9">
        <f t="shared" ca="1" si="22"/>
        <v>0</v>
      </c>
      <c r="P167" s="9"/>
    </row>
    <row r="168" spans="1:16" x14ac:dyDescent="0.3">
      <c r="A168" s="18"/>
      <c r="B168" s="9"/>
      <c r="C168" s="19"/>
      <c r="D168" s="19"/>
      <c r="E168" s="20"/>
      <c r="F168" s="20"/>
      <c r="G168" s="20"/>
      <c r="H168" s="15"/>
      <c r="I168" s="21"/>
      <c r="J168" s="9"/>
      <c r="K168" s="9"/>
      <c r="L168" s="9"/>
      <c r="M168" s="9">
        <f t="shared" ca="1" si="20"/>
        <v>0</v>
      </c>
      <c r="N168" s="9" t="str">
        <f t="shared" ca="1" si="21"/>
        <v>NO</v>
      </c>
      <c r="O168" s="9">
        <f t="shared" ca="1" si="22"/>
        <v>0</v>
      </c>
      <c r="P168" s="9"/>
    </row>
    <row r="169" spans="1:16" x14ac:dyDescent="0.3">
      <c r="A169" s="18"/>
      <c r="B169" s="9"/>
      <c r="C169" s="19"/>
      <c r="D169" s="19"/>
      <c r="E169" s="20"/>
      <c r="F169" s="20"/>
      <c r="G169" s="20"/>
      <c r="H169" s="15"/>
      <c r="I169" s="21"/>
      <c r="J169" s="9"/>
      <c r="K169" s="9"/>
      <c r="L169" s="9"/>
      <c r="M169" s="9">
        <f t="shared" ca="1" si="20"/>
        <v>0</v>
      </c>
      <c r="N169" s="9" t="str">
        <f t="shared" ca="1" si="21"/>
        <v>NO</v>
      </c>
      <c r="O169" s="9">
        <f t="shared" ca="1" si="22"/>
        <v>0</v>
      </c>
      <c r="P169" s="9"/>
    </row>
    <row r="170" spans="1:16" x14ac:dyDescent="0.3">
      <c r="A170" s="18"/>
      <c r="B170" s="9"/>
      <c r="C170" s="19"/>
      <c r="D170" s="19"/>
      <c r="E170" s="20"/>
      <c r="F170" s="20"/>
      <c r="G170" s="20"/>
      <c r="H170" s="15"/>
      <c r="I170" s="21"/>
      <c r="J170" s="9"/>
      <c r="K170" s="9"/>
      <c r="L170" s="9"/>
      <c r="M170" s="9">
        <f t="shared" ca="1" si="20"/>
        <v>0</v>
      </c>
      <c r="N170" s="9" t="str">
        <f t="shared" ca="1" si="21"/>
        <v>NO</v>
      </c>
      <c r="O170" s="9">
        <f t="shared" ca="1" si="22"/>
        <v>0</v>
      </c>
      <c r="P170" s="9"/>
    </row>
    <row r="171" spans="1:16" x14ac:dyDescent="0.3">
      <c r="A171" s="18"/>
      <c r="B171" s="9"/>
      <c r="C171" s="19"/>
      <c r="D171" s="19"/>
      <c r="E171" s="20"/>
      <c r="F171" s="20"/>
      <c r="G171" s="20"/>
      <c r="H171" s="15"/>
      <c r="I171" s="21"/>
      <c r="J171" s="9"/>
      <c r="K171" s="9"/>
      <c r="L171" s="9"/>
      <c r="M171" s="9">
        <f t="shared" ca="1" si="20"/>
        <v>0</v>
      </c>
      <c r="N171" s="9" t="str">
        <f t="shared" ca="1" si="21"/>
        <v>NO</v>
      </c>
      <c r="O171" s="9">
        <f t="shared" ca="1" si="22"/>
        <v>0</v>
      </c>
      <c r="P171" s="9"/>
    </row>
    <row r="172" spans="1:16" x14ac:dyDescent="0.3">
      <c r="A172" s="18"/>
      <c r="B172" s="9"/>
      <c r="C172" s="19"/>
      <c r="D172" s="19"/>
      <c r="E172" s="20"/>
      <c r="F172" s="20"/>
      <c r="G172" s="20"/>
      <c r="H172" s="15"/>
      <c r="I172" s="21"/>
      <c r="J172" s="9"/>
      <c r="K172" s="9"/>
      <c r="L172" s="9"/>
      <c r="M172" s="9">
        <f t="shared" ca="1" si="20"/>
        <v>0</v>
      </c>
      <c r="N172" s="9" t="str">
        <f t="shared" ca="1" si="21"/>
        <v>NO</v>
      </c>
      <c r="O172" s="9">
        <f t="shared" ca="1" si="22"/>
        <v>0</v>
      </c>
      <c r="P172" s="9"/>
    </row>
    <row r="173" spans="1:16" x14ac:dyDescent="0.3">
      <c r="A173" s="18"/>
      <c r="B173" s="9"/>
      <c r="C173" s="19"/>
      <c r="D173" s="19"/>
      <c r="E173" s="20"/>
      <c r="F173" s="20"/>
      <c r="G173" s="20"/>
      <c r="H173" s="15"/>
      <c r="I173" s="21"/>
      <c r="J173" s="9"/>
      <c r="K173" s="9"/>
      <c r="L173" s="9"/>
      <c r="M173" s="9">
        <f t="shared" ca="1" si="20"/>
        <v>0</v>
      </c>
      <c r="N173" s="9" t="str">
        <f t="shared" ca="1" si="21"/>
        <v>NO</v>
      </c>
      <c r="O173" s="9">
        <f t="shared" ca="1" si="22"/>
        <v>0</v>
      </c>
      <c r="P173" s="9"/>
    </row>
    <row r="174" spans="1:16" x14ac:dyDescent="0.3">
      <c r="A174" s="18"/>
      <c r="B174" s="9"/>
      <c r="C174" s="19"/>
      <c r="D174" s="9"/>
      <c r="E174" s="20"/>
      <c r="F174" s="20"/>
      <c r="G174" s="20"/>
      <c r="H174" s="15"/>
      <c r="I174" s="21"/>
      <c r="J174" s="9"/>
      <c r="K174" s="9"/>
      <c r="L174" s="9"/>
      <c r="M174" s="9">
        <f t="shared" ca="1" si="20"/>
        <v>0</v>
      </c>
      <c r="N174" s="9" t="str">
        <f t="shared" ca="1" si="21"/>
        <v>NO</v>
      </c>
      <c r="O174" s="9">
        <f t="shared" ca="1" si="22"/>
        <v>0</v>
      </c>
      <c r="P174" s="9"/>
    </row>
    <row r="175" spans="1:16" x14ac:dyDescent="0.3">
      <c r="A175" s="18"/>
      <c r="B175" s="9"/>
      <c r="C175" s="19"/>
      <c r="D175" s="9"/>
      <c r="E175" s="9"/>
      <c r="F175" s="9"/>
      <c r="G175" s="9"/>
      <c r="H175" s="9"/>
      <c r="I175" s="21"/>
      <c r="J175" s="9"/>
      <c r="K175" s="9"/>
      <c r="L175" s="9"/>
      <c r="M175" s="9">
        <f t="shared" ca="1" si="20"/>
        <v>0</v>
      </c>
      <c r="N175" s="9" t="str">
        <f t="shared" ca="1" si="21"/>
        <v>NO</v>
      </c>
      <c r="O175" s="9">
        <f t="shared" ca="1" si="22"/>
        <v>0</v>
      </c>
      <c r="P175" s="9"/>
    </row>
    <row r="176" spans="1:16" x14ac:dyDescent="0.3">
      <c r="A176" s="18"/>
      <c r="B176" s="9"/>
      <c r="C176" s="19"/>
      <c r="D176" s="9"/>
      <c r="E176" s="9"/>
      <c r="F176" s="9"/>
      <c r="G176" s="9"/>
      <c r="H176" s="9"/>
      <c r="I176" s="21"/>
      <c r="J176" s="9"/>
      <c r="K176" s="9"/>
      <c r="L176" s="9"/>
      <c r="M176" s="9">
        <f t="shared" ca="1" si="20"/>
        <v>0</v>
      </c>
      <c r="N176" s="9" t="str">
        <f t="shared" ca="1" si="21"/>
        <v>NO</v>
      </c>
      <c r="O176" s="9">
        <f t="shared" ca="1" si="22"/>
        <v>0</v>
      </c>
      <c r="P176" s="9"/>
    </row>
    <row r="177" spans="1:16" x14ac:dyDescent="0.3">
      <c r="A177" s="18"/>
      <c r="B177" s="9"/>
      <c r="C177" s="19"/>
      <c r="D177" s="9"/>
      <c r="E177" s="9"/>
      <c r="F177" s="9"/>
      <c r="G177" s="9"/>
      <c r="H177" s="9"/>
      <c r="I177" s="21"/>
      <c r="J177" s="9"/>
      <c r="K177" s="9"/>
      <c r="L177" s="9"/>
      <c r="M177" s="9">
        <f t="shared" ca="1" si="20"/>
        <v>0</v>
      </c>
      <c r="N177" s="9" t="str">
        <f t="shared" ca="1" si="21"/>
        <v>NO</v>
      </c>
      <c r="O177" s="9">
        <f t="shared" ca="1" si="22"/>
        <v>0</v>
      </c>
      <c r="P177" s="9"/>
    </row>
    <row r="178" spans="1:16" x14ac:dyDescent="0.3">
      <c r="A178" s="18"/>
      <c r="B178" s="9"/>
      <c r="C178" s="19"/>
      <c r="D178" s="9"/>
      <c r="E178" s="9"/>
      <c r="F178" s="9"/>
      <c r="G178" s="9"/>
      <c r="H178" s="9"/>
      <c r="I178" s="21"/>
      <c r="J178" s="9"/>
      <c r="K178" s="9"/>
      <c r="L178" s="9"/>
      <c r="M178" s="9">
        <f t="shared" ca="1" si="20"/>
        <v>0</v>
      </c>
      <c r="N178" s="9" t="str">
        <f t="shared" ca="1" si="21"/>
        <v>NO</v>
      </c>
      <c r="O178" s="9">
        <f t="shared" ca="1" si="22"/>
        <v>0</v>
      </c>
      <c r="P178" s="9"/>
    </row>
    <row r="179" spans="1:16" x14ac:dyDescent="0.3">
      <c r="A179" s="18"/>
      <c r="B179" s="9"/>
      <c r="C179" s="19"/>
      <c r="D179" s="9"/>
      <c r="E179" s="9"/>
      <c r="F179" s="9"/>
      <c r="G179" s="9"/>
      <c r="H179" s="9"/>
      <c r="I179" s="21"/>
      <c r="J179" s="9"/>
      <c r="K179" s="9"/>
      <c r="L179" s="9"/>
      <c r="M179" s="9">
        <f t="shared" ca="1" si="20"/>
        <v>0</v>
      </c>
      <c r="N179" s="9" t="str">
        <f t="shared" ca="1" si="21"/>
        <v>NO</v>
      </c>
      <c r="O179" s="9">
        <f t="shared" ca="1" si="22"/>
        <v>0</v>
      </c>
      <c r="P179" s="9"/>
    </row>
    <row r="180" spans="1:16" x14ac:dyDescent="0.3">
      <c r="A180" s="18"/>
      <c r="B180" s="9"/>
      <c r="C180" s="19"/>
      <c r="D180" s="9"/>
      <c r="E180" s="9"/>
      <c r="F180" s="9"/>
      <c r="G180" s="9"/>
      <c r="H180" s="9"/>
      <c r="I180" s="21"/>
      <c r="J180" s="9"/>
      <c r="K180" s="9"/>
      <c r="L180" s="9"/>
      <c r="M180" s="9">
        <f t="shared" ca="1" si="20"/>
        <v>0</v>
      </c>
      <c r="N180" s="9" t="str">
        <f t="shared" ca="1" si="21"/>
        <v>NO</v>
      </c>
      <c r="O180" s="9">
        <f t="shared" ca="1" si="22"/>
        <v>0</v>
      </c>
      <c r="P180" s="9"/>
    </row>
    <row r="181" spans="1:16" x14ac:dyDescent="0.3">
      <c r="A181" s="18"/>
      <c r="B181" s="9"/>
      <c r="C181" s="19"/>
      <c r="D181" s="9"/>
      <c r="E181" s="9"/>
      <c r="F181" s="9"/>
      <c r="G181" s="9"/>
      <c r="H181" s="9"/>
      <c r="I181" s="21"/>
      <c r="J181" s="9"/>
      <c r="K181" s="9"/>
      <c r="L181" s="9"/>
      <c r="M181" s="9">
        <f t="shared" ca="1" si="20"/>
        <v>0</v>
      </c>
      <c r="N181" s="9" t="str">
        <f t="shared" ca="1" si="21"/>
        <v>NO</v>
      </c>
      <c r="O181" s="9">
        <f t="shared" ca="1" si="22"/>
        <v>0</v>
      </c>
      <c r="P181" s="9"/>
    </row>
    <row r="182" spans="1:16" x14ac:dyDescent="0.3">
      <c r="A182" s="18"/>
      <c r="B182" s="9"/>
      <c r="C182" s="9"/>
      <c r="D182" s="9"/>
      <c r="E182" s="9"/>
      <c r="F182" s="9"/>
      <c r="G182" s="9"/>
      <c r="H182" s="9"/>
      <c r="I182" s="21"/>
      <c r="J182" s="9"/>
      <c r="K182" s="9"/>
      <c r="L182" s="9"/>
      <c r="M182" s="9"/>
      <c r="N182" s="9"/>
      <c r="O182" s="9"/>
      <c r="P182" s="9"/>
    </row>
    <row r="183" spans="1:16" x14ac:dyDescent="0.3">
      <c r="A183" s="1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5" spans="1:16" ht="15" thickBot="1" x14ac:dyDescent="0.35"/>
    <row r="186" spans="1:16" ht="28.8" x14ac:dyDescent="0.3">
      <c r="A186" s="5" t="s">
        <v>1</v>
      </c>
      <c r="B186" s="6" t="s">
        <v>2</v>
      </c>
      <c r="C186" s="5" t="s">
        <v>3</v>
      </c>
      <c r="D186" s="5" t="s">
        <v>4</v>
      </c>
      <c r="E186" s="5" t="s">
        <v>5</v>
      </c>
      <c r="F186" s="5" t="s">
        <v>6</v>
      </c>
      <c r="G186" s="5" t="s">
        <v>7</v>
      </c>
      <c r="H186" s="5" t="s">
        <v>8</v>
      </c>
      <c r="I186" s="7" t="s">
        <v>9</v>
      </c>
      <c r="J186" s="5" t="s">
        <v>10</v>
      </c>
      <c r="K186" s="5" t="s">
        <v>11</v>
      </c>
      <c r="L186" s="5" t="s">
        <v>12</v>
      </c>
      <c r="M186" s="5" t="s">
        <v>13</v>
      </c>
      <c r="N186" s="5" t="s">
        <v>14</v>
      </c>
    </row>
    <row r="187" spans="1:16" x14ac:dyDescent="0.3">
      <c r="A187" s="9" t="str">
        <f>_xlfn.XLOOKUP($C187,'[1]Data Validation (2)'!$M$3:$M$137,'[1]Data Validation (2)'!$N$3:$N$137)</f>
        <v>Titans</v>
      </c>
      <c r="B187" s="10" t="str">
        <f>_xlfn.XLOOKUP($C187,'[1]Data Validation (2)'!$M$3:$M$137,'[1]Data Validation (2)'!$P$3:$P$137)</f>
        <v>VB0080</v>
      </c>
      <c r="C187" s="11" t="s">
        <v>37</v>
      </c>
      <c r="D187" s="9" t="str">
        <f>_xlfn.XLOOKUP($C187,'[1]Data Validation (2)'!$M$3:$M$137,'[1]Data Validation (2)'!$O$3:$O$137)</f>
        <v>Nitin Saxena</v>
      </c>
      <c r="E187" s="9">
        <f>_xlfn.XLOOKUP($C187,'[1]Ach % - L4'!$B$2:$B$214,'[1]Ach % - L4'!$E$2:$E$214)</f>
        <v>0</v>
      </c>
      <c r="F187" s="9">
        <f>_xlfn.XLOOKUP($C187,'[1]Ach % - L4'!$B$2:$B$214,'[1]Ach % - L4'!$F$2:$F$214)</f>
        <v>0</v>
      </c>
      <c r="G187" s="12" t="e">
        <f>F187/E187</f>
        <v>#DIV/0!</v>
      </c>
      <c r="H187" s="13">
        <f>SUM(I189:I209)</f>
        <v>0</v>
      </c>
      <c r="I187" s="14">
        <f ca="1">SUMIFS($I188:$I209,$N188:$N209,"yes")</f>
        <v>0</v>
      </c>
      <c r="J187" s="15" t="e" cm="1">
        <f t="array" ref="J187">_xlfn.IFS($G187&lt;=34%,0%,$G187&lt;=75%,3%,$G187&lt;=120%,4%,$G187&gt;120%,5%)</f>
        <v>#DIV/0!</v>
      </c>
      <c r="K187" s="13" t="e">
        <f ca="1">I187*J187</f>
        <v>#DIV/0!</v>
      </c>
      <c r="L187" s="9" t="e">
        <f ca="1">K187*80</f>
        <v>#DIV/0!</v>
      </c>
      <c r="M187" s="11" t="e">
        <f ca="1">L187*50%</f>
        <v>#DIV/0!</v>
      </c>
      <c r="N187" s="11"/>
    </row>
    <row r="188" spans="1:16" s="8" customFormat="1" ht="28.8" x14ac:dyDescent="0.3">
      <c r="A188" s="16" t="s">
        <v>3</v>
      </c>
      <c r="B188" s="16" t="s">
        <v>16</v>
      </c>
      <c r="C188" s="16" t="s">
        <v>17</v>
      </c>
      <c r="D188" s="16" t="s">
        <v>18</v>
      </c>
      <c r="E188" s="16" t="s">
        <v>19</v>
      </c>
      <c r="F188" s="17" t="s">
        <v>20</v>
      </c>
      <c r="G188" s="17" t="s">
        <v>21</v>
      </c>
      <c r="H188" s="16" t="s">
        <v>22</v>
      </c>
      <c r="I188" s="16" t="s">
        <v>8</v>
      </c>
      <c r="J188" s="16" t="s">
        <v>23</v>
      </c>
      <c r="K188" s="16" t="s">
        <v>24</v>
      </c>
      <c r="L188" s="16" t="s">
        <v>25</v>
      </c>
      <c r="M188" s="16" t="s">
        <v>26</v>
      </c>
      <c r="N188" s="16" t="s">
        <v>27</v>
      </c>
      <c r="O188" s="16" t="s">
        <v>28</v>
      </c>
      <c r="P188" s="16" t="s">
        <v>29</v>
      </c>
    </row>
    <row r="189" spans="1:16" x14ac:dyDescent="0.3">
      <c r="A189" s="18" t="str">
        <f>C187</f>
        <v>Anurag Mishra</v>
      </c>
      <c r="B189" s="9" t="str" cm="1">
        <f t="array" ref="B189">IFERROR(_xlfn.CHOOSECOLS(_xlfn._xlws.FILTER('[1]L4 dummy data'!A:AS, '[1]L4 dummy data'!D:D=$C187), 3, 14, 15, 16, 44, 45, 18, 41, 27, 40, 42), "")</f>
        <v/>
      </c>
      <c r="C189" s="19"/>
      <c r="D189" s="19"/>
      <c r="E189" s="20"/>
      <c r="F189" s="20"/>
      <c r="G189" s="20"/>
      <c r="H189" s="15"/>
      <c r="I189" s="21"/>
      <c r="J189" s="9"/>
      <c r="K189" s="9"/>
      <c r="L189" s="9"/>
      <c r="M189" s="9">
        <f ca="1">IF(D189&lt;&gt;"NA", D189 - C189, TODAY() - C189)</f>
        <v>0</v>
      </c>
      <c r="N189" s="9" t="str">
        <f ca="1">IF(OR(AND(H189="Contract",L189="Active"),AND(H189="Contract",L189="Done"),AND(H189="FTE",M189&gt;90,L189="Done")),"Yes","NO")</f>
        <v>NO</v>
      </c>
      <c r="O189" s="9">
        <f ca="1">IF(N189="Yes",(I189*$K$188)*80,0)</f>
        <v>0</v>
      </c>
      <c r="P189" s="9"/>
    </row>
    <row r="190" spans="1:16" x14ac:dyDescent="0.3">
      <c r="A190" s="18"/>
      <c r="B190" s="9"/>
      <c r="C190" s="19"/>
      <c r="D190" s="19"/>
      <c r="E190" s="20"/>
      <c r="F190" s="20"/>
      <c r="G190" s="20"/>
      <c r="H190" s="15"/>
      <c r="I190" s="21"/>
      <c r="J190" s="9"/>
      <c r="K190" s="9"/>
      <c r="L190" s="9"/>
      <c r="M190" s="9">
        <f t="shared" ref="M190:M207" ca="1" si="23">IF(D190&lt;&gt;"NA", D190 - C190, TODAY() - C190)</f>
        <v>0</v>
      </c>
      <c r="N190" s="9" t="str">
        <f t="shared" ref="N190:N207" ca="1" si="24">IF(OR(AND(H190="Contract",L190="Active"),AND(H190="Contract",L190="Done"),AND(H190="FTE",M190&gt;90,L190="Done")),"Yes","NO")</f>
        <v>NO</v>
      </c>
      <c r="O190" s="9">
        <f t="shared" ref="O190:O207" ca="1" si="25">IF(N190="Yes",(I190*$K$188)*80,0)</f>
        <v>0</v>
      </c>
      <c r="P190" s="9"/>
    </row>
    <row r="191" spans="1:16" x14ac:dyDescent="0.3">
      <c r="A191" s="18"/>
      <c r="B191" s="9"/>
      <c r="C191" s="19"/>
      <c r="D191" s="19"/>
      <c r="E191" s="20"/>
      <c r="F191" s="20"/>
      <c r="G191" s="20"/>
      <c r="H191" s="15"/>
      <c r="I191" s="21"/>
      <c r="J191" s="9"/>
      <c r="K191" s="9"/>
      <c r="L191" s="9"/>
      <c r="M191" s="9">
        <f t="shared" ca="1" si="23"/>
        <v>0</v>
      </c>
      <c r="N191" s="9" t="str">
        <f t="shared" ca="1" si="24"/>
        <v>NO</v>
      </c>
      <c r="O191" s="9">
        <f t="shared" ca="1" si="25"/>
        <v>0</v>
      </c>
      <c r="P191" s="9"/>
    </row>
    <row r="192" spans="1:16" x14ac:dyDescent="0.3">
      <c r="A192" s="18"/>
      <c r="B192" s="9"/>
      <c r="C192" s="19"/>
      <c r="D192" s="19"/>
      <c r="E192" s="20"/>
      <c r="F192" s="20"/>
      <c r="G192" s="20"/>
      <c r="H192" s="15"/>
      <c r="I192" s="21"/>
      <c r="J192" s="9"/>
      <c r="K192" s="9"/>
      <c r="L192" s="9"/>
      <c r="M192" s="9">
        <f t="shared" ca="1" si="23"/>
        <v>0</v>
      </c>
      <c r="N192" s="9" t="str">
        <f t="shared" ca="1" si="24"/>
        <v>NO</v>
      </c>
      <c r="O192" s="9">
        <f t="shared" ca="1" si="25"/>
        <v>0</v>
      </c>
      <c r="P192" s="9"/>
    </row>
    <row r="193" spans="1:16" x14ac:dyDescent="0.3">
      <c r="A193" s="18"/>
      <c r="B193" s="9"/>
      <c r="C193" s="19"/>
      <c r="D193" s="19"/>
      <c r="E193" s="20"/>
      <c r="F193" s="20"/>
      <c r="G193" s="20"/>
      <c r="H193" s="15"/>
      <c r="I193" s="21"/>
      <c r="J193" s="9"/>
      <c r="K193" s="9"/>
      <c r="L193" s="9"/>
      <c r="M193" s="9">
        <f t="shared" ca="1" si="23"/>
        <v>0</v>
      </c>
      <c r="N193" s="9" t="str">
        <f t="shared" ca="1" si="24"/>
        <v>NO</v>
      </c>
      <c r="O193" s="9">
        <f t="shared" ca="1" si="25"/>
        <v>0</v>
      </c>
      <c r="P193" s="9"/>
    </row>
    <row r="194" spans="1:16" x14ac:dyDescent="0.3">
      <c r="A194" s="18"/>
      <c r="B194" s="9"/>
      <c r="C194" s="19"/>
      <c r="D194" s="19"/>
      <c r="E194" s="20"/>
      <c r="F194" s="20"/>
      <c r="G194" s="20"/>
      <c r="H194" s="15"/>
      <c r="I194" s="21"/>
      <c r="J194" s="9"/>
      <c r="K194" s="9"/>
      <c r="L194" s="9"/>
      <c r="M194" s="9">
        <f t="shared" ca="1" si="23"/>
        <v>0</v>
      </c>
      <c r="N194" s="9" t="str">
        <f t="shared" ca="1" si="24"/>
        <v>NO</v>
      </c>
      <c r="O194" s="9">
        <f t="shared" ca="1" si="25"/>
        <v>0</v>
      </c>
      <c r="P194" s="9"/>
    </row>
    <row r="195" spans="1:16" x14ac:dyDescent="0.3">
      <c r="A195" s="18"/>
      <c r="B195" s="9"/>
      <c r="C195" s="19"/>
      <c r="D195" s="19"/>
      <c r="E195" s="20"/>
      <c r="F195" s="20"/>
      <c r="G195" s="20"/>
      <c r="H195" s="15"/>
      <c r="I195" s="21"/>
      <c r="J195" s="9"/>
      <c r="K195" s="9"/>
      <c r="L195" s="9"/>
      <c r="M195" s="9">
        <f t="shared" ca="1" si="23"/>
        <v>0</v>
      </c>
      <c r="N195" s="9" t="str">
        <f t="shared" ca="1" si="24"/>
        <v>NO</v>
      </c>
      <c r="O195" s="9">
        <f t="shared" ca="1" si="25"/>
        <v>0</v>
      </c>
      <c r="P195" s="9"/>
    </row>
    <row r="196" spans="1:16" x14ac:dyDescent="0.3">
      <c r="A196" s="18"/>
      <c r="B196" s="9"/>
      <c r="C196" s="19"/>
      <c r="D196" s="19"/>
      <c r="E196" s="20"/>
      <c r="F196" s="20"/>
      <c r="G196" s="20"/>
      <c r="H196" s="15"/>
      <c r="I196" s="21"/>
      <c r="J196" s="9"/>
      <c r="K196" s="9"/>
      <c r="L196" s="9"/>
      <c r="M196" s="9">
        <f t="shared" ca="1" si="23"/>
        <v>0</v>
      </c>
      <c r="N196" s="9" t="str">
        <f t="shared" ca="1" si="24"/>
        <v>NO</v>
      </c>
      <c r="O196" s="9">
        <f t="shared" ca="1" si="25"/>
        <v>0</v>
      </c>
      <c r="P196" s="9"/>
    </row>
    <row r="197" spans="1:16" x14ac:dyDescent="0.3">
      <c r="A197" s="18"/>
      <c r="B197" s="9"/>
      <c r="C197" s="19"/>
      <c r="D197" s="19"/>
      <c r="E197" s="20"/>
      <c r="F197" s="20"/>
      <c r="G197" s="20"/>
      <c r="H197" s="15"/>
      <c r="I197" s="21"/>
      <c r="J197" s="9"/>
      <c r="K197" s="9"/>
      <c r="L197" s="9"/>
      <c r="M197" s="9">
        <f t="shared" ca="1" si="23"/>
        <v>0</v>
      </c>
      <c r="N197" s="9" t="str">
        <f t="shared" ca="1" si="24"/>
        <v>NO</v>
      </c>
      <c r="O197" s="9">
        <f t="shared" ca="1" si="25"/>
        <v>0</v>
      </c>
      <c r="P197" s="9"/>
    </row>
    <row r="198" spans="1:16" x14ac:dyDescent="0.3">
      <c r="A198" s="18"/>
      <c r="B198" s="9"/>
      <c r="C198" s="19"/>
      <c r="D198" s="19"/>
      <c r="E198" s="20"/>
      <c r="F198" s="20"/>
      <c r="G198" s="20"/>
      <c r="H198" s="15"/>
      <c r="I198" s="21"/>
      <c r="J198" s="9"/>
      <c r="K198" s="9"/>
      <c r="L198" s="9"/>
      <c r="M198" s="9">
        <f t="shared" ca="1" si="23"/>
        <v>0</v>
      </c>
      <c r="N198" s="9" t="str">
        <f t="shared" ca="1" si="24"/>
        <v>NO</v>
      </c>
      <c r="O198" s="9">
        <f t="shared" ca="1" si="25"/>
        <v>0</v>
      </c>
      <c r="P198" s="9"/>
    </row>
    <row r="199" spans="1:16" x14ac:dyDescent="0.3">
      <c r="A199" s="18"/>
      <c r="B199" s="9"/>
      <c r="C199" s="19"/>
      <c r="D199" s="19"/>
      <c r="E199" s="20"/>
      <c r="F199" s="20"/>
      <c r="G199" s="20"/>
      <c r="H199" s="15"/>
      <c r="I199" s="21"/>
      <c r="J199" s="9"/>
      <c r="K199" s="9"/>
      <c r="L199" s="9"/>
      <c r="M199" s="9">
        <f t="shared" ca="1" si="23"/>
        <v>0</v>
      </c>
      <c r="N199" s="9" t="str">
        <f t="shared" ca="1" si="24"/>
        <v>NO</v>
      </c>
      <c r="O199" s="9">
        <f t="shared" ca="1" si="25"/>
        <v>0</v>
      </c>
      <c r="P199" s="9"/>
    </row>
    <row r="200" spans="1:16" x14ac:dyDescent="0.3">
      <c r="A200" s="18"/>
      <c r="B200" s="9"/>
      <c r="C200" s="19"/>
      <c r="D200" s="9"/>
      <c r="E200" s="20"/>
      <c r="F200" s="20"/>
      <c r="G200" s="20"/>
      <c r="H200" s="15"/>
      <c r="I200" s="21"/>
      <c r="J200" s="9"/>
      <c r="K200" s="9"/>
      <c r="L200" s="9"/>
      <c r="M200" s="9">
        <f t="shared" ca="1" si="23"/>
        <v>0</v>
      </c>
      <c r="N200" s="9" t="str">
        <f t="shared" ca="1" si="24"/>
        <v>NO</v>
      </c>
      <c r="O200" s="9">
        <f t="shared" ca="1" si="25"/>
        <v>0</v>
      </c>
      <c r="P200" s="9"/>
    </row>
    <row r="201" spans="1:16" x14ac:dyDescent="0.3">
      <c r="A201" s="18"/>
      <c r="B201" s="9"/>
      <c r="C201" s="19"/>
      <c r="D201" s="9"/>
      <c r="E201" s="9"/>
      <c r="F201" s="9"/>
      <c r="G201" s="9"/>
      <c r="H201" s="9"/>
      <c r="I201" s="21"/>
      <c r="J201" s="9"/>
      <c r="K201" s="9"/>
      <c r="L201" s="9"/>
      <c r="M201" s="9">
        <f t="shared" ca="1" si="23"/>
        <v>0</v>
      </c>
      <c r="N201" s="9" t="str">
        <f t="shared" ca="1" si="24"/>
        <v>NO</v>
      </c>
      <c r="O201" s="9">
        <f t="shared" ca="1" si="25"/>
        <v>0</v>
      </c>
      <c r="P201" s="9"/>
    </row>
    <row r="202" spans="1:16" x14ac:dyDescent="0.3">
      <c r="A202" s="18"/>
      <c r="B202" s="9"/>
      <c r="C202" s="19"/>
      <c r="D202" s="9"/>
      <c r="E202" s="9"/>
      <c r="F202" s="9"/>
      <c r="G202" s="9"/>
      <c r="H202" s="9"/>
      <c r="I202" s="21"/>
      <c r="J202" s="9"/>
      <c r="K202" s="9"/>
      <c r="L202" s="9"/>
      <c r="M202" s="9">
        <f t="shared" ca="1" si="23"/>
        <v>0</v>
      </c>
      <c r="N202" s="9" t="str">
        <f t="shared" ca="1" si="24"/>
        <v>NO</v>
      </c>
      <c r="O202" s="9">
        <f t="shared" ca="1" si="25"/>
        <v>0</v>
      </c>
      <c r="P202" s="9"/>
    </row>
    <row r="203" spans="1:16" x14ac:dyDescent="0.3">
      <c r="A203" s="18"/>
      <c r="B203" s="9"/>
      <c r="C203" s="19"/>
      <c r="D203" s="9"/>
      <c r="E203" s="9"/>
      <c r="F203" s="9"/>
      <c r="G203" s="9"/>
      <c r="H203" s="9"/>
      <c r="I203" s="21"/>
      <c r="J203" s="9"/>
      <c r="K203" s="9"/>
      <c r="L203" s="9"/>
      <c r="M203" s="9">
        <f t="shared" ca="1" si="23"/>
        <v>0</v>
      </c>
      <c r="N203" s="9" t="str">
        <f t="shared" ca="1" si="24"/>
        <v>NO</v>
      </c>
      <c r="O203" s="9">
        <f t="shared" ca="1" si="25"/>
        <v>0</v>
      </c>
      <c r="P203" s="9"/>
    </row>
    <row r="204" spans="1:16" x14ac:dyDescent="0.3">
      <c r="A204" s="18"/>
      <c r="B204" s="9"/>
      <c r="C204" s="19"/>
      <c r="D204" s="9"/>
      <c r="E204" s="9"/>
      <c r="F204" s="9"/>
      <c r="G204" s="9"/>
      <c r="H204" s="9"/>
      <c r="I204" s="21"/>
      <c r="J204" s="9"/>
      <c r="K204" s="9"/>
      <c r="L204" s="9"/>
      <c r="M204" s="9">
        <f t="shared" ca="1" si="23"/>
        <v>0</v>
      </c>
      <c r="N204" s="9" t="str">
        <f t="shared" ca="1" si="24"/>
        <v>NO</v>
      </c>
      <c r="O204" s="9">
        <f t="shared" ca="1" si="25"/>
        <v>0</v>
      </c>
      <c r="P204" s="9"/>
    </row>
    <row r="205" spans="1:16" x14ac:dyDescent="0.3">
      <c r="A205" s="18"/>
      <c r="B205" s="9"/>
      <c r="C205" s="19"/>
      <c r="D205" s="9"/>
      <c r="E205" s="9"/>
      <c r="F205" s="9"/>
      <c r="G205" s="9"/>
      <c r="H205" s="9"/>
      <c r="I205" s="21"/>
      <c r="J205" s="9"/>
      <c r="K205" s="9"/>
      <c r="L205" s="9"/>
      <c r="M205" s="9">
        <f t="shared" ca="1" si="23"/>
        <v>0</v>
      </c>
      <c r="N205" s="9" t="str">
        <f t="shared" ca="1" si="24"/>
        <v>NO</v>
      </c>
      <c r="O205" s="9">
        <f t="shared" ca="1" si="25"/>
        <v>0</v>
      </c>
      <c r="P205" s="9"/>
    </row>
    <row r="206" spans="1:16" x14ac:dyDescent="0.3">
      <c r="A206" s="18"/>
      <c r="B206" s="9"/>
      <c r="C206" s="19"/>
      <c r="D206" s="9"/>
      <c r="E206" s="9"/>
      <c r="F206" s="9"/>
      <c r="G206" s="9"/>
      <c r="H206" s="9"/>
      <c r="I206" s="21"/>
      <c r="J206" s="9"/>
      <c r="K206" s="9"/>
      <c r="L206" s="9"/>
      <c r="M206" s="9">
        <f t="shared" ca="1" si="23"/>
        <v>0</v>
      </c>
      <c r="N206" s="9" t="str">
        <f t="shared" ca="1" si="24"/>
        <v>NO</v>
      </c>
      <c r="O206" s="9">
        <f t="shared" ca="1" si="25"/>
        <v>0</v>
      </c>
      <c r="P206" s="9"/>
    </row>
    <row r="207" spans="1:16" x14ac:dyDescent="0.3">
      <c r="A207" s="18"/>
      <c r="B207" s="9"/>
      <c r="C207" s="19"/>
      <c r="D207" s="9"/>
      <c r="E207" s="9"/>
      <c r="F207" s="9"/>
      <c r="G207" s="9"/>
      <c r="H207" s="9"/>
      <c r="I207" s="21"/>
      <c r="J207" s="9"/>
      <c r="K207" s="9"/>
      <c r="L207" s="9"/>
      <c r="M207" s="9">
        <f t="shared" ca="1" si="23"/>
        <v>0</v>
      </c>
      <c r="N207" s="9" t="str">
        <f t="shared" ca="1" si="24"/>
        <v>NO</v>
      </c>
      <c r="O207" s="9">
        <f t="shared" ca="1" si="25"/>
        <v>0</v>
      </c>
      <c r="P207" s="9"/>
    </row>
    <row r="208" spans="1:16" x14ac:dyDescent="0.3">
      <c r="A208" s="18"/>
      <c r="B208" s="9"/>
      <c r="C208" s="9"/>
      <c r="D208" s="9"/>
      <c r="E208" s="9"/>
      <c r="F208" s="9"/>
      <c r="G208" s="9"/>
      <c r="H208" s="9"/>
      <c r="I208" s="21"/>
      <c r="J208" s="9"/>
      <c r="K208" s="9"/>
      <c r="L208" s="9"/>
      <c r="M208" s="9"/>
      <c r="N208" s="9"/>
      <c r="O208" s="9"/>
      <c r="P208" s="9"/>
    </row>
    <row r="209" spans="1:16" x14ac:dyDescent="0.3">
      <c r="A209" s="1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3" spans="1:16" ht="15" thickBot="1" x14ac:dyDescent="0.35"/>
    <row r="214" spans="1:16" ht="28.8" x14ac:dyDescent="0.3">
      <c r="A214" s="5" t="s">
        <v>1</v>
      </c>
      <c r="B214" s="6" t="s">
        <v>2</v>
      </c>
      <c r="C214" s="5" t="s">
        <v>3</v>
      </c>
      <c r="D214" s="5" t="s">
        <v>4</v>
      </c>
      <c r="E214" s="5" t="s">
        <v>5</v>
      </c>
      <c r="F214" s="5" t="s">
        <v>6</v>
      </c>
      <c r="G214" s="5" t="s">
        <v>7</v>
      </c>
      <c r="H214" s="5" t="s">
        <v>8</v>
      </c>
      <c r="I214" s="7" t="s">
        <v>9</v>
      </c>
      <c r="J214" s="5" t="s">
        <v>10</v>
      </c>
      <c r="K214" s="5" t="s">
        <v>11</v>
      </c>
      <c r="L214" s="5" t="s">
        <v>12</v>
      </c>
      <c r="M214" s="5" t="s">
        <v>13</v>
      </c>
      <c r="N214" s="5" t="s">
        <v>14</v>
      </c>
    </row>
    <row r="215" spans="1:16" x14ac:dyDescent="0.3">
      <c r="A215" s="9" t="str">
        <f>_xlfn.XLOOKUP($C215,'[1]Data Validation (2)'!$M$3:$M$137,'[1]Data Validation (2)'!$N$3:$N$137)</f>
        <v>Titans</v>
      </c>
      <c r="B215" s="10" t="str">
        <f>_xlfn.XLOOKUP($C215,'[1]Data Validation (2)'!$M$3:$M$137,'[1]Data Validation (2)'!$P$3:$P$137)</f>
        <v>VB0081</v>
      </c>
      <c r="C215" s="11" t="s">
        <v>38</v>
      </c>
      <c r="D215" s="9" t="str">
        <f>_xlfn.XLOOKUP($C215,'[1]Data Validation (2)'!$M$3:$M$137,'[1]Data Validation (2)'!$O$3:$O$137)</f>
        <v>Aditya Yadav</v>
      </c>
      <c r="E215" s="9">
        <f>_xlfn.XLOOKUP($C215,'[1]Ach % - L4'!$B$2:$B$214,'[1]Ach % - L4'!$E$2:$E$214)</f>
        <v>2</v>
      </c>
      <c r="F215" s="9">
        <f>_xlfn.XLOOKUP($C215,'[1]Ach % - L4'!$B$2:$B$214,'[1]Ach % - L4'!$F$2:$F$214)</f>
        <v>3</v>
      </c>
      <c r="G215" s="12">
        <f>F215/E215</f>
        <v>1.5</v>
      </c>
      <c r="H215" s="13">
        <f>SUM(I217:I237)</f>
        <v>16521</v>
      </c>
      <c r="I215" s="14">
        <f ca="1">SUMIFS($I216:$I237,$N216:$N237,"yes")</f>
        <v>16521</v>
      </c>
      <c r="J215" s="15" cm="1">
        <f t="array" ref="J215">_xlfn.IFS($G215&lt;=34%,0%,$G215&lt;=75%,3%,$G215&lt;=120%,4%,$G215&gt;120%,5%)</f>
        <v>0.05</v>
      </c>
      <c r="K215" s="13">
        <f ca="1">I215*J215</f>
        <v>826.05000000000007</v>
      </c>
      <c r="L215" s="9">
        <f ca="1">K215*80</f>
        <v>66084</v>
      </c>
      <c r="M215" s="11">
        <f ca="1">L215*50%</f>
        <v>33042</v>
      </c>
      <c r="N215" s="11"/>
    </row>
    <row r="216" spans="1:16" s="8" customFormat="1" ht="28.8" x14ac:dyDescent="0.3">
      <c r="A216" s="16" t="s">
        <v>3</v>
      </c>
      <c r="B216" s="16" t="s">
        <v>16</v>
      </c>
      <c r="C216" s="16" t="s">
        <v>17</v>
      </c>
      <c r="D216" s="16" t="s">
        <v>18</v>
      </c>
      <c r="E216" s="16" t="s">
        <v>19</v>
      </c>
      <c r="F216" s="17" t="s">
        <v>20</v>
      </c>
      <c r="G216" s="17" t="s">
        <v>21</v>
      </c>
      <c r="H216" s="16" t="s">
        <v>22</v>
      </c>
      <c r="I216" s="16" t="s">
        <v>8</v>
      </c>
      <c r="J216" s="16" t="s">
        <v>23</v>
      </c>
      <c r="K216" s="16" t="s">
        <v>24</v>
      </c>
      <c r="L216" s="16" t="s">
        <v>25</v>
      </c>
      <c r="M216" s="16" t="s">
        <v>26</v>
      </c>
      <c r="N216" s="16" t="s">
        <v>27</v>
      </c>
      <c r="O216" s="16" t="s">
        <v>28</v>
      </c>
      <c r="P216" s="16" t="s">
        <v>29</v>
      </c>
    </row>
    <row r="217" spans="1:16" x14ac:dyDescent="0.3">
      <c r="A217" s="18" t="str">
        <f>C215</f>
        <v>Aditya Yadav</v>
      </c>
      <c r="B217" s="9" t="str" cm="1">
        <f t="array" ref="B217:L219">IFERROR(_xlfn.CHOOSECOLS(_xlfn._xlws.FILTER('[1]L4 dummy data'!A:AS, '[1]L4 dummy data'!D:D=$C215), 3, 14, 15, 16, 44, 45, 18, 41, 27, 40, 42), "")</f>
        <v>Vanil Rani Kurra</v>
      </c>
      <c r="C217" s="19">
        <v>45817</v>
      </c>
      <c r="D217" s="19" t="str">
        <v>NA</v>
      </c>
      <c r="E217" s="20" t="str">
        <v>Cyient</v>
      </c>
      <c r="F217" s="20">
        <v>224</v>
      </c>
      <c r="G217" s="20" t="str">
        <v>JPC - 224953</v>
      </c>
      <c r="H217" s="15" t="str">
        <v>Contract</v>
      </c>
      <c r="I217" s="21">
        <v>5424</v>
      </c>
      <c r="J217" s="9">
        <v>6</v>
      </c>
      <c r="K217" s="9">
        <v>904</v>
      </c>
      <c r="L217" s="9" t="str">
        <v>Active</v>
      </c>
      <c r="M217" s="9">
        <f ca="1">IF(D217&lt;&gt;"NA", D217 - C217, TODAY() - C217)</f>
        <v>228</v>
      </c>
      <c r="N217" s="9" t="str">
        <f ca="1">IF(OR(AND(H217="Contract",L217="Active"),AND(H217="Contract",L217="Done"),AND(H217="FTE",M217&gt;90,L217="Done")),"Yes","NO")</f>
        <v>Yes</v>
      </c>
      <c r="O217" s="9">
        <f t="shared" ref="O217:O235" ca="1" si="26">IF(N217="Yes",(I217*$J$215)*80,0)</f>
        <v>21696</v>
      </c>
      <c r="P217" s="9"/>
    </row>
    <row r="218" spans="1:16" x14ac:dyDescent="0.3">
      <c r="A218" s="18"/>
      <c r="B218" s="9" t="str">
        <v xml:space="preserve">Bassam Elazzeh </v>
      </c>
      <c r="C218" s="19">
        <v>45839</v>
      </c>
      <c r="D218" s="19" t="str">
        <v>NA</v>
      </c>
      <c r="E218" s="20" t="str">
        <v>LTTS/Nokia</v>
      </c>
      <c r="F218" s="20">
        <v>211</v>
      </c>
      <c r="G218" s="20" t="str">
        <v>JPC - 225290</v>
      </c>
      <c r="H218" s="15" t="str">
        <v>FTE</v>
      </c>
      <c r="I218" s="21">
        <v>6597</v>
      </c>
      <c r="J218" s="9" t="str">
        <v>NA</v>
      </c>
      <c r="K218" s="9" t="str">
        <v>NA</v>
      </c>
      <c r="L218" s="9" t="str">
        <v>Done</v>
      </c>
      <c r="M218" s="9">
        <f t="shared" ref="M218:M235" ca="1" si="27">IF(D218&lt;&gt;"NA", D218 - C218, TODAY() - C218)</f>
        <v>206</v>
      </c>
      <c r="N218" s="9" t="str">
        <f t="shared" ref="N218:N235" ca="1" si="28">IF(OR(AND(H218="Contract",L218="Active"),AND(H218="Contract",L218="Done"),AND(H218="FTE",M218&gt;90,L218="Done")),"Yes","NO")</f>
        <v>Yes</v>
      </c>
      <c r="O218" s="9">
        <f t="shared" ca="1" si="26"/>
        <v>26388</v>
      </c>
      <c r="P218" s="9"/>
    </row>
    <row r="219" spans="1:16" x14ac:dyDescent="0.3">
      <c r="A219" s="18"/>
      <c r="B219" s="9" t="str">
        <v>Nima ShabaniJafroudi</v>
      </c>
      <c r="C219" s="19">
        <v>45930</v>
      </c>
      <c r="D219" s="19" t="str">
        <v>NA</v>
      </c>
      <c r="E219" s="20" t="str">
        <v>Cyient</v>
      </c>
      <c r="F219" s="20">
        <v>432</v>
      </c>
      <c r="G219" s="20" t="str">
        <v>JPC - 225356</v>
      </c>
      <c r="H219" s="15" t="str">
        <v>FTE</v>
      </c>
      <c r="I219" s="21">
        <v>4500</v>
      </c>
      <c r="J219" s="9" t="str">
        <v>NA</v>
      </c>
      <c r="K219" s="9" t="str">
        <v>NA</v>
      </c>
      <c r="L219" s="9" t="str">
        <v>Done</v>
      </c>
      <c r="M219" s="9">
        <f t="shared" ca="1" si="27"/>
        <v>115</v>
      </c>
      <c r="N219" s="9" t="str">
        <f t="shared" ca="1" si="28"/>
        <v>Yes</v>
      </c>
      <c r="O219" s="9">
        <f t="shared" ca="1" si="26"/>
        <v>18000</v>
      </c>
      <c r="P219" s="9"/>
    </row>
    <row r="220" spans="1:16" x14ac:dyDescent="0.3">
      <c r="A220" s="18"/>
      <c r="B220" s="9"/>
      <c r="C220" s="19"/>
      <c r="D220" s="19"/>
      <c r="E220" s="20"/>
      <c r="F220" s="20"/>
      <c r="G220" s="20"/>
      <c r="H220" s="15"/>
      <c r="I220" s="21"/>
      <c r="J220" s="9"/>
      <c r="K220" s="9"/>
      <c r="L220" s="9"/>
      <c r="M220" s="9">
        <f t="shared" ca="1" si="27"/>
        <v>0</v>
      </c>
      <c r="N220" s="9" t="str">
        <f t="shared" ca="1" si="28"/>
        <v>NO</v>
      </c>
      <c r="O220" s="9">
        <f t="shared" ca="1" si="26"/>
        <v>0</v>
      </c>
      <c r="P220" s="9"/>
    </row>
    <row r="221" spans="1:16" x14ac:dyDescent="0.3">
      <c r="A221" s="18"/>
      <c r="B221" s="9"/>
      <c r="C221" s="19"/>
      <c r="D221" s="19"/>
      <c r="E221" s="20"/>
      <c r="F221" s="20"/>
      <c r="G221" s="20"/>
      <c r="H221" s="15"/>
      <c r="I221" s="21"/>
      <c r="J221" s="9"/>
      <c r="K221" s="9"/>
      <c r="L221" s="9"/>
      <c r="M221" s="9">
        <f t="shared" ca="1" si="27"/>
        <v>0</v>
      </c>
      <c r="N221" s="9" t="str">
        <f t="shared" ca="1" si="28"/>
        <v>NO</v>
      </c>
      <c r="O221" s="9">
        <f t="shared" ca="1" si="26"/>
        <v>0</v>
      </c>
      <c r="P221" s="9"/>
    </row>
    <row r="222" spans="1:16" x14ac:dyDescent="0.3">
      <c r="A222" s="18"/>
      <c r="B222" s="9"/>
      <c r="C222" s="19"/>
      <c r="D222" s="19"/>
      <c r="E222" s="20"/>
      <c r="F222" s="20"/>
      <c r="G222" s="20"/>
      <c r="H222" s="15"/>
      <c r="I222" s="21"/>
      <c r="J222" s="9"/>
      <c r="K222" s="9"/>
      <c r="L222" s="9"/>
      <c r="M222" s="9">
        <f t="shared" ca="1" si="27"/>
        <v>0</v>
      </c>
      <c r="N222" s="9" t="str">
        <f t="shared" ca="1" si="28"/>
        <v>NO</v>
      </c>
      <c r="O222" s="9">
        <f t="shared" ca="1" si="26"/>
        <v>0</v>
      </c>
      <c r="P222" s="9"/>
    </row>
    <row r="223" spans="1:16" x14ac:dyDescent="0.3">
      <c r="A223" s="18"/>
      <c r="B223" s="9"/>
      <c r="C223" s="19"/>
      <c r="D223" s="19"/>
      <c r="E223" s="20"/>
      <c r="F223" s="20"/>
      <c r="G223" s="20"/>
      <c r="H223" s="15"/>
      <c r="I223" s="21"/>
      <c r="J223" s="9"/>
      <c r="K223" s="9"/>
      <c r="L223" s="9"/>
      <c r="M223" s="9">
        <f t="shared" ca="1" si="27"/>
        <v>0</v>
      </c>
      <c r="N223" s="9" t="str">
        <f t="shared" ca="1" si="28"/>
        <v>NO</v>
      </c>
      <c r="O223" s="9">
        <f t="shared" ca="1" si="26"/>
        <v>0</v>
      </c>
      <c r="P223" s="9"/>
    </row>
    <row r="224" spans="1:16" x14ac:dyDescent="0.3">
      <c r="A224" s="18"/>
      <c r="B224" s="9"/>
      <c r="C224" s="19"/>
      <c r="D224" s="19"/>
      <c r="E224" s="20"/>
      <c r="F224" s="20"/>
      <c r="G224" s="20"/>
      <c r="H224" s="15"/>
      <c r="I224" s="21"/>
      <c r="J224" s="9"/>
      <c r="K224" s="9"/>
      <c r="L224" s="9"/>
      <c r="M224" s="9">
        <f t="shared" ca="1" si="27"/>
        <v>0</v>
      </c>
      <c r="N224" s="9" t="str">
        <f t="shared" ca="1" si="28"/>
        <v>NO</v>
      </c>
      <c r="O224" s="9">
        <f t="shared" ca="1" si="26"/>
        <v>0</v>
      </c>
      <c r="P224" s="9"/>
    </row>
    <row r="225" spans="1:16" x14ac:dyDescent="0.3">
      <c r="A225" s="18"/>
      <c r="B225" s="9"/>
      <c r="C225" s="19"/>
      <c r="D225" s="19"/>
      <c r="E225" s="20"/>
      <c r="F225" s="20"/>
      <c r="G225" s="20"/>
      <c r="H225" s="15"/>
      <c r="I225" s="21"/>
      <c r="J225" s="9"/>
      <c r="K225" s="9"/>
      <c r="L225" s="9"/>
      <c r="M225" s="9">
        <f t="shared" ca="1" si="27"/>
        <v>0</v>
      </c>
      <c r="N225" s="9" t="str">
        <f t="shared" ca="1" si="28"/>
        <v>NO</v>
      </c>
      <c r="O225" s="9">
        <f t="shared" ca="1" si="26"/>
        <v>0</v>
      </c>
      <c r="P225" s="9"/>
    </row>
    <row r="226" spans="1:16" x14ac:dyDescent="0.3">
      <c r="A226" s="18"/>
      <c r="B226" s="9"/>
      <c r="C226" s="19"/>
      <c r="D226" s="19"/>
      <c r="E226" s="20"/>
      <c r="F226" s="20"/>
      <c r="G226" s="20"/>
      <c r="H226" s="15"/>
      <c r="I226" s="21"/>
      <c r="J226" s="9"/>
      <c r="K226" s="9"/>
      <c r="L226" s="9"/>
      <c r="M226" s="9">
        <f t="shared" ca="1" si="27"/>
        <v>0</v>
      </c>
      <c r="N226" s="9" t="str">
        <f t="shared" ca="1" si="28"/>
        <v>NO</v>
      </c>
      <c r="O226" s="9">
        <f t="shared" ca="1" si="26"/>
        <v>0</v>
      </c>
      <c r="P226" s="9"/>
    </row>
    <row r="227" spans="1:16" x14ac:dyDescent="0.3">
      <c r="A227" s="18"/>
      <c r="B227" s="9"/>
      <c r="C227" s="19"/>
      <c r="D227" s="19"/>
      <c r="E227" s="20"/>
      <c r="F227" s="20"/>
      <c r="G227" s="20"/>
      <c r="H227" s="15"/>
      <c r="I227" s="21"/>
      <c r="J227" s="9"/>
      <c r="K227" s="9"/>
      <c r="L227" s="9"/>
      <c r="M227" s="9">
        <f t="shared" ca="1" si="27"/>
        <v>0</v>
      </c>
      <c r="N227" s="9" t="str">
        <f t="shared" ca="1" si="28"/>
        <v>NO</v>
      </c>
      <c r="O227" s="9">
        <f t="shared" ca="1" si="26"/>
        <v>0</v>
      </c>
      <c r="P227" s="9"/>
    </row>
    <row r="228" spans="1:16" x14ac:dyDescent="0.3">
      <c r="A228" s="18"/>
      <c r="B228" s="9"/>
      <c r="C228" s="19"/>
      <c r="D228" s="9"/>
      <c r="E228" s="20"/>
      <c r="F228" s="20"/>
      <c r="G228" s="20"/>
      <c r="H228" s="15"/>
      <c r="I228" s="21"/>
      <c r="J228" s="9"/>
      <c r="K228" s="9"/>
      <c r="L228" s="9"/>
      <c r="M228" s="9">
        <f t="shared" ca="1" si="27"/>
        <v>0</v>
      </c>
      <c r="N228" s="9" t="str">
        <f t="shared" ca="1" si="28"/>
        <v>NO</v>
      </c>
      <c r="O228" s="9">
        <f t="shared" ca="1" si="26"/>
        <v>0</v>
      </c>
      <c r="P228" s="9"/>
    </row>
    <row r="229" spans="1:16" x14ac:dyDescent="0.3">
      <c r="A229" s="18"/>
      <c r="B229" s="9"/>
      <c r="C229" s="19"/>
      <c r="D229" s="9"/>
      <c r="E229" s="9"/>
      <c r="F229" s="9"/>
      <c r="G229" s="9"/>
      <c r="H229" s="9"/>
      <c r="I229" s="21"/>
      <c r="J229" s="9"/>
      <c r="K229" s="9"/>
      <c r="L229" s="9"/>
      <c r="M229" s="9">
        <f t="shared" ca="1" si="27"/>
        <v>0</v>
      </c>
      <c r="N229" s="9" t="str">
        <f t="shared" ca="1" si="28"/>
        <v>NO</v>
      </c>
      <c r="O229" s="9">
        <f t="shared" ca="1" si="26"/>
        <v>0</v>
      </c>
      <c r="P229" s="9"/>
    </row>
    <row r="230" spans="1:16" x14ac:dyDescent="0.3">
      <c r="A230" s="18"/>
      <c r="B230" s="9"/>
      <c r="C230" s="19"/>
      <c r="D230" s="9"/>
      <c r="E230" s="9"/>
      <c r="F230" s="9"/>
      <c r="G230" s="9"/>
      <c r="H230" s="9"/>
      <c r="I230" s="21"/>
      <c r="J230" s="9"/>
      <c r="K230" s="9"/>
      <c r="L230" s="9"/>
      <c r="M230" s="9">
        <f t="shared" ca="1" si="27"/>
        <v>0</v>
      </c>
      <c r="N230" s="9" t="str">
        <f t="shared" ca="1" si="28"/>
        <v>NO</v>
      </c>
      <c r="O230" s="9">
        <f t="shared" ca="1" si="26"/>
        <v>0</v>
      </c>
      <c r="P230" s="9"/>
    </row>
    <row r="231" spans="1:16" x14ac:dyDescent="0.3">
      <c r="A231" s="18"/>
      <c r="B231" s="9"/>
      <c r="C231" s="19"/>
      <c r="D231" s="9"/>
      <c r="E231" s="9"/>
      <c r="F231" s="9"/>
      <c r="G231" s="9"/>
      <c r="H231" s="9"/>
      <c r="I231" s="21"/>
      <c r="J231" s="9"/>
      <c r="K231" s="9"/>
      <c r="L231" s="9"/>
      <c r="M231" s="9">
        <f t="shared" ca="1" si="27"/>
        <v>0</v>
      </c>
      <c r="N231" s="9" t="str">
        <f t="shared" ca="1" si="28"/>
        <v>NO</v>
      </c>
      <c r="O231" s="9">
        <f t="shared" ca="1" si="26"/>
        <v>0</v>
      </c>
      <c r="P231" s="9"/>
    </row>
    <row r="232" spans="1:16" x14ac:dyDescent="0.3">
      <c r="A232" s="18"/>
      <c r="B232" s="9"/>
      <c r="C232" s="19"/>
      <c r="D232" s="9"/>
      <c r="E232" s="9"/>
      <c r="F232" s="9"/>
      <c r="G232" s="9"/>
      <c r="H232" s="9"/>
      <c r="I232" s="21"/>
      <c r="J232" s="9"/>
      <c r="K232" s="9"/>
      <c r="L232" s="9"/>
      <c r="M232" s="9">
        <f t="shared" ca="1" si="27"/>
        <v>0</v>
      </c>
      <c r="N232" s="9" t="str">
        <f t="shared" ca="1" si="28"/>
        <v>NO</v>
      </c>
      <c r="O232" s="9">
        <f t="shared" ca="1" si="26"/>
        <v>0</v>
      </c>
      <c r="P232" s="9"/>
    </row>
    <row r="233" spans="1:16" x14ac:dyDescent="0.3">
      <c r="A233" s="18"/>
      <c r="B233" s="9"/>
      <c r="C233" s="19"/>
      <c r="D233" s="9"/>
      <c r="E233" s="9"/>
      <c r="F233" s="9"/>
      <c r="G233" s="9"/>
      <c r="H233" s="9"/>
      <c r="I233" s="21"/>
      <c r="J233" s="9"/>
      <c r="K233" s="9"/>
      <c r="L233" s="9"/>
      <c r="M233" s="9">
        <f t="shared" ca="1" si="27"/>
        <v>0</v>
      </c>
      <c r="N233" s="9" t="str">
        <f t="shared" ca="1" si="28"/>
        <v>NO</v>
      </c>
      <c r="O233" s="9">
        <f t="shared" ca="1" si="26"/>
        <v>0</v>
      </c>
      <c r="P233" s="9"/>
    </row>
    <row r="234" spans="1:16" x14ac:dyDescent="0.3">
      <c r="A234" s="18"/>
      <c r="B234" s="9"/>
      <c r="C234" s="19"/>
      <c r="D234" s="9"/>
      <c r="E234" s="9"/>
      <c r="F234" s="9"/>
      <c r="G234" s="9"/>
      <c r="H234" s="9"/>
      <c r="I234" s="21"/>
      <c r="J234" s="9"/>
      <c r="K234" s="9"/>
      <c r="L234" s="9"/>
      <c r="M234" s="9">
        <f t="shared" ca="1" si="27"/>
        <v>0</v>
      </c>
      <c r="N234" s="9" t="str">
        <f t="shared" ca="1" si="28"/>
        <v>NO</v>
      </c>
      <c r="O234" s="9">
        <f t="shared" ca="1" si="26"/>
        <v>0</v>
      </c>
      <c r="P234" s="9"/>
    </row>
    <row r="235" spans="1:16" x14ac:dyDescent="0.3">
      <c r="A235" s="18"/>
      <c r="B235" s="9"/>
      <c r="C235" s="19"/>
      <c r="D235" s="9"/>
      <c r="E235" s="9"/>
      <c r="F235" s="9"/>
      <c r="G235" s="9"/>
      <c r="H235" s="9"/>
      <c r="I235" s="21"/>
      <c r="J235" s="9"/>
      <c r="K235" s="9"/>
      <c r="L235" s="9"/>
      <c r="M235" s="9">
        <f t="shared" ca="1" si="27"/>
        <v>0</v>
      </c>
      <c r="N235" s="9" t="str">
        <f t="shared" ca="1" si="28"/>
        <v>NO</v>
      </c>
      <c r="O235" s="9">
        <f t="shared" ca="1" si="26"/>
        <v>0</v>
      </c>
      <c r="P235" s="9"/>
    </row>
    <row r="236" spans="1:16" x14ac:dyDescent="0.3">
      <c r="A236" s="18"/>
      <c r="B236" s="9"/>
      <c r="C236" s="9"/>
      <c r="D236" s="9"/>
      <c r="E236" s="9"/>
      <c r="F236" s="9"/>
      <c r="G236" s="9"/>
      <c r="H236" s="9"/>
      <c r="I236" s="21"/>
      <c r="J236" s="9"/>
      <c r="K236" s="9"/>
      <c r="L236" s="9"/>
      <c r="M236" s="9"/>
      <c r="N236" s="9"/>
      <c r="O236" s="9"/>
      <c r="P236" s="9"/>
    </row>
    <row r="237" spans="1:16" x14ac:dyDescent="0.3">
      <c r="A237" s="1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9" spans="1:16" ht="15" thickBot="1" x14ac:dyDescent="0.35"/>
    <row r="240" spans="1:16" ht="28.8" x14ac:dyDescent="0.3">
      <c r="A240" s="5" t="s">
        <v>1</v>
      </c>
      <c r="B240" s="6" t="s">
        <v>2</v>
      </c>
      <c r="C240" s="5" t="s">
        <v>3</v>
      </c>
      <c r="D240" s="5" t="s">
        <v>4</v>
      </c>
      <c r="E240" s="5" t="s">
        <v>5</v>
      </c>
      <c r="F240" s="5" t="s">
        <v>6</v>
      </c>
      <c r="G240" s="5" t="s">
        <v>7</v>
      </c>
      <c r="H240" s="5" t="s">
        <v>8</v>
      </c>
      <c r="I240" s="7" t="s">
        <v>9</v>
      </c>
      <c r="J240" s="5" t="s">
        <v>10</v>
      </c>
      <c r="K240" s="5" t="s">
        <v>11</v>
      </c>
      <c r="L240" s="5" t="s">
        <v>12</v>
      </c>
      <c r="M240" s="5" t="s">
        <v>13</v>
      </c>
      <c r="N240" s="5" t="s">
        <v>14</v>
      </c>
    </row>
    <row r="241" spans="1:16" x14ac:dyDescent="0.3">
      <c r="A241" s="9" t="str">
        <f>_xlfn.XLOOKUP($C241,'[1]Data Validation (2)'!$M$3:$M$137,'[1]Data Validation (2)'!$N$3:$N$137)</f>
        <v>Titans</v>
      </c>
      <c r="B241" s="10" t="str">
        <f>_xlfn.XLOOKUP($C241,'[1]Data Validation (2)'!$M$3:$M$137,'[1]Data Validation (2)'!$P$3:$P$137)</f>
        <v>VB0082</v>
      </c>
      <c r="C241" s="11" t="s">
        <v>39</v>
      </c>
      <c r="D241" s="9" t="str">
        <f>_xlfn.XLOOKUP($C241,'[1]Data Validation (2)'!$M$3:$M$137,'[1]Data Validation (2)'!$O$3:$O$137)</f>
        <v>Aditya Yadav</v>
      </c>
      <c r="E241" s="9">
        <f>_xlfn.XLOOKUP($C241,'[1]Ach % - L4'!$B$2:$B$214,'[1]Ach % - L4'!$E$2:$E$214)</f>
        <v>7</v>
      </c>
      <c r="F241" s="9">
        <f>_xlfn.XLOOKUP($C241,'[1]Ach % - L4'!$B$2:$B$214,'[1]Ach % - L4'!$F$2:$F$214)</f>
        <v>2</v>
      </c>
      <c r="G241" s="12">
        <f>F241/E241</f>
        <v>0.2857142857142857</v>
      </c>
      <c r="H241" s="13">
        <f>SUM(I243:I263)</f>
        <v>13480</v>
      </c>
      <c r="I241" s="14">
        <f ca="1">SUMIFS($I242:$I263,$N242:$N263,"yes")</f>
        <v>13480</v>
      </c>
      <c r="J241" s="15" cm="1">
        <f t="array" ref="J241">_xlfn.IFS($G241&lt;=34%,0%,$G241&lt;=75%,3%,$G241&lt;=120%,4%,$G241&gt;120%,5%)</f>
        <v>0</v>
      </c>
      <c r="K241" s="13">
        <f ca="1">I241*J241</f>
        <v>0</v>
      </c>
      <c r="L241" s="9">
        <f ca="1">K241*80</f>
        <v>0</v>
      </c>
      <c r="M241" s="11">
        <f ca="1">L241*50%</f>
        <v>0</v>
      </c>
      <c r="N241" s="11"/>
    </row>
    <row r="242" spans="1:16" s="8" customFormat="1" ht="28.8" x14ac:dyDescent="0.3">
      <c r="A242" s="16" t="s">
        <v>3</v>
      </c>
      <c r="B242" s="16" t="s">
        <v>16</v>
      </c>
      <c r="C242" s="16" t="s">
        <v>17</v>
      </c>
      <c r="D242" s="16" t="s">
        <v>18</v>
      </c>
      <c r="E242" s="16" t="s">
        <v>19</v>
      </c>
      <c r="F242" s="17" t="s">
        <v>20</v>
      </c>
      <c r="G242" s="17" t="s">
        <v>21</v>
      </c>
      <c r="H242" s="16" t="s">
        <v>22</v>
      </c>
      <c r="I242" s="16" t="s">
        <v>8</v>
      </c>
      <c r="J242" s="16" t="s">
        <v>23</v>
      </c>
      <c r="K242" s="16" t="s">
        <v>24</v>
      </c>
      <c r="L242" s="16" t="s">
        <v>25</v>
      </c>
      <c r="M242" s="16" t="s">
        <v>26</v>
      </c>
      <c r="N242" s="16" t="s">
        <v>27</v>
      </c>
      <c r="O242" s="16" t="s">
        <v>28</v>
      </c>
      <c r="P242" s="16" t="s">
        <v>29</v>
      </c>
    </row>
    <row r="243" spans="1:16" x14ac:dyDescent="0.3">
      <c r="A243" s="18" t="str">
        <f>C241</f>
        <v>Santosh Singh</v>
      </c>
      <c r="B243" s="9" t="str" cm="1">
        <f t="array" ref="B243:L245">IFERROR(_xlfn.CHOOSECOLS(_xlfn._xlws.FILTER('[1]L4 dummy data'!A:AS, '[1]L4 dummy data'!D:D=$C241), 3, 14, 15, 16, 44, 45, 18, 41, 27, 40, 42), "")</f>
        <v>Renita Blake</v>
      </c>
      <c r="C243" s="19">
        <v>45691</v>
      </c>
      <c r="D243" s="19">
        <v>45730</v>
      </c>
      <c r="E243" s="20" t="str">
        <v>Microland</v>
      </c>
      <c r="F243" s="20">
        <v>432</v>
      </c>
      <c r="G243" s="20" t="str">
        <v>JPC - 225020</v>
      </c>
      <c r="H243" s="15" t="str">
        <v>Contract</v>
      </c>
      <c r="I243" s="21">
        <v>800</v>
      </c>
      <c r="J243" s="9">
        <v>10</v>
      </c>
      <c r="K243" s="9">
        <v>80</v>
      </c>
      <c r="L243" s="9" t="str">
        <v>Active</v>
      </c>
      <c r="M243" s="9">
        <f ca="1">IF(D243&lt;&gt;"NA", D243 - C243, TODAY() - C243)</f>
        <v>39</v>
      </c>
      <c r="N243" s="9" t="str">
        <f ca="1">IF(OR(AND(H243="Contract",L243="Active"),AND(H243="Contract",L243="Done"),AND(H243="FTE",M243&gt;90,L243="Done")),"Yes","NO")</f>
        <v>Yes</v>
      </c>
      <c r="O243" s="9">
        <f t="shared" ref="O243:O261" ca="1" si="29">IF(N243="Yes",(I243*$J$241)*80,0)</f>
        <v>0</v>
      </c>
      <c r="P243" s="9"/>
    </row>
    <row r="244" spans="1:16" x14ac:dyDescent="0.3">
      <c r="A244" s="18"/>
      <c r="B244" s="9" t="str">
        <v>David Muhanad Kassis</v>
      </c>
      <c r="C244" s="19">
        <v>45733</v>
      </c>
      <c r="D244" s="19" t="str">
        <v>NA</v>
      </c>
      <c r="E244" s="20" t="str">
        <v>LTTS | Pratt &amp; Whitney</v>
      </c>
      <c r="F244" s="20">
        <v>250</v>
      </c>
      <c r="G244" s="20" t="str">
        <v>JPC - 225224</v>
      </c>
      <c r="H244" s="15" t="str">
        <v>FTE</v>
      </c>
      <c r="I244" s="21">
        <v>5864</v>
      </c>
      <c r="J244" s="9" t="str">
        <v>NA</v>
      </c>
      <c r="K244" s="9" t="str">
        <v>NA</v>
      </c>
      <c r="L244" s="9" t="str">
        <v>Done</v>
      </c>
      <c r="M244" s="9">
        <f t="shared" ref="M244:M261" ca="1" si="30">IF(D244&lt;&gt;"NA", D244 - C244, TODAY() - C244)</f>
        <v>312</v>
      </c>
      <c r="N244" s="9" t="str">
        <f t="shared" ref="N244:N261" ca="1" si="31">IF(OR(AND(H244="Contract",L244="Active"),AND(H244="Contract",L244="Done"),AND(H244="FTE",M244&gt;90,L244="Done")),"Yes","NO")</f>
        <v>Yes</v>
      </c>
      <c r="O244" s="9">
        <f t="shared" ca="1" si="29"/>
        <v>0</v>
      </c>
      <c r="P244" s="9"/>
    </row>
    <row r="245" spans="1:16" x14ac:dyDescent="0.3">
      <c r="A245" s="18"/>
      <c r="B245" s="9" t="str">
        <v>Shashawnee Freeman</v>
      </c>
      <c r="C245" s="19">
        <v>45929</v>
      </c>
      <c r="D245" s="19" t="str">
        <v>NA</v>
      </c>
      <c r="E245" s="20" t="str">
        <v>LTTS</v>
      </c>
      <c r="F245" s="20">
        <v>438</v>
      </c>
      <c r="G245" s="20" t="str">
        <v>JPC - 225355</v>
      </c>
      <c r="H245" s="15" t="str">
        <v>FTE</v>
      </c>
      <c r="I245" s="21">
        <v>6816</v>
      </c>
      <c r="J245" s="9" t="str">
        <v>NA</v>
      </c>
      <c r="K245" s="9" t="str">
        <v>NA</v>
      </c>
      <c r="L245" s="9" t="str">
        <v>Done</v>
      </c>
      <c r="M245" s="9">
        <f t="shared" ca="1" si="30"/>
        <v>116</v>
      </c>
      <c r="N245" s="9" t="str">
        <f t="shared" ca="1" si="31"/>
        <v>Yes</v>
      </c>
      <c r="O245" s="9">
        <f t="shared" ca="1" si="29"/>
        <v>0</v>
      </c>
      <c r="P245" s="9"/>
    </row>
    <row r="246" spans="1:16" x14ac:dyDescent="0.3">
      <c r="A246" s="18"/>
      <c r="B246" s="9"/>
      <c r="C246" s="19"/>
      <c r="D246" s="19"/>
      <c r="E246" s="20"/>
      <c r="F246" s="20"/>
      <c r="G246" s="20"/>
      <c r="H246" s="15"/>
      <c r="I246" s="21"/>
      <c r="J246" s="9"/>
      <c r="K246" s="9"/>
      <c r="L246" s="9"/>
      <c r="M246" s="9">
        <f t="shared" ca="1" si="30"/>
        <v>0</v>
      </c>
      <c r="N246" s="9" t="str">
        <f t="shared" ca="1" si="31"/>
        <v>NO</v>
      </c>
      <c r="O246" s="9">
        <f t="shared" ca="1" si="29"/>
        <v>0</v>
      </c>
      <c r="P246" s="9"/>
    </row>
    <row r="247" spans="1:16" x14ac:dyDescent="0.3">
      <c r="A247" s="18"/>
      <c r="B247" s="9"/>
      <c r="C247" s="19"/>
      <c r="D247" s="19"/>
      <c r="E247" s="20"/>
      <c r="F247" s="20"/>
      <c r="G247" s="20"/>
      <c r="H247" s="15"/>
      <c r="I247" s="21"/>
      <c r="J247" s="9"/>
      <c r="K247" s="9"/>
      <c r="L247" s="9"/>
      <c r="M247" s="9">
        <f t="shared" ca="1" si="30"/>
        <v>0</v>
      </c>
      <c r="N247" s="9" t="str">
        <f t="shared" ca="1" si="31"/>
        <v>NO</v>
      </c>
      <c r="O247" s="9">
        <f t="shared" ca="1" si="29"/>
        <v>0</v>
      </c>
      <c r="P247" s="9"/>
    </row>
    <row r="248" spans="1:16" x14ac:dyDescent="0.3">
      <c r="A248" s="18"/>
      <c r="B248" s="9"/>
      <c r="C248" s="19"/>
      <c r="D248" s="19"/>
      <c r="E248" s="20"/>
      <c r="F248" s="20"/>
      <c r="G248" s="20"/>
      <c r="H248" s="15"/>
      <c r="I248" s="21"/>
      <c r="J248" s="9"/>
      <c r="K248" s="9"/>
      <c r="L248" s="9"/>
      <c r="M248" s="9">
        <f t="shared" ca="1" si="30"/>
        <v>0</v>
      </c>
      <c r="N248" s="9" t="str">
        <f t="shared" ca="1" si="31"/>
        <v>NO</v>
      </c>
      <c r="O248" s="9">
        <f t="shared" ca="1" si="29"/>
        <v>0</v>
      </c>
      <c r="P248" s="9"/>
    </row>
    <row r="249" spans="1:16" x14ac:dyDescent="0.3">
      <c r="A249" s="18"/>
      <c r="B249" s="9"/>
      <c r="C249" s="19"/>
      <c r="D249" s="19"/>
      <c r="E249" s="20"/>
      <c r="F249" s="20"/>
      <c r="G249" s="20"/>
      <c r="H249" s="15"/>
      <c r="I249" s="21"/>
      <c r="J249" s="9"/>
      <c r="K249" s="9"/>
      <c r="L249" s="9"/>
      <c r="M249" s="9">
        <f t="shared" ca="1" si="30"/>
        <v>0</v>
      </c>
      <c r="N249" s="9" t="str">
        <f t="shared" ca="1" si="31"/>
        <v>NO</v>
      </c>
      <c r="O249" s="9">
        <f t="shared" ca="1" si="29"/>
        <v>0</v>
      </c>
      <c r="P249" s="9"/>
    </row>
    <row r="250" spans="1:16" x14ac:dyDescent="0.3">
      <c r="A250" s="18"/>
      <c r="B250" s="9"/>
      <c r="C250" s="19"/>
      <c r="D250" s="19"/>
      <c r="E250" s="20"/>
      <c r="F250" s="20"/>
      <c r="G250" s="20"/>
      <c r="H250" s="15"/>
      <c r="I250" s="21"/>
      <c r="J250" s="9"/>
      <c r="K250" s="9"/>
      <c r="L250" s="9"/>
      <c r="M250" s="9">
        <f t="shared" ca="1" si="30"/>
        <v>0</v>
      </c>
      <c r="N250" s="9" t="str">
        <f t="shared" ca="1" si="31"/>
        <v>NO</v>
      </c>
      <c r="O250" s="9">
        <f t="shared" ca="1" si="29"/>
        <v>0</v>
      </c>
      <c r="P250" s="9"/>
    </row>
    <row r="251" spans="1:16" x14ac:dyDescent="0.3">
      <c r="A251" s="18"/>
      <c r="B251" s="9"/>
      <c r="C251" s="19"/>
      <c r="D251" s="19"/>
      <c r="E251" s="20"/>
      <c r="F251" s="20"/>
      <c r="G251" s="20"/>
      <c r="H251" s="15"/>
      <c r="I251" s="21"/>
      <c r="J251" s="9"/>
      <c r="K251" s="9"/>
      <c r="L251" s="9"/>
      <c r="M251" s="9">
        <f t="shared" ca="1" si="30"/>
        <v>0</v>
      </c>
      <c r="N251" s="9" t="str">
        <f t="shared" ca="1" si="31"/>
        <v>NO</v>
      </c>
      <c r="O251" s="9">
        <f t="shared" ca="1" si="29"/>
        <v>0</v>
      </c>
      <c r="P251" s="9"/>
    </row>
    <row r="252" spans="1:16" x14ac:dyDescent="0.3">
      <c r="A252" s="18"/>
      <c r="B252" s="9"/>
      <c r="C252" s="19"/>
      <c r="D252" s="19"/>
      <c r="E252" s="20"/>
      <c r="F252" s="20"/>
      <c r="G252" s="20"/>
      <c r="H252" s="15"/>
      <c r="I252" s="21"/>
      <c r="J252" s="9"/>
      <c r="K252" s="9"/>
      <c r="L252" s="9"/>
      <c r="M252" s="9">
        <f t="shared" ca="1" si="30"/>
        <v>0</v>
      </c>
      <c r="N252" s="9" t="str">
        <f t="shared" ca="1" si="31"/>
        <v>NO</v>
      </c>
      <c r="O252" s="9">
        <f t="shared" ca="1" si="29"/>
        <v>0</v>
      </c>
      <c r="P252" s="9"/>
    </row>
    <row r="253" spans="1:16" x14ac:dyDescent="0.3">
      <c r="A253" s="18"/>
      <c r="B253" s="9"/>
      <c r="C253" s="19"/>
      <c r="D253" s="19"/>
      <c r="E253" s="20"/>
      <c r="F253" s="20"/>
      <c r="G253" s="20"/>
      <c r="H253" s="15"/>
      <c r="I253" s="21"/>
      <c r="J253" s="9"/>
      <c r="K253" s="9"/>
      <c r="L253" s="9"/>
      <c r="M253" s="9">
        <f t="shared" ca="1" si="30"/>
        <v>0</v>
      </c>
      <c r="N253" s="9" t="str">
        <f t="shared" ca="1" si="31"/>
        <v>NO</v>
      </c>
      <c r="O253" s="9">
        <f t="shared" ca="1" si="29"/>
        <v>0</v>
      </c>
      <c r="P253" s="9"/>
    </row>
    <row r="254" spans="1:16" x14ac:dyDescent="0.3">
      <c r="A254" s="18"/>
      <c r="B254" s="9"/>
      <c r="C254" s="19"/>
      <c r="D254" s="9"/>
      <c r="E254" s="20"/>
      <c r="F254" s="20"/>
      <c r="G254" s="20"/>
      <c r="H254" s="15"/>
      <c r="I254" s="21"/>
      <c r="J254" s="9"/>
      <c r="K254" s="9"/>
      <c r="L254" s="9"/>
      <c r="M254" s="9">
        <f t="shared" ca="1" si="30"/>
        <v>0</v>
      </c>
      <c r="N254" s="9" t="str">
        <f t="shared" ca="1" si="31"/>
        <v>NO</v>
      </c>
      <c r="O254" s="9">
        <f t="shared" ca="1" si="29"/>
        <v>0</v>
      </c>
      <c r="P254" s="9"/>
    </row>
    <row r="255" spans="1:16" x14ac:dyDescent="0.3">
      <c r="A255" s="18"/>
      <c r="B255" s="9"/>
      <c r="C255" s="19"/>
      <c r="D255" s="9"/>
      <c r="E255" s="9"/>
      <c r="F255" s="9"/>
      <c r="G255" s="9"/>
      <c r="H255" s="9"/>
      <c r="I255" s="21"/>
      <c r="J255" s="9"/>
      <c r="K255" s="9"/>
      <c r="L255" s="9"/>
      <c r="M255" s="9">
        <f t="shared" ca="1" si="30"/>
        <v>0</v>
      </c>
      <c r="N255" s="9" t="str">
        <f t="shared" ca="1" si="31"/>
        <v>NO</v>
      </c>
      <c r="O255" s="9">
        <f t="shared" ca="1" si="29"/>
        <v>0</v>
      </c>
      <c r="P255" s="9"/>
    </row>
    <row r="256" spans="1:16" x14ac:dyDescent="0.3">
      <c r="A256" s="18"/>
      <c r="B256" s="9"/>
      <c r="C256" s="19"/>
      <c r="D256" s="9"/>
      <c r="E256" s="9"/>
      <c r="F256" s="9"/>
      <c r="G256" s="9"/>
      <c r="H256" s="9"/>
      <c r="I256" s="21"/>
      <c r="J256" s="9"/>
      <c r="K256" s="9"/>
      <c r="L256" s="9"/>
      <c r="M256" s="9">
        <f t="shared" ca="1" si="30"/>
        <v>0</v>
      </c>
      <c r="N256" s="9" t="str">
        <f t="shared" ca="1" si="31"/>
        <v>NO</v>
      </c>
      <c r="O256" s="9">
        <f t="shared" ca="1" si="29"/>
        <v>0</v>
      </c>
      <c r="P256" s="9"/>
    </row>
    <row r="257" spans="1:16" x14ac:dyDescent="0.3">
      <c r="A257" s="18"/>
      <c r="B257" s="9"/>
      <c r="C257" s="19"/>
      <c r="D257" s="9"/>
      <c r="E257" s="9"/>
      <c r="F257" s="9"/>
      <c r="G257" s="9"/>
      <c r="H257" s="9"/>
      <c r="I257" s="21"/>
      <c r="J257" s="9"/>
      <c r="K257" s="9"/>
      <c r="L257" s="9"/>
      <c r="M257" s="9">
        <f t="shared" ca="1" si="30"/>
        <v>0</v>
      </c>
      <c r="N257" s="9" t="str">
        <f t="shared" ca="1" si="31"/>
        <v>NO</v>
      </c>
      <c r="O257" s="9">
        <f t="shared" ca="1" si="29"/>
        <v>0</v>
      </c>
      <c r="P257" s="9"/>
    </row>
    <row r="258" spans="1:16" x14ac:dyDescent="0.3">
      <c r="A258" s="18"/>
      <c r="B258" s="9"/>
      <c r="C258" s="19"/>
      <c r="D258" s="9"/>
      <c r="E258" s="9"/>
      <c r="F258" s="9"/>
      <c r="G258" s="9"/>
      <c r="H258" s="9"/>
      <c r="I258" s="21"/>
      <c r="J258" s="9"/>
      <c r="K258" s="9"/>
      <c r="L258" s="9"/>
      <c r="M258" s="9">
        <f t="shared" ca="1" si="30"/>
        <v>0</v>
      </c>
      <c r="N258" s="9" t="str">
        <f t="shared" ca="1" si="31"/>
        <v>NO</v>
      </c>
      <c r="O258" s="9">
        <f t="shared" ca="1" si="29"/>
        <v>0</v>
      </c>
      <c r="P258" s="9"/>
    </row>
    <row r="259" spans="1:16" x14ac:dyDescent="0.3">
      <c r="A259" s="18"/>
      <c r="B259" s="9"/>
      <c r="C259" s="19"/>
      <c r="D259" s="9"/>
      <c r="E259" s="9"/>
      <c r="F259" s="9"/>
      <c r="G259" s="9"/>
      <c r="H259" s="9"/>
      <c r="I259" s="21"/>
      <c r="J259" s="9"/>
      <c r="K259" s="9"/>
      <c r="L259" s="9"/>
      <c r="M259" s="9">
        <f t="shared" ca="1" si="30"/>
        <v>0</v>
      </c>
      <c r="N259" s="9" t="str">
        <f t="shared" ca="1" si="31"/>
        <v>NO</v>
      </c>
      <c r="O259" s="9">
        <f t="shared" ca="1" si="29"/>
        <v>0</v>
      </c>
      <c r="P259" s="9"/>
    </row>
    <row r="260" spans="1:16" x14ac:dyDescent="0.3">
      <c r="A260" s="18"/>
      <c r="B260" s="9"/>
      <c r="C260" s="19"/>
      <c r="D260" s="9"/>
      <c r="E260" s="9"/>
      <c r="F260" s="9"/>
      <c r="G260" s="9"/>
      <c r="H260" s="9"/>
      <c r="I260" s="21"/>
      <c r="J260" s="9"/>
      <c r="K260" s="9"/>
      <c r="L260" s="9"/>
      <c r="M260" s="9">
        <f t="shared" ca="1" si="30"/>
        <v>0</v>
      </c>
      <c r="N260" s="9" t="str">
        <f t="shared" ca="1" si="31"/>
        <v>NO</v>
      </c>
      <c r="O260" s="9">
        <f t="shared" ca="1" si="29"/>
        <v>0</v>
      </c>
      <c r="P260" s="9"/>
    </row>
    <row r="261" spans="1:16" x14ac:dyDescent="0.3">
      <c r="A261" s="18"/>
      <c r="B261" s="9"/>
      <c r="C261" s="19"/>
      <c r="D261" s="9"/>
      <c r="E261" s="9"/>
      <c r="F261" s="9"/>
      <c r="G261" s="9"/>
      <c r="H261" s="9"/>
      <c r="I261" s="21"/>
      <c r="J261" s="9"/>
      <c r="K261" s="9"/>
      <c r="L261" s="9"/>
      <c r="M261" s="9">
        <f t="shared" ca="1" si="30"/>
        <v>0</v>
      </c>
      <c r="N261" s="9" t="str">
        <f t="shared" ca="1" si="31"/>
        <v>NO</v>
      </c>
      <c r="O261" s="9">
        <f t="shared" ca="1" si="29"/>
        <v>0</v>
      </c>
      <c r="P261" s="9"/>
    </row>
    <row r="262" spans="1:16" x14ac:dyDescent="0.3">
      <c r="A262" s="18"/>
      <c r="B262" s="9"/>
      <c r="C262" s="9"/>
      <c r="D262" s="9"/>
      <c r="E262" s="9"/>
      <c r="F262" s="9"/>
      <c r="G262" s="9"/>
      <c r="H262" s="9"/>
      <c r="I262" s="21"/>
      <c r="J262" s="9"/>
      <c r="K262" s="9"/>
      <c r="L262" s="9"/>
      <c r="M262" s="9"/>
      <c r="N262" s="9"/>
      <c r="O262" s="9"/>
      <c r="P262" s="9"/>
    </row>
    <row r="263" spans="1:16" x14ac:dyDescent="0.3">
      <c r="A263" s="1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5" spans="1:16" ht="15" thickBot="1" x14ac:dyDescent="0.35"/>
    <row r="266" spans="1:16" ht="28.8" x14ac:dyDescent="0.3">
      <c r="A266" s="5" t="s">
        <v>1</v>
      </c>
      <c r="B266" s="6" t="s">
        <v>2</v>
      </c>
      <c r="C266" s="5" t="s">
        <v>3</v>
      </c>
      <c r="D266" s="5" t="s">
        <v>4</v>
      </c>
      <c r="E266" s="5" t="s">
        <v>5</v>
      </c>
      <c r="F266" s="5" t="s">
        <v>6</v>
      </c>
      <c r="G266" s="5" t="s">
        <v>7</v>
      </c>
      <c r="H266" s="5" t="s">
        <v>8</v>
      </c>
      <c r="I266" s="7" t="s">
        <v>9</v>
      </c>
      <c r="J266" s="5" t="s">
        <v>10</v>
      </c>
      <c r="K266" s="5" t="s">
        <v>11</v>
      </c>
      <c r="L266" s="5" t="s">
        <v>12</v>
      </c>
      <c r="M266" s="5" t="s">
        <v>13</v>
      </c>
      <c r="N266" s="5" t="s">
        <v>14</v>
      </c>
    </row>
    <row r="267" spans="1:16" x14ac:dyDescent="0.3">
      <c r="A267" s="9" t="str">
        <f>_xlfn.XLOOKUP($C267,'[1]Data Validation (2)'!$M$3:$M$137,'[1]Data Validation (2)'!$N$3:$N$137)</f>
        <v>Titans</v>
      </c>
      <c r="B267" s="10" t="str">
        <f>_xlfn.XLOOKUP($C267,'[1]Data Validation (2)'!$M$3:$M$137,'[1]Data Validation (2)'!$P$3:$P$137)</f>
        <v>VB0083</v>
      </c>
      <c r="C267" s="11" t="s">
        <v>40</v>
      </c>
      <c r="D267" s="9" t="str">
        <f>_xlfn.XLOOKUP($C267,'[1]Data Validation (2)'!$M$3:$M$137,'[1]Data Validation (2)'!$O$3:$O$137)</f>
        <v>Aditya Yadav</v>
      </c>
      <c r="E267" s="9">
        <f>_xlfn.XLOOKUP($C267,'[1]Ach % - L4'!$B$2:$B$214,'[1]Ach % - L4'!$E$2:$E$214)</f>
        <v>7</v>
      </c>
      <c r="F267" s="9">
        <f>_xlfn.XLOOKUP($C267,'[1]Ach % - L4'!$B$2:$B$214,'[1]Ach % - L4'!$F$2:$F$214)</f>
        <v>4</v>
      </c>
      <c r="G267" s="12">
        <f>F267/E267</f>
        <v>0.5714285714285714</v>
      </c>
      <c r="H267" s="13">
        <f>SUM(I269:I289)</f>
        <v>13993</v>
      </c>
      <c r="I267" s="14">
        <f ca="1">SUMIFS($I268:$I289,$N268:$N289,"yes")</f>
        <v>11097</v>
      </c>
      <c r="J267" s="15" cm="1">
        <f t="array" ref="J267">_xlfn.IFS($G267&lt;=34%,0%,$G267&lt;=75%,3%,$G267&lt;=120%,4%,$G267&gt;120%,5%)</f>
        <v>0.03</v>
      </c>
      <c r="K267" s="13">
        <f ca="1">I267*J267</f>
        <v>332.90999999999997</v>
      </c>
      <c r="L267" s="9">
        <f ca="1">K267*80</f>
        <v>26632.799999999996</v>
      </c>
      <c r="M267" s="11">
        <f ca="1">L267*50%</f>
        <v>13316.399999999998</v>
      </c>
      <c r="N267" s="11"/>
    </row>
    <row r="268" spans="1:16" s="8" customFormat="1" ht="28.8" x14ac:dyDescent="0.3">
      <c r="A268" s="16" t="s">
        <v>3</v>
      </c>
      <c r="B268" s="16" t="s">
        <v>16</v>
      </c>
      <c r="C268" s="16" t="s">
        <v>17</v>
      </c>
      <c r="D268" s="16" t="s">
        <v>18</v>
      </c>
      <c r="E268" s="16" t="s">
        <v>19</v>
      </c>
      <c r="F268" s="17" t="s">
        <v>20</v>
      </c>
      <c r="G268" s="17" t="s">
        <v>21</v>
      </c>
      <c r="H268" s="16" t="s">
        <v>22</v>
      </c>
      <c r="I268" s="16" t="s">
        <v>8</v>
      </c>
      <c r="J268" s="16" t="s">
        <v>23</v>
      </c>
      <c r="K268" s="16" t="s">
        <v>24</v>
      </c>
      <c r="L268" s="16" t="s">
        <v>25</v>
      </c>
      <c r="M268" s="16" t="s">
        <v>26</v>
      </c>
      <c r="N268" s="16" t="s">
        <v>27</v>
      </c>
      <c r="O268" s="16" t="s">
        <v>28</v>
      </c>
      <c r="P268" s="16" t="s">
        <v>29</v>
      </c>
    </row>
    <row r="269" spans="1:16" x14ac:dyDescent="0.3">
      <c r="A269" s="18" t="str">
        <f>C267</f>
        <v>Aastha Tiwari</v>
      </c>
      <c r="B269" s="9" t="str" cm="1">
        <f t="array" ref="B269:L272">IFERROR(_xlfn.CHOOSECOLS(_xlfn._xlws.FILTER('[1]L4 dummy data'!A:AS, '[1]L4 dummy data'!D:D=$C267), 3, 14, 15, 16, 44, 45, 18, 41, 27, 40, 42), "")</f>
        <v>Prudhvi Raj Numburi</v>
      </c>
      <c r="C269" s="19">
        <v>45819</v>
      </c>
      <c r="D269" s="19" t="str">
        <v>NA</v>
      </c>
      <c r="E269" s="20" t="str">
        <v>Genpact</v>
      </c>
      <c r="F269" s="20">
        <v>211</v>
      </c>
      <c r="G269" s="20" t="str">
        <v>JPC - 224996</v>
      </c>
      <c r="H269" s="15" t="str">
        <v>Contract</v>
      </c>
      <c r="I269" s="21">
        <v>1696</v>
      </c>
      <c r="J269" s="9">
        <v>2</v>
      </c>
      <c r="K269" s="9">
        <v>848</v>
      </c>
      <c r="L269" s="9" t="str">
        <v>Pending</v>
      </c>
      <c r="M269" s="9">
        <f ca="1">IF(D269&lt;&gt;"NA", D269 - C269, TODAY() - C269)</f>
        <v>226</v>
      </c>
      <c r="N269" s="9" t="str">
        <f ca="1">IF(OR(AND(H269="Contract",L269="Active"),AND(H269="Contract",L269="Done"),AND(H269="FTE",M269&gt;90,L269="Done")),"Yes","NO")</f>
        <v>NO</v>
      </c>
      <c r="O269" s="9">
        <f t="shared" ref="O269:O287" ca="1" si="32">IF(N269="Yes",(I269*$J$267)*80,0)</f>
        <v>0</v>
      </c>
      <c r="P269" s="9"/>
    </row>
    <row r="270" spans="1:16" x14ac:dyDescent="0.3">
      <c r="A270" s="18"/>
      <c r="B270" s="9" t="str">
        <v>Dinesh Gurumoorthy Soundararajan</v>
      </c>
      <c r="C270" s="19">
        <v>45944</v>
      </c>
      <c r="D270" s="19" t="str">
        <v>NA</v>
      </c>
      <c r="E270" s="20" t="str">
        <v>Genpact</v>
      </c>
      <c r="F270" s="20">
        <v>315</v>
      </c>
      <c r="G270" s="20" t="str">
        <v>JPC - 225135</v>
      </c>
      <c r="H270" s="15" t="str">
        <v>Contract</v>
      </c>
      <c r="I270" s="21">
        <v>1200</v>
      </c>
      <c r="J270" s="9">
        <v>15</v>
      </c>
      <c r="K270" s="9">
        <v>80</v>
      </c>
      <c r="L270" s="9" t="str">
        <v>No Bill No Pay</v>
      </c>
      <c r="M270" s="9">
        <f t="shared" ref="M270:M287" ca="1" si="33">IF(D270&lt;&gt;"NA", D270 - C270, TODAY() - C270)</f>
        <v>101</v>
      </c>
      <c r="N270" s="9" t="str">
        <f t="shared" ref="N270:N287" ca="1" si="34">IF(OR(AND(H270="Contract",L270="Active"),AND(H270="Contract",L270="Done"),AND(H270="FTE",M270&gt;90,L270="Done")),"Yes","NO")</f>
        <v>NO</v>
      </c>
      <c r="O270" s="9">
        <f t="shared" ca="1" si="32"/>
        <v>0</v>
      </c>
      <c r="P270" s="9"/>
    </row>
    <row r="271" spans="1:16" x14ac:dyDescent="0.3">
      <c r="A271" s="18"/>
      <c r="B271" s="9" t="str">
        <v xml:space="preserve">Claude Auger </v>
      </c>
      <c r="C271" s="19">
        <v>45712</v>
      </c>
      <c r="D271" s="19" t="str">
        <v>NA</v>
      </c>
      <c r="E271" s="20" t="str">
        <v>Cyient</v>
      </c>
      <c r="F271" s="20">
        <v>393</v>
      </c>
      <c r="G271" s="20" t="str">
        <v>JPC - 225213</v>
      </c>
      <c r="H271" s="15" t="str">
        <v>FTE</v>
      </c>
      <c r="I271" s="21">
        <v>4500</v>
      </c>
      <c r="J271" s="9" t="str">
        <v>NA</v>
      </c>
      <c r="K271" s="9" t="str">
        <v>NA</v>
      </c>
      <c r="L271" s="9" t="str">
        <v>Done</v>
      </c>
      <c r="M271" s="9">
        <f t="shared" ca="1" si="33"/>
        <v>333</v>
      </c>
      <c r="N271" s="9" t="str">
        <f t="shared" ca="1" si="34"/>
        <v>Yes</v>
      </c>
      <c r="O271" s="9">
        <f t="shared" ca="1" si="32"/>
        <v>10800</v>
      </c>
      <c r="P271" s="9"/>
    </row>
    <row r="272" spans="1:16" x14ac:dyDescent="0.3">
      <c r="A272" s="18"/>
      <c r="B272" s="9" t="str">
        <v xml:space="preserve">Michelle Johnson </v>
      </c>
      <c r="C272" s="19">
        <v>45936</v>
      </c>
      <c r="D272" s="19" t="str">
        <v>NA</v>
      </c>
      <c r="E272" s="20" t="str">
        <v>LTTS</v>
      </c>
      <c r="F272" s="20">
        <v>341</v>
      </c>
      <c r="G272" s="20" t="str">
        <v>JPC - 225364</v>
      </c>
      <c r="H272" s="15" t="str">
        <v>FTE</v>
      </c>
      <c r="I272" s="21">
        <v>6597</v>
      </c>
      <c r="J272" s="9" t="str">
        <v>NA</v>
      </c>
      <c r="K272" s="9" t="str">
        <v>NA</v>
      </c>
      <c r="L272" s="9" t="str">
        <v>Done</v>
      </c>
      <c r="M272" s="9">
        <f t="shared" ca="1" si="33"/>
        <v>109</v>
      </c>
      <c r="N272" s="9" t="str">
        <f t="shared" ca="1" si="34"/>
        <v>Yes</v>
      </c>
      <c r="O272" s="9">
        <f t="shared" ca="1" si="32"/>
        <v>15832.8</v>
      </c>
      <c r="P272" s="9"/>
    </row>
    <row r="273" spans="1:16" x14ac:dyDescent="0.3">
      <c r="A273" s="18"/>
      <c r="B273" s="9"/>
      <c r="C273" s="19"/>
      <c r="D273" s="19"/>
      <c r="E273" s="20"/>
      <c r="F273" s="20"/>
      <c r="G273" s="20"/>
      <c r="H273" s="15"/>
      <c r="I273" s="21"/>
      <c r="J273" s="9"/>
      <c r="K273" s="9"/>
      <c r="L273" s="9"/>
      <c r="M273" s="9">
        <f t="shared" ca="1" si="33"/>
        <v>0</v>
      </c>
      <c r="N273" s="9" t="str">
        <f t="shared" ca="1" si="34"/>
        <v>NO</v>
      </c>
      <c r="O273" s="9">
        <f t="shared" ca="1" si="32"/>
        <v>0</v>
      </c>
      <c r="P273" s="9"/>
    </row>
    <row r="274" spans="1:16" x14ac:dyDescent="0.3">
      <c r="A274" s="18"/>
      <c r="B274" s="9"/>
      <c r="C274" s="19"/>
      <c r="D274" s="19"/>
      <c r="E274" s="20"/>
      <c r="F274" s="20"/>
      <c r="G274" s="20"/>
      <c r="H274" s="15"/>
      <c r="I274" s="21"/>
      <c r="J274" s="9"/>
      <c r="K274" s="9"/>
      <c r="L274" s="9"/>
      <c r="M274" s="9">
        <f t="shared" ca="1" si="33"/>
        <v>0</v>
      </c>
      <c r="N274" s="9" t="str">
        <f t="shared" ca="1" si="34"/>
        <v>NO</v>
      </c>
      <c r="O274" s="9">
        <f t="shared" ca="1" si="32"/>
        <v>0</v>
      </c>
      <c r="P274" s="9"/>
    </row>
    <row r="275" spans="1:16" x14ac:dyDescent="0.3">
      <c r="A275" s="18"/>
      <c r="B275" s="9"/>
      <c r="C275" s="19"/>
      <c r="D275" s="19"/>
      <c r="E275" s="20"/>
      <c r="F275" s="20"/>
      <c r="G275" s="20"/>
      <c r="H275" s="15"/>
      <c r="I275" s="21"/>
      <c r="J275" s="9"/>
      <c r="K275" s="9"/>
      <c r="L275" s="9"/>
      <c r="M275" s="9">
        <f t="shared" ca="1" si="33"/>
        <v>0</v>
      </c>
      <c r="N275" s="9" t="str">
        <f t="shared" ca="1" si="34"/>
        <v>NO</v>
      </c>
      <c r="O275" s="9">
        <f t="shared" ca="1" si="32"/>
        <v>0</v>
      </c>
      <c r="P275" s="9"/>
    </row>
    <row r="276" spans="1:16" x14ac:dyDescent="0.3">
      <c r="A276" s="18"/>
      <c r="B276" s="9"/>
      <c r="C276" s="19"/>
      <c r="D276" s="19"/>
      <c r="E276" s="20"/>
      <c r="F276" s="20"/>
      <c r="G276" s="20"/>
      <c r="H276" s="15"/>
      <c r="I276" s="21"/>
      <c r="J276" s="9"/>
      <c r="K276" s="9"/>
      <c r="L276" s="9"/>
      <c r="M276" s="9">
        <f t="shared" ca="1" si="33"/>
        <v>0</v>
      </c>
      <c r="N276" s="9" t="str">
        <f t="shared" ca="1" si="34"/>
        <v>NO</v>
      </c>
      <c r="O276" s="9">
        <f t="shared" ca="1" si="32"/>
        <v>0</v>
      </c>
      <c r="P276" s="9"/>
    </row>
    <row r="277" spans="1:16" x14ac:dyDescent="0.3">
      <c r="A277" s="18"/>
      <c r="B277" s="9"/>
      <c r="C277" s="19"/>
      <c r="D277" s="19"/>
      <c r="E277" s="20"/>
      <c r="F277" s="20"/>
      <c r="G277" s="20"/>
      <c r="H277" s="15"/>
      <c r="I277" s="21"/>
      <c r="J277" s="9"/>
      <c r="K277" s="9"/>
      <c r="L277" s="9"/>
      <c r="M277" s="9">
        <f t="shared" ca="1" si="33"/>
        <v>0</v>
      </c>
      <c r="N277" s="9" t="str">
        <f t="shared" ca="1" si="34"/>
        <v>NO</v>
      </c>
      <c r="O277" s="9">
        <f t="shared" ca="1" si="32"/>
        <v>0</v>
      </c>
      <c r="P277" s="9"/>
    </row>
    <row r="278" spans="1:16" x14ac:dyDescent="0.3">
      <c r="A278" s="18"/>
      <c r="B278" s="9"/>
      <c r="C278" s="19"/>
      <c r="D278" s="19"/>
      <c r="E278" s="20"/>
      <c r="F278" s="20"/>
      <c r="G278" s="20"/>
      <c r="H278" s="15"/>
      <c r="I278" s="21"/>
      <c r="J278" s="9"/>
      <c r="K278" s="9"/>
      <c r="L278" s="9"/>
      <c r="M278" s="9">
        <f t="shared" ca="1" si="33"/>
        <v>0</v>
      </c>
      <c r="N278" s="9" t="str">
        <f t="shared" ca="1" si="34"/>
        <v>NO</v>
      </c>
      <c r="O278" s="9">
        <f t="shared" ca="1" si="32"/>
        <v>0</v>
      </c>
      <c r="P278" s="9"/>
    </row>
    <row r="279" spans="1:16" x14ac:dyDescent="0.3">
      <c r="A279" s="18"/>
      <c r="B279" s="9"/>
      <c r="C279" s="19"/>
      <c r="D279" s="19"/>
      <c r="E279" s="20"/>
      <c r="F279" s="20"/>
      <c r="G279" s="20"/>
      <c r="H279" s="15"/>
      <c r="I279" s="21"/>
      <c r="J279" s="9"/>
      <c r="K279" s="9"/>
      <c r="L279" s="9"/>
      <c r="M279" s="9">
        <f t="shared" ca="1" si="33"/>
        <v>0</v>
      </c>
      <c r="N279" s="9" t="str">
        <f t="shared" ca="1" si="34"/>
        <v>NO</v>
      </c>
      <c r="O279" s="9">
        <f t="shared" ca="1" si="32"/>
        <v>0</v>
      </c>
      <c r="P279" s="9"/>
    </row>
    <row r="280" spans="1:16" x14ac:dyDescent="0.3">
      <c r="A280" s="18"/>
      <c r="B280" s="9"/>
      <c r="C280" s="19"/>
      <c r="D280" s="9"/>
      <c r="E280" s="20"/>
      <c r="F280" s="20"/>
      <c r="G280" s="20"/>
      <c r="H280" s="15"/>
      <c r="I280" s="21"/>
      <c r="J280" s="9"/>
      <c r="K280" s="9"/>
      <c r="L280" s="9"/>
      <c r="M280" s="9">
        <f t="shared" ca="1" si="33"/>
        <v>0</v>
      </c>
      <c r="N280" s="9" t="str">
        <f t="shared" ca="1" si="34"/>
        <v>NO</v>
      </c>
      <c r="O280" s="9">
        <f t="shared" ca="1" si="32"/>
        <v>0</v>
      </c>
      <c r="P280" s="9"/>
    </row>
    <row r="281" spans="1:16" x14ac:dyDescent="0.3">
      <c r="A281" s="18"/>
      <c r="B281" s="9"/>
      <c r="C281" s="19"/>
      <c r="D281" s="9"/>
      <c r="E281" s="9"/>
      <c r="F281" s="9"/>
      <c r="G281" s="9"/>
      <c r="H281" s="9"/>
      <c r="I281" s="21"/>
      <c r="J281" s="9"/>
      <c r="K281" s="9"/>
      <c r="L281" s="9"/>
      <c r="M281" s="9">
        <f t="shared" ca="1" si="33"/>
        <v>0</v>
      </c>
      <c r="N281" s="9" t="str">
        <f t="shared" ca="1" si="34"/>
        <v>NO</v>
      </c>
      <c r="O281" s="9">
        <f t="shared" ca="1" si="32"/>
        <v>0</v>
      </c>
      <c r="P281" s="9"/>
    </row>
    <row r="282" spans="1:16" x14ac:dyDescent="0.3">
      <c r="A282" s="18"/>
      <c r="B282" s="9"/>
      <c r="C282" s="19"/>
      <c r="D282" s="9"/>
      <c r="E282" s="9"/>
      <c r="F282" s="9"/>
      <c r="G282" s="9"/>
      <c r="H282" s="9"/>
      <c r="I282" s="21"/>
      <c r="J282" s="9"/>
      <c r="K282" s="9"/>
      <c r="L282" s="9"/>
      <c r="M282" s="9">
        <f t="shared" ca="1" si="33"/>
        <v>0</v>
      </c>
      <c r="N282" s="9" t="str">
        <f t="shared" ca="1" si="34"/>
        <v>NO</v>
      </c>
      <c r="O282" s="9">
        <f t="shared" ca="1" si="32"/>
        <v>0</v>
      </c>
      <c r="P282" s="9"/>
    </row>
    <row r="283" spans="1:16" x14ac:dyDescent="0.3">
      <c r="A283" s="18"/>
      <c r="B283" s="9"/>
      <c r="C283" s="19"/>
      <c r="D283" s="9"/>
      <c r="E283" s="9"/>
      <c r="F283" s="9"/>
      <c r="G283" s="9"/>
      <c r="H283" s="9"/>
      <c r="I283" s="21"/>
      <c r="J283" s="9"/>
      <c r="K283" s="9"/>
      <c r="L283" s="9"/>
      <c r="M283" s="9">
        <f t="shared" ca="1" si="33"/>
        <v>0</v>
      </c>
      <c r="N283" s="9" t="str">
        <f t="shared" ca="1" si="34"/>
        <v>NO</v>
      </c>
      <c r="O283" s="9">
        <f t="shared" ca="1" si="32"/>
        <v>0</v>
      </c>
      <c r="P283" s="9"/>
    </row>
    <row r="284" spans="1:16" x14ac:dyDescent="0.3">
      <c r="A284" s="18"/>
      <c r="B284" s="9"/>
      <c r="C284" s="19"/>
      <c r="D284" s="9"/>
      <c r="E284" s="9"/>
      <c r="F284" s="9"/>
      <c r="G284" s="9"/>
      <c r="H284" s="9"/>
      <c r="I284" s="21"/>
      <c r="J284" s="9"/>
      <c r="K284" s="9"/>
      <c r="L284" s="9"/>
      <c r="M284" s="9">
        <f t="shared" ca="1" si="33"/>
        <v>0</v>
      </c>
      <c r="N284" s="9" t="str">
        <f t="shared" ca="1" si="34"/>
        <v>NO</v>
      </c>
      <c r="O284" s="9">
        <f t="shared" ca="1" si="32"/>
        <v>0</v>
      </c>
      <c r="P284" s="9"/>
    </row>
    <row r="285" spans="1:16" x14ac:dyDescent="0.3">
      <c r="A285" s="18"/>
      <c r="B285" s="9"/>
      <c r="C285" s="19"/>
      <c r="D285" s="9"/>
      <c r="E285" s="9"/>
      <c r="F285" s="9"/>
      <c r="G285" s="9"/>
      <c r="H285" s="9"/>
      <c r="I285" s="21"/>
      <c r="J285" s="9"/>
      <c r="K285" s="9"/>
      <c r="L285" s="9"/>
      <c r="M285" s="9">
        <f t="shared" ca="1" si="33"/>
        <v>0</v>
      </c>
      <c r="N285" s="9" t="str">
        <f t="shared" ca="1" si="34"/>
        <v>NO</v>
      </c>
      <c r="O285" s="9">
        <f t="shared" ca="1" si="32"/>
        <v>0</v>
      </c>
      <c r="P285" s="9"/>
    </row>
    <row r="286" spans="1:16" x14ac:dyDescent="0.3">
      <c r="A286" s="18"/>
      <c r="B286" s="9"/>
      <c r="C286" s="19"/>
      <c r="D286" s="9"/>
      <c r="E286" s="9"/>
      <c r="F286" s="9"/>
      <c r="G286" s="9"/>
      <c r="H286" s="9"/>
      <c r="I286" s="21"/>
      <c r="J286" s="9"/>
      <c r="K286" s="9"/>
      <c r="L286" s="9"/>
      <c r="M286" s="9">
        <f t="shared" ca="1" si="33"/>
        <v>0</v>
      </c>
      <c r="N286" s="9" t="str">
        <f t="shared" ca="1" si="34"/>
        <v>NO</v>
      </c>
      <c r="O286" s="9">
        <f t="shared" ca="1" si="32"/>
        <v>0</v>
      </c>
      <c r="P286" s="9"/>
    </row>
    <row r="287" spans="1:16" x14ac:dyDescent="0.3">
      <c r="A287" s="18"/>
      <c r="B287" s="9"/>
      <c r="C287" s="19"/>
      <c r="D287" s="9"/>
      <c r="E287" s="9"/>
      <c r="F287" s="9"/>
      <c r="G287" s="9"/>
      <c r="H287" s="9"/>
      <c r="I287" s="21"/>
      <c r="J287" s="9"/>
      <c r="K287" s="9"/>
      <c r="L287" s="9"/>
      <c r="M287" s="9">
        <f t="shared" ca="1" si="33"/>
        <v>0</v>
      </c>
      <c r="N287" s="9" t="str">
        <f t="shared" ca="1" si="34"/>
        <v>NO</v>
      </c>
      <c r="O287" s="9">
        <f t="shared" ca="1" si="32"/>
        <v>0</v>
      </c>
      <c r="P287" s="9"/>
    </row>
    <row r="288" spans="1:16" x14ac:dyDescent="0.3">
      <c r="A288" s="18"/>
      <c r="B288" s="9"/>
      <c r="C288" s="9"/>
      <c r="D288" s="9"/>
      <c r="E288" s="9"/>
      <c r="F288" s="9"/>
      <c r="G288" s="9"/>
      <c r="H288" s="9"/>
      <c r="I288" s="21"/>
      <c r="J288" s="9"/>
      <c r="K288" s="9"/>
      <c r="L288" s="9"/>
      <c r="M288" s="9"/>
      <c r="N288" s="9"/>
      <c r="O288" s="9"/>
      <c r="P288" s="9"/>
    </row>
    <row r="289" spans="1:16" x14ac:dyDescent="0.3">
      <c r="A289" s="1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</row>
    <row r="291" spans="1:16" ht="15" thickBot="1" x14ac:dyDescent="0.35"/>
    <row r="292" spans="1:16" ht="28.8" x14ac:dyDescent="0.3">
      <c r="A292" s="5" t="s">
        <v>1</v>
      </c>
      <c r="B292" s="6" t="s">
        <v>2</v>
      </c>
      <c r="C292" s="5" t="s">
        <v>3</v>
      </c>
      <c r="D292" s="5" t="s">
        <v>4</v>
      </c>
      <c r="E292" s="5" t="s">
        <v>5</v>
      </c>
      <c r="F292" s="5" t="s">
        <v>6</v>
      </c>
      <c r="G292" s="5" t="s">
        <v>7</v>
      </c>
      <c r="H292" s="5" t="s">
        <v>8</v>
      </c>
      <c r="I292" s="7" t="s">
        <v>9</v>
      </c>
      <c r="J292" s="5" t="s">
        <v>10</v>
      </c>
      <c r="K292" s="5" t="s">
        <v>11</v>
      </c>
      <c r="L292" s="5" t="s">
        <v>12</v>
      </c>
      <c r="M292" s="5" t="s">
        <v>13</v>
      </c>
      <c r="N292" s="5" t="s">
        <v>14</v>
      </c>
    </row>
    <row r="293" spans="1:16" x14ac:dyDescent="0.3">
      <c r="A293" s="9" t="str">
        <f>_xlfn.XLOOKUP($C293,'[1]Data Validation (2)'!$M$3:$M$137,'[1]Data Validation (2)'!$N$3:$N$137)</f>
        <v>Titans</v>
      </c>
      <c r="B293" s="10" t="str">
        <f>_xlfn.XLOOKUP($C293,'[1]Data Validation (2)'!$M$3:$M$137,'[1]Data Validation (2)'!$P$3:$P$137)</f>
        <v>VB0084</v>
      </c>
      <c r="C293" s="11" t="s">
        <v>41</v>
      </c>
      <c r="D293" s="9" t="str">
        <f>_xlfn.XLOOKUP($C293,'[1]Data Validation (2)'!$M$3:$M$137,'[1]Data Validation (2)'!$O$3:$O$137)</f>
        <v>Aditya Yadav</v>
      </c>
      <c r="E293" s="9">
        <f>_xlfn.XLOOKUP($C293,'[1]Ach % - L4'!$B$2:$B$214,'[1]Ach % - L4'!$E$2:$E$214)</f>
        <v>4</v>
      </c>
      <c r="F293" s="9">
        <f>_xlfn.XLOOKUP($C293,'[1]Ach % - L4'!$B$2:$B$214,'[1]Ach % - L4'!$F$2:$F$214)</f>
        <v>0</v>
      </c>
      <c r="G293" s="12">
        <f>F293/E293</f>
        <v>0</v>
      </c>
      <c r="H293" s="13">
        <f>SUM(I295:I315)</f>
        <v>0</v>
      </c>
      <c r="I293" s="14">
        <f ca="1">SUMIFS($I294:$I315,$N294:$N315,"yes")</f>
        <v>0</v>
      </c>
      <c r="J293" s="15" cm="1">
        <f t="array" ref="J293">_xlfn.IFS($G293&lt;=34%,0%,$G293&lt;=75%,3%,$G293&lt;=120%,4%,$G293&gt;120%,5%)</f>
        <v>0</v>
      </c>
      <c r="K293" s="13">
        <f ca="1">I293*J293</f>
        <v>0</v>
      </c>
      <c r="L293" s="9">
        <f ca="1">K293*80</f>
        <v>0</v>
      </c>
      <c r="M293" s="11">
        <f ca="1">L293*50%</f>
        <v>0</v>
      </c>
      <c r="N293" s="11"/>
    </row>
    <row r="294" spans="1:16" s="8" customFormat="1" ht="28.8" x14ac:dyDescent="0.3">
      <c r="A294" s="16" t="s">
        <v>3</v>
      </c>
      <c r="B294" s="16" t="s">
        <v>16</v>
      </c>
      <c r="C294" s="16" t="s">
        <v>17</v>
      </c>
      <c r="D294" s="16" t="s">
        <v>18</v>
      </c>
      <c r="E294" s="16" t="s">
        <v>19</v>
      </c>
      <c r="F294" s="17" t="s">
        <v>20</v>
      </c>
      <c r="G294" s="17" t="s">
        <v>21</v>
      </c>
      <c r="H294" s="16" t="s">
        <v>22</v>
      </c>
      <c r="I294" s="16" t="s">
        <v>8</v>
      </c>
      <c r="J294" s="16" t="s">
        <v>23</v>
      </c>
      <c r="K294" s="16" t="s">
        <v>24</v>
      </c>
      <c r="L294" s="16" t="s">
        <v>25</v>
      </c>
      <c r="M294" s="16" t="s">
        <v>26</v>
      </c>
      <c r="N294" s="16" t="s">
        <v>27</v>
      </c>
      <c r="O294" s="16" t="s">
        <v>28</v>
      </c>
      <c r="P294" s="16" t="s">
        <v>29</v>
      </c>
    </row>
    <row r="295" spans="1:16" x14ac:dyDescent="0.3">
      <c r="A295" s="18" t="str">
        <f>C293</f>
        <v>Shubham Yadav</v>
      </c>
      <c r="B295" s="9" t="str" cm="1">
        <f t="array" ref="B295:L295">IFERROR(_xlfn.CHOOSECOLS(_xlfn._xlws.FILTER('[1]L4 dummy data'!A:AS, '[1]L4 dummy data'!D:D=$C293), 3, 14, 15, 16, 44, 45, 18, 41, 27, 40, 42), "")</f>
        <v>LaTrina White</v>
      </c>
      <c r="C295" s="19">
        <v>45817</v>
      </c>
      <c r="D295" s="19">
        <v>45870</v>
      </c>
      <c r="E295" s="20" t="str">
        <v>Cyient/Parker Aerospace</v>
      </c>
      <c r="F295" s="20">
        <v>438</v>
      </c>
      <c r="G295" s="20" t="str">
        <v>JPC - 225274</v>
      </c>
      <c r="H295" s="15" t="str">
        <v>FTE</v>
      </c>
      <c r="I295" s="21">
        <v>0</v>
      </c>
      <c r="J295" s="9" t="str">
        <v>NA</v>
      </c>
      <c r="K295" s="9" t="str">
        <v>NA</v>
      </c>
      <c r="L295" s="9" t="str">
        <v>Done</v>
      </c>
      <c r="M295" s="9">
        <f ca="1">IF(D295&lt;&gt;"NA", D295 - C295, TODAY() - C295)</f>
        <v>53</v>
      </c>
      <c r="N295" s="9" t="str">
        <f ca="1">IF(OR(AND(H295="Contract",L295="Active"),AND(H295="Contract",L295="Done"),AND(H295="FTE",M295&gt;90,L295="Done")),"Yes","NO")</f>
        <v>NO</v>
      </c>
      <c r="O295" s="9">
        <f t="shared" ref="O295:O313" ca="1" si="35">IF(N295="Yes",(I295*$J$293)*80,0)</f>
        <v>0</v>
      </c>
      <c r="P295" s="9"/>
    </row>
    <row r="296" spans="1:16" x14ac:dyDescent="0.3">
      <c r="A296" s="18"/>
      <c r="B296" s="9"/>
      <c r="C296" s="19"/>
      <c r="D296" s="19"/>
      <c r="E296" s="20"/>
      <c r="F296" s="20"/>
      <c r="G296" s="20"/>
      <c r="H296" s="15"/>
      <c r="I296" s="21"/>
      <c r="J296" s="9"/>
      <c r="K296" s="9"/>
      <c r="L296" s="9"/>
      <c r="M296" s="9">
        <f t="shared" ref="M296:M313" ca="1" si="36">IF(D296&lt;&gt;"NA", D296 - C296, TODAY() - C296)</f>
        <v>0</v>
      </c>
      <c r="N296" s="9" t="str">
        <f t="shared" ref="N296:N313" ca="1" si="37">IF(OR(AND(H296="Contract",L296="Active"),AND(H296="Contract",L296="Done"),AND(H296="FTE",M296&gt;90,L296="Done")),"Yes","NO")</f>
        <v>NO</v>
      </c>
      <c r="O296" s="9">
        <f t="shared" ca="1" si="35"/>
        <v>0</v>
      </c>
      <c r="P296" s="9"/>
    </row>
    <row r="297" spans="1:16" x14ac:dyDescent="0.3">
      <c r="A297" s="18"/>
      <c r="B297" s="9"/>
      <c r="C297" s="19"/>
      <c r="D297" s="19"/>
      <c r="E297" s="20"/>
      <c r="F297" s="20"/>
      <c r="G297" s="20"/>
      <c r="H297" s="15"/>
      <c r="I297" s="21"/>
      <c r="J297" s="9"/>
      <c r="K297" s="9"/>
      <c r="L297" s="9"/>
      <c r="M297" s="9">
        <f t="shared" ca="1" si="36"/>
        <v>0</v>
      </c>
      <c r="N297" s="9" t="str">
        <f t="shared" ca="1" si="37"/>
        <v>NO</v>
      </c>
      <c r="O297" s="9">
        <f t="shared" ca="1" si="35"/>
        <v>0</v>
      </c>
      <c r="P297" s="9"/>
    </row>
    <row r="298" spans="1:16" x14ac:dyDescent="0.3">
      <c r="A298" s="18"/>
      <c r="B298" s="9"/>
      <c r="C298" s="19"/>
      <c r="D298" s="19"/>
      <c r="E298" s="20"/>
      <c r="F298" s="20"/>
      <c r="G298" s="20"/>
      <c r="H298" s="15"/>
      <c r="I298" s="21"/>
      <c r="J298" s="9"/>
      <c r="K298" s="9"/>
      <c r="L298" s="9"/>
      <c r="M298" s="9">
        <f t="shared" ca="1" si="36"/>
        <v>0</v>
      </c>
      <c r="N298" s="9" t="str">
        <f t="shared" ca="1" si="37"/>
        <v>NO</v>
      </c>
      <c r="O298" s="9">
        <f t="shared" ca="1" si="35"/>
        <v>0</v>
      </c>
      <c r="P298" s="9"/>
    </row>
    <row r="299" spans="1:16" x14ac:dyDescent="0.3">
      <c r="A299" s="18"/>
      <c r="B299" s="9"/>
      <c r="C299" s="19"/>
      <c r="D299" s="19"/>
      <c r="E299" s="20"/>
      <c r="F299" s="20"/>
      <c r="G299" s="20"/>
      <c r="H299" s="15"/>
      <c r="I299" s="21"/>
      <c r="J299" s="9"/>
      <c r="K299" s="9"/>
      <c r="L299" s="9"/>
      <c r="M299" s="9">
        <f t="shared" ca="1" si="36"/>
        <v>0</v>
      </c>
      <c r="N299" s="9" t="str">
        <f t="shared" ca="1" si="37"/>
        <v>NO</v>
      </c>
      <c r="O299" s="9">
        <f t="shared" ca="1" si="35"/>
        <v>0</v>
      </c>
      <c r="P299" s="9"/>
    </row>
    <row r="300" spans="1:16" x14ac:dyDescent="0.3">
      <c r="A300" s="18"/>
      <c r="B300" s="9"/>
      <c r="C300" s="19"/>
      <c r="D300" s="19"/>
      <c r="E300" s="20"/>
      <c r="F300" s="20"/>
      <c r="G300" s="20"/>
      <c r="H300" s="15"/>
      <c r="I300" s="21"/>
      <c r="J300" s="9"/>
      <c r="K300" s="9"/>
      <c r="L300" s="9"/>
      <c r="M300" s="9">
        <f t="shared" ca="1" si="36"/>
        <v>0</v>
      </c>
      <c r="N300" s="9" t="str">
        <f t="shared" ca="1" si="37"/>
        <v>NO</v>
      </c>
      <c r="O300" s="9">
        <f t="shared" ca="1" si="35"/>
        <v>0</v>
      </c>
      <c r="P300" s="9"/>
    </row>
    <row r="301" spans="1:16" x14ac:dyDescent="0.3">
      <c r="A301" s="18"/>
      <c r="B301" s="9"/>
      <c r="C301" s="19"/>
      <c r="D301" s="19"/>
      <c r="E301" s="20"/>
      <c r="F301" s="20"/>
      <c r="G301" s="20"/>
      <c r="H301" s="15"/>
      <c r="I301" s="21"/>
      <c r="J301" s="9"/>
      <c r="K301" s="9"/>
      <c r="L301" s="9"/>
      <c r="M301" s="9">
        <f t="shared" ca="1" si="36"/>
        <v>0</v>
      </c>
      <c r="N301" s="9" t="str">
        <f t="shared" ca="1" si="37"/>
        <v>NO</v>
      </c>
      <c r="O301" s="9">
        <f t="shared" ca="1" si="35"/>
        <v>0</v>
      </c>
      <c r="P301" s="9"/>
    </row>
    <row r="302" spans="1:16" x14ac:dyDescent="0.3">
      <c r="A302" s="18"/>
      <c r="B302" s="9"/>
      <c r="C302" s="19"/>
      <c r="D302" s="19"/>
      <c r="E302" s="20"/>
      <c r="F302" s="20"/>
      <c r="G302" s="20"/>
      <c r="H302" s="15"/>
      <c r="I302" s="21"/>
      <c r="J302" s="9"/>
      <c r="K302" s="9"/>
      <c r="L302" s="9"/>
      <c r="M302" s="9">
        <f t="shared" ca="1" si="36"/>
        <v>0</v>
      </c>
      <c r="N302" s="9" t="str">
        <f t="shared" ca="1" si="37"/>
        <v>NO</v>
      </c>
      <c r="O302" s="9">
        <f t="shared" ca="1" si="35"/>
        <v>0</v>
      </c>
      <c r="P302" s="9"/>
    </row>
    <row r="303" spans="1:16" x14ac:dyDescent="0.3">
      <c r="A303" s="18"/>
      <c r="B303" s="9"/>
      <c r="C303" s="19"/>
      <c r="D303" s="19"/>
      <c r="E303" s="20"/>
      <c r="F303" s="20"/>
      <c r="G303" s="20"/>
      <c r="H303" s="15"/>
      <c r="I303" s="21"/>
      <c r="J303" s="9"/>
      <c r="K303" s="9"/>
      <c r="L303" s="9"/>
      <c r="M303" s="9">
        <f t="shared" ca="1" si="36"/>
        <v>0</v>
      </c>
      <c r="N303" s="9" t="str">
        <f t="shared" ca="1" si="37"/>
        <v>NO</v>
      </c>
      <c r="O303" s="9">
        <f t="shared" ca="1" si="35"/>
        <v>0</v>
      </c>
      <c r="P303" s="9"/>
    </row>
    <row r="304" spans="1:16" x14ac:dyDescent="0.3">
      <c r="A304" s="18"/>
      <c r="B304" s="9"/>
      <c r="C304" s="19"/>
      <c r="D304" s="19"/>
      <c r="E304" s="20"/>
      <c r="F304" s="20"/>
      <c r="G304" s="20"/>
      <c r="H304" s="15"/>
      <c r="I304" s="21"/>
      <c r="J304" s="9"/>
      <c r="K304" s="9"/>
      <c r="L304" s="9"/>
      <c r="M304" s="9">
        <f t="shared" ca="1" si="36"/>
        <v>0</v>
      </c>
      <c r="N304" s="9" t="str">
        <f t="shared" ca="1" si="37"/>
        <v>NO</v>
      </c>
      <c r="O304" s="9">
        <f t="shared" ca="1" si="35"/>
        <v>0</v>
      </c>
      <c r="P304" s="9"/>
    </row>
    <row r="305" spans="1:16" x14ac:dyDescent="0.3">
      <c r="A305" s="18"/>
      <c r="B305" s="9"/>
      <c r="C305" s="19"/>
      <c r="D305" s="19"/>
      <c r="E305" s="20"/>
      <c r="F305" s="20"/>
      <c r="G305" s="20"/>
      <c r="H305" s="15"/>
      <c r="I305" s="21"/>
      <c r="J305" s="9"/>
      <c r="K305" s="9"/>
      <c r="L305" s="9"/>
      <c r="M305" s="9">
        <f t="shared" ca="1" si="36"/>
        <v>0</v>
      </c>
      <c r="N305" s="9" t="str">
        <f t="shared" ca="1" si="37"/>
        <v>NO</v>
      </c>
      <c r="O305" s="9">
        <f t="shared" ca="1" si="35"/>
        <v>0</v>
      </c>
      <c r="P305" s="9"/>
    </row>
    <row r="306" spans="1:16" x14ac:dyDescent="0.3">
      <c r="A306" s="18"/>
      <c r="B306" s="9"/>
      <c r="C306" s="19"/>
      <c r="D306" s="9"/>
      <c r="E306" s="20"/>
      <c r="F306" s="20"/>
      <c r="G306" s="20"/>
      <c r="H306" s="15"/>
      <c r="I306" s="21"/>
      <c r="J306" s="9"/>
      <c r="K306" s="9"/>
      <c r="L306" s="9"/>
      <c r="M306" s="9">
        <f t="shared" ca="1" si="36"/>
        <v>0</v>
      </c>
      <c r="N306" s="9" t="str">
        <f t="shared" ca="1" si="37"/>
        <v>NO</v>
      </c>
      <c r="O306" s="9">
        <f t="shared" ca="1" si="35"/>
        <v>0</v>
      </c>
      <c r="P306" s="9"/>
    </row>
    <row r="307" spans="1:16" x14ac:dyDescent="0.3">
      <c r="A307" s="18"/>
      <c r="B307" s="9"/>
      <c r="C307" s="19"/>
      <c r="D307" s="9"/>
      <c r="E307" s="9"/>
      <c r="F307" s="9"/>
      <c r="G307" s="9"/>
      <c r="H307" s="9"/>
      <c r="I307" s="21"/>
      <c r="J307" s="9"/>
      <c r="K307" s="9"/>
      <c r="L307" s="9"/>
      <c r="M307" s="9">
        <f t="shared" ca="1" si="36"/>
        <v>0</v>
      </c>
      <c r="N307" s="9" t="str">
        <f t="shared" ca="1" si="37"/>
        <v>NO</v>
      </c>
      <c r="O307" s="9">
        <f t="shared" ca="1" si="35"/>
        <v>0</v>
      </c>
      <c r="P307" s="9"/>
    </row>
    <row r="308" spans="1:16" x14ac:dyDescent="0.3">
      <c r="A308" s="18"/>
      <c r="B308" s="9"/>
      <c r="C308" s="19"/>
      <c r="D308" s="9"/>
      <c r="E308" s="9"/>
      <c r="F308" s="9"/>
      <c r="G308" s="9"/>
      <c r="H308" s="9"/>
      <c r="I308" s="21"/>
      <c r="J308" s="9"/>
      <c r="K308" s="9"/>
      <c r="L308" s="9"/>
      <c r="M308" s="9">
        <f t="shared" ca="1" si="36"/>
        <v>0</v>
      </c>
      <c r="N308" s="9" t="str">
        <f t="shared" ca="1" si="37"/>
        <v>NO</v>
      </c>
      <c r="O308" s="9">
        <f t="shared" ca="1" si="35"/>
        <v>0</v>
      </c>
      <c r="P308" s="9"/>
    </row>
    <row r="309" spans="1:16" x14ac:dyDescent="0.3">
      <c r="A309" s="18"/>
      <c r="B309" s="9"/>
      <c r="C309" s="19"/>
      <c r="D309" s="9"/>
      <c r="E309" s="9"/>
      <c r="F309" s="9"/>
      <c r="G309" s="9"/>
      <c r="H309" s="9"/>
      <c r="I309" s="21"/>
      <c r="J309" s="9"/>
      <c r="K309" s="9"/>
      <c r="L309" s="9"/>
      <c r="M309" s="9">
        <f t="shared" ca="1" si="36"/>
        <v>0</v>
      </c>
      <c r="N309" s="9" t="str">
        <f t="shared" ca="1" si="37"/>
        <v>NO</v>
      </c>
      <c r="O309" s="9">
        <f t="shared" ca="1" si="35"/>
        <v>0</v>
      </c>
      <c r="P309" s="9"/>
    </row>
    <row r="310" spans="1:16" x14ac:dyDescent="0.3">
      <c r="A310" s="18"/>
      <c r="B310" s="9"/>
      <c r="C310" s="19"/>
      <c r="D310" s="9"/>
      <c r="E310" s="9"/>
      <c r="F310" s="9"/>
      <c r="G310" s="9"/>
      <c r="H310" s="9"/>
      <c r="I310" s="21"/>
      <c r="J310" s="9"/>
      <c r="K310" s="9"/>
      <c r="L310" s="9"/>
      <c r="M310" s="9">
        <f t="shared" ca="1" si="36"/>
        <v>0</v>
      </c>
      <c r="N310" s="9" t="str">
        <f t="shared" ca="1" si="37"/>
        <v>NO</v>
      </c>
      <c r="O310" s="9">
        <f t="shared" ca="1" si="35"/>
        <v>0</v>
      </c>
      <c r="P310" s="9"/>
    </row>
    <row r="311" spans="1:16" x14ac:dyDescent="0.3">
      <c r="A311" s="18"/>
      <c r="B311" s="9"/>
      <c r="C311" s="19"/>
      <c r="D311" s="9"/>
      <c r="E311" s="9"/>
      <c r="F311" s="9"/>
      <c r="G311" s="9"/>
      <c r="H311" s="9"/>
      <c r="I311" s="21"/>
      <c r="J311" s="9"/>
      <c r="K311" s="9"/>
      <c r="L311" s="9"/>
      <c r="M311" s="9">
        <f t="shared" ca="1" si="36"/>
        <v>0</v>
      </c>
      <c r="N311" s="9" t="str">
        <f t="shared" ca="1" si="37"/>
        <v>NO</v>
      </c>
      <c r="O311" s="9">
        <f t="shared" ca="1" si="35"/>
        <v>0</v>
      </c>
      <c r="P311" s="9"/>
    </row>
    <row r="312" spans="1:16" x14ac:dyDescent="0.3">
      <c r="A312" s="18"/>
      <c r="B312" s="9"/>
      <c r="C312" s="19"/>
      <c r="D312" s="9"/>
      <c r="E312" s="9"/>
      <c r="F312" s="9"/>
      <c r="G312" s="9"/>
      <c r="H312" s="9"/>
      <c r="I312" s="21"/>
      <c r="J312" s="9"/>
      <c r="K312" s="9"/>
      <c r="L312" s="9"/>
      <c r="M312" s="9">
        <f t="shared" ca="1" si="36"/>
        <v>0</v>
      </c>
      <c r="N312" s="9" t="str">
        <f t="shared" ca="1" si="37"/>
        <v>NO</v>
      </c>
      <c r="O312" s="9">
        <f t="shared" ca="1" si="35"/>
        <v>0</v>
      </c>
      <c r="P312" s="9"/>
    </row>
    <row r="313" spans="1:16" x14ac:dyDescent="0.3">
      <c r="A313" s="18"/>
      <c r="B313" s="9"/>
      <c r="C313" s="19"/>
      <c r="D313" s="9"/>
      <c r="E313" s="9"/>
      <c r="F313" s="9"/>
      <c r="G313" s="9"/>
      <c r="H313" s="9"/>
      <c r="I313" s="21"/>
      <c r="J313" s="9"/>
      <c r="K313" s="9"/>
      <c r="L313" s="9"/>
      <c r="M313" s="9">
        <f t="shared" ca="1" si="36"/>
        <v>0</v>
      </c>
      <c r="N313" s="9" t="str">
        <f t="shared" ca="1" si="37"/>
        <v>NO</v>
      </c>
      <c r="O313" s="9">
        <f t="shared" ca="1" si="35"/>
        <v>0</v>
      </c>
      <c r="P313" s="9"/>
    </row>
    <row r="314" spans="1:16" x14ac:dyDescent="0.3">
      <c r="A314" s="18"/>
      <c r="B314" s="9"/>
      <c r="C314" s="9"/>
      <c r="D314" s="9"/>
      <c r="E314" s="9"/>
      <c r="F314" s="9"/>
      <c r="G314" s="9"/>
      <c r="H314" s="9"/>
      <c r="I314" s="21"/>
      <c r="J314" s="9"/>
      <c r="K314" s="9"/>
      <c r="L314" s="9"/>
      <c r="M314" s="9"/>
      <c r="N314" s="9"/>
      <c r="O314" s="9"/>
      <c r="P314" s="9"/>
    </row>
    <row r="315" spans="1:16" x14ac:dyDescent="0.3">
      <c r="A315" s="1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</row>
    <row r="317" spans="1:16" ht="15" thickBot="1" x14ac:dyDescent="0.35"/>
    <row r="318" spans="1:16" ht="28.8" x14ac:dyDescent="0.3">
      <c r="A318" s="5" t="s">
        <v>1</v>
      </c>
      <c r="B318" s="6" t="s">
        <v>2</v>
      </c>
      <c r="C318" s="5" t="s">
        <v>3</v>
      </c>
      <c r="D318" s="5" t="s">
        <v>4</v>
      </c>
      <c r="E318" s="5" t="s">
        <v>5</v>
      </c>
      <c r="F318" s="5" t="s">
        <v>6</v>
      </c>
      <c r="G318" s="5" t="s">
        <v>7</v>
      </c>
      <c r="H318" s="5" t="s">
        <v>8</v>
      </c>
      <c r="I318" s="7" t="s">
        <v>9</v>
      </c>
      <c r="J318" s="5" t="s">
        <v>10</v>
      </c>
      <c r="K318" s="5" t="s">
        <v>11</v>
      </c>
      <c r="L318" s="5" t="s">
        <v>12</v>
      </c>
      <c r="M318" s="5" t="s">
        <v>13</v>
      </c>
      <c r="N318" s="5" t="s">
        <v>14</v>
      </c>
    </row>
    <row r="319" spans="1:16" x14ac:dyDescent="0.3">
      <c r="A319" s="9" t="str">
        <f>_xlfn.XLOOKUP($C319,'[1]Data Validation (2)'!$M$3:$M$137,'[1]Data Validation (2)'!$N$3:$N$137)</f>
        <v>Titans</v>
      </c>
      <c r="B319" s="10" t="str">
        <f>_xlfn.XLOOKUP($C319,'[1]Data Validation (2)'!$M$3:$M$137,'[1]Data Validation (2)'!$P$3:$P$137)</f>
        <v>VB0085</v>
      </c>
      <c r="C319" s="11" t="s">
        <v>42</v>
      </c>
      <c r="D319" s="9" t="str">
        <f>_xlfn.XLOOKUP($C319,'[1]Data Validation (2)'!$M$3:$M$137,'[1]Data Validation (2)'!$O$3:$O$137)</f>
        <v>Aditya Yadav</v>
      </c>
      <c r="E319" s="9">
        <f>_xlfn.XLOOKUP($C319,'[1]Ach % - L4'!$B$2:$B$214,'[1]Ach % - L4'!$E$2:$E$214)</f>
        <v>2</v>
      </c>
      <c r="F319" s="9">
        <f>_xlfn.XLOOKUP($C319,'[1]Ach % - L4'!$B$2:$B$214,'[1]Ach % - L4'!$F$2:$F$214)</f>
        <v>0</v>
      </c>
      <c r="G319" s="12">
        <f>F319/E319</f>
        <v>0</v>
      </c>
      <c r="H319" s="13">
        <f>SUM(I321:I341)</f>
        <v>708</v>
      </c>
      <c r="I319" s="14">
        <f ca="1">SUMIFS($I320:$I341,$N320:$N341,"yes")</f>
        <v>0</v>
      </c>
      <c r="J319" s="15" cm="1">
        <f t="array" ref="J319">_xlfn.IFS($G319&lt;=34%,0%,$G319&lt;=75%,3%,$G319&lt;=120%,4%,$G319&gt;120%,5%)</f>
        <v>0</v>
      </c>
      <c r="K319" s="13">
        <f ca="1">I319*J319</f>
        <v>0</v>
      </c>
      <c r="L319" s="9">
        <f ca="1">K319*80</f>
        <v>0</v>
      </c>
      <c r="M319" s="11">
        <f ca="1">L319*50%</f>
        <v>0</v>
      </c>
      <c r="N319" s="11"/>
    </row>
    <row r="320" spans="1:16" s="8" customFormat="1" ht="28.8" x14ac:dyDescent="0.3">
      <c r="A320" s="16" t="s">
        <v>3</v>
      </c>
      <c r="B320" s="16" t="s">
        <v>16</v>
      </c>
      <c r="C320" s="16" t="s">
        <v>17</v>
      </c>
      <c r="D320" s="16" t="s">
        <v>18</v>
      </c>
      <c r="E320" s="16" t="s">
        <v>19</v>
      </c>
      <c r="F320" s="17" t="s">
        <v>20</v>
      </c>
      <c r="G320" s="17" t="s">
        <v>21</v>
      </c>
      <c r="H320" s="16" t="s">
        <v>22</v>
      </c>
      <c r="I320" s="16" t="s">
        <v>8</v>
      </c>
      <c r="J320" s="16" t="s">
        <v>23</v>
      </c>
      <c r="K320" s="16" t="s">
        <v>24</v>
      </c>
      <c r="L320" s="16" t="s">
        <v>25</v>
      </c>
      <c r="M320" s="16" t="s">
        <v>26</v>
      </c>
      <c r="N320" s="16" t="s">
        <v>27</v>
      </c>
      <c r="O320" s="16" t="s">
        <v>28</v>
      </c>
      <c r="P320" s="16" t="s">
        <v>29</v>
      </c>
    </row>
    <row r="321" spans="1:16" x14ac:dyDescent="0.3">
      <c r="A321" s="18" t="str">
        <f>C319</f>
        <v>Shagun Jaiswal</v>
      </c>
      <c r="B321" s="9" t="str" cm="1">
        <f t="array" ref="B321:L321">IFERROR(_xlfn.CHOOSECOLS(_xlfn._xlws.FILTER('[1]L4 dummy data'!A:AS, '[1]L4 dummy data'!D:D=$C319), 3, 14, 15, 16, 44, 45, 18, 41, 27, 40, 42), "")</f>
        <v>Harish Vitta</v>
      </c>
      <c r="C321" s="19">
        <v>45902</v>
      </c>
      <c r="D321" s="19">
        <v>45943</v>
      </c>
      <c r="E321" s="20" t="str">
        <v>Microland</v>
      </c>
      <c r="F321" s="20">
        <v>211</v>
      </c>
      <c r="G321" s="20" t="str">
        <v>JPC - 225122</v>
      </c>
      <c r="H321" s="15" t="str">
        <v>Contract</v>
      </c>
      <c r="I321" s="21">
        <v>708</v>
      </c>
      <c r="J321" s="9">
        <v>2</v>
      </c>
      <c r="K321" s="9">
        <v>354</v>
      </c>
      <c r="L321" s="9" t="str">
        <v>No Bill No Pay</v>
      </c>
      <c r="M321" s="9">
        <f ca="1">IF(D321&lt;&gt;"NA", D321 - C321, TODAY() - C321)</f>
        <v>41</v>
      </c>
      <c r="N321" s="9" t="str">
        <f ca="1">IF(OR(AND(H321="Contract",L321="Active"),AND(H321="Contract",L321="Done"),AND(H321="FTE",M321&gt;90,L321="Done")),"Yes","NO")</f>
        <v>NO</v>
      </c>
      <c r="O321" s="9">
        <f t="shared" ref="O321:O339" ca="1" si="38">IF(N321="Yes",(I321*$J$319)*80,0)</f>
        <v>0</v>
      </c>
      <c r="P321" s="9"/>
    </row>
    <row r="322" spans="1:16" x14ac:dyDescent="0.3">
      <c r="A322" s="18"/>
      <c r="B322" s="9"/>
      <c r="C322" s="19"/>
      <c r="D322" s="19"/>
      <c r="E322" s="20"/>
      <c r="F322" s="20"/>
      <c r="G322" s="20"/>
      <c r="H322" s="15"/>
      <c r="I322" s="21"/>
      <c r="J322" s="9"/>
      <c r="K322" s="9"/>
      <c r="L322" s="9"/>
      <c r="M322" s="9">
        <f t="shared" ref="M322:M339" ca="1" si="39">IF(D322&lt;&gt;"NA", D322 - C322, TODAY() - C322)</f>
        <v>0</v>
      </c>
      <c r="N322" s="9" t="str">
        <f t="shared" ref="N322:N339" ca="1" si="40">IF(OR(AND(H322="Contract",L322="Active"),AND(H322="Contract",L322="Done"),AND(H322="FTE",M322&gt;90,L322="Done")),"Yes","NO")</f>
        <v>NO</v>
      </c>
      <c r="O322" s="9">
        <f t="shared" ca="1" si="38"/>
        <v>0</v>
      </c>
      <c r="P322" s="9"/>
    </row>
    <row r="323" spans="1:16" x14ac:dyDescent="0.3">
      <c r="A323" s="18"/>
      <c r="B323" s="9"/>
      <c r="C323" s="19"/>
      <c r="D323" s="19"/>
      <c r="E323" s="20"/>
      <c r="F323" s="20"/>
      <c r="G323" s="20"/>
      <c r="H323" s="15"/>
      <c r="I323" s="21"/>
      <c r="J323" s="9"/>
      <c r="K323" s="9"/>
      <c r="L323" s="9"/>
      <c r="M323" s="9">
        <f t="shared" ca="1" si="39"/>
        <v>0</v>
      </c>
      <c r="N323" s="9" t="str">
        <f t="shared" ca="1" si="40"/>
        <v>NO</v>
      </c>
      <c r="O323" s="9">
        <f t="shared" ca="1" si="38"/>
        <v>0</v>
      </c>
      <c r="P323" s="9"/>
    </row>
    <row r="324" spans="1:16" x14ac:dyDescent="0.3">
      <c r="A324" s="18"/>
      <c r="B324" s="9"/>
      <c r="C324" s="19"/>
      <c r="D324" s="19"/>
      <c r="E324" s="20"/>
      <c r="F324" s="20"/>
      <c r="G324" s="20"/>
      <c r="H324" s="15"/>
      <c r="I324" s="21"/>
      <c r="J324" s="9"/>
      <c r="K324" s="9"/>
      <c r="L324" s="9"/>
      <c r="M324" s="9">
        <f t="shared" ca="1" si="39"/>
        <v>0</v>
      </c>
      <c r="N324" s="9" t="str">
        <f t="shared" ca="1" si="40"/>
        <v>NO</v>
      </c>
      <c r="O324" s="9">
        <f t="shared" ca="1" si="38"/>
        <v>0</v>
      </c>
      <c r="P324" s="9"/>
    </row>
    <row r="325" spans="1:16" x14ac:dyDescent="0.3">
      <c r="A325" s="18"/>
      <c r="B325" s="9"/>
      <c r="C325" s="19"/>
      <c r="D325" s="19"/>
      <c r="E325" s="20"/>
      <c r="F325" s="20"/>
      <c r="G325" s="20"/>
      <c r="H325" s="15"/>
      <c r="I325" s="21"/>
      <c r="J325" s="9"/>
      <c r="K325" s="9"/>
      <c r="L325" s="9"/>
      <c r="M325" s="9">
        <f t="shared" ca="1" si="39"/>
        <v>0</v>
      </c>
      <c r="N325" s="9" t="str">
        <f t="shared" ca="1" si="40"/>
        <v>NO</v>
      </c>
      <c r="O325" s="9">
        <f t="shared" ca="1" si="38"/>
        <v>0</v>
      </c>
      <c r="P325" s="9"/>
    </row>
    <row r="326" spans="1:16" x14ac:dyDescent="0.3">
      <c r="A326" s="18"/>
      <c r="B326" s="9"/>
      <c r="C326" s="19"/>
      <c r="D326" s="19"/>
      <c r="E326" s="20"/>
      <c r="F326" s="20"/>
      <c r="G326" s="20"/>
      <c r="H326" s="15"/>
      <c r="I326" s="21"/>
      <c r="J326" s="9"/>
      <c r="K326" s="9"/>
      <c r="L326" s="9"/>
      <c r="M326" s="9">
        <f t="shared" ca="1" si="39"/>
        <v>0</v>
      </c>
      <c r="N326" s="9" t="str">
        <f t="shared" ca="1" si="40"/>
        <v>NO</v>
      </c>
      <c r="O326" s="9">
        <f t="shared" ca="1" si="38"/>
        <v>0</v>
      </c>
      <c r="P326" s="9"/>
    </row>
    <row r="327" spans="1:16" x14ac:dyDescent="0.3">
      <c r="A327" s="18"/>
      <c r="B327" s="9"/>
      <c r="C327" s="19"/>
      <c r="D327" s="19"/>
      <c r="E327" s="20"/>
      <c r="F327" s="20"/>
      <c r="G327" s="20"/>
      <c r="H327" s="15"/>
      <c r="I327" s="21"/>
      <c r="J327" s="9"/>
      <c r="K327" s="9"/>
      <c r="L327" s="9"/>
      <c r="M327" s="9">
        <f t="shared" ca="1" si="39"/>
        <v>0</v>
      </c>
      <c r="N327" s="9" t="str">
        <f t="shared" ca="1" si="40"/>
        <v>NO</v>
      </c>
      <c r="O327" s="9">
        <f t="shared" ca="1" si="38"/>
        <v>0</v>
      </c>
      <c r="P327" s="9"/>
    </row>
    <row r="328" spans="1:16" x14ac:dyDescent="0.3">
      <c r="A328" s="18"/>
      <c r="B328" s="9"/>
      <c r="C328" s="19"/>
      <c r="D328" s="19"/>
      <c r="E328" s="20"/>
      <c r="F328" s="20"/>
      <c r="G328" s="20"/>
      <c r="H328" s="15"/>
      <c r="I328" s="21"/>
      <c r="J328" s="9"/>
      <c r="K328" s="9"/>
      <c r="L328" s="9"/>
      <c r="M328" s="9">
        <f t="shared" ca="1" si="39"/>
        <v>0</v>
      </c>
      <c r="N328" s="9" t="str">
        <f t="shared" ca="1" si="40"/>
        <v>NO</v>
      </c>
      <c r="O328" s="9">
        <f t="shared" ca="1" si="38"/>
        <v>0</v>
      </c>
      <c r="P328" s="9"/>
    </row>
    <row r="329" spans="1:16" x14ac:dyDescent="0.3">
      <c r="A329" s="18"/>
      <c r="B329" s="9"/>
      <c r="C329" s="19"/>
      <c r="D329" s="19"/>
      <c r="E329" s="20"/>
      <c r="F329" s="20"/>
      <c r="G329" s="20"/>
      <c r="H329" s="15"/>
      <c r="I329" s="21"/>
      <c r="J329" s="9"/>
      <c r="K329" s="9"/>
      <c r="L329" s="9"/>
      <c r="M329" s="9">
        <f t="shared" ca="1" si="39"/>
        <v>0</v>
      </c>
      <c r="N329" s="9" t="str">
        <f t="shared" ca="1" si="40"/>
        <v>NO</v>
      </c>
      <c r="O329" s="9">
        <f t="shared" ca="1" si="38"/>
        <v>0</v>
      </c>
      <c r="P329" s="9"/>
    </row>
    <row r="330" spans="1:16" x14ac:dyDescent="0.3">
      <c r="A330" s="18"/>
      <c r="B330" s="9"/>
      <c r="C330" s="19"/>
      <c r="D330" s="19"/>
      <c r="E330" s="20"/>
      <c r="F330" s="20"/>
      <c r="G330" s="20"/>
      <c r="H330" s="15"/>
      <c r="I330" s="21"/>
      <c r="J330" s="9"/>
      <c r="K330" s="9"/>
      <c r="L330" s="9"/>
      <c r="M330" s="9">
        <f t="shared" ca="1" si="39"/>
        <v>0</v>
      </c>
      <c r="N330" s="9" t="str">
        <f t="shared" ca="1" si="40"/>
        <v>NO</v>
      </c>
      <c r="O330" s="9">
        <f t="shared" ca="1" si="38"/>
        <v>0</v>
      </c>
      <c r="P330" s="9"/>
    </row>
    <row r="331" spans="1:16" x14ac:dyDescent="0.3">
      <c r="A331" s="18"/>
      <c r="B331" s="9"/>
      <c r="C331" s="19"/>
      <c r="D331" s="19"/>
      <c r="E331" s="20"/>
      <c r="F331" s="20"/>
      <c r="G331" s="20"/>
      <c r="H331" s="15"/>
      <c r="I331" s="21"/>
      <c r="J331" s="9"/>
      <c r="K331" s="9"/>
      <c r="L331" s="9"/>
      <c r="M331" s="9">
        <f t="shared" ca="1" si="39"/>
        <v>0</v>
      </c>
      <c r="N331" s="9" t="str">
        <f t="shared" ca="1" si="40"/>
        <v>NO</v>
      </c>
      <c r="O331" s="9">
        <f t="shared" ca="1" si="38"/>
        <v>0</v>
      </c>
      <c r="P331" s="9"/>
    </row>
    <row r="332" spans="1:16" x14ac:dyDescent="0.3">
      <c r="A332" s="18"/>
      <c r="B332" s="9"/>
      <c r="C332" s="19"/>
      <c r="D332" s="9"/>
      <c r="E332" s="20"/>
      <c r="F332" s="20"/>
      <c r="G332" s="20"/>
      <c r="H332" s="15"/>
      <c r="I332" s="21"/>
      <c r="J332" s="9"/>
      <c r="K332" s="9"/>
      <c r="L332" s="9"/>
      <c r="M332" s="9">
        <f t="shared" ca="1" si="39"/>
        <v>0</v>
      </c>
      <c r="N332" s="9" t="str">
        <f t="shared" ca="1" si="40"/>
        <v>NO</v>
      </c>
      <c r="O332" s="9">
        <f t="shared" ca="1" si="38"/>
        <v>0</v>
      </c>
      <c r="P332" s="9"/>
    </row>
    <row r="333" spans="1:16" x14ac:dyDescent="0.3">
      <c r="A333" s="18"/>
      <c r="B333" s="9"/>
      <c r="C333" s="19"/>
      <c r="D333" s="9"/>
      <c r="E333" s="9"/>
      <c r="F333" s="9"/>
      <c r="G333" s="9"/>
      <c r="H333" s="9"/>
      <c r="I333" s="21"/>
      <c r="J333" s="9"/>
      <c r="K333" s="9"/>
      <c r="L333" s="9"/>
      <c r="M333" s="9">
        <f t="shared" ca="1" si="39"/>
        <v>0</v>
      </c>
      <c r="N333" s="9" t="str">
        <f t="shared" ca="1" si="40"/>
        <v>NO</v>
      </c>
      <c r="O333" s="9">
        <f t="shared" ca="1" si="38"/>
        <v>0</v>
      </c>
      <c r="P333" s="9"/>
    </row>
    <row r="334" spans="1:16" x14ac:dyDescent="0.3">
      <c r="A334" s="18"/>
      <c r="B334" s="9"/>
      <c r="C334" s="19"/>
      <c r="D334" s="9"/>
      <c r="E334" s="9"/>
      <c r="F334" s="9"/>
      <c r="G334" s="9"/>
      <c r="H334" s="9"/>
      <c r="I334" s="21"/>
      <c r="J334" s="9"/>
      <c r="K334" s="9"/>
      <c r="L334" s="9"/>
      <c r="M334" s="9">
        <f t="shared" ca="1" si="39"/>
        <v>0</v>
      </c>
      <c r="N334" s="9" t="str">
        <f t="shared" ca="1" si="40"/>
        <v>NO</v>
      </c>
      <c r="O334" s="9">
        <f t="shared" ca="1" si="38"/>
        <v>0</v>
      </c>
      <c r="P334" s="9"/>
    </row>
    <row r="335" spans="1:16" x14ac:dyDescent="0.3">
      <c r="A335" s="18"/>
      <c r="B335" s="9"/>
      <c r="C335" s="19"/>
      <c r="D335" s="9"/>
      <c r="E335" s="9"/>
      <c r="F335" s="9"/>
      <c r="G335" s="9"/>
      <c r="H335" s="9"/>
      <c r="I335" s="21"/>
      <c r="J335" s="9"/>
      <c r="K335" s="9"/>
      <c r="L335" s="9"/>
      <c r="M335" s="9">
        <f t="shared" ca="1" si="39"/>
        <v>0</v>
      </c>
      <c r="N335" s="9" t="str">
        <f t="shared" ca="1" si="40"/>
        <v>NO</v>
      </c>
      <c r="O335" s="9">
        <f t="shared" ca="1" si="38"/>
        <v>0</v>
      </c>
      <c r="P335" s="9"/>
    </row>
    <row r="336" spans="1:16" x14ac:dyDescent="0.3">
      <c r="A336" s="18"/>
      <c r="B336" s="9"/>
      <c r="C336" s="19"/>
      <c r="D336" s="9"/>
      <c r="E336" s="9"/>
      <c r="F336" s="9"/>
      <c r="G336" s="9"/>
      <c r="H336" s="9"/>
      <c r="I336" s="21"/>
      <c r="J336" s="9"/>
      <c r="K336" s="9"/>
      <c r="L336" s="9"/>
      <c r="M336" s="9">
        <f t="shared" ca="1" si="39"/>
        <v>0</v>
      </c>
      <c r="N336" s="9" t="str">
        <f t="shared" ca="1" si="40"/>
        <v>NO</v>
      </c>
      <c r="O336" s="9">
        <f t="shared" ca="1" si="38"/>
        <v>0</v>
      </c>
      <c r="P336" s="9"/>
    </row>
    <row r="337" spans="1:16" x14ac:dyDescent="0.3">
      <c r="A337" s="18"/>
      <c r="B337" s="9"/>
      <c r="C337" s="19"/>
      <c r="D337" s="9"/>
      <c r="E337" s="9"/>
      <c r="F337" s="9"/>
      <c r="G337" s="9"/>
      <c r="H337" s="9"/>
      <c r="I337" s="21"/>
      <c r="J337" s="9"/>
      <c r="K337" s="9"/>
      <c r="L337" s="9"/>
      <c r="M337" s="9">
        <f t="shared" ca="1" si="39"/>
        <v>0</v>
      </c>
      <c r="N337" s="9" t="str">
        <f t="shared" ca="1" si="40"/>
        <v>NO</v>
      </c>
      <c r="O337" s="9">
        <f t="shared" ca="1" si="38"/>
        <v>0</v>
      </c>
      <c r="P337" s="9"/>
    </row>
    <row r="338" spans="1:16" x14ac:dyDescent="0.3">
      <c r="A338" s="18"/>
      <c r="B338" s="9"/>
      <c r="C338" s="19"/>
      <c r="D338" s="9"/>
      <c r="E338" s="9"/>
      <c r="F338" s="9"/>
      <c r="G338" s="9"/>
      <c r="H338" s="9"/>
      <c r="I338" s="21"/>
      <c r="J338" s="9"/>
      <c r="K338" s="9"/>
      <c r="L338" s="9"/>
      <c r="M338" s="9">
        <f t="shared" ca="1" si="39"/>
        <v>0</v>
      </c>
      <c r="N338" s="9" t="str">
        <f t="shared" ca="1" si="40"/>
        <v>NO</v>
      </c>
      <c r="O338" s="9">
        <f t="shared" ca="1" si="38"/>
        <v>0</v>
      </c>
      <c r="P338" s="9"/>
    </row>
    <row r="339" spans="1:16" x14ac:dyDescent="0.3">
      <c r="A339" s="18"/>
      <c r="B339" s="9"/>
      <c r="C339" s="19"/>
      <c r="D339" s="9"/>
      <c r="E339" s="9"/>
      <c r="F339" s="9"/>
      <c r="G339" s="9"/>
      <c r="H339" s="9"/>
      <c r="I339" s="21"/>
      <c r="J339" s="9"/>
      <c r="K339" s="9"/>
      <c r="L339" s="9"/>
      <c r="M339" s="9">
        <f t="shared" ca="1" si="39"/>
        <v>0</v>
      </c>
      <c r="N339" s="9" t="str">
        <f t="shared" ca="1" si="40"/>
        <v>NO</v>
      </c>
      <c r="O339" s="9">
        <f t="shared" ca="1" si="38"/>
        <v>0</v>
      </c>
      <c r="P339" s="9"/>
    </row>
    <row r="340" spans="1:16" x14ac:dyDescent="0.3">
      <c r="A340" s="18"/>
      <c r="B340" s="9"/>
      <c r="C340" s="9"/>
      <c r="D340" s="9"/>
      <c r="E340" s="9"/>
      <c r="F340" s="9"/>
      <c r="G340" s="9"/>
      <c r="H340" s="9"/>
      <c r="I340" s="21"/>
      <c r="J340" s="9"/>
      <c r="K340" s="9"/>
      <c r="L340" s="9"/>
      <c r="M340" s="9"/>
      <c r="N340" s="9"/>
      <c r="O340" s="9"/>
      <c r="P340" s="9"/>
    </row>
    <row r="341" spans="1:16" x14ac:dyDescent="0.3">
      <c r="A341" s="1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</row>
    <row r="344" spans="1:16" ht="15" thickBot="1" x14ac:dyDescent="0.35"/>
    <row r="345" spans="1:16" ht="28.8" x14ac:dyDescent="0.3">
      <c r="A345" s="5" t="s">
        <v>1</v>
      </c>
      <c r="B345" s="6" t="s">
        <v>2</v>
      </c>
      <c r="C345" s="5" t="s">
        <v>3</v>
      </c>
      <c r="D345" s="5" t="s">
        <v>4</v>
      </c>
      <c r="E345" s="5" t="s">
        <v>5</v>
      </c>
      <c r="F345" s="5" t="s">
        <v>6</v>
      </c>
      <c r="G345" s="5" t="s">
        <v>7</v>
      </c>
      <c r="H345" s="5" t="s">
        <v>8</v>
      </c>
      <c r="I345" s="7" t="s">
        <v>9</v>
      </c>
      <c r="J345" s="5" t="s">
        <v>10</v>
      </c>
      <c r="K345" s="5" t="s">
        <v>11</v>
      </c>
      <c r="L345" s="5" t="s">
        <v>12</v>
      </c>
      <c r="M345" s="5" t="s">
        <v>13</v>
      </c>
      <c r="N345" s="5" t="s">
        <v>14</v>
      </c>
    </row>
    <row r="346" spans="1:16" x14ac:dyDescent="0.3">
      <c r="A346" s="9" t="str">
        <f>_xlfn.XLOOKUP($C346,'[1]Data Validation (2)'!$M$3:$M$137,'[1]Data Validation (2)'!$N$3:$N$137)</f>
        <v>Titans</v>
      </c>
      <c r="B346" s="10" t="str">
        <f>_xlfn.XLOOKUP($C346,'[1]Data Validation (2)'!$M$3:$M$137,'[1]Data Validation (2)'!$P$3:$P$137)</f>
        <v>VB0086</v>
      </c>
      <c r="C346" s="11" t="s">
        <v>43</v>
      </c>
      <c r="D346" s="9" t="str">
        <f>_xlfn.XLOOKUP($C346,'[1]Data Validation (2)'!$M$3:$M$137,'[1]Data Validation (2)'!$O$3:$O$137)</f>
        <v>Aditya Yadav</v>
      </c>
      <c r="E346" s="9">
        <f>_xlfn.XLOOKUP($C346,'[1]Ach % - L4'!$B$2:$B$214,'[1]Ach % - L4'!$E$2:$E$214)</f>
        <v>0</v>
      </c>
      <c r="F346" s="9">
        <f>_xlfn.XLOOKUP($C346,'[1]Ach % - L4'!$B$2:$B$214,'[1]Ach % - L4'!$F$2:$F$214)</f>
        <v>0</v>
      </c>
      <c r="G346" s="12" t="e">
        <f>F346/E346</f>
        <v>#DIV/0!</v>
      </c>
      <c r="H346" s="13">
        <f>SUM(I348:I368)</f>
        <v>0</v>
      </c>
      <c r="I346" s="14">
        <f ca="1">SUMIFS($I347:$I368,$N347:$N368,"yes")</f>
        <v>0</v>
      </c>
      <c r="J346" s="15" t="e" cm="1">
        <f t="array" ref="J346">_xlfn.IFS($G346&lt;=34%,0%,$G346&lt;=75%,3%,$G346&lt;=120%,4%,$G346&gt;120%,5%)</f>
        <v>#DIV/0!</v>
      </c>
      <c r="K346" s="13" t="e">
        <f ca="1">I346*J346</f>
        <v>#DIV/0!</v>
      </c>
      <c r="L346" s="9" t="e">
        <f ca="1">K346*80</f>
        <v>#DIV/0!</v>
      </c>
      <c r="M346" s="11" t="e">
        <f ca="1">L346*50%</f>
        <v>#DIV/0!</v>
      </c>
      <c r="N346" s="11"/>
    </row>
    <row r="347" spans="1:16" s="8" customFormat="1" ht="28.8" x14ac:dyDescent="0.3">
      <c r="A347" s="16" t="s">
        <v>3</v>
      </c>
      <c r="B347" s="16" t="s">
        <v>16</v>
      </c>
      <c r="C347" s="16" t="s">
        <v>17</v>
      </c>
      <c r="D347" s="16" t="s">
        <v>18</v>
      </c>
      <c r="E347" s="16" t="s">
        <v>19</v>
      </c>
      <c r="F347" s="17" t="s">
        <v>20</v>
      </c>
      <c r="G347" s="17" t="s">
        <v>21</v>
      </c>
      <c r="H347" s="16" t="s">
        <v>22</v>
      </c>
      <c r="I347" s="16" t="s">
        <v>8</v>
      </c>
      <c r="J347" s="16" t="s">
        <v>23</v>
      </c>
      <c r="K347" s="16" t="s">
        <v>24</v>
      </c>
      <c r="L347" s="16" t="s">
        <v>25</v>
      </c>
      <c r="M347" s="16" t="s">
        <v>26</v>
      </c>
      <c r="N347" s="16" t="s">
        <v>27</v>
      </c>
      <c r="O347" s="16" t="s">
        <v>28</v>
      </c>
      <c r="P347" s="16" t="s">
        <v>29</v>
      </c>
    </row>
    <row r="348" spans="1:16" x14ac:dyDescent="0.3">
      <c r="A348" s="18" t="str">
        <f>C346</f>
        <v>Shagun Tewari</v>
      </c>
      <c r="B348" s="9" t="str" cm="1">
        <f t="array" ref="B348">IFERROR(_xlfn.CHOOSECOLS(_xlfn._xlws.FILTER('[1]L4 dummy data'!A:AS, '[1]L4 dummy data'!D:D=$C346), 3, 14, 15, 16, 44, 45, 18, 41, 27, 40, 42), "")</f>
        <v/>
      </c>
      <c r="C348" s="19"/>
      <c r="D348" s="19"/>
      <c r="E348" s="20"/>
      <c r="F348" s="20"/>
      <c r="G348" s="20"/>
      <c r="H348" s="15"/>
      <c r="I348" s="21"/>
      <c r="J348" s="9"/>
      <c r="K348" s="9"/>
      <c r="L348" s="9"/>
      <c r="M348" s="9">
        <f ca="1">IF(D348&lt;&gt;"NA", D348 - C348, TODAY() - C348)</f>
        <v>0</v>
      </c>
      <c r="N348" s="9" t="str">
        <f ca="1">IF(OR(AND(H348="Contract",L348="Active"),AND(H348="Contract",L348="Done"),AND(H348="FTE",M348&gt;90,L348="Done")),"Yes","NO")</f>
        <v>NO</v>
      </c>
      <c r="O348" s="9">
        <f t="shared" ref="O348:O366" ca="1" si="41">IF(N348="Yes",(I348*$J$319)*80,0)</f>
        <v>0</v>
      </c>
      <c r="P348" s="9"/>
    </row>
    <row r="349" spans="1:16" x14ac:dyDescent="0.3">
      <c r="A349" s="18"/>
      <c r="B349" s="9"/>
      <c r="C349" s="19"/>
      <c r="D349" s="19"/>
      <c r="E349" s="20"/>
      <c r="F349" s="20"/>
      <c r="G349" s="20"/>
      <c r="H349" s="15"/>
      <c r="I349" s="21"/>
      <c r="J349" s="9"/>
      <c r="K349" s="9"/>
      <c r="L349" s="9"/>
      <c r="M349" s="9">
        <f t="shared" ref="M349:M366" ca="1" si="42">IF(D349&lt;&gt;"NA", D349 - C349, TODAY() - C349)</f>
        <v>0</v>
      </c>
      <c r="N349" s="9" t="str">
        <f t="shared" ref="N349:N366" ca="1" si="43">IF(OR(AND(H349="Contract",L349="Active"),AND(H349="Contract",L349="Done"),AND(H349="FTE",M349&gt;90,L349="Done")),"Yes","NO")</f>
        <v>NO</v>
      </c>
      <c r="O349" s="9">
        <f t="shared" ca="1" si="41"/>
        <v>0</v>
      </c>
      <c r="P349" s="9"/>
    </row>
    <row r="350" spans="1:16" x14ac:dyDescent="0.3">
      <c r="A350" s="18"/>
      <c r="B350" s="9"/>
      <c r="C350" s="19"/>
      <c r="D350" s="19"/>
      <c r="E350" s="20"/>
      <c r="F350" s="20"/>
      <c r="G350" s="20"/>
      <c r="H350" s="15"/>
      <c r="I350" s="21"/>
      <c r="J350" s="9"/>
      <c r="K350" s="9"/>
      <c r="L350" s="9"/>
      <c r="M350" s="9">
        <f t="shared" ca="1" si="42"/>
        <v>0</v>
      </c>
      <c r="N350" s="9" t="str">
        <f t="shared" ca="1" si="43"/>
        <v>NO</v>
      </c>
      <c r="O350" s="9">
        <f t="shared" ca="1" si="41"/>
        <v>0</v>
      </c>
      <c r="P350" s="9"/>
    </row>
    <row r="351" spans="1:16" x14ac:dyDescent="0.3">
      <c r="A351" s="18"/>
      <c r="B351" s="9"/>
      <c r="C351" s="19"/>
      <c r="D351" s="19"/>
      <c r="E351" s="20"/>
      <c r="F351" s="20"/>
      <c r="G351" s="20"/>
      <c r="H351" s="15"/>
      <c r="I351" s="21"/>
      <c r="J351" s="9"/>
      <c r="K351" s="9"/>
      <c r="L351" s="9"/>
      <c r="M351" s="9">
        <f t="shared" ca="1" si="42"/>
        <v>0</v>
      </c>
      <c r="N351" s="9" t="str">
        <f t="shared" ca="1" si="43"/>
        <v>NO</v>
      </c>
      <c r="O351" s="9">
        <f t="shared" ca="1" si="41"/>
        <v>0</v>
      </c>
      <c r="P351" s="9"/>
    </row>
    <row r="352" spans="1:16" x14ac:dyDescent="0.3">
      <c r="A352" s="18"/>
      <c r="B352" s="9"/>
      <c r="C352" s="19"/>
      <c r="D352" s="19"/>
      <c r="E352" s="20"/>
      <c r="F352" s="20"/>
      <c r="G352" s="20"/>
      <c r="H352" s="15"/>
      <c r="I352" s="21"/>
      <c r="J352" s="9"/>
      <c r="K352" s="9"/>
      <c r="L352" s="9"/>
      <c r="M352" s="9">
        <f t="shared" ca="1" si="42"/>
        <v>0</v>
      </c>
      <c r="N352" s="9" t="str">
        <f t="shared" ca="1" si="43"/>
        <v>NO</v>
      </c>
      <c r="O352" s="9">
        <f t="shared" ca="1" si="41"/>
        <v>0</v>
      </c>
      <c r="P352" s="9"/>
    </row>
    <row r="353" spans="1:16" x14ac:dyDescent="0.3">
      <c r="A353" s="18"/>
      <c r="B353" s="9"/>
      <c r="C353" s="19"/>
      <c r="D353" s="19"/>
      <c r="E353" s="20"/>
      <c r="F353" s="20"/>
      <c r="G353" s="20"/>
      <c r="H353" s="15"/>
      <c r="I353" s="21"/>
      <c r="J353" s="9"/>
      <c r="K353" s="9"/>
      <c r="L353" s="9"/>
      <c r="M353" s="9">
        <f t="shared" ca="1" si="42"/>
        <v>0</v>
      </c>
      <c r="N353" s="9" t="str">
        <f t="shared" ca="1" si="43"/>
        <v>NO</v>
      </c>
      <c r="O353" s="9">
        <f t="shared" ca="1" si="41"/>
        <v>0</v>
      </c>
      <c r="P353" s="9"/>
    </row>
    <row r="354" spans="1:16" x14ac:dyDescent="0.3">
      <c r="A354" s="18"/>
      <c r="B354" s="9"/>
      <c r="C354" s="19"/>
      <c r="D354" s="19"/>
      <c r="E354" s="20"/>
      <c r="F354" s="20"/>
      <c r="G354" s="20"/>
      <c r="H354" s="15"/>
      <c r="I354" s="21"/>
      <c r="J354" s="9"/>
      <c r="K354" s="9"/>
      <c r="L354" s="9"/>
      <c r="M354" s="9">
        <f t="shared" ca="1" si="42"/>
        <v>0</v>
      </c>
      <c r="N354" s="9" t="str">
        <f t="shared" ca="1" si="43"/>
        <v>NO</v>
      </c>
      <c r="O354" s="9">
        <f t="shared" ca="1" si="41"/>
        <v>0</v>
      </c>
      <c r="P354" s="9"/>
    </row>
    <row r="355" spans="1:16" x14ac:dyDescent="0.3">
      <c r="A355" s="18"/>
      <c r="B355" s="9"/>
      <c r="C355" s="19"/>
      <c r="D355" s="19"/>
      <c r="E355" s="20"/>
      <c r="F355" s="20"/>
      <c r="G355" s="20"/>
      <c r="H355" s="15"/>
      <c r="I355" s="21"/>
      <c r="J355" s="9"/>
      <c r="K355" s="9"/>
      <c r="L355" s="9"/>
      <c r="M355" s="9">
        <f t="shared" ca="1" si="42"/>
        <v>0</v>
      </c>
      <c r="N355" s="9" t="str">
        <f t="shared" ca="1" si="43"/>
        <v>NO</v>
      </c>
      <c r="O355" s="9">
        <f t="shared" ca="1" si="41"/>
        <v>0</v>
      </c>
      <c r="P355" s="9"/>
    </row>
    <row r="356" spans="1:16" x14ac:dyDescent="0.3">
      <c r="A356" s="18"/>
      <c r="B356" s="9"/>
      <c r="C356" s="19"/>
      <c r="D356" s="19"/>
      <c r="E356" s="20"/>
      <c r="F356" s="20"/>
      <c r="G356" s="20"/>
      <c r="H356" s="15"/>
      <c r="I356" s="21"/>
      <c r="J356" s="9"/>
      <c r="K356" s="9"/>
      <c r="L356" s="9"/>
      <c r="M356" s="9">
        <f t="shared" ca="1" si="42"/>
        <v>0</v>
      </c>
      <c r="N356" s="9" t="str">
        <f t="shared" ca="1" si="43"/>
        <v>NO</v>
      </c>
      <c r="O356" s="9">
        <f t="shared" ca="1" si="41"/>
        <v>0</v>
      </c>
      <c r="P356" s="9"/>
    </row>
    <row r="357" spans="1:16" x14ac:dyDescent="0.3">
      <c r="A357" s="18"/>
      <c r="B357" s="9"/>
      <c r="C357" s="19"/>
      <c r="D357" s="19"/>
      <c r="E357" s="20"/>
      <c r="F357" s="20"/>
      <c r="G357" s="20"/>
      <c r="H357" s="15"/>
      <c r="I357" s="21"/>
      <c r="J357" s="9"/>
      <c r="K357" s="9"/>
      <c r="L357" s="9"/>
      <c r="M357" s="9">
        <f t="shared" ca="1" si="42"/>
        <v>0</v>
      </c>
      <c r="N357" s="9" t="str">
        <f t="shared" ca="1" si="43"/>
        <v>NO</v>
      </c>
      <c r="O357" s="9">
        <f t="shared" ca="1" si="41"/>
        <v>0</v>
      </c>
      <c r="P357" s="9"/>
    </row>
    <row r="358" spans="1:16" x14ac:dyDescent="0.3">
      <c r="A358" s="18"/>
      <c r="B358" s="9"/>
      <c r="C358" s="19"/>
      <c r="D358" s="19"/>
      <c r="E358" s="20"/>
      <c r="F358" s="20"/>
      <c r="G358" s="20"/>
      <c r="H358" s="15"/>
      <c r="I358" s="21"/>
      <c r="J358" s="9"/>
      <c r="K358" s="9"/>
      <c r="L358" s="9"/>
      <c r="M358" s="9">
        <f t="shared" ca="1" si="42"/>
        <v>0</v>
      </c>
      <c r="N358" s="9" t="str">
        <f t="shared" ca="1" si="43"/>
        <v>NO</v>
      </c>
      <c r="O358" s="9">
        <f t="shared" ca="1" si="41"/>
        <v>0</v>
      </c>
      <c r="P358" s="9"/>
    </row>
    <row r="359" spans="1:16" x14ac:dyDescent="0.3">
      <c r="A359" s="18"/>
      <c r="B359" s="9"/>
      <c r="C359" s="19"/>
      <c r="D359" s="9"/>
      <c r="E359" s="20"/>
      <c r="F359" s="20"/>
      <c r="G359" s="20"/>
      <c r="H359" s="15"/>
      <c r="I359" s="21"/>
      <c r="J359" s="9"/>
      <c r="K359" s="9"/>
      <c r="L359" s="9"/>
      <c r="M359" s="9">
        <f t="shared" ca="1" si="42"/>
        <v>0</v>
      </c>
      <c r="N359" s="9" t="str">
        <f t="shared" ca="1" si="43"/>
        <v>NO</v>
      </c>
      <c r="O359" s="9">
        <f t="shared" ca="1" si="41"/>
        <v>0</v>
      </c>
      <c r="P359" s="9"/>
    </row>
    <row r="360" spans="1:16" x14ac:dyDescent="0.3">
      <c r="A360" s="18"/>
      <c r="B360" s="9"/>
      <c r="C360" s="19"/>
      <c r="D360" s="9"/>
      <c r="E360" s="9"/>
      <c r="F360" s="9"/>
      <c r="G360" s="9"/>
      <c r="H360" s="9"/>
      <c r="I360" s="21"/>
      <c r="J360" s="9"/>
      <c r="K360" s="9"/>
      <c r="L360" s="9"/>
      <c r="M360" s="9">
        <f t="shared" ca="1" si="42"/>
        <v>0</v>
      </c>
      <c r="N360" s="9" t="str">
        <f t="shared" ca="1" si="43"/>
        <v>NO</v>
      </c>
      <c r="O360" s="9">
        <f t="shared" ca="1" si="41"/>
        <v>0</v>
      </c>
      <c r="P360" s="9"/>
    </row>
    <row r="361" spans="1:16" x14ac:dyDescent="0.3">
      <c r="A361" s="18"/>
      <c r="B361" s="9"/>
      <c r="C361" s="19"/>
      <c r="D361" s="9"/>
      <c r="E361" s="9"/>
      <c r="F361" s="9"/>
      <c r="G361" s="9"/>
      <c r="H361" s="9"/>
      <c r="I361" s="21"/>
      <c r="J361" s="9"/>
      <c r="K361" s="9"/>
      <c r="L361" s="9"/>
      <c r="M361" s="9">
        <f t="shared" ca="1" si="42"/>
        <v>0</v>
      </c>
      <c r="N361" s="9" t="str">
        <f t="shared" ca="1" si="43"/>
        <v>NO</v>
      </c>
      <c r="O361" s="9">
        <f t="shared" ca="1" si="41"/>
        <v>0</v>
      </c>
      <c r="P361" s="9"/>
    </row>
    <row r="362" spans="1:16" x14ac:dyDescent="0.3">
      <c r="A362" s="18"/>
      <c r="B362" s="9"/>
      <c r="C362" s="19"/>
      <c r="D362" s="9"/>
      <c r="E362" s="9"/>
      <c r="F362" s="9"/>
      <c r="G362" s="9"/>
      <c r="H362" s="9"/>
      <c r="I362" s="21"/>
      <c r="J362" s="9"/>
      <c r="K362" s="9"/>
      <c r="L362" s="9"/>
      <c r="M362" s="9">
        <f t="shared" ca="1" si="42"/>
        <v>0</v>
      </c>
      <c r="N362" s="9" t="str">
        <f t="shared" ca="1" si="43"/>
        <v>NO</v>
      </c>
      <c r="O362" s="9">
        <f t="shared" ca="1" si="41"/>
        <v>0</v>
      </c>
      <c r="P362" s="9"/>
    </row>
    <row r="363" spans="1:16" x14ac:dyDescent="0.3">
      <c r="A363" s="18"/>
      <c r="B363" s="9"/>
      <c r="C363" s="19"/>
      <c r="D363" s="9"/>
      <c r="E363" s="9"/>
      <c r="F363" s="9"/>
      <c r="G363" s="9"/>
      <c r="H363" s="9"/>
      <c r="I363" s="21"/>
      <c r="J363" s="9"/>
      <c r="K363" s="9"/>
      <c r="L363" s="9"/>
      <c r="M363" s="9">
        <f t="shared" ca="1" si="42"/>
        <v>0</v>
      </c>
      <c r="N363" s="9" t="str">
        <f t="shared" ca="1" si="43"/>
        <v>NO</v>
      </c>
      <c r="O363" s="9">
        <f t="shared" ca="1" si="41"/>
        <v>0</v>
      </c>
      <c r="P363" s="9"/>
    </row>
    <row r="364" spans="1:16" x14ac:dyDescent="0.3">
      <c r="A364" s="18"/>
      <c r="B364" s="9"/>
      <c r="C364" s="19"/>
      <c r="D364" s="9"/>
      <c r="E364" s="9"/>
      <c r="F364" s="9"/>
      <c r="G364" s="9"/>
      <c r="H364" s="9"/>
      <c r="I364" s="21"/>
      <c r="J364" s="9"/>
      <c r="K364" s="9"/>
      <c r="L364" s="9"/>
      <c r="M364" s="9">
        <f t="shared" ca="1" si="42"/>
        <v>0</v>
      </c>
      <c r="N364" s="9" t="str">
        <f t="shared" ca="1" si="43"/>
        <v>NO</v>
      </c>
      <c r="O364" s="9">
        <f t="shared" ca="1" si="41"/>
        <v>0</v>
      </c>
      <c r="P364" s="9"/>
    </row>
    <row r="365" spans="1:16" x14ac:dyDescent="0.3">
      <c r="A365" s="18"/>
      <c r="B365" s="9"/>
      <c r="C365" s="19"/>
      <c r="D365" s="9"/>
      <c r="E365" s="9"/>
      <c r="F365" s="9"/>
      <c r="G365" s="9"/>
      <c r="H365" s="9"/>
      <c r="I365" s="21"/>
      <c r="J365" s="9"/>
      <c r="K365" s="9"/>
      <c r="L365" s="9"/>
      <c r="M365" s="9">
        <f t="shared" ca="1" si="42"/>
        <v>0</v>
      </c>
      <c r="N365" s="9" t="str">
        <f t="shared" ca="1" si="43"/>
        <v>NO</v>
      </c>
      <c r="O365" s="9">
        <f t="shared" ca="1" si="41"/>
        <v>0</v>
      </c>
      <c r="P365" s="9"/>
    </row>
    <row r="366" spans="1:16" x14ac:dyDescent="0.3">
      <c r="A366" s="18"/>
      <c r="B366" s="9"/>
      <c r="C366" s="19"/>
      <c r="D366" s="9"/>
      <c r="E366" s="9"/>
      <c r="F366" s="9"/>
      <c r="G366" s="9"/>
      <c r="H366" s="9"/>
      <c r="I366" s="21"/>
      <c r="J366" s="9"/>
      <c r="K366" s="9"/>
      <c r="L366" s="9"/>
      <c r="M366" s="9">
        <f t="shared" ca="1" si="42"/>
        <v>0</v>
      </c>
      <c r="N366" s="9" t="str">
        <f t="shared" ca="1" si="43"/>
        <v>NO</v>
      </c>
      <c r="O366" s="9">
        <f t="shared" ca="1" si="41"/>
        <v>0</v>
      </c>
      <c r="P366" s="9"/>
    </row>
    <row r="367" spans="1:16" x14ac:dyDescent="0.3">
      <c r="A367" s="18"/>
      <c r="B367" s="9"/>
      <c r="C367" s="9"/>
      <c r="D367" s="9"/>
      <c r="E367" s="9"/>
      <c r="F367" s="9"/>
      <c r="G367" s="9"/>
      <c r="H367" s="9"/>
      <c r="I367" s="21"/>
      <c r="J367" s="9"/>
      <c r="K367" s="9"/>
      <c r="L367" s="9"/>
      <c r="M367" s="9"/>
      <c r="N367" s="9"/>
      <c r="O367" s="9"/>
      <c r="P367" s="9"/>
    </row>
    <row r="368" spans="1:16" x14ac:dyDescent="0.3">
      <c r="A368" s="1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</row>
    <row r="370" spans="1:16" ht="15" thickBot="1" x14ac:dyDescent="0.35"/>
    <row r="371" spans="1:16" ht="28.8" x14ac:dyDescent="0.3">
      <c r="A371" s="5" t="s">
        <v>1</v>
      </c>
      <c r="B371" s="6" t="s">
        <v>2</v>
      </c>
      <c r="C371" s="5" t="s">
        <v>3</v>
      </c>
      <c r="D371" s="5" t="s">
        <v>4</v>
      </c>
      <c r="E371" s="5" t="s">
        <v>5</v>
      </c>
      <c r="F371" s="5" t="s">
        <v>6</v>
      </c>
      <c r="G371" s="5" t="s">
        <v>7</v>
      </c>
      <c r="H371" s="5" t="s">
        <v>8</v>
      </c>
      <c r="I371" s="7" t="s">
        <v>9</v>
      </c>
      <c r="J371" s="5" t="s">
        <v>10</v>
      </c>
      <c r="K371" s="5" t="s">
        <v>11</v>
      </c>
      <c r="L371" s="5" t="s">
        <v>12</v>
      </c>
      <c r="M371" s="5" t="s">
        <v>13</v>
      </c>
      <c r="N371" s="5" t="s">
        <v>14</v>
      </c>
    </row>
    <row r="372" spans="1:16" x14ac:dyDescent="0.3">
      <c r="A372" s="9" t="str">
        <f>_xlfn.XLOOKUP($C372,'[1]Data Validation (2)'!$M$3:$M$137,'[1]Data Validation (2)'!$N$3:$N$137)</f>
        <v>Titans</v>
      </c>
      <c r="B372" s="10" t="str">
        <f>_xlfn.XLOOKUP($C372,'[1]Data Validation (2)'!$M$3:$M$137,'[1]Data Validation (2)'!$P$3:$P$137)</f>
        <v>VB0087</v>
      </c>
      <c r="C372" s="11" t="s">
        <v>44</v>
      </c>
      <c r="D372" s="9" t="str">
        <f>_xlfn.XLOOKUP($C372,'[1]Data Validation (2)'!$M$3:$M$137,'[1]Data Validation (2)'!$O$3:$O$137)</f>
        <v>Abhishek Yadav</v>
      </c>
      <c r="E372" s="9" t="str">
        <f>_xlfn.XLOOKUP($C372,'[1]Ach % - L4'!$B$2:$B$214,'[1]Ach % - L4'!$E$2:$E$214)</f>
        <v>-</v>
      </c>
      <c r="F372" s="9">
        <f>_xlfn.XLOOKUP($C372,'[1]Ach % - L4'!$B$2:$B$214,'[1]Ach % - L4'!$F$2:$F$214)</f>
        <v>0</v>
      </c>
      <c r="G372" s="12" t="e">
        <f>F372/E372</f>
        <v>#VALUE!</v>
      </c>
      <c r="H372" s="13">
        <f>SUM(I374:I394)</f>
        <v>11154</v>
      </c>
      <c r="I372" s="14">
        <f ca="1">SUMIFS($I373:$I394,$N373:$N394,"yes")</f>
        <v>1152</v>
      </c>
      <c r="J372" s="15" t="e" cm="1">
        <f t="array" ref="J372">_xlfn.IFS($G372&lt;=34%,0%,$G372&lt;=75%,3%,$G372&lt;=120%,4%,$G372&gt;120%,5%)</f>
        <v>#VALUE!</v>
      </c>
      <c r="K372" s="13" t="e">
        <f ca="1">I372*J372</f>
        <v>#VALUE!</v>
      </c>
      <c r="L372" s="9" t="e">
        <f ca="1">K372*80</f>
        <v>#VALUE!</v>
      </c>
      <c r="M372" s="11" t="e">
        <f ca="1">L372*50%</f>
        <v>#VALUE!</v>
      </c>
      <c r="N372" s="11"/>
    </row>
    <row r="373" spans="1:16" s="8" customFormat="1" ht="28.8" x14ac:dyDescent="0.3">
      <c r="A373" s="16" t="s">
        <v>3</v>
      </c>
      <c r="B373" s="16" t="s">
        <v>16</v>
      </c>
      <c r="C373" s="16" t="s">
        <v>17</v>
      </c>
      <c r="D373" s="16" t="s">
        <v>18</v>
      </c>
      <c r="E373" s="16" t="s">
        <v>19</v>
      </c>
      <c r="F373" s="17" t="s">
        <v>20</v>
      </c>
      <c r="G373" s="17" t="s">
        <v>21</v>
      </c>
      <c r="H373" s="16" t="s">
        <v>22</v>
      </c>
      <c r="I373" s="16" t="s">
        <v>8</v>
      </c>
      <c r="J373" s="16" t="s">
        <v>23</v>
      </c>
      <c r="K373" s="16" t="s">
        <v>24</v>
      </c>
      <c r="L373" s="16" t="s">
        <v>25</v>
      </c>
      <c r="M373" s="16" t="s">
        <v>26</v>
      </c>
      <c r="N373" s="16" t="s">
        <v>27</v>
      </c>
      <c r="O373" s="16" t="s">
        <v>28</v>
      </c>
      <c r="P373" s="16" t="s">
        <v>29</v>
      </c>
    </row>
    <row r="374" spans="1:16" x14ac:dyDescent="0.3">
      <c r="A374" s="18" t="str">
        <f>C372</f>
        <v>Abhishek Yadav</v>
      </c>
      <c r="B374" s="9" t="str" cm="1">
        <f t="array" ref="B374:L378">IFERROR(_xlfn.CHOOSECOLS(_xlfn._xlws.FILTER('[1]L4 dummy data'!A:AS, '[1]L4 dummy data'!D:D=$C372), 3, 14, 15, 16, 44, 45, 18, 41, 27, 40, 42), "")</f>
        <v xml:space="preserve">Shubham Goyal </v>
      </c>
      <c r="C374" s="19">
        <v>45817</v>
      </c>
      <c r="D374" s="19" t="str">
        <v>NA</v>
      </c>
      <c r="E374" s="20" t="str">
        <v>Genpact</v>
      </c>
      <c r="F374" s="20">
        <v>354</v>
      </c>
      <c r="G374" s="20" t="str">
        <v>JPC - 225048</v>
      </c>
      <c r="H374" s="15" t="str">
        <v>Contract</v>
      </c>
      <c r="I374" s="21">
        <v>4320</v>
      </c>
      <c r="J374" s="9">
        <v>15</v>
      </c>
      <c r="K374" s="9">
        <v>288</v>
      </c>
      <c r="L374" s="9" t="str">
        <v>Pending</v>
      </c>
      <c r="M374" s="9">
        <f ca="1">IF(D374&lt;&gt;"NA", D374 - C374, TODAY() - C374)</f>
        <v>228</v>
      </c>
      <c r="N374" s="9" t="str">
        <f ca="1">IF(OR(AND(H374="Contract",L374="Active"),AND(H374="Contract",L374="Done"),AND(H374="FTE",M374&gt;90,L374="Done")),"Yes","NO")</f>
        <v>NO</v>
      </c>
      <c r="O374" s="9">
        <f t="shared" ref="O374:O392" ca="1" si="44">IF(N374="Yes",(I374*$J$319)*80,0)</f>
        <v>0</v>
      </c>
      <c r="P374" s="9"/>
    </row>
    <row r="375" spans="1:16" x14ac:dyDescent="0.3">
      <c r="A375" s="18"/>
      <c r="B375" s="9" t="str">
        <v>Pushpesh Mohan</v>
      </c>
      <c r="C375" s="19">
        <v>45817</v>
      </c>
      <c r="D375" s="19" t="str">
        <v>NA</v>
      </c>
      <c r="E375" s="20" t="str">
        <v>Genpact</v>
      </c>
      <c r="F375" s="20">
        <v>341</v>
      </c>
      <c r="G375" s="20" t="str">
        <v>JPC - 225049</v>
      </c>
      <c r="H375" s="15" t="str">
        <v>Contract</v>
      </c>
      <c r="I375" s="21">
        <v>1362</v>
      </c>
      <c r="J375" s="9">
        <v>6</v>
      </c>
      <c r="K375" s="9">
        <v>227</v>
      </c>
      <c r="L375" s="9" t="str">
        <v>Pending</v>
      </c>
      <c r="M375" s="9">
        <f t="shared" ref="M375:M392" ca="1" si="45">IF(D375&lt;&gt;"NA", D375 - C375, TODAY() - C375)</f>
        <v>228</v>
      </c>
      <c r="N375" s="9" t="str">
        <f t="shared" ref="N375:N392" ca="1" si="46">IF(OR(AND(H375="Contract",L375="Active"),AND(H375="Contract",L375="Done"),AND(H375="FTE",M375&gt;90,L375="Done")),"Yes","NO")</f>
        <v>NO</v>
      </c>
      <c r="O375" s="9">
        <f t="shared" ca="1" si="44"/>
        <v>0</v>
      </c>
      <c r="P375" s="9"/>
    </row>
    <row r="376" spans="1:16" x14ac:dyDescent="0.3">
      <c r="A376" s="18"/>
      <c r="B376" s="9" t="str">
        <v>Banshilal B Khinchi</v>
      </c>
      <c r="C376" s="19">
        <v>45817</v>
      </c>
      <c r="D376" s="19" t="str">
        <v>NA</v>
      </c>
      <c r="E376" s="20" t="str">
        <v>Genpact</v>
      </c>
      <c r="F376" s="20">
        <v>315</v>
      </c>
      <c r="G376" s="20" t="str">
        <v>JPC - 225051</v>
      </c>
      <c r="H376" s="15" t="str">
        <v>Contract</v>
      </c>
      <c r="I376" s="21">
        <v>4320</v>
      </c>
      <c r="J376" s="9">
        <v>15</v>
      </c>
      <c r="K376" s="9">
        <v>288</v>
      </c>
      <c r="L376" s="9" t="str">
        <v>No Bill No Pay</v>
      </c>
      <c r="M376" s="9">
        <f t="shared" ca="1" si="45"/>
        <v>228</v>
      </c>
      <c r="N376" s="9" t="str">
        <f t="shared" ca="1" si="46"/>
        <v>NO</v>
      </c>
      <c r="O376" s="9">
        <f t="shared" ca="1" si="44"/>
        <v>0</v>
      </c>
      <c r="P376" s="9"/>
    </row>
    <row r="377" spans="1:16" x14ac:dyDescent="0.3">
      <c r="A377" s="18"/>
      <c r="B377" s="9" t="str">
        <v>Vishal Gupta</v>
      </c>
      <c r="C377" s="19">
        <v>45824</v>
      </c>
      <c r="D377" s="19">
        <v>45904</v>
      </c>
      <c r="E377" s="20" t="str">
        <v>Genpact</v>
      </c>
      <c r="F377" s="20">
        <v>302</v>
      </c>
      <c r="G377" s="20" t="str">
        <v>JPC - 225052</v>
      </c>
      <c r="H377" s="15" t="str">
        <v>Contract</v>
      </c>
      <c r="I377" s="21">
        <v>0</v>
      </c>
      <c r="J377" s="9">
        <v>15</v>
      </c>
      <c r="K377" s="9">
        <v>0</v>
      </c>
      <c r="L377" s="9" t="str">
        <v>Active</v>
      </c>
      <c r="M377" s="9">
        <f t="shared" ca="1" si="45"/>
        <v>80</v>
      </c>
      <c r="N377" s="9" t="str">
        <f t="shared" ca="1" si="46"/>
        <v>Yes</v>
      </c>
      <c r="O377" s="9">
        <f t="shared" ca="1" si="44"/>
        <v>0</v>
      </c>
      <c r="P377" s="9"/>
    </row>
    <row r="378" spans="1:16" x14ac:dyDescent="0.3">
      <c r="A378" s="18"/>
      <c r="B378" s="9" t="str">
        <v>Serguei Pykhov</v>
      </c>
      <c r="C378" s="19">
        <v>45824</v>
      </c>
      <c r="D378" s="19">
        <v>45964</v>
      </c>
      <c r="E378" s="20" t="str">
        <v>Genpact</v>
      </c>
      <c r="F378" s="20">
        <v>289</v>
      </c>
      <c r="G378" s="20" t="str">
        <v>JPC - 225053</v>
      </c>
      <c r="H378" s="15" t="str">
        <v>Contract</v>
      </c>
      <c r="I378" s="21">
        <v>1152</v>
      </c>
      <c r="J378" s="9">
        <v>6</v>
      </c>
      <c r="K378" s="9">
        <v>192</v>
      </c>
      <c r="L378" s="9" t="str">
        <v>Active</v>
      </c>
      <c r="M378" s="9">
        <f t="shared" ca="1" si="45"/>
        <v>140</v>
      </c>
      <c r="N378" s="9" t="str">
        <f t="shared" ca="1" si="46"/>
        <v>Yes</v>
      </c>
      <c r="O378" s="9">
        <f t="shared" ca="1" si="44"/>
        <v>0</v>
      </c>
      <c r="P378" s="9"/>
    </row>
    <row r="379" spans="1:16" x14ac:dyDescent="0.3">
      <c r="A379" s="18"/>
      <c r="B379" s="9"/>
      <c r="C379" s="19"/>
      <c r="D379" s="19"/>
      <c r="E379" s="20"/>
      <c r="F379" s="20"/>
      <c r="G379" s="20"/>
      <c r="H379" s="15"/>
      <c r="I379" s="21"/>
      <c r="J379" s="9"/>
      <c r="K379" s="9"/>
      <c r="L379" s="9"/>
      <c r="M379" s="9">
        <f t="shared" ca="1" si="45"/>
        <v>0</v>
      </c>
      <c r="N379" s="9" t="str">
        <f t="shared" ca="1" si="46"/>
        <v>NO</v>
      </c>
      <c r="O379" s="9">
        <f t="shared" ca="1" si="44"/>
        <v>0</v>
      </c>
      <c r="P379" s="9"/>
    </row>
    <row r="380" spans="1:16" x14ac:dyDescent="0.3">
      <c r="A380" s="18"/>
      <c r="B380" s="9"/>
      <c r="C380" s="19"/>
      <c r="D380" s="19"/>
      <c r="E380" s="20"/>
      <c r="F380" s="20"/>
      <c r="G380" s="20"/>
      <c r="H380" s="15"/>
      <c r="I380" s="21"/>
      <c r="J380" s="9"/>
      <c r="K380" s="9"/>
      <c r="L380" s="9"/>
      <c r="M380" s="9">
        <f t="shared" ca="1" si="45"/>
        <v>0</v>
      </c>
      <c r="N380" s="9" t="str">
        <f t="shared" ca="1" si="46"/>
        <v>NO</v>
      </c>
      <c r="O380" s="9">
        <f t="shared" ca="1" si="44"/>
        <v>0</v>
      </c>
      <c r="P380" s="9"/>
    </row>
    <row r="381" spans="1:16" x14ac:dyDescent="0.3">
      <c r="A381" s="18"/>
      <c r="B381" s="9"/>
      <c r="C381" s="19"/>
      <c r="D381" s="19"/>
      <c r="E381" s="20"/>
      <c r="F381" s="20"/>
      <c r="G381" s="20"/>
      <c r="H381" s="15"/>
      <c r="I381" s="21"/>
      <c r="J381" s="9"/>
      <c r="K381" s="9"/>
      <c r="L381" s="9"/>
      <c r="M381" s="9">
        <f t="shared" ca="1" si="45"/>
        <v>0</v>
      </c>
      <c r="N381" s="9" t="str">
        <f t="shared" ca="1" si="46"/>
        <v>NO</v>
      </c>
      <c r="O381" s="9">
        <f t="shared" ca="1" si="44"/>
        <v>0</v>
      </c>
      <c r="P381" s="9"/>
    </row>
    <row r="382" spans="1:16" x14ac:dyDescent="0.3">
      <c r="A382" s="18"/>
      <c r="B382" s="9"/>
      <c r="C382" s="19"/>
      <c r="D382" s="19"/>
      <c r="E382" s="20"/>
      <c r="F382" s="20"/>
      <c r="G382" s="20"/>
      <c r="H382" s="15"/>
      <c r="I382" s="21"/>
      <c r="J382" s="9"/>
      <c r="K382" s="9"/>
      <c r="L382" s="9"/>
      <c r="M382" s="9">
        <f t="shared" ca="1" si="45"/>
        <v>0</v>
      </c>
      <c r="N382" s="9" t="str">
        <f t="shared" ca="1" si="46"/>
        <v>NO</v>
      </c>
      <c r="O382" s="9">
        <f t="shared" ca="1" si="44"/>
        <v>0</v>
      </c>
      <c r="P382" s="9"/>
    </row>
    <row r="383" spans="1:16" x14ac:dyDescent="0.3">
      <c r="A383" s="18"/>
      <c r="B383" s="9"/>
      <c r="C383" s="19"/>
      <c r="D383" s="19"/>
      <c r="E383" s="20"/>
      <c r="F383" s="20"/>
      <c r="G383" s="20"/>
      <c r="H383" s="15"/>
      <c r="I383" s="21"/>
      <c r="J383" s="9"/>
      <c r="K383" s="9"/>
      <c r="L383" s="9"/>
      <c r="M383" s="9">
        <f t="shared" ca="1" si="45"/>
        <v>0</v>
      </c>
      <c r="N383" s="9" t="str">
        <f t="shared" ca="1" si="46"/>
        <v>NO</v>
      </c>
      <c r="O383" s="9">
        <f t="shared" ca="1" si="44"/>
        <v>0</v>
      </c>
      <c r="P383" s="9"/>
    </row>
    <row r="384" spans="1:16" x14ac:dyDescent="0.3">
      <c r="A384" s="18"/>
      <c r="B384" s="9"/>
      <c r="C384" s="19"/>
      <c r="D384" s="19"/>
      <c r="E384" s="20"/>
      <c r="F384" s="20"/>
      <c r="G384" s="20"/>
      <c r="H384" s="15"/>
      <c r="I384" s="21"/>
      <c r="J384" s="9"/>
      <c r="K384" s="9"/>
      <c r="L384" s="9"/>
      <c r="M384" s="9">
        <f t="shared" ca="1" si="45"/>
        <v>0</v>
      </c>
      <c r="N384" s="9" t="str">
        <f t="shared" ca="1" si="46"/>
        <v>NO</v>
      </c>
      <c r="O384" s="9">
        <f t="shared" ca="1" si="44"/>
        <v>0</v>
      </c>
      <c r="P384" s="9"/>
    </row>
    <row r="385" spans="1:16" x14ac:dyDescent="0.3">
      <c r="A385" s="18"/>
      <c r="B385" s="9"/>
      <c r="C385" s="19"/>
      <c r="D385" s="9"/>
      <c r="E385" s="20"/>
      <c r="F385" s="20"/>
      <c r="G385" s="20"/>
      <c r="H385" s="15"/>
      <c r="I385" s="21"/>
      <c r="J385" s="9"/>
      <c r="K385" s="9"/>
      <c r="L385" s="9"/>
      <c r="M385" s="9">
        <f t="shared" ca="1" si="45"/>
        <v>0</v>
      </c>
      <c r="N385" s="9" t="str">
        <f t="shared" ca="1" si="46"/>
        <v>NO</v>
      </c>
      <c r="O385" s="9">
        <f t="shared" ca="1" si="44"/>
        <v>0</v>
      </c>
      <c r="P385" s="9"/>
    </row>
    <row r="386" spans="1:16" x14ac:dyDescent="0.3">
      <c r="A386" s="18"/>
      <c r="B386" s="9"/>
      <c r="C386" s="19"/>
      <c r="D386" s="9"/>
      <c r="E386" s="9"/>
      <c r="F386" s="9"/>
      <c r="G386" s="9"/>
      <c r="H386" s="9"/>
      <c r="I386" s="21"/>
      <c r="J386" s="9"/>
      <c r="K386" s="9"/>
      <c r="L386" s="9"/>
      <c r="M386" s="9">
        <f t="shared" ca="1" si="45"/>
        <v>0</v>
      </c>
      <c r="N386" s="9" t="str">
        <f t="shared" ca="1" si="46"/>
        <v>NO</v>
      </c>
      <c r="O386" s="9">
        <f t="shared" ca="1" si="44"/>
        <v>0</v>
      </c>
      <c r="P386" s="9"/>
    </row>
    <row r="387" spans="1:16" x14ac:dyDescent="0.3">
      <c r="A387" s="18"/>
      <c r="B387" s="9"/>
      <c r="C387" s="19"/>
      <c r="D387" s="9"/>
      <c r="E387" s="9"/>
      <c r="F387" s="9"/>
      <c r="G387" s="9"/>
      <c r="H387" s="9"/>
      <c r="I387" s="21"/>
      <c r="J387" s="9"/>
      <c r="K387" s="9"/>
      <c r="L387" s="9"/>
      <c r="M387" s="9">
        <f t="shared" ca="1" si="45"/>
        <v>0</v>
      </c>
      <c r="N387" s="9" t="str">
        <f t="shared" ca="1" si="46"/>
        <v>NO</v>
      </c>
      <c r="O387" s="9">
        <f t="shared" ca="1" si="44"/>
        <v>0</v>
      </c>
      <c r="P387" s="9"/>
    </row>
    <row r="388" spans="1:16" x14ac:dyDescent="0.3">
      <c r="A388" s="18"/>
      <c r="B388" s="9"/>
      <c r="C388" s="19"/>
      <c r="D388" s="9"/>
      <c r="E388" s="9"/>
      <c r="F388" s="9"/>
      <c r="G388" s="9"/>
      <c r="H388" s="9"/>
      <c r="I388" s="21"/>
      <c r="J388" s="9"/>
      <c r="K388" s="9"/>
      <c r="L388" s="9"/>
      <c r="M388" s="9">
        <f t="shared" ca="1" si="45"/>
        <v>0</v>
      </c>
      <c r="N388" s="9" t="str">
        <f t="shared" ca="1" si="46"/>
        <v>NO</v>
      </c>
      <c r="O388" s="9">
        <f t="shared" ca="1" si="44"/>
        <v>0</v>
      </c>
      <c r="P388" s="9"/>
    </row>
    <row r="389" spans="1:16" x14ac:dyDescent="0.3">
      <c r="A389" s="18"/>
      <c r="B389" s="9"/>
      <c r="C389" s="19"/>
      <c r="D389" s="9"/>
      <c r="E389" s="9"/>
      <c r="F389" s="9"/>
      <c r="G389" s="9"/>
      <c r="H389" s="9"/>
      <c r="I389" s="21"/>
      <c r="J389" s="9"/>
      <c r="K389" s="9"/>
      <c r="L389" s="9"/>
      <c r="M389" s="9">
        <f t="shared" ca="1" si="45"/>
        <v>0</v>
      </c>
      <c r="N389" s="9" t="str">
        <f t="shared" ca="1" si="46"/>
        <v>NO</v>
      </c>
      <c r="O389" s="9">
        <f t="shared" ca="1" si="44"/>
        <v>0</v>
      </c>
      <c r="P389" s="9"/>
    </row>
    <row r="390" spans="1:16" x14ac:dyDescent="0.3">
      <c r="A390" s="18"/>
      <c r="B390" s="9"/>
      <c r="C390" s="19"/>
      <c r="D390" s="9"/>
      <c r="E390" s="9"/>
      <c r="F390" s="9"/>
      <c r="G390" s="9"/>
      <c r="H390" s="9"/>
      <c r="I390" s="21"/>
      <c r="J390" s="9"/>
      <c r="K390" s="9"/>
      <c r="L390" s="9"/>
      <c r="M390" s="9">
        <f t="shared" ca="1" si="45"/>
        <v>0</v>
      </c>
      <c r="N390" s="9" t="str">
        <f t="shared" ca="1" si="46"/>
        <v>NO</v>
      </c>
      <c r="O390" s="9">
        <f t="shared" ca="1" si="44"/>
        <v>0</v>
      </c>
      <c r="P390" s="9"/>
    </row>
    <row r="391" spans="1:16" x14ac:dyDescent="0.3">
      <c r="A391" s="18"/>
      <c r="B391" s="9"/>
      <c r="C391" s="19"/>
      <c r="D391" s="9"/>
      <c r="E391" s="9"/>
      <c r="F391" s="9"/>
      <c r="G391" s="9"/>
      <c r="H391" s="9"/>
      <c r="I391" s="21"/>
      <c r="J391" s="9"/>
      <c r="K391" s="9"/>
      <c r="L391" s="9"/>
      <c r="M391" s="9">
        <f t="shared" ca="1" si="45"/>
        <v>0</v>
      </c>
      <c r="N391" s="9" t="str">
        <f t="shared" ca="1" si="46"/>
        <v>NO</v>
      </c>
      <c r="O391" s="9">
        <f t="shared" ca="1" si="44"/>
        <v>0</v>
      </c>
      <c r="P391" s="9"/>
    </row>
    <row r="392" spans="1:16" x14ac:dyDescent="0.3">
      <c r="A392" s="18"/>
      <c r="B392" s="9"/>
      <c r="C392" s="19"/>
      <c r="D392" s="9"/>
      <c r="E392" s="9"/>
      <c r="F392" s="9"/>
      <c r="G392" s="9"/>
      <c r="H392" s="9"/>
      <c r="I392" s="21"/>
      <c r="J392" s="9"/>
      <c r="K392" s="9"/>
      <c r="L392" s="9"/>
      <c r="M392" s="9">
        <f t="shared" ca="1" si="45"/>
        <v>0</v>
      </c>
      <c r="N392" s="9" t="str">
        <f t="shared" ca="1" si="46"/>
        <v>NO</v>
      </c>
      <c r="O392" s="9">
        <f t="shared" ca="1" si="44"/>
        <v>0</v>
      </c>
      <c r="P392" s="9"/>
    </row>
    <row r="393" spans="1:16" x14ac:dyDescent="0.3">
      <c r="A393" s="18"/>
      <c r="B393" s="9"/>
      <c r="C393" s="9"/>
      <c r="D393" s="9"/>
      <c r="E393" s="9"/>
      <c r="F393" s="9"/>
      <c r="G393" s="9"/>
      <c r="H393" s="9"/>
      <c r="I393" s="21"/>
      <c r="J393" s="9"/>
      <c r="K393" s="9"/>
      <c r="L393" s="9"/>
      <c r="M393" s="9"/>
      <c r="N393" s="9"/>
      <c r="O393" s="9"/>
      <c r="P393" s="9"/>
    </row>
    <row r="394" spans="1:16" x14ac:dyDescent="0.3">
      <c r="A394" s="1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</row>
    <row r="396" spans="1:16" ht="15" thickBot="1" x14ac:dyDescent="0.35"/>
    <row r="397" spans="1:16" ht="28.8" x14ac:dyDescent="0.3">
      <c r="A397" s="5" t="s">
        <v>1</v>
      </c>
      <c r="B397" s="6" t="s">
        <v>2</v>
      </c>
      <c r="C397" s="5" t="s">
        <v>3</v>
      </c>
      <c r="D397" s="5" t="s">
        <v>4</v>
      </c>
      <c r="E397" s="5" t="s">
        <v>5</v>
      </c>
      <c r="F397" s="5" t="s">
        <v>6</v>
      </c>
      <c r="G397" s="5" t="s">
        <v>7</v>
      </c>
      <c r="H397" s="5" t="s">
        <v>8</v>
      </c>
      <c r="I397" s="7" t="s">
        <v>9</v>
      </c>
      <c r="J397" s="5" t="s">
        <v>10</v>
      </c>
      <c r="K397" s="5" t="s">
        <v>11</v>
      </c>
      <c r="L397" s="5" t="s">
        <v>12</v>
      </c>
      <c r="M397" s="5" t="s">
        <v>13</v>
      </c>
      <c r="N397" s="5" t="s">
        <v>14</v>
      </c>
    </row>
    <row r="398" spans="1:16" x14ac:dyDescent="0.3">
      <c r="A398" s="9" t="str">
        <f>_xlfn.XLOOKUP($C398,'[1]Data Validation (2)'!$M$3:$M$137,'[1]Data Validation (2)'!$N$3:$N$137)</f>
        <v>Titans</v>
      </c>
      <c r="B398" s="10" t="str">
        <f>_xlfn.XLOOKUP($C398,'[1]Data Validation (2)'!$M$3:$M$137,'[1]Data Validation (2)'!$P$3:$P$137)</f>
        <v>VB0088</v>
      </c>
      <c r="C398" s="11" t="s">
        <v>45</v>
      </c>
      <c r="D398" s="9" t="str">
        <f>_xlfn.XLOOKUP($C398,'[1]Data Validation (2)'!$M$3:$M$137,'[1]Data Validation (2)'!$O$3:$O$137)</f>
        <v>Abhishek Yadav</v>
      </c>
      <c r="E398" s="9">
        <f>_xlfn.XLOOKUP($C398,'[1]Ach % - L4'!$B$2:$B$214,'[1]Ach % - L4'!$E$2:$E$214)</f>
        <v>8</v>
      </c>
      <c r="F398" s="9">
        <f>_xlfn.XLOOKUP($C398,'[1]Ach % - L4'!$B$2:$B$214,'[1]Ach % - L4'!$F$2:$F$214)</f>
        <v>7</v>
      </c>
      <c r="G398" s="12">
        <f>F398/E398</f>
        <v>0.875</v>
      </c>
      <c r="H398" s="13">
        <f>SUM(I400:I420)</f>
        <v>20107.8</v>
      </c>
      <c r="I398" s="14">
        <f ca="1">SUMIFS($I399:$I420,$N399:$N420,"yes")</f>
        <v>17867.8</v>
      </c>
      <c r="J398" s="15" cm="1">
        <f t="array" ref="J398">_xlfn.IFS($G398&lt;=34%,0%,$G398&lt;=75%,3%,$G398&lt;=120%,4%,$G398&gt;120%,5%)</f>
        <v>0.04</v>
      </c>
      <c r="K398" s="13">
        <f ca="1">I398*J398</f>
        <v>714.71199999999999</v>
      </c>
      <c r="L398" s="9">
        <f ca="1">K398*80</f>
        <v>57176.959999999999</v>
      </c>
      <c r="M398" s="11">
        <f ca="1">L398*50%</f>
        <v>28588.48</v>
      </c>
      <c r="N398" s="11"/>
    </row>
    <row r="399" spans="1:16" s="8" customFormat="1" ht="28.8" x14ac:dyDescent="0.3">
      <c r="A399" s="16" t="s">
        <v>3</v>
      </c>
      <c r="B399" s="16" t="s">
        <v>16</v>
      </c>
      <c r="C399" s="16" t="s">
        <v>17</v>
      </c>
      <c r="D399" s="16" t="s">
        <v>18</v>
      </c>
      <c r="E399" s="16" t="s">
        <v>19</v>
      </c>
      <c r="F399" s="17" t="s">
        <v>20</v>
      </c>
      <c r="G399" s="17" t="s">
        <v>21</v>
      </c>
      <c r="H399" s="16" t="s">
        <v>22</v>
      </c>
      <c r="I399" s="16" t="s">
        <v>8</v>
      </c>
      <c r="J399" s="16" t="s">
        <v>23</v>
      </c>
      <c r="K399" s="16" t="s">
        <v>24</v>
      </c>
      <c r="L399" s="16" t="s">
        <v>25</v>
      </c>
      <c r="M399" s="16" t="s">
        <v>26</v>
      </c>
      <c r="N399" s="16" t="s">
        <v>27</v>
      </c>
      <c r="O399" s="16" t="s">
        <v>28</v>
      </c>
      <c r="P399" s="16" t="s">
        <v>29</v>
      </c>
    </row>
    <row r="400" spans="1:16" x14ac:dyDescent="0.3">
      <c r="A400" s="18" t="str">
        <f>C398</f>
        <v>Manish Kumar Dhiman</v>
      </c>
      <c r="B400" s="9" t="str" cm="1">
        <f t="array" ref="B400:L405">IFERROR(_xlfn.CHOOSECOLS(_xlfn._xlws.FILTER('[1]L4 dummy data'!A:AS, '[1]L4 dummy data'!D:D=$C398), 3, 14, 15, 16, 44, 45, 18, 41, 27, 40, 42), "")</f>
        <v>Krishna Priya Gadiraju</v>
      </c>
      <c r="C400" s="19">
        <v>45691</v>
      </c>
      <c r="D400" s="19">
        <v>45883</v>
      </c>
      <c r="E400" s="20" t="str">
        <v>Genpact</v>
      </c>
      <c r="F400" s="20">
        <v>315</v>
      </c>
      <c r="G400" s="20" t="str">
        <v>JPC - 224946</v>
      </c>
      <c r="H400" s="15" t="str">
        <v>Contract</v>
      </c>
      <c r="I400" s="21">
        <v>3984</v>
      </c>
      <c r="J400" s="9">
        <v>6</v>
      </c>
      <c r="K400" s="9">
        <v>664</v>
      </c>
      <c r="L400" s="9" t="str">
        <v>Active</v>
      </c>
      <c r="M400" s="9">
        <f ca="1">IF(D400&lt;&gt;"NA", D400 - C400, TODAY() - C400)</f>
        <v>192</v>
      </c>
      <c r="N400" s="9" t="str">
        <f ca="1">IF(OR(AND(H400="Contract",L400="Active"),AND(H400="Contract",L400="Done"),AND(H400="FTE",M400&gt;90,L400="Done")),"Yes","NO")</f>
        <v>Yes</v>
      </c>
      <c r="O400" s="9">
        <f t="shared" ref="O400:O418" ca="1" si="47">IF(N400="Yes",(I400*$J$398)*80,0)</f>
        <v>12748.800000000001</v>
      </c>
      <c r="P400" s="9"/>
    </row>
    <row r="401" spans="1:16" x14ac:dyDescent="0.3">
      <c r="A401" s="18"/>
      <c r="B401" s="9" t="str">
        <v>Elizabeth A Ward</v>
      </c>
      <c r="C401" s="19">
        <v>45789</v>
      </c>
      <c r="D401" s="19">
        <v>45925</v>
      </c>
      <c r="E401" s="20" t="str">
        <v>Genpact</v>
      </c>
      <c r="F401" s="20">
        <v>328</v>
      </c>
      <c r="G401" s="20" t="str">
        <v>JPC - 225029</v>
      </c>
      <c r="H401" s="15" t="str">
        <v>Contract</v>
      </c>
      <c r="I401" s="21">
        <v>7186.8</v>
      </c>
      <c r="J401" s="9">
        <v>7.95</v>
      </c>
      <c r="K401" s="9">
        <v>904</v>
      </c>
      <c r="L401" s="9" t="str">
        <v>Done</v>
      </c>
      <c r="M401" s="9">
        <f ca="1">IF(D401&lt;&gt;"NA", D401 - C401, TODAY() - C401)</f>
        <v>136</v>
      </c>
      <c r="N401" s="9" t="str">
        <f t="shared" ref="N401:N418" ca="1" si="48">IF(OR(AND(H401="Contract",L401="Active"),AND(H401="Contract",L401="Done"),AND(H401="FTE",M401&gt;90,L401="Done")),"Yes","NO")</f>
        <v>Yes</v>
      </c>
      <c r="O401" s="9">
        <f t="shared" ca="1" si="47"/>
        <v>22997.760000000002</v>
      </c>
      <c r="P401" s="9"/>
    </row>
    <row r="402" spans="1:16" x14ac:dyDescent="0.3">
      <c r="A402" s="18"/>
      <c r="B402" s="9" t="str">
        <v>Karthik Mashetty</v>
      </c>
      <c r="C402" s="19">
        <v>45672</v>
      </c>
      <c r="D402" s="19" t="str">
        <v>NA</v>
      </c>
      <c r="E402" s="20" t="str">
        <v>Genpact</v>
      </c>
      <c r="F402" s="20">
        <v>224</v>
      </c>
      <c r="G402" s="20" t="str">
        <v>JPC - 225037</v>
      </c>
      <c r="H402" s="15" t="str">
        <v>Contract</v>
      </c>
      <c r="I402" s="21">
        <v>2745</v>
      </c>
      <c r="J402" s="9">
        <v>6</v>
      </c>
      <c r="K402" s="9">
        <v>457.5</v>
      </c>
      <c r="L402" s="9" t="str">
        <v>Active</v>
      </c>
      <c r="M402" s="9">
        <f t="shared" ref="M402:M418" ca="1" si="49">IF(D402&lt;&gt;"NA", D402 - C402, TODAY() - C402)</f>
        <v>373</v>
      </c>
      <c r="N402" s="9" t="str">
        <f t="shared" ca="1" si="48"/>
        <v>Yes</v>
      </c>
      <c r="O402" s="9">
        <f t="shared" ca="1" si="47"/>
        <v>8784</v>
      </c>
      <c r="P402" s="9"/>
    </row>
    <row r="403" spans="1:16" x14ac:dyDescent="0.3">
      <c r="A403" s="18"/>
      <c r="B403" s="9" t="str">
        <v>Vaishnavi Vundrakonda</v>
      </c>
      <c r="C403" s="19">
        <v>45672</v>
      </c>
      <c r="D403" s="19" t="str">
        <v>NA</v>
      </c>
      <c r="E403" s="20" t="str">
        <v>Genpact</v>
      </c>
      <c r="F403" s="20">
        <v>211</v>
      </c>
      <c r="G403" s="20" t="str">
        <v>JPC - 225038</v>
      </c>
      <c r="H403" s="15" t="str">
        <v>Contract</v>
      </c>
      <c r="I403" s="21">
        <v>1264</v>
      </c>
      <c r="J403" s="9">
        <v>2</v>
      </c>
      <c r="K403" s="9">
        <v>632</v>
      </c>
      <c r="L403" s="9" t="str">
        <v>Active</v>
      </c>
      <c r="M403" s="9">
        <f t="shared" ca="1" si="49"/>
        <v>373</v>
      </c>
      <c r="N403" s="9" t="str">
        <f t="shared" ca="1" si="48"/>
        <v>Yes</v>
      </c>
      <c r="O403" s="9">
        <f t="shared" ca="1" si="47"/>
        <v>4044.8</v>
      </c>
      <c r="P403" s="9"/>
    </row>
    <row r="404" spans="1:16" x14ac:dyDescent="0.3">
      <c r="A404" s="18"/>
      <c r="B404" s="9" t="str">
        <v>John Henry Warford</v>
      </c>
      <c r="C404" s="19">
        <v>45789</v>
      </c>
      <c r="D404" s="19" t="str">
        <v>NA</v>
      </c>
      <c r="E404" s="20" t="str">
        <v>Genpact</v>
      </c>
      <c r="F404" s="20">
        <v>406</v>
      </c>
      <c r="G404" s="20" t="str">
        <v>JPC - 225044</v>
      </c>
      <c r="H404" s="15" t="str">
        <v>Contract</v>
      </c>
      <c r="I404" s="21">
        <v>2240</v>
      </c>
      <c r="J404" s="9">
        <v>5</v>
      </c>
      <c r="K404" s="9">
        <v>448</v>
      </c>
      <c r="L404" s="9" t="str">
        <v>Pending</v>
      </c>
      <c r="M404" s="9">
        <f t="shared" ca="1" si="49"/>
        <v>256</v>
      </c>
      <c r="N404" s="9" t="str">
        <f t="shared" ca="1" si="48"/>
        <v>NO</v>
      </c>
      <c r="O404" s="9">
        <f t="shared" ca="1" si="47"/>
        <v>0</v>
      </c>
      <c r="P404" s="9"/>
    </row>
    <row r="405" spans="1:16" x14ac:dyDescent="0.3">
      <c r="A405" s="18"/>
      <c r="B405" s="9" t="str">
        <v>Ramana Kumar Bompala</v>
      </c>
      <c r="C405" s="19">
        <v>45909</v>
      </c>
      <c r="D405" s="19" t="str">
        <v>NA</v>
      </c>
      <c r="E405" s="20" t="str">
        <v>Genpact</v>
      </c>
      <c r="F405" s="20">
        <v>224</v>
      </c>
      <c r="G405" s="20" t="str">
        <v>JPC - 225121</v>
      </c>
      <c r="H405" s="15" t="str">
        <v>Contract</v>
      </c>
      <c r="I405" s="21">
        <v>2688</v>
      </c>
      <c r="J405" s="9">
        <v>6</v>
      </c>
      <c r="K405" s="9">
        <v>448</v>
      </c>
      <c r="L405" s="9" t="str">
        <v>Active</v>
      </c>
      <c r="M405" s="9">
        <f t="shared" ca="1" si="49"/>
        <v>136</v>
      </c>
      <c r="N405" s="9" t="str">
        <f t="shared" ca="1" si="48"/>
        <v>Yes</v>
      </c>
      <c r="O405" s="9">
        <f t="shared" ca="1" si="47"/>
        <v>8601.6</v>
      </c>
      <c r="P405" s="9"/>
    </row>
    <row r="406" spans="1:16" x14ac:dyDescent="0.3">
      <c r="A406" s="18"/>
      <c r="B406" s="9"/>
      <c r="C406" s="19"/>
      <c r="D406" s="19"/>
      <c r="E406" s="20"/>
      <c r="F406" s="20"/>
      <c r="G406" s="20"/>
      <c r="H406" s="15"/>
      <c r="I406" s="21"/>
      <c r="J406" s="9"/>
      <c r="K406" s="9"/>
      <c r="L406" s="9"/>
      <c r="M406" s="9">
        <f t="shared" ca="1" si="49"/>
        <v>0</v>
      </c>
      <c r="N406" s="9" t="str">
        <f t="shared" ca="1" si="48"/>
        <v>NO</v>
      </c>
      <c r="O406" s="9">
        <f t="shared" ca="1" si="47"/>
        <v>0</v>
      </c>
      <c r="P406" s="9"/>
    </row>
    <row r="407" spans="1:16" x14ac:dyDescent="0.3">
      <c r="A407" s="18"/>
      <c r="B407" s="9"/>
      <c r="C407" s="19"/>
      <c r="D407" s="19"/>
      <c r="E407" s="20"/>
      <c r="F407" s="20"/>
      <c r="G407" s="20"/>
      <c r="H407" s="15"/>
      <c r="I407" s="21"/>
      <c r="J407" s="9"/>
      <c r="K407" s="9"/>
      <c r="L407" s="9"/>
      <c r="M407" s="9">
        <f t="shared" ca="1" si="49"/>
        <v>0</v>
      </c>
      <c r="N407" s="9" t="str">
        <f t="shared" ca="1" si="48"/>
        <v>NO</v>
      </c>
      <c r="O407" s="9">
        <f t="shared" ca="1" si="47"/>
        <v>0</v>
      </c>
      <c r="P407" s="9"/>
    </row>
    <row r="408" spans="1:16" x14ac:dyDescent="0.3">
      <c r="A408" s="18"/>
      <c r="B408" s="9"/>
      <c r="C408" s="19"/>
      <c r="D408" s="19"/>
      <c r="E408" s="20"/>
      <c r="F408" s="20"/>
      <c r="G408" s="20"/>
      <c r="H408" s="15"/>
      <c r="I408" s="21"/>
      <c r="J408" s="9"/>
      <c r="K408" s="9"/>
      <c r="L408" s="9"/>
      <c r="M408" s="9">
        <f t="shared" ca="1" si="49"/>
        <v>0</v>
      </c>
      <c r="N408" s="9" t="str">
        <f t="shared" ca="1" si="48"/>
        <v>NO</v>
      </c>
      <c r="O408" s="9">
        <f t="shared" ca="1" si="47"/>
        <v>0</v>
      </c>
      <c r="P408" s="9"/>
    </row>
    <row r="409" spans="1:16" x14ac:dyDescent="0.3">
      <c r="A409" s="18"/>
      <c r="B409" s="9"/>
      <c r="C409" s="19"/>
      <c r="D409" s="19"/>
      <c r="E409" s="20"/>
      <c r="F409" s="20"/>
      <c r="G409" s="20"/>
      <c r="H409" s="15"/>
      <c r="I409" s="21"/>
      <c r="J409" s="9"/>
      <c r="K409" s="9"/>
      <c r="L409" s="9"/>
      <c r="M409" s="9">
        <f t="shared" ca="1" si="49"/>
        <v>0</v>
      </c>
      <c r="N409" s="9" t="str">
        <f t="shared" ca="1" si="48"/>
        <v>NO</v>
      </c>
      <c r="O409" s="9">
        <f t="shared" ca="1" si="47"/>
        <v>0</v>
      </c>
      <c r="P409" s="9"/>
    </row>
    <row r="410" spans="1:16" x14ac:dyDescent="0.3">
      <c r="A410" s="18"/>
      <c r="B410" s="9"/>
      <c r="C410" s="19"/>
      <c r="D410" s="19"/>
      <c r="E410" s="20"/>
      <c r="F410" s="20"/>
      <c r="G410" s="20"/>
      <c r="H410" s="15"/>
      <c r="I410" s="21"/>
      <c r="J410" s="9"/>
      <c r="K410" s="9"/>
      <c r="L410" s="9"/>
      <c r="M410" s="9">
        <f t="shared" ca="1" si="49"/>
        <v>0</v>
      </c>
      <c r="N410" s="9" t="str">
        <f t="shared" ca="1" si="48"/>
        <v>NO</v>
      </c>
      <c r="O410" s="9">
        <f t="shared" ca="1" si="47"/>
        <v>0</v>
      </c>
      <c r="P410" s="9"/>
    </row>
    <row r="411" spans="1:16" x14ac:dyDescent="0.3">
      <c r="A411" s="18"/>
      <c r="B411" s="9"/>
      <c r="C411" s="19"/>
      <c r="D411" s="9"/>
      <c r="E411" s="20"/>
      <c r="F411" s="20"/>
      <c r="G411" s="20"/>
      <c r="H411" s="15"/>
      <c r="I411" s="21"/>
      <c r="J411" s="9"/>
      <c r="K411" s="9"/>
      <c r="L411" s="9"/>
      <c r="M411" s="9">
        <f t="shared" ca="1" si="49"/>
        <v>0</v>
      </c>
      <c r="N411" s="9" t="str">
        <f t="shared" ca="1" si="48"/>
        <v>NO</v>
      </c>
      <c r="O411" s="9">
        <f t="shared" ca="1" si="47"/>
        <v>0</v>
      </c>
      <c r="P411" s="9"/>
    </row>
    <row r="412" spans="1:16" x14ac:dyDescent="0.3">
      <c r="A412" s="18"/>
      <c r="B412" s="9"/>
      <c r="C412" s="19"/>
      <c r="D412" s="9"/>
      <c r="E412" s="9"/>
      <c r="F412" s="9"/>
      <c r="G412" s="9"/>
      <c r="H412" s="9"/>
      <c r="I412" s="21"/>
      <c r="J412" s="9"/>
      <c r="K412" s="9"/>
      <c r="L412" s="9"/>
      <c r="M412" s="9">
        <f t="shared" ca="1" si="49"/>
        <v>0</v>
      </c>
      <c r="N412" s="9" t="str">
        <f t="shared" ca="1" si="48"/>
        <v>NO</v>
      </c>
      <c r="O412" s="9">
        <f t="shared" ca="1" si="47"/>
        <v>0</v>
      </c>
      <c r="P412" s="9"/>
    </row>
    <row r="413" spans="1:16" x14ac:dyDescent="0.3">
      <c r="A413" s="18"/>
      <c r="B413" s="9"/>
      <c r="C413" s="19"/>
      <c r="D413" s="9"/>
      <c r="E413" s="9"/>
      <c r="F413" s="9"/>
      <c r="G413" s="9"/>
      <c r="H413" s="9"/>
      <c r="I413" s="21"/>
      <c r="J413" s="9"/>
      <c r="K413" s="9"/>
      <c r="L413" s="9"/>
      <c r="M413" s="9">
        <f t="shared" ca="1" si="49"/>
        <v>0</v>
      </c>
      <c r="N413" s="9" t="str">
        <f t="shared" ca="1" si="48"/>
        <v>NO</v>
      </c>
      <c r="O413" s="9">
        <f t="shared" ca="1" si="47"/>
        <v>0</v>
      </c>
      <c r="P413" s="9"/>
    </row>
    <row r="414" spans="1:16" x14ac:dyDescent="0.3">
      <c r="A414" s="18"/>
      <c r="B414" s="9"/>
      <c r="C414" s="19"/>
      <c r="D414" s="9"/>
      <c r="E414" s="9"/>
      <c r="F414" s="9"/>
      <c r="G414" s="9"/>
      <c r="H414" s="9"/>
      <c r="I414" s="21"/>
      <c r="J414" s="9"/>
      <c r="K414" s="9"/>
      <c r="L414" s="9"/>
      <c r="M414" s="9">
        <f t="shared" ca="1" si="49"/>
        <v>0</v>
      </c>
      <c r="N414" s="9" t="str">
        <f t="shared" ca="1" si="48"/>
        <v>NO</v>
      </c>
      <c r="O414" s="9">
        <f t="shared" ca="1" si="47"/>
        <v>0</v>
      </c>
      <c r="P414" s="9"/>
    </row>
    <row r="415" spans="1:16" x14ac:dyDescent="0.3">
      <c r="A415" s="18"/>
      <c r="B415" s="9"/>
      <c r="C415" s="19"/>
      <c r="D415" s="9"/>
      <c r="E415" s="9"/>
      <c r="F415" s="9"/>
      <c r="G415" s="9"/>
      <c r="H415" s="9"/>
      <c r="I415" s="21"/>
      <c r="J415" s="9"/>
      <c r="K415" s="9"/>
      <c r="L415" s="9"/>
      <c r="M415" s="9">
        <f t="shared" ca="1" si="49"/>
        <v>0</v>
      </c>
      <c r="N415" s="9" t="str">
        <f t="shared" ca="1" si="48"/>
        <v>NO</v>
      </c>
      <c r="O415" s="9">
        <f t="shared" ca="1" si="47"/>
        <v>0</v>
      </c>
      <c r="P415" s="9"/>
    </row>
    <row r="416" spans="1:16" x14ac:dyDescent="0.3">
      <c r="A416" s="18"/>
      <c r="B416" s="9"/>
      <c r="C416" s="19"/>
      <c r="D416" s="9"/>
      <c r="E416" s="9"/>
      <c r="F416" s="9"/>
      <c r="G416" s="9"/>
      <c r="H416" s="9"/>
      <c r="I416" s="21"/>
      <c r="J416" s="9"/>
      <c r="K416" s="9"/>
      <c r="L416" s="9"/>
      <c r="M416" s="9">
        <f t="shared" ca="1" si="49"/>
        <v>0</v>
      </c>
      <c r="N416" s="9" t="str">
        <f t="shared" ca="1" si="48"/>
        <v>NO</v>
      </c>
      <c r="O416" s="9">
        <f t="shared" ca="1" si="47"/>
        <v>0</v>
      </c>
      <c r="P416" s="9"/>
    </row>
    <row r="417" spans="1:16" x14ac:dyDescent="0.3">
      <c r="A417" s="18"/>
      <c r="B417" s="9"/>
      <c r="C417" s="19"/>
      <c r="D417" s="9"/>
      <c r="E417" s="9"/>
      <c r="F417" s="9"/>
      <c r="G417" s="9"/>
      <c r="H417" s="9"/>
      <c r="I417" s="21"/>
      <c r="J417" s="9"/>
      <c r="K417" s="9"/>
      <c r="L417" s="9"/>
      <c r="M417" s="9">
        <f t="shared" ca="1" si="49"/>
        <v>0</v>
      </c>
      <c r="N417" s="9" t="str">
        <f t="shared" ca="1" si="48"/>
        <v>NO</v>
      </c>
      <c r="O417" s="9">
        <f t="shared" ca="1" si="47"/>
        <v>0</v>
      </c>
      <c r="P417" s="9"/>
    </row>
    <row r="418" spans="1:16" x14ac:dyDescent="0.3">
      <c r="A418" s="18"/>
      <c r="B418" s="9"/>
      <c r="C418" s="19"/>
      <c r="D418" s="9"/>
      <c r="E418" s="9"/>
      <c r="F418" s="9"/>
      <c r="G418" s="9"/>
      <c r="H418" s="9"/>
      <c r="I418" s="21"/>
      <c r="J418" s="9"/>
      <c r="K418" s="9"/>
      <c r="L418" s="9"/>
      <c r="M418" s="9">
        <f t="shared" ca="1" si="49"/>
        <v>0</v>
      </c>
      <c r="N418" s="9" t="str">
        <f t="shared" ca="1" si="48"/>
        <v>NO</v>
      </c>
      <c r="O418" s="9">
        <f t="shared" ca="1" si="47"/>
        <v>0</v>
      </c>
      <c r="P418" s="9"/>
    </row>
    <row r="419" spans="1:16" x14ac:dyDescent="0.3">
      <c r="A419" s="18"/>
      <c r="B419" s="9"/>
      <c r="C419" s="9"/>
      <c r="D419" s="9"/>
      <c r="E419" s="9"/>
      <c r="F419" s="9"/>
      <c r="G419" s="9"/>
      <c r="H419" s="9"/>
      <c r="I419" s="21"/>
      <c r="J419" s="9"/>
      <c r="K419" s="9"/>
      <c r="L419" s="9"/>
      <c r="M419" s="9"/>
      <c r="N419" s="9"/>
      <c r="O419" s="9"/>
      <c r="P419" s="9"/>
    </row>
    <row r="420" spans="1:16" x14ac:dyDescent="0.3">
      <c r="A420" s="1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</row>
    <row r="422" spans="1:16" ht="15" thickBot="1" x14ac:dyDescent="0.35"/>
    <row r="423" spans="1:16" ht="28.8" x14ac:dyDescent="0.3">
      <c r="A423" s="5" t="s">
        <v>1</v>
      </c>
      <c r="B423" s="6" t="s">
        <v>2</v>
      </c>
      <c r="C423" s="5" t="s">
        <v>3</v>
      </c>
      <c r="D423" s="5" t="s">
        <v>4</v>
      </c>
      <c r="E423" s="5" t="s">
        <v>5</v>
      </c>
      <c r="F423" s="5" t="s">
        <v>6</v>
      </c>
      <c r="G423" s="5" t="s">
        <v>7</v>
      </c>
      <c r="H423" s="5" t="s">
        <v>8</v>
      </c>
      <c r="I423" s="7" t="s">
        <v>9</v>
      </c>
      <c r="J423" s="5" t="s">
        <v>10</v>
      </c>
      <c r="K423" s="5" t="s">
        <v>11</v>
      </c>
      <c r="L423" s="5" t="s">
        <v>12</v>
      </c>
      <c r="M423" s="5" t="s">
        <v>13</v>
      </c>
      <c r="N423" s="5" t="s">
        <v>14</v>
      </c>
    </row>
    <row r="424" spans="1:16" x14ac:dyDescent="0.3">
      <c r="A424" s="9" t="str">
        <f>_xlfn.XLOOKUP($C424,'[1]Data Validation (2)'!$M$3:$M$137,'[1]Data Validation (2)'!$N$3:$N$137)</f>
        <v>Titans</v>
      </c>
      <c r="B424" s="10" t="str">
        <f>_xlfn.XLOOKUP($C424,'[1]Data Validation (2)'!$M$3:$M$137,'[1]Data Validation (2)'!$P$3:$P$137)</f>
        <v>VB0089</v>
      </c>
      <c r="C424" s="11" t="s">
        <v>46</v>
      </c>
      <c r="D424" s="9" t="str">
        <f>_xlfn.XLOOKUP($C424,'[1]Data Validation (2)'!$M$3:$M$137,'[1]Data Validation (2)'!$O$3:$O$137)</f>
        <v>Abhishek Yadav</v>
      </c>
      <c r="E424" s="9">
        <f>_xlfn.XLOOKUP($C424,'[1]Ach % - L4'!$B$2:$B$214,'[1]Ach % - L4'!$E$2:$E$214)</f>
        <v>8</v>
      </c>
      <c r="F424" s="9">
        <f>_xlfn.XLOOKUP($C424,'[1]Ach % - L4'!$B$2:$B$214,'[1]Ach % - L4'!$F$2:$F$214)</f>
        <v>4</v>
      </c>
      <c r="G424" s="12">
        <f>F424/E424</f>
        <v>0.5</v>
      </c>
      <c r="H424" s="13">
        <f>SUM(I426:I446)</f>
        <v>10672</v>
      </c>
      <c r="I424" s="14">
        <f ca="1">SUMIFS($I425:$I446,$N425:$N446,"yes")</f>
        <v>10672</v>
      </c>
      <c r="J424" s="15" cm="1">
        <f t="array" ref="J424">_xlfn.IFS($G424&lt;=34%,0%,$G424&lt;=75%,3%,$G424&lt;=120%,4%,$G424&gt;120%,5%)</f>
        <v>0.03</v>
      </c>
      <c r="K424" s="13">
        <f ca="1">I424*J424</f>
        <v>320.15999999999997</v>
      </c>
      <c r="L424" s="9">
        <f ca="1">K424*80</f>
        <v>25612.799999999996</v>
      </c>
      <c r="M424" s="11">
        <f ca="1">L424*50%</f>
        <v>12806.399999999998</v>
      </c>
      <c r="N424" s="11"/>
    </row>
    <row r="425" spans="1:16" s="8" customFormat="1" ht="28.8" x14ac:dyDescent="0.3">
      <c r="A425" s="16" t="s">
        <v>3</v>
      </c>
      <c r="B425" s="16" t="s">
        <v>16</v>
      </c>
      <c r="C425" s="16" t="s">
        <v>17</v>
      </c>
      <c r="D425" s="16" t="s">
        <v>18</v>
      </c>
      <c r="E425" s="16" t="s">
        <v>19</v>
      </c>
      <c r="F425" s="17" t="s">
        <v>20</v>
      </c>
      <c r="G425" s="17" t="s">
        <v>21</v>
      </c>
      <c r="H425" s="16" t="s">
        <v>22</v>
      </c>
      <c r="I425" s="16" t="s">
        <v>8</v>
      </c>
      <c r="J425" s="16" t="s">
        <v>23</v>
      </c>
      <c r="K425" s="16" t="s">
        <v>24</v>
      </c>
      <c r="L425" s="16" t="s">
        <v>25</v>
      </c>
      <c r="M425" s="16" t="s">
        <v>26</v>
      </c>
      <c r="N425" s="16" t="s">
        <v>27</v>
      </c>
      <c r="O425" s="16" t="s">
        <v>28</v>
      </c>
      <c r="P425" s="16" t="s">
        <v>29</v>
      </c>
    </row>
    <row r="426" spans="1:16" x14ac:dyDescent="0.3">
      <c r="A426" s="18" t="str">
        <f>C424</f>
        <v>Heena Akshay Pandey</v>
      </c>
      <c r="B426" s="9" t="str" cm="1">
        <f t="array" ref="B426:L428">IFERROR(_xlfn.CHOOSECOLS(_xlfn._xlws.FILTER('[1]L4 dummy data'!A:AS, '[1]L4 dummy data'!D:D=$C424), 3, 14, 15, 16, 44, 45, 18, 41, 27, 40, 42), "")</f>
        <v>Anand Goni</v>
      </c>
      <c r="C426" s="19">
        <v>45852</v>
      </c>
      <c r="D426" s="19" t="str">
        <v>NA</v>
      </c>
      <c r="E426" s="20" t="str">
        <v>Genpact</v>
      </c>
      <c r="F426" s="20">
        <v>354</v>
      </c>
      <c r="G426" s="20" t="str">
        <v>JPC - 225006</v>
      </c>
      <c r="H426" s="15" t="str">
        <v>Contract</v>
      </c>
      <c r="I426" s="21">
        <v>6720</v>
      </c>
      <c r="J426" s="9">
        <v>15</v>
      </c>
      <c r="K426" s="9">
        <v>448</v>
      </c>
      <c r="L426" s="9" t="str">
        <v>Active</v>
      </c>
      <c r="M426" s="9">
        <f ca="1">IF(D426&lt;&gt;"NA", D426 - C426, TODAY() - C426)</f>
        <v>193</v>
      </c>
      <c r="N426" s="9" t="str">
        <f ca="1">IF(OR(AND(H426="Contract",L426="Active"),AND(H426="Contract",L426="Done"),AND(H426="FTE",M426&gt;90,L426="Done")),"Yes","NO")</f>
        <v>Yes</v>
      </c>
      <c r="O426" s="9">
        <f t="shared" ref="O426:O432" ca="1" si="50">IF(N426="Yes",(I426*$J$424)*80,0)</f>
        <v>16128</v>
      </c>
      <c r="P426" s="9"/>
    </row>
    <row r="427" spans="1:16" x14ac:dyDescent="0.3">
      <c r="A427" s="18"/>
      <c r="B427" s="9" t="str">
        <v>Debra Joy Parris</v>
      </c>
      <c r="C427" s="19">
        <v>45789</v>
      </c>
      <c r="D427" s="19" t="str">
        <v>NA</v>
      </c>
      <c r="E427" s="20" t="str">
        <v>Genpact</v>
      </c>
      <c r="F427" s="20">
        <v>438</v>
      </c>
      <c r="G427" s="20" t="str">
        <v>JPC - 225043</v>
      </c>
      <c r="H427" s="15" t="str">
        <v>Contract</v>
      </c>
      <c r="I427" s="21">
        <v>3392</v>
      </c>
      <c r="J427" s="9">
        <v>8</v>
      </c>
      <c r="K427" s="9">
        <v>424</v>
      </c>
      <c r="L427" s="9" t="str">
        <v>Done</v>
      </c>
      <c r="M427" s="9">
        <f t="shared" ref="M427:M444" ca="1" si="51">IF(D427&lt;&gt;"NA", D427 - C427, TODAY() - C427)</f>
        <v>256</v>
      </c>
      <c r="N427" s="9" t="str">
        <f t="shared" ref="N427:N444" ca="1" si="52">IF(OR(AND(H427="Contract",L427="Active"),AND(H427="Contract",L427="Done"),AND(H427="FTE",M427&gt;90,L427="Done")),"Yes","NO")</f>
        <v>Yes</v>
      </c>
      <c r="O427" s="9">
        <f t="shared" ca="1" si="50"/>
        <v>8140.7999999999993</v>
      </c>
      <c r="P427" s="9"/>
    </row>
    <row r="428" spans="1:16" x14ac:dyDescent="0.3">
      <c r="A428" s="18"/>
      <c r="B428" s="9" t="str">
        <v>Kathleen Marie Castaldo</v>
      </c>
      <c r="C428" s="19">
        <v>45908</v>
      </c>
      <c r="D428" s="19" t="str">
        <v>NA</v>
      </c>
      <c r="E428" s="20" t="str">
        <v>Genpact</v>
      </c>
      <c r="F428" s="20">
        <v>150</v>
      </c>
      <c r="G428" s="20" t="str">
        <v>JPC - 225123</v>
      </c>
      <c r="H428" s="15" t="str">
        <v>Contract</v>
      </c>
      <c r="I428" s="21">
        <v>560</v>
      </c>
      <c r="J428" s="9">
        <v>2</v>
      </c>
      <c r="K428" s="9">
        <v>280</v>
      </c>
      <c r="L428" s="9" t="str">
        <v>Done</v>
      </c>
      <c r="M428" s="9">
        <f t="shared" ca="1" si="51"/>
        <v>137</v>
      </c>
      <c r="N428" s="9" t="str">
        <f t="shared" ca="1" si="52"/>
        <v>Yes</v>
      </c>
      <c r="O428" s="9">
        <f t="shared" ca="1" si="50"/>
        <v>1344</v>
      </c>
      <c r="P428" s="9"/>
    </row>
    <row r="429" spans="1:16" x14ac:dyDescent="0.3">
      <c r="A429" s="18"/>
      <c r="B429" s="9"/>
      <c r="C429" s="19"/>
      <c r="D429" s="19"/>
      <c r="E429" s="20"/>
      <c r="F429" s="20"/>
      <c r="G429" s="20"/>
      <c r="H429" s="15"/>
      <c r="I429" s="21"/>
      <c r="J429" s="9"/>
      <c r="K429" s="9"/>
      <c r="L429" s="9"/>
      <c r="M429" s="9">
        <f t="shared" ca="1" si="51"/>
        <v>0</v>
      </c>
      <c r="N429" s="9" t="str">
        <f t="shared" ca="1" si="52"/>
        <v>NO</v>
      </c>
      <c r="O429" s="9">
        <f t="shared" ca="1" si="50"/>
        <v>0</v>
      </c>
      <c r="P429" s="9"/>
    </row>
    <row r="430" spans="1:16" x14ac:dyDescent="0.3">
      <c r="A430" s="18"/>
      <c r="B430" s="9"/>
      <c r="C430" s="19"/>
      <c r="D430" s="19"/>
      <c r="E430" s="20"/>
      <c r="F430" s="20"/>
      <c r="G430" s="20"/>
      <c r="H430" s="15"/>
      <c r="I430" s="21"/>
      <c r="J430" s="9"/>
      <c r="K430" s="9"/>
      <c r="L430" s="9"/>
      <c r="M430" s="9">
        <f t="shared" ca="1" si="51"/>
        <v>0</v>
      </c>
      <c r="N430" s="9" t="str">
        <f t="shared" ca="1" si="52"/>
        <v>NO</v>
      </c>
      <c r="O430" s="9">
        <f t="shared" ca="1" si="50"/>
        <v>0</v>
      </c>
      <c r="P430" s="9"/>
    </row>
    <row r="431" spans="1:16" x14ac:dyDescent="0.3">
      <c r="A431" s="18"/>
      <c r="B431" s="9"/>
      <c r="C431" s="19"/>
      <c r="D431" s="19"/>
      <c r="E431" s="20"/>
      <c r="F431" s="20"/>
      <c r="G431" s="20"/>
      <c r="H431" s="15"/>
      <c r="I431" s="21"/>
      <c r="J431" s="9"/>
      <c r="K431" s="9"/>
      <c r="L431" s="9"/>
      <c r="M431" s="9">
        <f t="shared" ca="1" si="51"/>
        <v>0</v>
      </c>
      <c r="N431" s="9" t="str">
        <f t="shared" ca="1" si="52"/>
        <v>NO</v>
      </c>
      <c r="O431" s="9">
        <f t="shared" ca="1" si="50"/>
        <v>0</v>
      </c>
      <c r="P431" s="9"/>
    </row>
    <row r="432" spans="1:16" x14ac:dyDescent="0.3">
      <c r="A432" s="18"/>
      <c r="B432" s="9"/>
      <c r="C432" s="19"/>
      <c r="D432" s="19"/>
      <c r="E432" s="20"/>
      <c r="F432" s="20"/>
      <c r="G432" s="20"/>
      <c r="H432" s="15"/>
      <c r="I432" s="21"/>
      <c r="J432" s="9"/>
      <c r="K432" s="9"/>
      <c r="L432" s="9"/>
      <c r="M432" s="9">
        <f t="shared" ca="1" si="51"/>
        <v>0</v>
      </c>
      <c r="N432" s="9" t="str">
        <f t="shared" ca="1" si="52"/>
        <v>NO</v>
      </c>
      <c r="O432" s="9">
        <f t="shared" ca="1" si="50"/>
        <v>0</v>
      </c>
      <c r="P432" s="9"/>
    </row>
    <row r="433" spans="1:16" x14ac:dyDescent="0.3">
      <c r="A433" s="18"/>
      <c r="B433" s="9"/>
      <c r="C433" s="19"/>
      <c r="D433" s="19"/>
      <c r="E433" s="20"/>
      <c r="F433" s="20"/>
      <c r="G433" s="20"/>
      <c r="H433" s="15"/>
      <c r="I433" s="21"/>
      <c r="J433" s="9"/>
      <c r="K433" s="9"/>
      <c r="L433" s="9"/>
      <c r="M433" s="9">
        <f t="shared" ca="1" si="51"/>
        <v>0</v>
      </c>
      <c r="N433" s="9" t="str">
        <f t="shared" ca="1" si="52"/>
        <v>NO</v>
      </c>
      <c r="O433" s="9">
        <f t="shared" ref="O433:O444" ca="1" si="53">IF(N433="Yes",(I433*$J$398)*80,0)</f>
        <v>0</v>
      </c>
      <c r="P433" s="9"/>
    </row>
    <row r="434" spans="1:16" x14ac:dyDescent="0.3">
      <c r="A434" s="18"/>
      <c r="B434" s="9"/>
      <c r="C434" s="19"/>
      <c r="D434" s="19"/>
      <c r="E434" s="20"/>
      <c r="F434" s="20"/>
      <c r="G434" s="20"/>
      <c r="H434" s="15"/>
      <c r="I434" s="21"/>
      <c r="J434" s="9"/>
      <c r="K434" s="9"/>
      <c r="L434" s="9"/>
      <c r="M434" s="9">
        <f t="shared" ca="1" si="51"/>
        <v>0</v>
      </c>
      <c r="N434" s="9" t="str">
        <f t="shared" ca="1" si="52"/>
        <v>NO</v>
      </c>
      <c r="O434" s="9">
        <f t="shared" ca="1" si="53"/>
        <v>0</v>
      </c>
      <c r="P434" s="9"/>
    </row>
    <row r="435" spans="1:16" x14ac:dyDescent="0.3">
      <c r="A435" s="18"/>
      <c r="B435" s="9"/>
      <c r="C435" s="19"/>
      <c r="D435" s="19"/>
      <c r="E435" s="20"/>
      <c r="F435" s="20"/>
      <c r="G435" s="20"/>
      <c r="H435" s="15"/>
      <c r="I435" s="21"/>
      <c r="J435" s="9"/>
      <c r="K435" s="9"/>
      <c r="L435" s="9"/>
      <c r="M435" s="9">
        <f t="shared" ca="1" si="51"/>
        <v>0</v>
      </c>
      <c r="N435" s="9" t="str">
        <f t="shared" ca="1" si="52"/>
        <v>NO</v>
      </c>
      <c r="O435" s="9">
        <f t="shared" ca="1" si="53"/>
        <v>0</v>
      </c>
      <c r="P435" s="9"/>
    </row>
    <row r="436" spans="1:16" x14ac:dyDescent="0.3">
      <c r="A436" s="18"/>
      <c r="B436" s="9"/>
      <c r="C436" s="19"/>
      <c r="D436" s="19"/>
      <c r="E436" s="20"/>
      <c r="F436" s="20"/>
      <c r="G436" s="20"/>
      <c r="H436" s="15"/>
      <c r="I436" s="21"/>
      <c r="J436" s="9"/>
      <c r="K436" s="9"/>
      <c r="L436" s="9"/>
      <c r="M436" s="9">
        <f t="shared" ca="1" si="51"/>
        <v>0</v>
      </c>
      <c r="N436" s="9" t="str">
        <f t="shared" ca="1" si="52"/>
        <v>NO</v>
      </c>
      <c r="O436" s="9">
        <f t="shared" ca="1" si="53"/>
        <v>0</v>
      </c>
      <c r="P436" s="9"/>
    </row>
    <row r="437" spans="1:16" x14ac:dyDescent="0.3">
      <c r="A437" s="18"/>
      <c r="B437" s="9"/>
      <c r="C437" s="19"/>
      <c r="D437" s="9"/>
      <c r="E437" s="20"/>
      <c r="F437" s="20"/>
      <c r="G437" s="20"/>
      <c r="H437" s="15"/>
      <c r="I437" s="21"/>
      <c r="J437" s="9"/>
      <c r="K437" s="9"/>
      <c r="L437" s="9"/>
      <c r="M437" s="9">
        <f t="shared" ca="1" si="51"/>
        <v>0</v>
      </c>
      <c r="N437" s="9" t="str">
        <f t="shared" ca="1" si="52"/>
        <v>NO</v>
      </c>
      <c r="O437" s="9">
        <f t="shared" ca="1" si="53"/>
        <v>0</v>
      </c>
      <c r="P437" s="9"/>
    </row>
    <row r="438" spans="1:16" x14ac:dyDescent="0.3">
      <c r="A438" s="18"/>
      <c r="B438" s="9"/>
      <c r="C438" s="19"/>
      <c r="D438" s="9"/>
      <c r="E438" s="9"/>
      <c r="F438" s="9"/>
      <c r="G438" s="9"/>
      <c r="H438" s="9"/>
      <c r="I438" s="21"/>
      <c r="J438" s="9"/>
      <c r="K438" s="9"/>
      <c r="L438" s="9"/>
      <c r="M438" s="9">
        <f t="shared" ca="1" si="51"/>
        <v>0</v>
      </c>
      <c r="N438" s="9" t="str">
        <f t="shared" ca="1" si="52"/>
        <v>NO</v>
      </c>
      <c r="O438" s="9">
        <f t="shared" ca="1" si="53"/>
        <v>0</v>
      </c>
      <c r="P438" s="9"/>
    </row>
    <row r="439" spans="1:16" x14ac:dyDescent="0.3">
      <c r="A439" s="18"/>
      <c r="B439" s="9"/>
      <c r="C439" s="19"/>
      <c r="D439" s="9"/>
      <c r="E439" s="9"/>
      <c r="F439" s="9"/>
      <c r="G439" s="9"/>
      <c r="H439" s="9"/>
      <c r="I439" s="21"/>
      <c r="J439" s="9"/>
      <c r="K439" s="9"/>
      <c r="L439" s="9"/>
      <c r="M439" s="9">
        <f t="shared" ca="1" si="51"/>
        <v>0</v>
      </c>
      <c r="N439" s="9" t="str">
        <f t="shared" ca="1" si="52"/>
        <v>NO</v>
      </c>
      <c r="O439" s="9">
        <f t="shared" ca="1" si="53"/>
        <v>0</v>
      </c>
      <c r="P439" s="9"/>
    </row>
    <row r="440" spans="1:16" x14ac:dyDescent="0.3">
      <c r="A440" s="18"/>
      <c r="B440" s="9"/>
      <c r="C440" s="19"/>
      <c r="D440" s="9"/>
      <c r="E440" s="9"/>
      <c r="F440" s="9"/>
      <c r="G440" s="9"/>
      <c r="H440" s="9"/>
      <c r="I440" s="21"/>
      <c r="J440" s="9"/>
      <c r="K440" s="9"/>
      <c r="L440" s="9"/>
      <c r="M440" s="9">
        <f t="shared" ca="1" si="51"/>
        <v>0</v>
      </c>
      <c r="N440" s="9" t="str">
        <f t="shared" ca="1" si="52"/>
        <v>NO</v>
      </c>
      <c r="O440" s="9">
        <f t="shared" ca="1" si="53"/>
        <v>0</v>
      </c>
      <c r="P440" s="9"/>
    </row>
    <row r="441" spans="1:16" x14ac:dyDescent="0.3">
      <c r="A441" s="18"/>
      <c r="B441" s="9"/>
      <c r="C441" s="19"/>
      <c r="D441" s="9"/>
      <c r="E441" s="9"/>
      <c r="F441" s="9"/>
      <c r="G441" s="9"/>
      <c r="H441" s="9"/>
      <c r="I441" s="21"/>
      <c r="J441" s="9"/>
      <c r="K441" s="9"/>
      <c r="L441" s="9"/>
      <c r="M441" s="9">
        <f t="shared" ca="1" si="51"/>
        <v>0</v>
      </c>
      <c r="N441" s="9" t="str">
        <f t="shared" ca="1" si="52"/>
        <v>NO</v>
      </c>
      <c r="O441" s="9">
        <f t="shared" ca="1" si="53"/>
        <v>0</v>
      </c>
      <c r="P441" s="9"/>
    </row>
    <row r="442" spans="1:16" x14ac:dyDescent="0.3">
      <c r="A442" s="18"/>
      <c r="B442" s="9"/>
      <c r="C442" s="19"/>
      <c r="D442" s="9"/>
      <c r="E442" s="9"/>
      <c r="F442" s="9"/>
      <c r="G442" s="9"/>
      <c r="H442" s="9"/>
      <c r="I442" s="21"/>
      <c r="J442" s="9"/>
      <c r="K442" s="9"/>
      <c r="L442" s="9"/>
      <c r="M442" s="9">
        <f t="shared" ca="1" si="51"/>
        <v>0</v>
      </c>
      <c r="N442" s="9" t="str">
        <f t="shared" ca="1" si="52"/>
        <v>NO</v>
      </c>
      <c r="O442" s="9">
        <f t="shared" ca="1" si="53"/>
        <v>0</v>
      </c>
      <c r="P442" s="9"/>
    </row>
    <row r="443" spans="1:16" x14ac:dyDescent="0.3">
      <c r="A443" s="18"/>
      <c r="B443" s="9"/>
      <c r="C443" s="19"/>
      <c r="D443" s="9"/>
      <c r="E443" s="9"/>
      <c r="F443" s="9"/>
      <c r="G443" s="9"/>
      <c r="H443" s="9"/>
      <c r="I443" s="21"/>
      <c r="J443" s="9"/>
      <c r="K443" s="9"/>
      <c r="L443" s="9"/>
      <c r="M443" s="9">
        <f t="shared" ca="1" si="51"/>
        <v>0</v>
      </c>
      <c r="N443" s="9" t="str">
        <f t="shared" ca="1" si="52"/>
        <v>NO</v>
      </c>
      <c r="O443" s="9">
        <f t="shared" ca="1" si="53"/>
        <v>0</v>
      </c>
      <c r="P443" s="9"/>
    </row>
    <row r="444" spans="1:16" x14ac:dyDescent="0.3">
      <c r="A444" s="18"/>
      <c r="B444" s="9"/>
      <c r="C444" s="19"/>
      <c r="D444" s="9"/>
      <c r="E444" s="9"/>
      <c r="F444" s="9"/>
      <c r="G444" s="9"/>
      <c r="H444" s="9"/>
      <c r="I444" s="21"/>
      <c r="J444" s="9"/>
      <c r="K444" s="9"/>
      <c r="L444" s="9"/>
      <c r="M444" s="9">
        <f t="shared" ca="1" si="51"/>
        <v>0</v>
      </c>
      <c r="N444" s="9" t="str">
        <f t="shared" ca="1" si="52"/>
        <v>NO</v>
      </c>
      <c r="O444" s="9">
        <f t="shared" ca="1" si="53"/>
        <v>0</v>
      </c>
      <c r="P444" s="9"/>
    </row>
    <row r="445" spans="1:16" x14ac:dyDescent="0.3">
      <c r="A445" s="18"/>
      <c r="B445" s="9"/>
      <c r="C445" s="9"/>
      <c r="D445" s="9"/>
      <c r="E445" s="9"/>
      <c r="F445" s="9"/>
      <c r="G445" s="9"/>
      <c r="H445" s="9"/>
      <c r="I445" s="21"/>
      <c r="J445" s="9"/>
      <c r="K445" s="9"/>
      <c r="L445" s="9"/>
      <c r="M445" s="9"/>
      <c r="N445" s="9"/>
      <c r="O445" s="9"/>
      <c r="P445" s="9"/>
    </row>
    <row r="446" spans="1:16" x14ac:dyDescent="0.3">
      <c r="A446" s="1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</row>
    <row r="449" spans="1:16" ht="15" thickBot="1" x14ac:dyDescent="0.35"/>
    <row r="450" spans="1:16" ht="28.8" x14ac:dyDescent="0.3">
      <c r="A450" s="5" t="s">
        <v>1</v>
      </c>
      <c r="B450" s="6" t="s">
        <v>2</v>
      </c>
      <c r="C450" s="5" t="s">
        <v>3</v>
      </c>
      <c r="D450" s="5" t="s">
        <v>4</v>
      </c>
      <c r="E450" s="5" t="s">
        <v>5</v>
      </c>
      <c r="F450" s="5" t="s">
        <v>6</v>
      </c>
      <c r="G450" s="5" t="s">
        <v>7</v>
      </c>
      <c r="H450" s="5" t="s">
        <v>8</v>
      </c>
      <c r="I450" s="7" t="s">
        <v>9</v>
      </c>
      <c r="J450" s="5" t="s">
        <v>10</v>
      </c>
      <c r="K450" s="5" t="s">
        <v>11</v>
      </c>
      <c r="L450" s="5" t="s">
        <v>12</v>
      </c>
      <c r="M450" s="5" t="s">
        <v>13</v>
      </c>
      <c r="N450" s="5" t="s">
        <v>14</v>
      </c>
    </row>
    <row r="451" spans="1:16" x14ac:dyDescent="0.3">
      <c r="A451" s="9" t="str">
        <f>_xlfn.XLOOKUP($C451,'[1]Data Validation (2)'!$M$3:$M$137,'[1]Data Validation (2)'!$N$3:$N$137)</f>
        <v>Titans</v>
      </c>
      <c r="B451" s="10" t="str">
        <f>_xlfn.XLOOKUP($C451,'[1]Data Validation (2)'!$M$3:$M$137,'[1]Data Validation (2)'!$P$3:$P$137)</f>
        <v>VB0090</v>
      </c>
      <c r="C451" s="11" t="s">
        <v>47</v>
      </c>
      <c r="D451" s="9" t="str">
        <f>_xlfn.XLOOKUP($C451,'[1]Data Validation (2)'!$M$3:$M$137,'[1]Data Validation (2)'!$O$3:$O$137)</f>
        <v>Abhishek Yadav</v>
      </c>
      <c r="E451" s="9">
        <f>_xlfn.XLOOKUP($C451,'[1]Ach % - L4'!$B$2:$B$214,'[1]Ach % - L4'!$E$2:$E$214)</f>
        <v>6</v>
      </c>
      <c r="F451" s="9">
        <f>_xlfn.XLOOKUP($C451,'[1]Ach % - L4'!$B$2:$B$214,'[1]Ach % - L4'!$F$2:$F$214)</f>
        <v>7</v>
      </c>
      <c r="G451" s="12">
        <f>F451/E451</f>
        <v>1.1666666666666667</v>
      </c>
      <c r="H451" s="13">
        <f>SUM(I453:I473)</f>
        <v>17126</v>
      </c>
      <c r="I451" s="14">
        <f ca="1">SUMIFS($I452:$I473,$N452:$N473,"yes")</f>
        <v>17126</v>
      </c>
      <c r="J451" s="15" cm="1">
        <f t="array" ref="J451">_xlfn.IFS($G451&lt;=34%,0%,$G451&lt;=75%,3%,$G451&lt;=120%,4%,$G451&gt;120%,5%)</f>
        <v>0.04</v>
      </c>
      <c r="K451" s="13">
        <f ca="1">I451*J451</f>
        <v>685.04</v>
      </c>
      <c r="L451" s="9">
        <f ca="1">K451*80</f>
        <v>54803.199999999997</v>
      </c>
      <c r="M451" s="11">
        <f ca="1">L451*50%</f>
        <v>27401.599999999999</v>
      </c>
      <c r="N451" s="11"/>
    </row>
    <row r="452" spans="1:16" s="8" customFormat="1" ht="28.8" x14ac:dyDescent="0.3">
      <c r="A452" s="16" t="s">
        <v>3</v>
      </c>
      <c r="B452" s="16" t="s">
        <v>16</v>
      </c>
      <c r="C452" s="16" t="s">
        <v>17</v>
      </c>
      <c r="D452" s="16" t="s">
        <v>18</v>
      </c>
      <c r="E452" s="16" t="s">
        <v>19</v>
      </c>
      <c r="F452" s="17" t="s">
        <v>20</v>
      </c>
      <c r="G452" s="17" t="s">
        <v>21</v>
      </c>
      <c r="H452" s="16" t="s">
        <v>22</v>
      </c>
      <c r="I452" s="16" t="s">
        <v>8</v>
      </c>
      <c r="J452" s="16" t="s">
        <v>23</v>
      </c>
      <c r="K452" s="16" t="s">
        <v>24</v>
      </c>
      <c r="L452" s="16" t="s">
        <v>25</v>
      </c>
      <c r="M452" s="16" t="s">
        <v>26</v>
      </c>
      <c r="N452" s="16" t="s">
        <v>27</v>
      </c>
      <c r="O452" s="16" t="s">
        <v>28</v>
      </c>
      <c r="P452" s="16" t="s">
        <v>29</v>
      </c>
    </row>
    <row r="453" spans="1:16" x14ac:dyDescent="0.3">
      <c r="A453" s="18" t="str">
        <f>C451</f>
        <v>Priya Yadav</v>
      </c>
      <c r="B453" s="9" t="str" cm="1">
        <f t="array" ref="B453:L457">IFERROR(_xlfn.CHOOSECOLS(_xlfn._xlws.FILTER('[1]L4 dummy data'!A:AS, '[1]L4 dummy data'!D:D=$C451), 3, 14, 15, 16, 44, 45, 18, 41, 27, 40, 42), "")</f>
        <v>Earl Samuel Wilkerson</v>
      </c>
      <c r="C453" s="19">
        <v>45789</v>
      </c>
      <c r="D453" s="19">
        <v>45839</v>
      </c>
      <c r="E453" s="20" t="str">
        <v>Genpact</v>
      </c>
      <c r="F453" s="20">
        <v>237</v>
      </c>
      <c r="G453" s="20" t="str">
        <v>JPC - 224952</v>
      </c>
      <c r="H453" s="15" t="str">
        <v>Contract</v>
      </c>
      <c r="I453" s="21">
        <v>7296</v>
      </c>
      <c r="J453" s="9">
        <v>8</v>
      </c>
      <c r="K453" s="9">
        <v>912</v>
      </c>
      <c r="L453" s="9" t="str">
        <v>Active</v>
      </c>
      <c r="M453" s="9">
        <f ca="1">IF(D453&lt;&gt;"NA", D453 - C453, TODAY() - C453)</f>
        <v>50</v>
      </c>
      <c r="N453" s="9" t="str">
        <f ca="1">IF(OR(AND(H453="Contract",L453="Active"),AND(H453="Contract",L453="Done"),AND(H453="FTE",M453&gt;90,L453="Done")),"Yes","NO")</f>
        <v>Yes</v>
      </c>
      <c r="O453" s="9">
        <f t="shared" ref="O453:O471" ca="1" si="54">IF(N453="Yes",(I453*$J$451)*80,0)</f>
        <v>23347.200000000004</v>
      </c>
      <c r="P453" s="9"/>
    </row>
    <row r="454" spans="1:16" x14ac:dyDescent="0.3">
      <c r="A454" s="18"/>
      <c r="B454" s="9" t="str">
        <v>Marty Renard Williams</v>
      </c>
      <c r="C454" s="19">
        <v>45859</v>
      </c>
      <c r="D454" s="19" t="str">
        <v>NA</v>
      </c>
      <c r="E454" s="20" t="str">
        <v>Genpact</v>
      </c>
      <c r="F454" s="20">
        <v>150</v>
      </c>
      <c r="G454" s="20" t="str">
        <v>JPC - 224955</v>
      </c>
      <c r="H454" s="15" t="str">
        <v>Contract</v>
      </c>
      <c r="I454" s="21">
        <v>1696</v>
      </c>
      <c r="J454" s="9">
        <v>2</v>
      </c>
      <c r="K454" s="9">
        <v>848</v>
      </c>
      <c r="L454" s="9" t="str">
        <v>Active</v>
      </c>
      <c r="M454" s="9">
        <f t="shared" ref="M454:M471" ca="1" si="55">IF(D454&lt;&gt;"NA", D454 - C454, TODAY() - C454)</f>
        <v>186</v>
      </c>
      <c r="N454" s="9" t="str">
        <f t="shared" ref="N454:N471" ca="1" si="56">IF(OR(AND(H454="Contract",L454="Active"),AND(H454="Contract",L454="Done"),AND(H454="FTE",M454&gt;90,L454="Done")),"Yes","NO")</f>
        <v>Yes</v>
      </c>
      <c r="O454" s="9">
        <f t="shared" ca="1" si="54"/>
        <v>5427.2000000000007</v>
      </c>
      <c r="P454" s="9"/>
    </row>
    <row r="455" spans="1:16" x14ac:dyDescent="0.3">
      <c r="A455" s="18"/>
      <c r="B455" s="9" t="str">
        <v>Dinesh Sagar Reddy Reddymalli</v>
      </c>
      <c r="C455" s="19">
        <v>45847</v>
      </c>
      <c r="D455" s="19" t="str">
        <v>NA</v>
      </c>
      <c r="E455" s="20" t="str">
        <v>Genpact</v>
      </c>
      <c r="F455" s="20">
        <v>341</v>
      </c>
      <c r="G455" s="20" t="str">
        <v>JPC - 225007</v>
      </c>
      <c r="H455" s="15" t="str">
        <v>Contract</v>
      </c>
      <c r="I455" s="21">
        <v>2124</v>
      </c>
      <c r="J455" s="9">
        <v>6</v>
      </c>
      <c r="K455" s="9">
        <v>354</v>
      </c>
      <c r="L455" s="9" t="str">
        <v>Active</v>
      </c>
      <c r="M455" s="9">
        <f t="shared" ca="1" si="55"/>
        <v>198</v>
      </c>
      <c r="N455" s="9" t="str">
        <f t="shared" ca="1" si="56"/>
        <v>Yes</v>
      </c>
      <c r="O455" s="9">
        <f t="shared" ca="1" si="54"/>
        <v>6796.8000000000011</v>
      </c>
      <c r="P455" s="9"/>
    </row>
    <row r="456" spans="1:16" x14ac:dyDescent="0.3">
      <c r="A456" s="18"/>
      <c r="B456" s="9" t="str">
        <v>Lakeshia R Nelson</v>
      </c>
      <c r="C456" s="19">
        <v>45908</v>
      </c>
      <c r="D456" s="19" t="str">
        <v>NA</v>
      </c>
      <c r="E456" s="20" t="str">
        <v>Genpact</v>
      </c>
      <c r="F456" s="20">
        <v>289</v>
      </c>
      <c r="G456" s="20" t="str">
        <v>JPC - 225116</v>
      </c>
      <c r="H456" s="15" t="str">
        <v>Contract</v>
      </c>
      <c r="I456" s="21">
        <v>10</v>
      </c>
      <c r="J456" s="9">
        <v>2</v>
      </c>
      <c r="K456" s="9">
        <v>5</v>
      </c>
      <c r="L456" s="9" t="str">
        <v>Active</v>
      </c>
      <c r="M456" s="9">
        <f t="shared" ca="1" si="55"/>
        <v>137</v>
      </c>
      <c r="N456" s="9" t="str">
        <f t="shared" ca="1" si="56"/>
        <v>Yes</v>
      </c>
      <c r="O456" s="9">
        <f t="shared" ca="1" si="54"/>
        <v>32</v>
      </c>
      <c r="P456" s="9"/>
    </row>
    <row r="457" spans="1:16" x14ac:dyDescent="0.3">
      <c r="A457" s="18"/>
      <c r="B457" s="9" t="str">
        <v>Aaron Mattew Stanley</v>
      </c>
      <c r="C457" s="19">
        <v>45891</v>
      </c>
      <c r="D457" s="19" t="str">
        <v>NA</v>
      </c>
      <c r="E457" s="20" t="str">
        <v>Genpact | Macquarie</v>
      </c>
      <c r="F457" s="20">
        <v>367</v>
      </c>
      <c r="G457" s="20" t="str">
        <v>JPC - 225320</v>
      </c>
      <c r="H457" s="15" t="str">
        <v>FTE</v>
      </c>
      <c r="I457" s="21">
        <v>6000</v>
      </c>
      <c r="J457" s="9" t="str">
        <v>NA</v>
      </c>
      <c r="K457" s="9" t="str">
        <v>NA</v>
      </c>
      <c r="L457" s="9" t="str">
        <v>Done</v>
      </c>
      <c r="M457" s="9">
        <f t="shared" ca="1" si="55"/>
        <v>154</v>
      </c>
      <c r="N457" s="9" t="str">
        <f t="shared" ca="1" si="56"/>
        <v>Yes</v>
      </c>
      <c r="O457" s="9">
        <f t="shared" ca="1" si="54"/>
        <v>19200</v>
      </c>
      <c r="P457" s="9"/>
    </row>
    <row r="458" spans="1:16" x14ac:dyDescent="0.3">
      <c r="A458" s="18"/>
      <c r="B458" s="9"/>
      <c r="C458" s="19"/>
      <c r="D458" s="19"/>
      <c r="E458" s="20"/>
      <c r="F458" s="20"/>
      <c r="G458" s="20"/>
      <c r="H458" s="15"/>
      <c r="I458" s="21"/>
      <c r="J458" s="9"/>
      <c r="K458" s="9"/>
      <c r="L458" s="9"/>
      <c r="M458" s="9">
        <f t="shared" ca="1" si="55"/>
        <v>0</v>
      </c>
      <c r="N458" s="9" t="str">
        <f t="shared" ca="1" si="56"/>
        <v>NO</v>
      </c>
      <c r="O458" s="9">
        <f t="shared" ca="1" si="54"/>
        <v>0</v>
      </c>
      <c r="P458" s="9"/>
    </row>
    <row r="459" spans="1:16" x14ac:dyDescent="0.3">
      <c r="A459" s="18"/>
      <c r="B459" s="9"/>
      <c r="C459" s="19"/>
      <c r="D459" s="19"/>
      <c r="E459" s="20"/>
      <c r="F459" s="20"/>
      <c r="G459" s="20"/>
      <c r="H459" s="15"/>
      <c r="I459" s="21"/>
      <c r="J459" s="9"/>
      <c r="K459" s="9"/>
      <c r="L459" s="9"/>
      <c r="M459" s="9">
        <f t="shared" ca="1" si="55"/>
        <v>0</v>
      </c>
      <c r="N459" s="9" t="str">
        <f t="shared" ca="1" si="56"/>
        <v>NO</v>
      </c>
      <c r="O459" s="9">
        <f t="shared" ca="1" si="54"/>
        <v>0</v>
      </c>
      <c r="P459" s="9"/>
    </row>
    <row r="460" spans="1:16" x14ac:dyDescent="0.3">
      <c r="A460" s="18"/>
      <c r="B460" s="9"/>
      <c r="C460" s="19"/>
      <c r="D460" s="19"/>
      <c r="E460" s="20"/>
      <c r="F460" s="20"/>
      <c r="G460" s="20"/>
      <c r="H460" s="15"/>
      <c r="I460" s="21"/>
      <c r="J460" s="9"/>
      <c r="K460" s="9"/>
      <c r="L460" s="9"/>
      <c r="M460" s="9">
        <f t="shared" ca="1" si="55"/>
        <v>0</v>
      </c>
      <c r="N460" s="9" t="str">
        <f t="shared" ca="1" si="56"/>
        <v>NO</v>
      </c>
      <c r="O460" s="9">
        <f t="shared" ca="1" si="54"/>
        <v>0</v>
      </c>
      <c r="P460" s="9"/>
    </row>
    <row r="461" spans="1:16" x14ac:dyDescent="0.3">
      <c r="A461" s="18"/>
      <c r="B461" s="9"/>
      <c r="C461" s="19"/>
      <c r="D461" s="19"/>
      <c r="E461" s="20"/>
      <c r="F461" s="20"/>
      <c r="G461" s="20"/>
      <c r="H461" s="15"/>
      <c r="I461" s="21"/>
      <c r="J461" s="9"/>
      <c r="K461" s="9"/>
      <c r="L461" s="9"/>
      <c r="M461" s="9">
        <f t="shared" ca="1" si="55"/>
        <v>0</v>
      </c>
      <c r="N461" s="9" t="str">
        <f t="shared" ca="1" si="56"/>
        <v>NO</v>
      </c>
      <c r="O461" s="9">
        <f t="shared" ca="1" si="54"/>
        <v>0</v>
      </c>
      <c r="P461" s="9"/>
    </row>
    <row r="462" spans="1:16" x14ac:dyDescent="0.3">
      <c r="A462" s="18"/>
      <c r="B462" s="9"/>
      <c r="C462" s="19"/>
      <c r="D462" s="19"/>
      <c r="E462" s="20"/>
      <c r="F462" s="20"/>
      <c r="G462" s="20"/>
      <c r="H462" s="15"/>
      <c r="I462" s="21"/>
      <c r="J462" s="9"/>
      <c r="K462" s="9"/>
      <c r="L462" s="9"/>
      <c r="M462" s="9">
        <f t="shared" ca="1" si="55"/>
        <v>0</v>
      </c>
      <c r="N462" s="9" t="str">
        <f t="shared" ca="1" si="56"/>
        <v>NO</v>
      </c>
      <c r="O462" s="9">
        <f t="shared" ca="1" si="54"/>
        <v>0</v>
      </c>
      <c r="P462" s="9"/>
    </row>
    <row r="463" spans="1:16" x14ac:dyDescent="0.3">
      <c r="A463" s="18"/>
      <c r="B463" s="9"/>
      <c r="C463" s="19"/>
      <c r="D463" s="19"/>
      <c r="E463" s="20"/>
      <c r="F463" s="20"/>
      <c r="G463" s="20"/>
      <c r="H463" s="15"/>
      <c r="I463" s="21"/>
      <c r="J463" s="9"/>
      <c r="K463" s="9"/>
      <c r="L463" s="9"/>
      <c r="M463" s="9">
        <f t="shared" ca="1" si="55"/>
        <v>0</v>
      </c>
      <c r="N463" s="9" t="str">
        <f t="shared" ca="1" si="56"/>
        <v>NO</v>
      </c>
      <c r="O463" s="9">
        <f t="shared" ca="1" si="54"/>
        <v>0</v>
      </c>
      <c r="P463" s="9"/>
    </row>
    <row r="464" spans="1:16" x14ac:dyDescent="0.3">
      <c r="A464" s="18"/>
      <c r="B464" s="9"/>
      <c r="C464" s="19"/>
      <c r="D464" s="9"/>
      <c r="E464" s="20"/>
      <c r="F464" s="20"/>
      <c r="G464" s="20"/>
      <c r="H464" s="15"/>
      <c r="I464" s="21"/>
      <c r="J464" s="9"/>
      <c r="K464" s="9"/>
      <c r="L464" s="9"/>
      <c r="M464" s="9">
        <f t="shared" ca="1" si="55"/>
        <v>0</v>
      </c>
      <c r="N464" s="9" t="str">
        <f t="shared" ca="1" si="56"/>
        <v>NO</v>
      </c>
      <c r="O464" s="9">
        <f t="shared" ca="1" si="54"/>
        <v>0</v>
      </c>
      <c r="P464" s="9"/>
    </row>
    <row r="465" spans="1:16" x14ac:dyDescent="0.3">
      <c r="A465" s="18"/>
      <c r="B465" s="9"/>
      <c r="C465" s="19"/>
      <c r="D465" s="9"/>
      <c r="E465" s="9"/>
      <c r="F465" s="9"/>
      <c r="G465" s="9"/>
      <c r="H465" s="9"/>
      <c r="I465" s="21"/>
      <c r="J465" s="9"/>
      <c r="K465" s="9"/>
      <c r="L465" s="9"/>
      <c r="M465" s="9">
        <f t="shared" ca="1" si="55"/>
        <v>0</v>
      </c>
      <c r="N465" s="9" t="str">
        <f t="shared" ca="1" si="56"/>
        <v>NO</v>
      </c>
      <c r="O465" s="9">
        <f t="shared" ca="1" si="54"/>
        <v>0</v>
      </c>
      <c r="P465" s="9"/>
    </row>
    <row r="466" spans="1:16" x14ac:dyDescent="0.3">
      <c r="A466" s="18"/>
      <c r="B466" s="9"/>
      <c r="C466" s="19"/>
      <c r="D466" s="9"/>
      <c r="E466" s="9"/>
      <c r="F466" s="9"/>
      <c r="G466" s="9"/>
      <c r="H466" s="9"/>
      <c r="I466" s="21"/>
      <c r="J466" s="9"/>
      <c r="K466" s="9"/>
      <c r="L466" s="9"/>
      <c r="M466" s="9">
        <f t="shared" ca="1" si="55"/>
        <v>0</v>
      </c>
      <c r="N466" s="9" t="str">
        <f t="shared" ca="1" si="56"/>
        <v>NO</v>
      </c>
      <c r="O466" s="9">
        <f t="shared" ca="1" si="54"/>
        <v>0</v>
      </c>
      <c r="P466" s="9"/>
    </row>
    <row r="467" spans="1:16" x14ac:dyDescent="0.3">
      <c r="A467" s="18"/>
      <c r="B467" s="9"/>
      <c r="C467" s="19"/>
      <c r="D467" s="9"/>
      <c r="E467" s="9"/>
      <c r="F467" s="9"/>
      <c r="G467" s="9"/>
      <c r="H467" s="9"/>
      <c r="I467" s="21"/>
      <c r="J467" s="9"/>
      <c r="K467" s="9"/>
      <c r="L467" s="9"/>
      <c r="M467" s="9">
        <f t="shared" ca="1" si="55"/>
        <v>0</v>
      </c>
      <c r="N467" s="9" t="str">
        <f t="shared" ca="1" si="56"/>
        <v>NO</v>
      </c>
      <c r="O467" s="9">
        <f t="shared" ca="1" si="54"/>
        <v>0</v>
      </c>
      <c r="P467" s="9"/>
    </row>
    <row r="468" spans="1:16" x14ac:dyDescent="0.3">
      <c r="A468" s="18"/>
      <c r="B468" s="9"/>
      <c r="C468" s="19"/>
      <c r="D468" s="9"/>
      <c r="E468" s="9"/>
      <c r="F468" s="9"/>
      <c r="G468" s="9"/>
      <c r="H468" s="9"/>
      <c r="I468" s="21"/>
      <c r="J468" s="9"/>
      <c r="K468" s="9"/>
      <c r="L468" s="9"/>
      <c r="M468" s="9">
        <f t="shared" ca="1" si="55"/>
        <v>0</v>
      </c>
      <c r="N468" s="9" t="str">
        <f t="shared" ca="1" si="56"/>
        <v>NO</v>
      </c>
      <c r="O468" s="9">
        <f t="shared" ca="1" si="54"/>
        <v>0</v>
      </c>
      <c r="P468" s="9"/>
    </row>
    <row r="469" spans="1:16" x14ac:dyDescent="0.3">
      <c r="A469" s="18"/>
      <c r="B469" s="9"/>
      <c r="C469" s="19"/>
      <c r="D469" s="9"/>
      <c r="E469" s="9"/>
      <c r="F469" s="9"/>
      <c r="G469" s="9"/>
      <c r="H469" s="9"/>
      <c r="I469" s="21"/>
      <c r="J469" s="9"/>
      <c r="K469" s="9"/>
      <c r="L469" s="9"/>
      <c r="M469" s="9">
        <f t="shared" ca="1" si="55"/>
        <v>0</v>
      </c>
      <c r="N469" s="9" t="str">
        <f t="shared" ca="1" si="56"/>
        <v>NO</v>
      </c>
      <c r="O469" s="9">
        <f t="shared" ca="1" si="54"/>
        <v>0</v>
      </c>
      <c r="P469" s="9"/>
    </row>
    <row r="470" spans="1:16" x14ac:dyDescent="0.3">
      <c r="A470" s="18"/>
      <c r="B470" s="9"/>
      <c r="C470" s="19"/>
      <c r="D470" s="9"/>
      <c r="E470" s="9"/>
      <c r="F470" s="9"/>
      <c r="G470" s="9"/>
      <c r="H470" s="9"/>
      <c r="I470" s="21"/>
      <c r="J470" s="9"/>
      <c r="K470" s="9"/>
      <c r="L470" s="9"/>
      <c r="M470" s="9">
        <f t="shared" ca="1" si="55"/>
        <v>0</v>
      </c>
      <c r="N470" s="9" t="str">
        <f t="shared" ca="1" si="56"/>
        <v>NO</v>
      </c>
      <c r="O470" s="9">
        <f t="shared" ca="1" si="54"/>
        <v>0</v>
      </c>
      <c r="P470" s="9"/>
    </row>
    <row r="471" spans="1:16" x14ac:dyDescent="0.3">
      <c r="A471" s="18"/>
      <c r="B471" s="9"/>
      <c r="C471" s="19"/>
      <c r="D471" s="9"/>
      <c r="E471" s="9"/>
      <c r="F471" s="9"/>
      <c r="G471" s="9"/>
      <c r="H471" s="9"/>
      <c r="I471" s="21"/>
      <c r="J471" s="9"/>
      <c r="K471" s="9"/>
      <c r="L471" s="9"/>
      <c r="M471" s="9">
        <f t="shared" ca="1" si="55"/>
        <v>0</v>
      </c>
      <c r="N471" s="9" t="str">
        <f t="shared" ca="1" si="56"/>
        <v>NO</v>
      </c>
      <c r="O471" s="9">
        <f t="shared" ca="1" si="54"/>
        <v>0</v>
      </c>
      <c r="P471" s="9"/>
    </row>
    <row r="472" spans="1:16" x14ac:dyDescent="0.3">
      <c r="A472" s="18"/>
      <c r="B472" s="9"/>
      <c r="C472" s="9"/>
      <c r="D472" s="9"/>
      <c r="E472" s="9"/>
      <c r="F472" s="9"/>
      <c r="G472" s="9"/>
      <c r="H472" s="9"/>
      <c r="I472" s="21"/>
      <c r="J472" s="9"/>
      <c r="K472" s="9"/>
      <c r="L472" s="9"/>
      <c r="M472" s="9"/>
      <c r="N472" s="9"/>
      <c r="O472" s="9"/>
      <c r="P472" s="9"/>
    </row>
    <row r="473" spans="1:16" x14ac:dyDescent="0.3">
      <c r="A473" s="1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</row>
    <row r="478" spans="1:16" ht="15" thickBot="1" x14ac:dyDescent="0.35"/>
    <row r="479" spans="1:16" ht="28.8" x14ac:dyDescent="0.3">
      <c r="A479" s="5" t="s">
        <v>1</v>
      </c>
      <c r="B479" s="6" t="s">
        <v>2</v>
      </c>
      <c r="C479" s="5" t="s">
        <v>3</v>
      </c>
      <c r="D479" s="5" t="s">
        <v>4</v>
      </c>
      <c r="E479" s="5" t="s">
        <v>5</v>
      </c>
      <c r="F479" s="5" t="s">
        <v>6</v>
      </c>
      <c r="G479" s="5" t="s">
        <v>7</v>
      </c>
      <c r="H479" s="5" t="s">
        <v>8</v>
      </c>
      <c r="I479" s="7" t="s">
        <v>9</v>
      </c>
      <c r="J479" s="5" t="s">
        <v>10</v>
      </c>
      <c r="K479" s="5" t="s">
        <v>11</v>
      </c>
      <c r="L479" s="5" t="s">
        <v>12</v>
      </c>
      <c r="M479" s="5" t="s">
        <v>13</v>
      </c>
      <c r="N479" s="5" t="s">
        <v>14</v>
      </c>
    </row>
    <row r="480" spans="1:16" x14ac:dyDescent="0.3">
      <c r="A480" s="9" t="str">
        <f>_xlfn.XLOOKUP($C480,'[1]Data Validation (2)'!$M$3:$M$137,'[1]Data Validation (2)'!$N$3:$N$137)</f>
        <v>Titans</v>
      </c>
      <c r="B480" s="10" t="str">
        <f>_xlfn.XLOOKUP($C480,'[1]Data Validation (2)'!$M$3:$M$137,'[1]Data Validation (2)'!$P$3:$P$137)</f>
        <v>VB0091</v>
      </c>
      <c r="C480" s="11" t="s">
        <v>48</v>
      </c>
      <c r="D480" s="9" t="str">
        <f>_xlfn.XLOOKUP($C480,'[1]Data Validation (2)'!$M$3:$M$137,'[1]Data Validation (2)'!$O$3:$O$137)</f>
        <v>Abhishek Yadav</v>
      </c>
      <c r="E480" s="9">
        <f>_xlfn.XLOOKUP($C480,'[1]Ach % - L4'!$B$2:$B$214,'[1]Ach % - L4'!$E$2:$E$214)</f>
        <v>5</v>
      </c>
      <c r="F480" s="9">
        <f>_xlfn.XLOOKUP($C480,'[1]Ach % - L4'!$B$2:$B$214,'[1]Ach % - L4'!$F$2:$F$214)</f>
        <v>5</v>
      </c>
      <c r="G480" s="12">
        <f>F480/E480</f>
        <v>1</v>
      </c>
      <c r="H480" s="13">
        <f>SUM(I482:I502)</f>
        <v>17554</v>
      </c>
      <c r="I480" s="14">
        <f ca="1">SUMIFS($I481:$I502,$N481:$N502,"yes")</f>
        <v>17554</v>
      </c>
      <c r="J480" s="15" cm="1">
        <f t="array" ref="J480">_xlfn.IFS($G480&lt;=34%,0%,$G480&lt;=75%,3%,$G480&lt;=120%,4%,$G480&gt;120%,5%)</f>
        <v>0.04</v>
      </c>
      <c r="K480" s="13">
        <f ca="1">I480*J480</f>
        <v>702.16</v>
      </c>
      <c r="L480" s="9">
        <f ca="1">K480*80</f>
        <v>56172.799999999996</v>
      </c>
      <c r="M480" s="11">
        <f ca="1">L480*50%</f>
        <v>28086.399999999998</v>
      </c>
      <c r="N480" s="11"/>
    </row>
    <row r="481" spans="1:16" s="8" customFormat="1" ht="28.8" x14ac:dyDescent="0.3">
      <c r="A481" s="16" t="s">
        <v>3</v>
      </c>
      <c r="B481" s="16" t="s">
        <v>16</v>
      </c>
      <c r="C481" s="16" t="s">
        <v>17</v>
      </c>
      <c r="D481" s="16" t="s">
        <v>18</v>
      </c>
      <c r="E481" s="16" t="s">
        <v>19</v>
      </c>
      <c r="F481" s="17" t="s">
        <v>20</v>
      </c>
      <c r="G481" s="17" t="s">
        <v>21</v>
      </c>
      <c r="H481" s="16" t="s">
        <v>22</v>
      </c>
      <c r="I481" s="16" t="s">
        <v>8</v>
      </c>
      <c r="J481" s="16" t="s">
        <v>23</v>
      </c>
      <c r="K481" s="16" t="s">
        <v>24</v>
      </c>
      <c r="L481" s="16" t="s">
        <v>25</v>
      </c>
      <c r="M481" s="16" t="s">
        <v>26</v>
      </c>
      <c r="N481" s="16" t="s">
        <v>27</v>
      </c>
      <c r="O481" s="16" t="s">
        <v>28</v>
      </c>
      <c r="P481" s="16" t="s">
        <v>29</v>
      </c>
    </row>
    <row r="482" spans="1:16" x14ac:dyDescent="0.3">
      <c r="A482" s="18" t="str">
        <f>C480</f>
        <v>Shubham Tripathi</v>
      </c>
      <c r="B482" s="9" t="str" cm="1">
        <f t="array" ref="B482:L484">IFERROR(_xlfn.CHOOSECOLS(_xlfn._xlws.FILTER('[1]L4 dummy data'!A:AS, '[1]L4 dummy data'!D:D=$C480), 3, 14, 15, 16, 44, 45, 18, 41, 27, 40, 42), "")</f>
        <v xml:space="preserve">Veena Ganamukhi </v>
      </c>
      <c r="C482" s="19">
        <v>45852</v>
      </c>
      <c r="D482" s="19" t="str">
        <v>NA</v>
      </c>
      <c r="E482" s="20" t="str">
        <v>Genpact</v>
      </c>
      <c r="F482" s="20">
        <v>367</v>
      </c>
      <c r="G482" s="20" t="str">
        <v>JPC - 225005</v>
      </c>
      <c r="H482" s="15" t="str">
        <v>Contract</v>
      </c>
      <c r="I482" s="21">
        <v>3074</v>
      </c>
      <c r="J482" s="9">
        <v>7.25</v>
      </c>
      <c r="K482" s="9">
        <v>424</v>
      </c>
      <c r="L482" s="9" t="str">
        <v>Active</v>
      </c>
      <c r="M482" s="9">
        <f ca="1">IF(D482&lt;&gt;"NA", D482 - C482, TODAY() - C482)</f>
        <v>193</v>
      </c>
      <c r="N482" s="9" t="str">
        <f ca="1">IF(OR(AND(H482="Contract",L482="Active"),AND(H482="Contract",L482="Done"),AND(H482="FTE",M482&gt;90,L482="Done")),"Yes","NO")</f>
        <v>Yes</v>
      </c>
      <c r="O482" s="9">
        <f t="shared" ref="O482:O500" ca="1" si="57">IF(N482="Yes",(I482*$J$480)*80,0)</f>
        <v>9836.8000000000011</v>
      </c>
      <c r="P482" s="9"/>
    </row>
    <row r="483" spans="1:16" x14ac:dyDescent="0.3">
      <c r="A483" s="18"/>
      <c r="B483" s="9" t="str">
        <v>Biswajit Ghosh 2</v>
      </c>
      <c r="C483" s="19">
        <v>45939</v>
      </c>
      <c r="D483" s="19" t="str">
        <v>NA</v>
      </c>
      <c r="E483" s="20" t="str">
        <v>Genpact</v>
      </c>
      <c r="F483" s="20">
        <v>432</v>
      </c>
      <c r="G483" s="20" t="str">
        <v>JPC - 225146</v>
      </c>
      <c r="H483" s="15" t="str">
        <v>Contract</v>
      </c>
      <c r="I483" s="21">
        <v>8480</v>
      </c>
      <c r="J483" s="9">
        <v>10</v>
      </c>
      <c r="K483" s="9">
        <v>848</v>
      </c>
      <c r="L483" s="9" t="str">
        <v>Done</v>
      </c>
      <c r="M483" s="9">
        <f t="shared" ref="M483:M500" ca="1" si="58">IF(D483&lt;&gt;"NA", D483 - C483, TODAY() - C483)</f>
        <v>106</v>
      </c>
      <c r="N483" s="9" t="str">
        <f t="shared" ref="N483:N500" ca="1" si="59">IF(OR(AND(H483="Contract",L483="Active"),AND(H483="Contract",L483="Done"),AND(H483="FTE",M483&gt;90,L483="Done")),"Yes","NO")</f>
        <v>Yes</v>
      </c>
      <c r="O483" s="9">
        <f t="shared" ca="1" si="57"/>
        <v>27136</v>
      </c>
      <c r="P483" s="9"/>
    </row>
    <row r="484" spans="1:16" x14ac:dyDescent="0.3">
      <c r="A484" s="18"/>
      <c r="B484" s="9" t="str">
        <v>Catherine Lawrence</v>
      </c>
      <c r="C484" s="19">
        <v>45917</v>
      </c>
      <c r="D484" s="19" t="str">
        <v>NA</v>
      </c>
      <c r="E484" s="20" t="str">
        <v>Genpact</v>
      </c>
      <c r="F484" s="20">
        <v>224</v>
      </c>
      <c r="G484" s="20" t="str">
        <v>JPC - 225352</v>
      </c>
      <c r="H484" s="15" t="str">
        <v>FTE</v>
      </c>
      <c r="I484" s="21">
        <v>6000</v>
      </c>
      <c r="J484" s="9" t="str">
        <v>NA</v>
      </c>
      <c r="K484" s="9" t="str">
        <v>NA</v>
      </c>
      <c r="L484" s="9" t="str">
        <v>Done</v>
      </c>
      <c r="M484" s="9">
        <f t="shared" ca="1" si="58"/>
        <v>128</v>
      </c>
      <c r="N484" s="9" t="str">
        <f t="shared" ca="1" si="59"/>
        <v>Yes</v>
      </c>
      <c r="O484" s="9">
        <f t="shared" ca="1" si="57"/>
        <v>19200</v>
      </c>
      <c r="P484" s="9"/>
    </row>
    <row r="485" spans="1:16" x14ac:dyDescent="0.3">
      <c r="A485" s="18"/>
      <c r="B485" s="9"/>
      <c r="C485" s="19"/>
      <c r="D485" s="19"/>
      <c r="E485" s="20"/>
      <c r="F485" s="20"/>
      <c r="G485" s="20"/>
      <c r="H485" s="15"/>
      <c r="I485" s="21"/>
      <c r="J485" s="9"/>
      <c r="K485" s="9"/>
      <c r="L485" s="9"/>
      <c r="M485" s="9">
        <f t="shared" ca="1" si="58"/>
        <v>0</v>
      </c>
      <c r="N485" s="9" t="str">
        <f t="shared" ca="1" si="59"/>
        <v>NO</v>
      </c>
      <c r="O485" s="9">
        <f t="shared" ca="1" si="57"/>
        <v>0</v>
      </c>
      <c r="P485" s="9"/>
    </row>
    <row r="486" spans="1:16" x14ac:dyDescent="0.3">
      <c r="A486" s="18"/>
      <c r="B486" s="9"/>
      <c r="C486" s="19"/>
      <c r="D486" s="19"/>
      <c r="E486" s="20"/>
      <c r="F486" s="20"/>
      <c r="G486" s="20"/>
      <c r="H486" s="15"/>
      <c r="I486" s="21"/>
      <c r="J486" s="9"/>
      <c r="K486" s="9"/>
      <c r="L486" s="9"/>
      <c r="M486" s="9">
        <f t="shared" ca="1" si="58"/>
        <v>0</v>
      </c>
      <c r="N486" s="9" t="str">
        <f t="shared" ca="1" si="59"/>
        <v>NO</v>
      </c>
      <c r="O486" s="9">
        <f t="shared" ca="1" si="57"/>
        <v>0</v>
      </c>
      <c r="P486" s="9"/>
    </row>
    <row r="487" spans="1:16" x14ac:dyDescent="0.3">
      <c r="A487" s="18"/>
      <c r="B487" s="9"/>
      <c r="C487" s="19"/>
      <c r="D487" s="19"/>
      <c r="E487" s="20"/>
      <c r="F487" s="20"/>
      <c r="G487" s="20"/>
      <c r="H487" s="15"/>
      <c r="I487" s="21"/>
      <c r="J487" s="9"/>
      <c r="K487" s="9"/>
      <c r="L487" s="9"/>
      <c r="M487" s="9">
        <f t="shared" ca="1" si="58"/>
        <v>0</v>
      </c>
      <c r="N487" s="9" t="str">
        <f t="shared" ca="1" si="59"/>
        <v>NO</v>
      </c>
      <c r="O487" s="9">
        <f t="shared" ca="1" si="57"/>
        <v>0</v>
      </c>
      <c r="P487" s="9"/>
    </row>
    <row r="488" spans="1:16" x14ac:dyDescent="0.3">
      <c r="A488" s="18"/>
      <c r="B488" s="9"/>
      <c r="C488" s="19"/>
      <c r="D488" s="19"/>
      <c r="E488" s="20"/>
      <c r="F488" s="20"/>
      <c r="G488" s="20"/>
      <c r="H488" s="15"/>
      <c r="I488" s="21"/>
      <c r="J488" s="9"/>
      <c r="K488" s="9"/>
      <c r="L488" s="9"/>
      <c r="M488" s="9">
        <f t="shared" ca="1" si="58"/>
        <v>0</v>
      </c>
      <c r="N488" s="9" t="str">
        <f t="shared" ca="1" si="59"/>
        <v>NO</v>
      </c>
      <c r="O488" s="9">
        <f t="shared" ca="1" si="57"/>
        <v>0</v>
      </c>
      <c r="P488" s="9"/>
    </row>
    <row r="489" spans="1:16" x14ac:dyDescent="0.3">
      <c r="A489" s="18"/>
      <c r="B489" s="9"/>
      <c r="C489" s="19"/>
      <c r="D489" s="19"/>
      <c r="E489" s="20"/>
      <c r="F489" s="20"/>
      <c r="G489" s="20"/>
      <c r="H489" s="15"/>
      <c r="I489" s="21"/>
      <c r="J489" s="9"/>
      <c r="K489" s="9"/>
      <c r="L489" s="9"/>
      <c r="M489" s="9">
        <f t="shared" ca="1" si="58"/>
        <v>0</v>
      </c>
      <c r="N489" s="9" t="str">
        <f t="shared" ca="1" si="59"/>
        <v>NO</v>
      </c>
      <c r="O489" s="9">
        <f t="shared" ca="1" si="57"/>
        <v>0</v>
      </c>
      <c r="P489" s="9"/>
    </row>
    <row r="490" spans="1:16" x14ac:dyDescent="0.3">
      <c r="A490" s="18"/>
      <c r="B490" s="9"/>
      <c r="C490" s="19"/>
      <c r="D490" s="19"/>
      <c r="E490" s="20"/>
      <c r="F490" s="20"/>
      <c r="G490" s="20"/>
      <c r="H490" s="15"/>
      <c r="I490" s="21"/>
      <c r="J490" s="9"/>
      <c r="K490" s="9"/>
      <c r="L490" s="9"/>
      <c r="M490" s="9">
        <f t="shared" ca="1" si="58"/>
        <v>0</v>
      </c>
      <c r="N490" s="9" t="str">
        <f t="shared" ca="1" si="59"/>
        <v>NO</v>
      </c>
      <c r="O490" s="9">
        <f t="shared" ca="1" si="57"/>
        <v>0</v>
      </c>
      <c r="P490" s="9"/>
    </row>
    <row r="491" spans="1:16" x14ac:dyDescent="0.3">
      <c r="A491" s="18"/>
      <c r="B491" s="9"/>
      <c r="C491" s="19"/>
      <c r="D491" s="19"/>
      <c r="E491" s="20"/>
      <c r="F491" s="20"/>
      <c r="G491" s="20"/>
      <c r="H491" s="15"/>
      <c r="I491" s="21"/>
      <c r="J491" s="9"/>
      <c r="K491" s="9"/>
      <c r="L491" s="9"/>
      <c r="M491" s="9">
        <f t="shared" ca="1" si="58"/>
        <v>0</v>
      </c>
      <c r="N491" s="9" t="str">
        <f t="shared" ca="1" si="59"/>
        <v>NO</v>
      </c>
      <c r="O491" s="9">
        <f t="shared" ca="1" si="57"/>
        <v>0</v>
      </c>
      <c r="P491" s="9"/>
    </row>
    <row r="492" spans="1:16" x14ac:dyDescent="0.3">
      <c r="A492" s="18"/>
      <c r="B492" s="9"/>
      <c r="C492" s="19"/>
      <c r="D492" s="19"/>
      <c r="E492" s="20"/>
      <c r="F492" s="20"/>
      <c r="G492" s="20"/>
      <c r="H492" s="15"/>
      <c r="I492" s="21"/>
      <c r="J492" s="9"/>
      <c r="K492" s="9"/>
      <c r="L492" s="9"/>
      <c r="M492" s="9">
        <f t="shared" ca="1" si="58"/>
        <v>0</v>
      </c>
      <c r="N492" s="9" t="str">
        <f t="shared" ca="1" si="59"/>
        <v>NO</v>
      </c>
      <c r="O492" s="9">
        <f t="shared" ca="1" si="57"/>
        <v>0</v>
      </c>
      <c r="P492" s="9"/>
    </row>
    <row r="493" spans="1:16" x14ac:dyDescent="0.3">
      <c r="A493" s="18"/>
      <c r="B493" s="9"/>
      <c r="C493" s="19"/>
      <c r="D493" s="9"/>
      <c r="E493" s="20"/>
      <c r="F493" s="20"/>
      <c r="G493" s="20"/>
      <c r="H493" s="15"/>
      <c r="I493" s="21"/>
      <c r="J493" s="9"/>
      <c r="K493" s="9"/>
      <c r="L493" s="9"/>
      <c r="M493" s="9">
        <f t="shared" ca="1" si="58"/>
        <v>0</v>
      </c>
      <c r="N493" s="9" t="str">
        <f t="shared" ca="1" si="59"/>
        <v>NO</v>
      </c>
      <c r="O493" s="9">
        <f t="shared" ca="1" si="57"/>
        <v>0</v>
      </c>
      <c r="P493" s="9"/>
    </row>
    <row r="494" spans="1:16" x14ac:dyDescent="0.3">
      <c r="A494" s="18"/>
      <c r="B494" s="9"/>
      <c r="C494" s="19"/>
      <c r="D494" s="9"/>
      <c r="E494" s="9"/>
      <c r="F494" s="9"/>
      <c r="G494" s="9"/>
      <c r="H494" s="9"/>
      <c r="I494" s="21"/>
      <c r="J494" s="9"/>
      <c r="K494" s="9"/>
      <c r="L494" s="9"/>
      <c r="M494" s="9">
        <f t="shared" ca="1" si="58"/>
        <v>0</v>
      </c>
      <c r="N494" s="9" t="str">
        <f t="shared" ca="1" si="59"/>
        <v>NO</v>
      </c>
      <c r="O494" s="9">
        <f t="shared" ca="1" si="57"/>
        <v>0</v>
      </c>
      <c r="P494" s="9"/>
    </row>
    <row r="495" spans="1:16" x14ac:dyDescent="0.3">
      <c r="A495" s="18"/>
      <c r="B495" s="9"/>
      <c r="C495" s="19"/>
      <c r="D495" s="9"/>
      <c r="E495" s="9"/>
      <c r="F495" s="9"/>
      <c r="G495" s="9"/>
      <c r="H495" s="9"/>
      <c r="I495" s="21"/>
      <c r="J495" s="9"/>
      <c r="K495" s="9"/>
      <c r="L495" s="9"/>
      <c r="M495" s="9">
        <f t="shared" ca="1" si="58"/>
        <v>0</v>
      </c>
      <c r="N495" s="9" t="str">
        <f t="shared" ca="1" si="59"/>
        <v>NO</v>
      </c>
      <c r="O495" s="9">
        <f t="shared" ca="1" si="57"/>
        <v>0</v>
      </c>
      <c r="P495" s="9"/>
    </row>
    <row r="496" spans="1:16" x14ac:dyDescent="0.3">
      <c r="A496" s="18"/>
      <c r="B496" s="9"/>
      <c r="C496" s="19"/>
      <c r="D496" s="9"/>
      <c r="E496" s="9"/>
      <c r="F496" s="9"/>
      <c r="G496" s="9"/>
      <c r="H496" s="9"/>
      <c r="I496" s="21"/>
      <c r="J496" s="9"/>
      <c r="K496" s="9"/>
      <c r="L496" s="9"/>
      <c r="M496" s="9">
        <f t="shared" ca="1" si="58"/>
        <v>0</v>
      </c>
      <c r="N496" s="9" t="str">
        <f t="shared" ca="1" si="59"/>
        <v>NO</v>
      </c>
      <c r="O496" s="9">
        <f t="shared" ca="1" si="57"/>
        <v>0</v>
      </c>
      <c r="P496" s="9"/>
    </row>
    <row r="497" spans="1:16" x14ac:dyDescent="0.3">
      <c r="A497" s="18"/>
      <c r="B497" s="9"/>
      <c r="C497" s="19"/>
      <c r="D497" s="9"/>
      <c r="E497" s="9"/>
      <c r="F497" s="9"/>
      <c r="G497" s="9"/>
      <c r="H497" s="9"/>
      <c r="I497" s="21"/>
      <c r="J497" s="9"/>
      <c r="K497" s="9"/>
      <c r="L497" s="9"/>
      <c r="M497" s="9">
        <f t="shared" ca="1" si="58"/>
        <v>0</v>
      </c>
      <c r="N497" s="9" t="str">
        <f t="shared" ca="1" si="59"/>
        <v>NO</v>
      </c>
      <c r="O497" s="9">
        <f t="shared" ca="1" si="57"/>
        <v>0</v>
      </c>
      <c r="P497" s="9"/>
    </row>
    <row r="498" spans="1:16" x14ac:dyDescent="0.3">
      <c r="A498" s="18"/>
      <c r="B498" s="9"/>
      <c r="C498" s="19"/>
      <c r="D498" s="9"/>
      <c r="E498" s="9"/>
      <c r="F498" s="9"/>
      <c r="G498" s="9"/>
      <c r="H498" s="9"/>
      <c r="I498" s="21"/>
      <c r="J498" s="9"/>
      <c r="K498" s="9"/>
      <c r="L498" s="9"/>
      <c r="M498" s="9">
        <f t="shared" ca="1" si="58"/>
        <v>0</v>
      </c>
      <c r="N498" s="9" t="str">
        <f t="shared" ca="1" si="59"/>
        <v>NO</v>
      </c>
      <c r="O498" s="9">
        <f t="shared" ca="1" si="57"/>
        <v>0</v>
      </c>
      <c r="P498" s="9"/>
    </row>
    <row r="499" spans="1:16" x14ac:dyDescent="0.3">
      <c r="A499" s="18"/>
      <c r="B499" s="9"/>
      <c r="C499" s="19"/>
      <c r="D499" s="9"/>
      <c r="E499" s="9"/>
      <c r="F499" s="9"/>
      <c r="G499" s="9"/>
      <c r="H499" s="9"/>
      <c r="I499" s="21"/>
      <c r="J499" s="9"/>
      <c r="K499" s="9"/>
      <c r="L499" s="9"/>
      <c r="M499" s="9">
        <f t="shared" ca="1" si="58"/>
        <v>0</v>
      </c>
      <c r="N499" s="9" t="str">
        <f t="shared" ca="1" si="59"/>
        <v>NO</v>
      </c>
      <c r="O499" s="9">
        <f t="shared" ca="1" si="57"/>
        <v>0</v>
      </c>
      <c r="P499" s="9"/>
    </row>
    <row r="500" spans="1:16" x14ac:dyDescent="0.3">
      <c r="A500" s="18"/>
      <c r="B500" s="9"/>
      <c r="C500" s="19"/>
      <c r="D500" s="9"/>
      <c r="E500" s="9"/>
      <c r="F500" s="9"/>
      <c r="G500" s="9"/>
      <c r="H500" s="9"/>
      <c r="I500" s="21"/>
      <c r="J500" s="9"/>
      <c r="K500" s="9"/>
      <c r="L500" s="9"/>
      <c r="M500" s="9">
        <f t="shared" ca="1" si="58"/>
        <v>0</v>
      </c>
      <c r="N500" s="9" t="str">
        <f t="shared" ca="1" si="59"/>
        <v>NO</v>
      </c>
      <c r="O500" s="9">
        <f t="shared" ca="1" si="57"/>
        <v>0</v>
      </c>
      <c r="P500" s="9"/>
    </row>
    <row r="501" spans="1:16" x14ac:dyDescent="0.3">
      <c r="A501" s="18"/>
      <c r="B501" s="9"/>
      <c r="C501" s="9"/>
      <c r="D501" s="9"/>
      <c r="E501" s="9"/>
      <c r="F501" s="9"/>
      <c r="G501" s="9"/>
      <c r="H501" s="9"/>
      <c r="I501" s="21"/>
      <c r="J501" s="9"/>
      <c r="K501" s="9"/>
      <c r="L501" s="9"/>
      <c r="M501" s="9"/>
      <c r="N501" s="9"/>
      <c r="O501" s="9"/>
      <c r="P501" s="9"/>
    </row>
    <row r="502" spans="1:16" x14ac:dyDescent="0.3">
      <c r="A502" s="1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</row>
    <row r="504" spans="1:16" ht="15" thickBot="1" x14ac:dyDescent="0.35"/>
    <row r="505" spans="1:16" ht="28.8" x14ac:dyDescent="0.3">
      <c r="A505" s="5" t="s">
        <v>1</v>
      </c>
      <c r="B505" s="6" t="s">
        <v>2</v>
      </c>
      <c r="C505" s="5" t="s">
        <v>3</v>
      </c>
      <c r="D505" s="5" t="s">
        <v>4</v>
      </c>
      <c r="E505" s="5" t="s">
        <v>5</v>
      </c>
      <c r="F505" s="5" t="s">
        <v>6</v>
      </c>
      <c r="G505" s="5" t="s">
        <v>7</v>
      </c>
      <c r="H505" s="5" t="s">
        <v>8</v>
      </c>
      <c r="I505" s="7" t="s">
        <v>9</v>
      </c>
      <c r="J505" s="5" t="s">
        <v>10</v>
      </c>
      <c r="K505" s="5" t="s">
        <v>11</v>
      </c>
      <c r="L505" s="5" t="s">
        <v>12</v>
      </c>
      <c r="M505" s="5" t="s">
        <v>13</v>
      </c>
      <c r="N505" s="5" t="s">
        <v>14</v>
      </c>
    </row>
    <row r="506" spans="1:16" x14ac:dyDescent="0.3">
      <c r="A506" s="9" t="str">
        <f>_xlfn.XLOOKUP($C506,'[1]Data Validation (2)'!$M$3:$M$137,'[1]Data Validation (2)'!$N$3:$N$137)</f>
        <v>Titans</v>
      </c>
      <c r="B506" s="10" t="str">
        <f>_xlfn.XLOOKUP($C506,'[1]Data Validation (2)'!$M$3:$M$137,'[1]Data Validation (2)'!$P$3:$P$137)</f>
        <v>VB0092</v>
      </c>
      <c r="C506" s="11" t="s">
        <v>49</v>
      </c>
      <c r="D506" s="9" t="str">
        <f>_xlfn.XLOOKUP($C506,'[1]Data Validation (2)'!$M$3:$M$137,'[1]Data Validation (2)'!$O$3:$O$137)</f>
        <v>Abhishek Yadav</v>
      </c>
      <c r="E506" s="9">
        <f>_xlfn.XLOOKUP($C506,'[1]Ach % - L4'!$B$2:$B$214,'[1]Ach % - L4'!$E$2:$E$214)</f>
        <v>8</v>
      </c>
      <c r="F506" s="9">
        <f>_xlfn.XLOOKUP($C506,'[1]Ach % - L4'!$B$2:$B$214,'[1]Ach % - L4'!$F$2:$F$214)</f>
        <v>3</v>
      </c>
      <c r="G506" s="12">
        <f>F506/E506</f>
        <v>0.375</v>
      </c>
      <c r="H506" s="13">
        <f>SUM(I508:I528)</f>
        <v>520</v>
      </c>
      <c r="I506" s="14">
        <f ca="1">SUMIFS($I507:$I528,$N507:$N528,"yes")</f>
        <v>520</v>
      </c>
      <c r="J506" s="15" cm="1">
        <f t="array" ref="J506">_xlfn.IFS($G506&lt;=34%,0%,$G506&lt;=75%,3%,$G506&lt;=120%,4%,$G506&gt;120%,5%)</f>
        <v>0.03</v>
      </c>
      <c r="K506" s="13">
        <f ca="1">I506*J506</f>
        <v>15.6</v>
      </c>
      <c r="L506" s="9">
        <f ca="1">K506*80</f>
        <v>1248</v>
      </c>
      <c r="M506" s="11">
        <f ca="1">L506*50%</f>
        <v>624</v>
      </c>
      <c r="N506" s="11"/>
    </row>
    <row r="507" spans="1:16" s="8" customFormat="1" ht="28.8" x14ac:dyDescent="0.3">
      <c r="A507" s="16" t="s">
        <v>3</v>
      </c>
      <c r="B507" s="16" t="s">
        <v>16</v>
      </c>
      <c r="C507" s="16" t="s">
        <v>17</v>
      </c>
      <c r="D507" s="16" t="s">
        <v>18</v>
      </c>
      <c r="E507" s="16" t="s">
        <v>19</v>
      </c>
      <c r="F507" s="17" t="s">
        <v>20</v>
      </c>
      <c r="G507" s="17" t="s">
        <v>21</v>
      </c>
      <c r="H507" s="16" t="s">
        <v>22</v>
      </c>
      <c r="I507" s="16" t="s">
        <v>8</v>
      </c>
      <c r="J507" s="16" t="s">
        <v>23</v>
      </c>
      <c r="K507" s="16" t="s">
        <v>24</v>
      </c>
      <c r="L507" s="16" t="s">
        <v>25</v>
      </c>
      <c r="M507" s="16" t="s">
        <v>26</v>
      </c>
      <c r="N507" s="16" t="s">
        <v>27</v>
      </c>
      <c r="O507" s="16" t="s">
        <v>28</v>
      </c>
      <c r="P507" s="16" t="s">
        <v>29</v>
      </c>
    </row>
    <row r="508" spans="1:16" x14ac:dyDescent="0.3">
      <c r="A508" s="18" t="str">
        <f>C506</f>
        <v>Shubham Srivastava</v>
      </c>
      <c r="B508" s="9" t="str" cm="1">
        <f t="array" ref="B508:L508">IFERROR(_xlfn.CHOOSECOLS(_xlfn._xlws.FILTER('[1]L4 dummy data'!A:AS, '[1]L4 dummy data'!D:D=$C506), 3, 14, 15, 16, 44, 45, 18, 41, 27, 40, 42), "")</f>
        <v>Nikhil Sahi</v>
      </c>
      <c r="C508" s="19">
        <v>45852</v>
      </c>
      <c r="D508" s="19" t="str">
        <v>NA</v>
      </c>
      <c r="E508" s="20" t="str">
        <v>Genpact</v>
      </c>
      <c r="F508" s="20">
        <v>237</v>
      </c>
      <c r="G508" s="20" t="str">
        <v>JPC - 225057</v>
      </c>
      <c r="H508" s="15" t="str">
        <v>Contract</v>
      </c>
      <c r="I508" s="21">
        <v>520</v>
      </c>
      <c r="J508" s="9">
        <v>13</v>
      </c>
      <c r="K508" s="9">
        <v>40</v>
      </c>
      <c r="L508" s="9" t="str">
        <v>Active</v>
      </c>
      <c r="M508" s="9">
        <f ca="1">IF(D508&lt;&gt;"NA", D508 - C508, TODAY() - C508)</f>
        <v>193</v>
      </c>
      <c r="N508" s="9" t="str">
        <f ca="1">IF(OR(AND(H508="Contract",L508="Active"),AND(H508="Contract",L508="Done"),AND(H508="FTE",M508&gt;90,L508="Done")),"Yes","NO")</f>
        <v>Yes</v>
      </c>
      <c r="O508" s="9">
        <f t="shared" ref="O508:O526" ca="1" si="60">IF(N508="Yes",(I508*$J$480)*80,0)</f>
        <v>1664</v>
      </c>
      <c r="P508" s="9"/>
    </row>
    <row r="509" spans="1:16" x14ac:dyDescent="0.3">
      <c r="A509" s="18"/>
      <c r="B509" s="9"/>
      <c r="C509" s="19"/>
      <c r="D509" s="19"/>
      <c r="E509" s="20"/>
      <c r="F509" s="20"/>
      <c r="G509" s="20"/>
      <c r="H509" s="15"/>
      <c r="I509" s="21"/>
      <c r="J509" s="9"/>
      <c r="K509" s="9"/>
      <c r="L509" s="9"/>
      <c r="M509" s="9">
        <f t="shared" ref="M509:M526" ca="1" si="61">IF(D509&lt;&gt;"NA", D509 - C509, TODAY() - C509)</f>
        <v>0</v>
      </c>
      <c r="N509" s="9" t="str">
        <f t="shared" ref="N509:N526" ca="1" si="62">IF(OR(AND(H509="Contract",L509="Active"),AND(H509="Contract",L509="Done"),AND(H509="FTE",M509&gt;90,L509="Done")),"Yes","NO")</f>
        <v>NO</v>
      </c>
      <c r="O509" s="9">
        <f t="shared" ca="1" si="60"/>
        <v>0</v>
      </c>
      <c r="P509" s="9"/>
    </row>
    <row r="510" spans="1:16" x14ac:dyDescent="0.3">
      <c r="A510" s="18"/>
      <c r="B510" s="9"/>
      <c r="C510" s="19"/>
      <c r="D510" s="19"/>
      <c r="E510" s="20"/>
      <c r="F510" s="20"/>
      <c r="G510" s="20"/>
      <c r="H510" s="15"/>
      <c r="I510" s="21"/>
      <c r="J510" s="9"/>
      <c r="K510" s="9"/>
      <c r="L510" s="9"/>
      <c r="M510" s="9">
        <f t="shared" ca="1" si="61"/>
        <v>0</v>
      </c>
      <c r="N510" s="9" t="str">
        <f t="shared" ca="1" si="62"/>
        <v>NO</v>
      </c>
      <c r="O510" s="9">
        <f t="shared" ca="1" si="60"/>
        <v>0</v>
      </c>
      <c r="P510" s="9"/>
    </row>
    <row r="511" spans="1:16" x14ac:dyDescent="0.3">
      <c r="A511" s="18"/>
      <c r="B511" s="9"/>
      <c r="C511" s="19"/>
      <c r="D511" s="19"/>
      <c r="E511" s="20"/>
      <c r="F511" s="20"/>
      <c r="G511" s="20"/>
      <c r="H511" s="15"/>
      <c r="I511" s="21"/>
      <c r="J511" s="9"/>
      <c r="K511" s="9"/>
      <c r="L511" s="9"/>
      <c r="M511" s="9">
        <f t="shared" ca="1" si="61"/>
        <v>0</v>
      </c>
      <c r="N511" s="9" t="str">
        <f t="shared" ca="1" si="62"/>
        <v>NO</v>
      </c>
      <c r="O511" s="9">
        <f t="shared" ca="1" si="60"/>
        <v>0</v>
      </c>
      <c r="P511" s="9"/>
    </row>
    <row r="512" spans="1:16" x14ac:dyDescent="0.3">
      <c r="A512" s="18"/>
      <c r="B512" s="9"/>
      <c r="C512" s="19"/>
      <c r="D512" s="19"/>
      <c r="E512" s="20"/>
      <c r="F512" s="20"/>
      <c r="G512" s="20"/>
      <c r="H512" s="15"/>
      <c r="I512" s="21"/>
      <c r="J512" s="9"/>
      <c r="K512" s="9"/>
      <c r="L512" s="9"/>
      <c r="M512" s="9">
        <f t="shared" ca="1" si="61"/>
        <v>0</v>
      </c>
      <c r="N512" s="9" t="str">
        <f t="shared" ca="1" si="62"/>
        <v>NO</v>
      </c>
      <c r="O512" s="9">
        <f t="shared" ca="1" si="60"/>
        <v>0</v>
      </c>
      <c r="P512" s="9"/>
    </row>
    <row r="513" spans="1:16" x14ac:dyDescent="0.3">
      <c r="A513" s="18"/>
      <c r="B513" s="9"/>
      <c r="C513" s="19"/>
      <c r="D513" s="19"/>
      <c r="E513" s="20"/>
      <c r="F513" s="20"/>
      <c r="G513" s="20"/>
      <c r="H513" s="15"/>
      <c r="I513" s="21"/>
      <c r="J513" s="9"/>
      <c r="K513" s="9"/>
      <c r="L513" s="9"/>
      <c r="M513" s="9">
        <f t="shared" ca="1" si="61"/>
        <v>0</v>
      </c>
      <c r="N513" s="9" t="str">
        <f t="shared" ca="1" si="62"/>
        <v>NO</v>
      </c>
      <c r="O513" s="9">
        <f t="shared" ca="1" si="60"/>
        <v>0</v>
      </c>
      <c r="P513" s="9"/>
    </row>
    <row r="514" spans="1:16" x14ac:dyDescent="0.3">
      <c r="A514" s="18"/>
      <c r="B514" s="9"/>
      <c r="C514" s="19"/>
      <c r="D514" s="19"/>
      <c r="E514" s="20"/>
      <c r="F514" s="20"/>
      <c r="G514" s="20"/>
      <c r="H514" s="15"/>
      <c r="I514" s="21"/>
      <c r="J514" s="9"/>
      <c r="K514" s="9"/>
      <c r="L514" s="9"/>
      <c r="M514" s="9">
        <f t="shared" ca="1" si="61"/>
        <v>0</v>
      </c>
      <c r="N514" s="9" t="str">
        <f t="shared" ca="1" si="62"/>
        <v>NO</v>
      </c>
      <c r="O514" s="9">
        <f t="shared" ca="1" si="60"/>
        <v>0</v>
      </c>
      <c r="P514" s="9"/>
    </row>
    <row r="515" spans="1:16" x14ac:dyDescent="0.3">
      <c r="A515" s="18"/>
      <c r="B515" s="9"/>
      <c r="C515" s="19"/>
      <c r="D515" s="19"/>
      <c r="E515" s="20"/>
      <c r="F515" s="20"/>
      <c r="G515" s="20"/>
      <c r="H515" s="15"/>
      <c r="I515" s="21"/>
      <c r="J515" s="9"/>
      <c r="K515" s="9"/>
      <c r="L515" s="9"/>
      <c r="M515" s="9">
        <f t="shared" ca="1" si="61"/>
        <v>0</v>
      </c>
      <c r="N515" s="9" t="str">
        <f t="shared" ca="1" si="62"/>
        <v>NO</v>
      </c>
      <c r="O515" s="9">
        <f t="shared" ca="1" si="60"/>
        <v>0</v>
      </c>
      <c r="P515" s="9"/>
    </row>
    <row r="516" spans="1:16" x14ac:dyDescent="0.3">
      <c r="A516" s="18"/>
      <c r="B516" s="9"/>
      <c r="C516" s="19"/>
      <c r="D516" s="19"/>
      <c r="E516" s="20"/>
      <c r="F516" s="20"/>
      <c r="G516" s="20"/>
      <c r="H516" s="15"/>
      <c r="I516" s="21"/>
      <c r="J516" s="9"/>
      <c r="K516" s="9"/>
      <c r="L516" s="9"/>
      <c r="M516" s="9">
        <f t="shared" ca="1" si="61"/>
        <v>0</v>
      </c>
      <c r="N516" s="9" t="str">
        <f t="shared" ca="1" si="62"/>
        <v>NO</v>
      </c>
      <c r="O516" s="9">
        <f t="shared" ca="1" si="60"/>
        <v>0</v>
      </c>
      <c r="P516" s="9"/>
    </row>
    <row r="517" spans="1:16" x14ac:dyDescent="0.3">
      <c r="A517" s="18"/>
      <c r="B517" s="9"/>
      <c r="C517" s="19"/>
      <c r="D517" s="19"/>
      <c r="E517" s="20"/>
      <c r="F517" s="20"/>
      <c r="G517" s="20"/>
      <c r="H517" s="15"/>
      <c r="I517" s="21"/>
      <c r="J517" s="9"/>
      <c r="K517" s="9"/>
      <c r="L517" s="9"/>
      <c r="M517" s="9">
        <f t="shared" ca="1" si="61"/>
        <v>0</v>
      </c>
      <c r="N517" s="9" t="str">
        <f t="shared" ca="1" si="62"/>
        <v>NO</v>
      </c>
      <c r="O517" s="9">
        <f t="shared" ca="1" si="60"/>
        <v>0</v>
      </c>
      <c r="P517" s="9"/>
    </row>
    <row r="518" spans="1:16" x14ac:dyDescent="0.3">
      <c r="A518" s="18"/>
      <c r="B518" s="9"/>
      <c r="C518" s="19"/>
      <c r="D518" s="19"/>
      <c r="E518" s="20"/>
      <c r="F518" s="20"/>
      <c r="G518" s="20"/>
      <c r="H518" s="15"/>
      <c r="I518" s="21"/>
      <c r="J518" s="9"/>
      <c r="K518" s="9"/>
      <c r="L518" s="9"/>
      <c r="M518" s="9">
        <f t="shared" ca="1" si="61"/>
        <v>0</v>
      </c>
      <c r="N518" s="9" t="str">
        <f t="shared" ca="1" si="62"/>
        <v>NO</v>
      </c>
      <c r="O518" s="9">
        <f t="shared" ca="1" si="60"/>
        <v>0</v>
      </c>
      <c r="P518" s="9"/>
    </row>
    <row r="519" spans="1:16" x14ac:dyDescent="0.3">
      <c r="A519" s="18"/>
      <c r="B519" s="9"/>
      <c r="C519" s="19"/>
      <c r="D519" s="9"/>
      <c r="E519" s="20"/>
      <c r="F519" s="20"/>
      <c r="G519" s="20"/>
      <c r="H519" s="15"/>
      <c r="I519" s="21"/>
      <c r="J519" s="9"/>
      <c r="K519" s="9"/>
      <c r="L519" s="9"/>
      <c r="M519" s="9">
        <f t="shared" ca="1" si="61"/>
        <v>0</v>
      </c>
      <c r="N519" s="9" t="str">
        <f t="shared" ca="1" si="62"/>
        <v>NO</v>
      </c>
      <c r="O519" s="9">
        <f t="shared" ca="1" si="60"/>
        <v>0</v>
      </c>
      <c r="P519" s="9"/>
    </row>
    <row r="520" spans="1:16" x14ac:dyDescent="0.3">
      <c r="A520" s="18"/>
      <c r="B520" s="9"/>
      <c r="C520" s="19"/>
      <c r="D520" s="9"/>
      <c r="E520" s="9"/>
      <c r="F520" s="9"/>
      <c r="G520" s="9"/>
      <c r="H520" s="9"/>
      <c r="I520" s="21"/>
      <c r="J520" s="9"/>
      <c r="K520" s="9"/>
      <c r="L520" s="9"/>
      <c r="M520" s="9">
        <f t="shared" ca="1" si="61"/>
        <v>0</v>
      </c>
      <c r="N520" s="9" t="str">
        <f t="shared" ca="1" si="62"/>
        <v>NO</v>
      </c>
      <c r="O520" s="9">
        <f t="shared" ca="1" si="60"/>
        <v>0</v>
      </c>
      <c r="P520" s="9"/>
    </row>
    <row r="521" spans="1:16" x14ac:dyDescent="0.3">
      <c r="A521" s="18"/>
      <c r="B521" s="9"/>
      <c r="C521" s="19"/>
      <c r="D521" s="9"/>
      <c r="E521" s="9"/>
      <c r="F521" s="9"/>
      <c r="G521" s="9"/>
      <c r="H521" s="9"/>
      <c r="I521" s="21"/>
      <c r="J521" s="9"/>
      <c r="K521" s="9"/>
      <c r="L521" s="9"/>
      <c r="M521" s="9">
        <f t="shared" ca="1" si="61"/>
        <v>0</v>
      </c>
      <c r="N521" s="9" t="str">
        <f t="shared" ca="1" si="62"/>
        <v>NO</v>
      </c>
      <c r="O521" s="9">
        <f t="shared" ca="1" si="60"/>
        <v>0</v>
      </c>
      <c r="P521" s="9"/>
    </row>
    <row r="522" spans="1:16" x14ac:dyDescent="0.3">
      <c r="A522" s="18"/>
      <c r="B522" s="9"/>
      <c r="C522" s="19"/>
      <c r="D522" s="9"/>
      <c r="E522" s="9"/>
      <c r="F522" s="9"/>
      <c r="G522" s="9"/>
      <c r="H522" s="9"/>
      <c r="I522" s="21"/>
      <c r="J522" s="9"/>
      <c r="K522" s="9"/>
      <c r="L522" s="9"/>
      <c r="M522" s="9">
        <f t="shared" ca="1" si="61"/>
        <v>0</v>
      </c>
      <c r="N522" s="9" t="str">
        <f t="shared" ca="1" si="62"/>
        <v>NO</v>
      </c>
      <c r="O522" s="9">
        <f t="shared" ca="1" si="60"/>
        <v>0</v>
      </c>
      <c r="P522" s="9"/>
    </row>
    <row r="523" spans="1:16" x14ac:dyDescent="0.3">
      <c r="A523" s="18"/>
      <c r="B523" s="9"/>
      <c r="C523" s="19"/>
      <c r="D523" s="9"/>
      <c r="E523" s="9"/>
      <c r="F523" s="9"/>
      <c r="G523" s="9"/>
      <c r="H523" s="9"/>
      <c r="I523" s="21"/>
      <c r="J523" s="9"/>
      <c r="K523" s="9"/>
      <c r="L523" s="9"/>
      <c r="M523" s="9">
        <f t="shared" ca="1" si="61"/>
        <v>0</v>
      </c>
      <c r="N523" s="9" t="str">
        <f t="shared" ca="1" si="62"/>
        <v>NO</v>
      </c>
      <c r="O523" s="9">
        <f t="shared" ca="1" si="60"/>
        <v>0</v>
      </c>
      <c r="P523" s="9"/>
    </row>
    <row r="524" spans="1:16" x14ac:dyDescent="0.3">
      <c r="A524" s="18"/>
      <c r="B524" s="9"/>
      <c r="C524" s="19"/>
      <c r="D524" s="9"/>
      <c r="E524" s="9"/>
      <c r="F524" s="9"/>
      <c r="G524" s="9"/>
      <c r="H524" s="9"/>
      <c r="I524" s="21"/>
      <c r="J524" s="9"/>
      <c r="K524" s="9"/>
      <c r="L524" s="9"/>
      <c r="M524" s="9">
        <f t="shared" ca="1" si="61"/>
        <v>0</v>
      </c>
      <c r="N524" s="9" t="str">
        <f t="shared" ca="1" si="62"/>
        <v>NO</v>
      </c>
      <c r="O524" s="9">
        <f t="shared" ca="1" si="60"/>
        <v>0</v>
      </c>
      <c r="P524" s="9"/>
    </row>
    <row r="525" spans="1:16" x14ac:dyDescent="0.3">
      <c r="A525" s="18"/>
      <c r="B525" s="9"/>
      <c r="C525" s="19"/>
      <c r="D525" s="9"/>
      <c r="E525" s="9"/>
      <c r="F525" s="9"/>
      <c r="G525" s="9"/>
      <c r="H525" s="9"/>
      <c r="I525" s="21"/>
      <c r="J525" s="9"/>
      <c r="K525" s="9"/>
      <c r="L525" s="9"/>
      <c r="M525" s="9">
        <f t="shared" ca="1" si="61"/>
        <v>0</v>
      </c>
      <c r="N525" s="9" t="str">
        <f t="shared" ca="1" si="62"/>
        <v>NO</v>
      </c>
      <c r="O525" s="9">
        <f t="shared" ca="1" si="60"/>
        <v>0</v>
      </c>
      <c r="P525" s="9"/>
    </row>
    <row r="526" spans="1:16" x14ac:dyDescent="0.3">
      <c r="A526" s="18"/>
      <c r="B526" s="9"/>
      <c r="C526" s="19"/>
      <c r="D526" s="9"/>
      <c r="E526" s="9"/>
      <c r="F526" s="9"/>
      <c r="G526" s="9"/>
      <c r="H526" s="9"/>
      <c r="I526" s="21"/>
      <c r="J526" s="9"/>
      <c r="K526" s="9"/>
      <c r="L526" s="9"/>
      <c r="M526" s="9">
        <f t="shared" ca="1" si="61"/>
        <v>0</v>
      </c>
      <c r="N526" s="9" t="str">
        <f t="shared" ca="1" si="62"/>
        <v>NO</v>
      </c>
      <c r="O526" s="9">
        <f t="shared" ca="1" si="60"/>
        <v>0</v>
      </c>
      <c r="P526" s="9"/>
    </row>
    <row r="527" spans="1:16" x14ac:dyDescent="0.3">
      <c r="A527" s="18"/>
      <c r="B527" s="9"/>
      <c r="C527" s="9"/>
      <c r="D527" s="9"/>
      <c r="E527" s="9"/>
      <c r="F527" s="9"/>
      <c r="G527" s="9"/>
      <c r="H527" s="9"/>
      <c r="I527" s="21"/>
      <c r="J527" s="9"/>
      <c r="K527" s="9"/>
      <c r="L527" s="9"/>
      <c r="M527" s="9"/>
      <c r="N527" s="9"/>
      <c r="O527" s="9"/>
      <c r="P527" s="9"/>
    </row>
    <row r="528" spans="1:16" x14ac:dyDescent="0.3">
      <c r="A528" s="1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</row>
  </sheetData>
  <mergeCells count="22">
    <mergeCell ref="A426:A446"/>
    <mergeCell ref="A453:A473"/>
    <mergeCell ref="A482:A502"/>
    <mergeCell ref="A508:A528"/>
    <mergeCell ref="A269:A289"/>
    <mergeCell ref="A295:A315"/>
    <mergeCell ref="A321:A341"/>
    <mergeCell ref="A348:A368"/>
    <mergeCell ref="A374:A394"/>
    <mergeCell ref="A400:A420"/>
    <mergeCell ref="A108:A128"/>
    <mergeCell ref="A135:A155"/>
    <mergeCell ref="A163:A183"/>
    <mergeCell ref="A189:A209"/>
    <mergeCell ref="A217:A237"/>
    <mergeCell ref="A243:A263"/>
    <mergeCell ref="A1:L1"/>
    <mergeCell ref="A6:A13"/>
    <mergeCell ref="A21:A31"/>
    <mergeCell ref="A39:A49"/>
    <mergeCell ref="A56:A76"/>
    <mergeCell ref="A82:A102"/>
  </mergeCells>
  <conditionalFormatting sqref="H6:H13">
    <cfRule type="containsText" dxfId="250" priority="291" operator="containsText" text="No Bill No Pay">
      <formula>NOT(ISERROR(SEARCH("No Bill No Pay",H6)))</formula>
    </cfRule>
    <cfRule type="cellIs" priority="292" operator="equal">
      <formula>"No Bill No Pay"</formula>
    </cfRule>
    <cfRule type="containsText" dxfId="249" priority="293" operator="containsText" text="Pending">
      <formula>NOT(ISERROR(SEARCH("Pending",H6)))</formula>
    </cfRule>
    <cfRule type="containsText" dxfId="251" priority="294" operator="containsText" text="Done">
      <formula>NOT(ISERROR(SEARCH("Done",H6)))</formula>
    </cfRule>
  </conditionalFormatting>
  <conditionalFormatting sqref="H21:H31">
    <cfRule type="containsText" dxfId="248" priority="280" operator="containsText" text="No Bill No Pay">
      <formula>NOT(ISERROR(SEARCH("No Bill No Pay",H21)))</formula>
    </cfRule>
    <cfRule type="cellIs" priority="281" operator="equal">
      <formula>"No Bill No Pay"</formula>
    </cfRule>
    <cfRule type="containsText" dxfId="247" priority="282" operator="containsText" text="Pending">
      <formula>NOT(ISERROR(SEARCH("Pending",H21)))</formula>
    </cfRule>
    <cfRule type="containsText" dxfId="246" priority="283" operator="containsText" text="Done">
      <formula>NOT(ISERROR(SEARCH("Done",H21)))</formula>
    </cfRule>
  </conditionalFormatting>
  <conditionalFormatting sqref="H39:H49">
    <cfRule type="containsText" dxfId="243" priority="269" operator="containsText" text="No Bill No Pay">
      <formula>NOT(ISERROR(SEARCH("No Bill No Pay",H39)))</formula>
    </cfRule>
    <cfRule type="cellIs" priority="270" operator="equal">
      <formula>"No Bill No Pay"</formula>
    </cfRule>
    <cfRule type="containsText" dxfId="244" priority="271" operator="containsText" text="Pending">
      <formula>NOT(ISERROR(SEARCH("Pending",H39)))</formula>
    </cfRule>
    <cfRule type="containsText" dxfId="245" priority="272" operator="containsText" text="Done">
      <formula>NOT(ISERROR(SEARCH("Done",H39)))</formula>
    </cfRule>
  </conditionalFormatting>
  <conditionalFormatting sqref="H56:H67">
    <cfRule type="containsText" dxfId="240" priority="258" operator="containsText" text="No Bill No Pay">
      <formula>NOT(ISERROR(SEARCH("No Bill No Pay",H56)))</formula>
    </cfRule>
    <cfRule type="cellIs" priority="259" operator="equal">
      <formula>"No Bill No Pay"</formula>
    </cfRule>
    <cfRule type="containsText" dxfId="241" priority="260" operator="containsText" text="Pending">
      <formula>NOT(ISERROR(SEARCH("Pending",H56)))</formula>
    </cfRule>
    <cfRule type="containsText" dxfId="242" priority="261" operator="containsText" text="Done">
      <formula>NOT(ISERROR(SEARCH("Done",H56)))</formula>
    </cfRule>
  </conditionalFormatting>
  <conditionalFormatting sqref="H82:H93">
    <cfRule type="containsText" dxfId="237" priority="247" operator="containsText" text="No Bill No Pay">
      <formula>NOT(ISERROR(SEARCH("No Bill No Pay",H82)))</formula>
    </cfRule>
    <cfRule type="cellIs" priority="248" operator="equal">
      <formula>"No Bill No Pay"</formula>
    </cfRule>
    <cfRule type="containsText" dxfId="238" priority="249" operator="containsText" text="Pending">
      <formula>NOT(ISERROR(SEARCH("Pending",H82)))</formula>
    </cfRule>
    <cfRule type="containsText" dxfId="239" priority="250" operator="containsText" text="Done">
      <formula>NOT(ISERROR(SEARCH("Done",H82)))</formula>
    </cfRule>
  </conditionalFormatting>
  <conditionalFormatting sqref="H108:H119">
    <cfRule type="containsText" dxfId="234" priority="236" operator="containsText" text="No Bill No Pay">
      <formula>NOT(ISERROR(SEARCH("No Bill No Pay",H108)))</formula>
    </cfRule>
    <cfRule type="cellIs" priority="237" operator="equal">
      <formula>"No Bill No Pay"</formula>
    </cfRule>
    <cfRule type="containsText" dxfId="235" priority="238" operator="containsText" text="Pending">
      <formula>NOT(ISERROR(SEARCH("Pending",H108)))</formula>
    </cfRule>
    <cfRule type="containsText" dxfId="236" priority="239" operator="containsText" text="Done">
      <formula>NOT(ISERROR(SEARCH("Done",H108)))</formula>
    </cfRule>
  </conditionalFormatting>
  <conditionalFormatting sqref="H135:H146">
    <cfRule type="containsText" dxfId="231" priority="225" operator="containsText" text="No Bill No Pay">
      <formula>NOT(ISERROR(SEARCH("No Bill No Pay",H135)))</formula>
    </cfRule>
    <cfRule type="cellIs" priority="226" operator="equal">
      <formula>"No Bill No Pay"</formula>
    </cfRule>
    <cfRule type="containsText" dxfId="232" priority="227" operator="containsText" text="Pending">
      <formula>NOT(ISERROR(SEARCH("Pending",H135)))</formula>
    </cfRule>
    <cfRule type="containsText" dxfId="233" priority="228" operator="containsText" text="Done">
      <formula>NOT(ISERROR(SEARCH("Done",H135)))</formula>
    </cfRule>
  </conditionalFormatting>
  <conditionalFormatting sqref="H163:H174">
    <cfRule type="containsText" dxfId="230" priority="214" operator="containsText" text="No Bill No Pay">
      <formula>NOT(ISERROR(SEARCH("No Bill No Pay",H163)))</formula>
    </cfRule>
    <cfRule type="cellIs" priority="215" operator="equal">
      <formula>"No Bill No Pay"</formula>
    </cfRule>
    <cfRule type="containsText" dxfId="229" priority="216" operator="containsText" text="Pending">
      <formula>NOT(ISERROR(SEARCH("Pending",H163)))</formula>
    </cfRule>
    <cfRule type="containsText" dxfId="228" priority="217" operator="containsText" text="Done">
      <formula>NOT(ISERROR(SEARCH("Done",H163)))</formula>
    </cfRule>
  </conditionalFormatting>
  <conditionalFormatting sqref="H189:H200">
    <cfRule type="containsText" dxfId="227" priority="203" operator="containsText" text="No Bill No Pay">
      <formula>NOT(ISERROR(SEARCH("No Bill No Pay",H189)))</formula>
    </cfRule>
    <cfRule type="cellIs" priority="204" operator="equal">
      <formula>"No Bill No Pay"</formula>
    </cfRule>
    <cfRule type="containsText" dxfId="225" priority="205" operator="containsText" text="Pending">
      <formula>NOT(ISERROR(SEARCH("Pending",H189)))</formula>
    </cfRule>
    <cfRule type="containsText" dxfId="226" priority="206" operator="containsText" text="Done">
      <formula>NOT(ISERROR(SEARCH("Done",H189)))</formula>
    </cfRule>
  </conditionalFormatting>
  <conditionalFormatting sqref="H217:H228">
    <cfRule type="containsText" dxfId="224" priority="192" operator="containsText" text="No Bill No Pay">
      <formula>NOT(ISERROR(SEARCH("No Bill No Pay",H217)))</formula>
    </cfRule>
    <cfRule type="cellIs" priority="193" operator="equal">
      <formula>"No Bill No Pay"</formula>
    </cfRule>
    <cfRule type="containsText" dxfId="222" priority="194" operator="containsText" text="Pending">
      <formula>NOT(ISERROR(SEARCH("Pending",H217)))</formula>
    </cfRule>
    <cfRule type="containsText" dxfId="223" priority="195" operator="containsText" text="Done">
      <formula>NOT(ISERROR(SEARCH("Done",H217)))</formula>
    </cfRule>
  </conditionalFormatting>
  <conditionalFormatting sqref="H243:H254">
    <cfRule type="containsText" dxfId="219" priority="181" operator="containsText" text="No Bill No Pay">
      <formula>NOT(ISERROR(SEARCH("No Bill No Pay",H243)))</formula>
    </cfRule>
    <cfRule type="cellIs" priority="182" operator="equal">
      <formula>"No Bill No Pay"</formula>
    </cfRule>
    <cfRule type="containsText" dxfId="220" priority="183" operator="containsText" text="Pending">
      <formula>NOT(ISERROR(SEARCH("Pending",H243)))</formula>
    </cfRule>
    <cfRule type="containsText" dxfId="221" priority="184" operator="containsText" text="Done">
      <formula>NOT(ISERROR(SEARCH("Done",H243)))</formula>
    </cfRule>
  </conditionalFormatting>
  <conditionalFormatting sqref="H269:H280">
    <cfRule type="containsText" dxfId="216" priority="170" operator="containsText" text="No Bill No Pay">
      <formula>NOT(ISERROR(SEARCH("No Bill No Pay",H269)))</formula>
    </cfRule>
    <cfRule type="cellIs" priority="171" operator="equal">
      <formula>"No Bill No Pay"</formula>
    </cfRule>
    <cfRule type="containsText" dxfId="218" priority="172" operator="containsText" text="Pending">
      <formula>NOT(ISERROR(SEARCH("Pending",H269)))</formula>
    </cfRule>
    <cfRule type="containsText" dxfId="217" priority="173" operator="containsText" text="Done">
      <formula>NOT(ISERROR(SEARCH("Done",H269)))</formula>
    </cfRule>
  </conditionalFormatting>
  <conditionalFormatting sqref="H295:H306">
    <cfRule type="containsText" dxfId="215" priority="159" operator="containsText" text="No Bill No Pay">
      <formula>NOT(ISERROR(SEARCH("No Bill No Pay",H295)))</formula>
    </cfRule>
    <cfRule type="cellIs" priority="160" operator="equal">
      <formula>"No Bill No Pay"</formula>
    </cfRule>
    <cfRule type="containsText" dxfId="213" priority="161" operator="containsText" text="Pending">
      <formula>NOT(ISERROR(SEARCH("Pending",H295)))</formula>
    </cfRule>
    <cfRule type="containsText" dxfId="214" priority="162" operator="containsText" text="Done">
      <formula>NOT(ISERROR(SEARCH("Done",H295)))</formula>
    </cfRule>
  </conditionalFormatting>
  <conditionalFormatting sqref="H321:H332">
    <cfRule type="containsText" dxfId="210" priority="148" operator="containsText" text="No Bill No Pay">
      <formula>NOT(ISERROR(SEARCH("No Bill No Pay",H321)))</formula>
    </cfRule>
    <cfRule type="cellIs" priority="149" operator="equal">
      <formula>"No Bill No Pay"</formula>
    </cfRule>
    <cfRule type="containsText" dxfId="212" priority="150" operator="containsText" text="Pending">
      <formula>NOT(ISERROR(SEARCH("Pending",H321)))</formula>
    </cfRule>
    <cfRule type="containsText" dxfId="211" priority="151" operator="containsText" text="Done">
      <formula>NOT(ISERROR(SEARCH("Done",H321)))</formula>
    </cfRule>
  </conditionalFormatting>
  <conditionalFormatting sqref="H348:H359">
    <cfRule type="containsText" dxfId="209" priority="137" operator="containsText" text="No Bill No Pay">
      <formula>NOT(ISERROR(SEARCH("No Bill No Pay",H348)))</formula>
    </cfRule>
    <cfRule type="cellIs" priority="138" operator="equal">
      <formula>"No Bill No Pay"</formula>
    </cfRule>
    <cfRule type="containsText" dxfId="208" priority="139" operator="containsText" text="Pending">
      <formula>NOT(ISERROR(SEARCH("Pending",H348)))</formula>
    </cfRule>
    <cfRule type="containsText" dxfId="207" priority="140" operator="containsText" text="Done">
      <formula>NOT(ISERROR(SEARCH("Done",H348)))</formula>
    </cfRule>
  </conditionalFormatting>
  <conditionalFormatting sqref="H374:H385">
    <cfRule type="containsText" dxfId="205" priority="126" operator="containsText" text="No Bill No Pay">
      <formula>NOT(ISERROR(SEARCH("No Bill No Pay",H374)))</formula>
    </cfRule>
    <cfRule type="cellIs" priority="127" operator="equal">
      <formula>"No Bill No Pay"</formula>
    </cfRule>
    <cfRule type="containsText" dxfId="204" priority="128" operator="containsText" text="Pending">
      <formula>NOT(ISERROR(SEARCH("Pending",H374)))</formula>
    </cfRule>
    <cfRule type="containsText" dxfId="206" priority="129" operator="containsText" text="Done">
      <formula>NOT(ISERROR(SEARCH("Done",H374)))</formula>
    </cfRule>
  </conditionalFormatting>
  <conditionalFormatting sqref="H400:H411">
    <cfRule type="containsText" dxfId="203" priority="115" operator="containsText" text="No Bill No Pay">
      <formula>NOT(ISERROR(SEARCH("No Bill No Pay",H400)))</formula>
    </cfRule>
    <cfRule type="cellIs" priority="116" operator="equal">
      <formula>"No Bill No Pay"</formula>
    </cfRule>
    <cfRule type="containsText" dxfId="202" priority="117" operator="containsText" text="Pending">
      <formula>NOT(ISERROR(SEARCH("Pending",H400)))</formula>
    </cfRule>
    <cfRule type="containsText" dxfId="201" priority="118" operator="containsText" text="Done">
      <formula>NOT(ISERROR(SEARCH("Done",H400)))</formula>
    </cfRule>
  </conditionalFormatting>
  <conditionalFormatting sqref="H426:H437">
    <cfRule type="containsText" dxfId="198" priority="104" operator="containsText" text="No Bill No Pay">
      <formula>NOT(ISERROR(SEARCH("No Bill No Pay",H426)))</formula>
    </cfRule>
    <cfRule type="cellIs" priority="105" operator="equal">
      <formula>"No Bill No Pay"</formula>
    </cfRule>
    <cfRule type="containsText" dxfId="200" priority="106" operator="containsText" text="Pending">
      <formula>NOT(ISERROR(SEARCH("Pending",H426)))</formula>
    </cfRule>
    <cfRule type="containsText" dxfId="199" priority="107" operator="containsText" text="Done">
      <formula>NOT(ISERROR(SEARCH("Done",H426)))</formula>
    </cfRule>
  </conditionalFormatting>
  <conditionalFormatting sqref="H453:H464">
    <cfRule type="containsText" dxfId="195" priority="93" operator="containsText" text="No Bill No Pay">
      <formula>NOT(ISERROR(SEARCH("No Bill No Pay",H453)))</formula>
    </cfRule>
    <cfRule type="cellIs" priority="94" operator="equal">
      <formula>"No Bill No Pay"</formula>
    </cfRule>
    <cfRule type="containsText" dxfId="197" priority="95" operator="containsText" text="Pending">
      <formula>NOT(ISERROR(SEARCH("Pending",H453)))</formula>
    </cfRule>
    <cfRule type="containsText" dxfId="196" priority="96" operator="containsText" text="Done">
      <formula>NOT(ISERROR(SEARCH("Done",H453)))</formula>
    </cfRule>
  </conditionalFormatting>
  <conditionalFormatting sqref="H482:H493">
    <cfRule type="containsText" dxfId="192" priority="82" operator="containsText" text="No Bill No Pay">
      <formula>NOT(ISERROR(SEARCH("No Bill No Pay",H482)))</formula>
    </cfRule>
    <cfRule type="cellIs" priority="83" operator="equal">
      <formula>"No Bill No Pay"</formula>
    </cfRule>
    <cfRule type="containsText" dxfId="194" priority="84" operator="containsText" text="Pending">
      <formula>NOT(ISERROR(SEARCH("Pending",H482)))</formula>
    </cfRule>
    <cfRule type="containsText" dxfId="193" priority="85" operator="containsText" text="Done">
      <formula>NOT(ISERROR(SEARCH("Done",H482)))</formula>
    </cfRule>
  </conditionalFormatting>
  <conditionalFormatting sqref="H508:H519">
    <cfRule type="containsText" dxfId="190" priority="71" operator="containsText" text="No Bill No Pay">
      <formula>NOT(ISERROR(SEARCH("No Bill No Pay",H508)))</formula>
    </cfRule>
    <cfRule type="cellIs" priority="72" operator="equal">
      <formula>"No Bill No Pay"</formula>
    </cfRule>
    <cfRule type="containsText" dxfId="189" priority="73" operator="containsText" text="Pending">
      <formula>NOT(ISERROR(SEARCH("Pending",H508)))</formula>
    </cfRule>
    <cfRule type="containsText" dxfId="191" priority="74" operator="containsText" text="Done">
      <formula>NOT(ISERROR(SEARCH("Done",H508)))</formula>
    </cfRule>
  </conditionalFormatting>
  <conditionalFormatting sqref="I5:K5">
    <cfRule type="containsText" dxfId="188" priority="61" operator="containsText" text="No Bill No Pay">
      <formula>NOT(ISERROR(SEARCH("No Bill No Pay",I5)))</formula>
    </cfRule>
    <cfRule type="cellIs" priority="62" operator="equal">
      <formula>"No Bill No Pay"</formula>
    </cfRule>
    <cfRule type="containsText" dxfId="187" priority="63" operator="containsText" text="Pending">
      <formula>NOT(ISERROR(SEARCH("Pending",I5)))</formula>
    </cfRule>
  </conditionalFormatting>
  <conditionalFormatting sqref="I20:K20">
    <cfRule type="containsText" dxfId="186" priority="58" operator="containsText" text="No Bill No Pay">
      <formula>NOT(ISERROR(SEARCH("No Bill No Pay",I20)))</formula>
    </cfRule>
    <cfRule type="cellIs" priority="59" operator="equal">
      <formula>"No Bill No Pay"</formula>
    </cfRule>
    <cfRule type="containsText" dxfId="185" priority="60" operator="containsText" text="Pending">
      <formula>NOT(ISERROR(SEARCH("Pending",I20)))</formula>
    </cfRule>
  </conditionalFormatting>
  <conditionalFormatting sqref="I38:K38">
    <cfRule type="containsText" dxfId="184" priority="55" operator="containsText" text="No Bill No Pay">
      <formula>NOT(ISERROR(SEARCH("No Bill No Pay",I38)))</formula>
    </cfRule>
    <cfRule type="cellIs" priority="56" operator="equal">
      <formula>"No Bill No Pay"</formula>
    </cfRule>
    <cfRule type="containsText" dxfId="183" priority="57" operator="containsText" text="Pending">
      <formula>NOT(ISERROR(SEARCH("Pending",I38)))</formula>
    </cfRule>
  </conditionalFormatting>
  <conditionalFormatting sqref="I55:K55">
    <cfRule type="containsText" dxfId="181" priority="52" operator="containsText" text="No Bill No Pay">
      <formula>NOT(ISERROR(SEARCH("No Bill No Pay",I55)))</formula>
    </cfRule>
    <cfRule type="cellIs" priority="53" operator="equal">
      <formula>"No Bill No Pay"</formula>
    </cfRule>
    <cfRule type="containsText" dxfId="182" priority="54" operator="containsText" text="Pending">
      <formula>NOT(ISERROR(SEARCH("Pending",I55)))</formula>
    </cfRule>
  </conditionalFormatting>
  <conditionalFormatting sqref="I81:K81">
    <cfRule type="containsText" dxfId="180" priority="49" operator="containsText" text="No Bill No Pay">
      <formula>NOT(ISERROR(SEARCH("No Bill No Pay",I81)))</formula>
    </cfRule>
    <cfRule type="cellIs" priority="50" operator="equal">
      <formula>"No Bill No Pay"</formula>
    </cfRule>
    <cfRule type="containsText" dxfId="179" priority="51" operator="containsText" text="Pending">
      <formula>NOT(ISERROR(SEARCH("Pending",I81)))</formula>
    </cfRule>
  </conditionalFormatting>
  <conditionalFormatting sqref="I107:K107">
    <cfRule type="containsText" dxfId="178" priority="46" operator="containsText" text="No Bill No Pay">
      <formula>NOT(ISERROR(SEARCH("No Bill No Pay",I107)))</formula>
    </cfRule>
    <cfRule type="cellIs" priority="47" operator="equal">
      <formula>"No Bill No Pay"</formula>
    </cfRule>
    <cfRule type="containsText" dxfId="177" priority="48" operator="containsText" text="Pending">
      <formula>NOT(ISERROR(SEARCH("Pending",I107)))</formula>
    </cfRule>
  </conditionalFormatting>
  <conditionalFormatting sqref="I134:K134">
    <cfRule type="containsText" dxfId="176" priority="43" operator="containsText" text="No Bill No Pay">
      <formula>NOT(ISERROR(SEARCH("No Bill No Pay",I134)))</formula>
    </cfRule>
    <cfRule type="cellIs" priority="44" operator="equal">
      <formula>"No Bill No Pay"</formula>
    </cfRule>
    <cfRule type="containsText" dxfId="175" priority="45" operator="containsText" text="Pending">
      <formula>NOT(ISERROR(SEARCH("Pending",I134)))</formula>
    </cfRule>
  </conditionalFormatting>
  <conditionalFormatting sqref="I162:K162">
    <cfRule type="containsText" dxfId="174" priority="40" operator="containsText" text="No Bill No Pay">
      <formula>NOT(ISERROR(SEARCH("No Bill No Pay",I162)))</formula>
    </cfRule>
    <cfRule type="cellIs" priority="41" operator="equal">
      <formula>"No Bill No Pay"</formula>
    </cfRule>
    <cfRule type="containsText" dxfId="173" priority="42" operator="containsText" text="Pending">
      <formula>NOT(ISERROR(SEARCH("Pending",I162)))</formula>
    </cfRule>
  </conditionalFormatting>
  <conditionalFormatting sqref="I188:K188">
    <cfRule type="containsText" dxfId="172" priority="37" operator="containsText" text="No Bill No Pay">
      <formula>NOT(ISERROR(SEARCH("No Bill No Pay",I188)))</formula>
    </cfRule>
    <cfRule type="cellIs" priority="38" operator="equal">
      <formula>"No Bill No Pay"</formula>
    </cfRule>
    <cfRule type="containsText" dxfId="171" priority="39" operator="containsText" text="Pending">
      <formula>NOT(ISERROR(SEARCH("Pending",I188)))</formula>
    </cfRule>
  </conditionalFormatting>
  <conditionalFormatting sqref="I216:K216">
    <cfRule type="containsText" dxfId="170" priority="34" operator="containsText" text="No Bill No Pay">
      <formula>NOT(ISERROR(SEARCH("No Bill No Pay",I216)))</formula>
    </cfRule>
    <cfRule type="cellIs" priority="35" operator="equal">
      <formula>"No Bill No Pay"</formula>
    </cfRule>
    <cfRule type="containsText" dxfId="169" priority="36" operator="containsText" text="Pending">
      <formula>NOT(ISERROR(SEARCH("Pending",I216)))</formula>
    </cfRule>
  </conditionalFormatting>
  <conditionalFormatting sqref="I242:K242">
    <cfRule type="containsText" dxfId="167" priority="31" operator="containsText" text="No Bill No Pay">
      <formula>NOT(ISERROR(SEARCH("No Bill No Pay",I242)))</formula>
    </cfRule>
    <cfRule type="cellIs" priority="32" operator="equal">
      <formula>"No Bill No Pay"</formula>
    </cfRule>
    <cfRule type="containsText" dxfId="168" priority="33" operator="containsText" text="Pending">
      <formula>NOT(ISERROR(SEARCH("Pending",I242)))</formula>
    </cfRule>
  </conditionalFormatting>
  <conditionalFormatting sqref="I268:K268">
    <cfRule type="containsText" dxfId="166" priority="28" operator="containsText" text="No Bill No Pay">
      <formula>NOT(ISERROR(SEARCH("No Bill No Pay",I268)))</formula>
    </cfRule>
    <cfRule type="cellIs" priority="29" operator="equal">
      <formula>"No Bill No Pay"</formula>
    </cfRule>
    <cfRule type="containsText" dxfId="165" priority="30" operator="containsText" text="Pending">
      <formula>NOT(ISERROR(SEARCH("Pending",I268)))</formula>
    </cfRule>
  </conditionalFormatting>
  <conditionalFormatting sqref="I294:K294">
    <cfRule type="containsText" dxfId="163" priority="25" operator="containsText" text="No Bill No Pay">
      <formula>NOT(ISERROR(SEARCH("No Bill No Pay",I294)))</formula>
    </cfRule>
    <cfRule type="cellIs" priority="26" operator="equal">
      <formula>"No Bill No Pay"</formula>
    </cfRule>
    <cfRule type="containsText" dxfId="164" priority="27" operator="containsText" text="Pending">
      <formula>NOT(ISERROR(SEARCH("Pending",I294)))</formula>
    </cfRule>
  </conditionalFormatting>
  <conditionalFormatting sqref="I320:K320">
    <cfRule type="containsText" dxfId="161" priority="22" operator="containsText" text="No Bill No Pay">
      <formula>NOT(ISERROR(SEARCH("No Bill No Pay",I320)))</formula>
    </cfRule>
    <cfRule type="cellIs" priority="23" operator="equal">
      <formula>"No Bill No Pay"</formula>
    </cfRule>
    <cfRule type="containsText" dxfId="162" priority="24" operator="containsText" text="Pending">
      <formula>NOT(ISERROR(SEARCH("Pending",I320)))</formula>
    </cfRule>
  </conditionalFormatting>
  <conditionalFormatting sqref="I347:K347">
    <cfRule type="containsText" dxfId="160" priority="19" operator="containsText" text="No Bill No Pay">
      <formula>NOT(ISERROR(SEARCH("No Bill No Pay",I347)))</formula>
    </cfRule>
    <cfRule type="cellIs" priority="20" operator="equal">
      <formula>"No Bill No Pay"</formula>
    </cfRule>
    <cfRule type="containsText" dxfId="159" priority="21" operator="containsText" text="Pending">
      <formula>NOT(ISERROR(SEARCH("Pending",I347)))</formula>
    </cfRule>
  </conditionalFormatting>
  <conditionalFormatting sqref="I373:K373">
    <cfRule type="containsText" dxfId="157" priority="16" operator="containsText" text="No Bill No Pay">
      <formula>NOT(ISERROR(SEARCH("No Bill No Pay",I373)))</formula>
    </cfRule>
    <cfRule type="cellIs" priority="17" operator="equal">
      <formula>"No Bill No Pay"</formula>
    </cfRule>
    <cfRule type="containsText" dxfId="158" priority="18" operator="containsText" text="Pending">
      <formula>NOT(ISERROR(SEARCH("Pending",I373)))</formula>
    </cfRule>
  </conditionalFormatting>
  <conditionalFormatting sqref="I399:K399">
    <cfRule type="containsText" dxfId="155" priority="13" operator="containsText" text="No Bill No Pay">
      <formula>NOT(ISERROR(SEARCH("No Bill No Pay",I399)))</formula>
    </cfRule>
    <cfRule type="cellIs" priority="14" operator="equal">
      <formula>"No Bill No Pay"</formula>
    </cfRule>
    <cfRule type="containsText" dxfId="156" priority="15" operator="containsText" text="Pending">
      <formula>NOT(ISERROR(SEARCH("Pending",I399)))</formula>
    </cfRule>
  </conditionalFormatting>
  <conditionalFormatting sqref="I425:K425">
    <cfRule type="containsText" dxfId="153" priority="10" operator="containsText" text="No Bill No Pay">
      <formula>NOT(ISERROR(SEARCH("No Bill No Pay",I425)))</formula>
    </cfRule>
    <cfRule type="cellIs" priority="11" operator="equal">
      <formula>"No Bill No Pay"</formula>
    </cfRule>
    <cfRule type="containsText" dxfId="154" priority="12" operator="containsText" text="Pending">
      <formula>NOT(ISERROR(SEARCH("Pending",I425)))</formula>
    </cfRule>
  </conditionalFormatting>
  <conditionalFormatting sqref="I452:K452">
    <cfRule type="containsText" dxfId="151" priority="7" operator="containsText" text="No Bill No Pay">
      <formula>NOT(ISERROR(SEARCH("No Bill No Pay",I452)))</formula>
    </cfRule>
    <cfRule type="cellIs" priority="8" operator="equal">
      <formula>"No Bill No Pay"</formula>
    </cfRule>
    <cfRule type="containsText" dxfId="152" priority="9" operator="containsText" text="Pending">
      <formula>NOT(ISERROR(SEARCH("Pending",I452)))</formula>
    </cfRule>
  </conditionalFormatting>
  <conditionalFormatting sqref="I481:K481">
    <cfRule type="containsText" dxfId="149" priority="4" operator="containsText" text="No Bill No Pay">
      <formula>NOT(ISERROR(SEARCH("No Bill No Pay",I481)))</formula>
    </cfRule>
    <cfRule type="cellIs" priority="5" operator="equal">
      <formula>"No Bill No Pay"</formula>
    </cfRule>
    <cfRule type="containsText" dxfId="150" priority="6" operator="containsText" text="Pending">
      <formula>NOT(ISERROR(SEARCH("Pending",I481)))</formula>
    </cfRule>
  </conditionalFormatting>
  <conditionalFormatting sqref="I507:K507">
    <cfRule type="containsText" dxfId="148" priority="1" operator="containsText" text="No Bill No Pay">
      <formula>NOT(ISERROR(SEARCH("No Bill No Pay",I507)))</formula>
    </cfRule>
    <cfRule type="cellIs" priority="2" operator="equal">
      <formula>"No Bill No Pay"</formula>
    </cfRule>
    <cfRule type="containsText" dxfId="147" priority="3" operator="containsText" text="Pending">
      <formula>NOT(ISERROR(SEARCH("Pending",I507)))</formula>
    </cfRule>
  </conditionalFormatting>
  <conditionalFormatting sqref="K6:K13">
    <cfRule type="containsText" dxfId="146" priority="289" operator="containsText" text="No">
      <formula>NOT(ISERROR(SEARCH("No",K6)))</formula>
    </cfRule>
    <cfRule type="containsText" dxfId="145" priority="290" operator="containsText" text="Yes">
      <formula>NOT(ISERROR(SEARCH("Yes",K6)))</formula>
    </cfRule>
  </conditionalFormatting>
  <conditionalFormatting sqref="K21:K31">
    <cfRule type="containsText" dxfId="144" priority="278" operator="containsText" text="No">
      <formula>NOT(ISERROR(SEARCH("No",K21)))</formula>
    </cfRule>
    <cfRule type="containsText" dxfId="143" priority="279" operator="containsText" text="Yes">
      <formula>NOT(ISERROR(SEARCH("Yes",K21)))</formula>
    </cfRule>
  </conditionalFormatting>
  <conditionalFormatting sqref="K39:K49">
    <cfRule type="containsText" dxfId="141" priority="267" operator="containsText" text="No">
      <formula>NOT(ISERROR(SEARCH("No",K39)))</formula>
    </cfRule>
    <cfRule type="containsText" dxfId="142" priority="268" operator="containsText" text="Yes">
      <formula>NOT(ISERROR(SEARCH("Yes",K39)))</formula>
    </cfRule>
  </conditionalFormatting>
  <conditionalFormatting sqref="K56:K67">
    <cfRule type="containsText" dxfId="140" priority="256" operator="containsText" text="No">
      <formula>NOT(ISERROR(SEARCH("No",K56)))</formula>
    </cfRule>
    <cfRule type="containsText" dxfId="139" priority="257" operator="containsText" text="Yes">
      <formula>NOT(ISERROR(SEARCH("Yes",K56)))</formula>
    </cfRule>
  </conditionalFormatting>
  <conditionalFormatting sqref="K82:K93">
    <cfRule type="containsText" dxfId="137" priority="245" operator="containsText" text="No">
      <formula>NOT(ISERROR(SEARCH("No",K82)))</formula>
    </cfRule>
    <cfRule type="containsText" dxfId="138" priority="246" operator="containsText" text="Yes">
      <formula>NOT(ISERROR(SEARCH("Yes",K82)))</formula>
    </cfRule>
  </conditionalFormatting>
  <conditionalFormatting sqref="K108:K119">
    <cfRule type="containsText" dxfId="136" priority="234" operator="containsText" text="No">
      <formula>NOT(ISERROR(SEARCH("No",K108)))</formula>
    </cfRule>
    <cfRule type="containsText" dxfId="135" priority="235" operator="containsText" text="Yes">
      <formula>NOT(ISERROR(SEARCH("Yes",K108)))</formula>
    </cfRule>
  </conditionalFormatting>
  <conditionalFormatting sqref="K135:K146">
    <cfRule type="containsText" dxfId="133" priority="223" operator="containsText" text="No">
      <formula>NOT(ISERROR(SEARCH("No",K135)))</formula>
    </cfRule>
    <cfRule type="containsText" dxfId="134" priority="224" operator="containsText" text="Yes">
      <formula>NOT(ISERROR(SEARCH("Yes",K135)))</formula>
    </cfRule>
  </conditionalFormatting>
  <conditionalFormatting sqref="K163:K174">
    <cfRule type="containsText" dxfId="131" priority="212" operator="containsText" text="No">
      <formula>NOT(ISERROR(SEARCH("No",K163)))</formula>
    </cfRule>
    <cfRule type="containsText" dxfId="132" priority="213" operator="containsText" text="Yes">
      <formula>NOT(ISERROR(SEARCH("Yes",K163)))</formula>
    </cfRule>
  </conditionalFormatting>
  <conditionalFormatting sqref="K189:K200">
    <cfRule type="containsText" dxfId="130" priority="201" operator="containsText" text="No">
      <formula>NOT(ISERROR(SEARCH("No",K189)))</formula>
    </cfRule>
    <cfRule type="containsText" dxfId="129" priority="202" operator="containsText" text="Yes">
      <formula>NOT(ISERROR(SEARCH("Yes",K189)))</formula>
    </cfRule>
  </conditionalFormatting>
  <conditionalFormatting sqref="K217:K228">
    <cfRule type="containsText" dxfId="128" priority="190" operator="containsText" text="No">
      <formula>NOT(ISERROR(SEARCH("No",K217)))</formula>
    </cfRule>
    <cfRule type="containsText" dxfId="127" priority="191" operator="containsText" text="Yes">
      <formula>NOT(ISERROR(SEARCH("Yes",K217)))</formula>
    </cfRule>
  </conditionalFormatting>
  <conditionalFormatting sqref="K243:K254">
    <cfRule type="containsText" dxfId="126" priority="179" operator="containsText" text="No">
      <formula>NOT(ISERROR(SEARCH("No",K243)))</formula>
    </cfRule>
    <cfRule type="containsText" dxfId="125" priority="180" operator="containsText" text="Yes">
      <formula>NOT(ISERROR(SEARCH("Yes",K243)))</formula>
    </cfRule>
  </conditionalFormatting>
  <conditionalFormatting sqref="K269:K280">
    <cfRule type="containsText" dxfId="124" priority="168" operator="containsText" text="No">
      <formula>NOT(ISERROR(SEARCH("No",K269)))</formula>
    </cfRule>
    <cfRule type="containsText" dxfId="123" priority="169" operator="containsText" text="Yes">
      <formula>NOT(ISERROR(SEARCH("Yes",K269)))</formula>
    </cfRule>
  </conditionalFormatting>
  <conditionalFormatting sqref="K295:K306">
    <cfRule type="containsText" dxfId="122" priority="157" operator="containsText" text="No">
      <formula>NOT(ISERROR(SEARCH("No",K295)))</formula>
    </cfRule>
    <cfRule type="containsText" dxfId="121" priority="158" operator="containsText" text="Yes">
      <formula>NOT(ISERROR(SEARCH("Yes",K295)))</formula>
    </cfRule>
  </conditionalFormatting>
  <conditionalFormatting sqref="K321:K332">
    <cfRule type="containsText" dxfId="120" priority="146" operator="containsText" text="No">
      <formula>NOT(ISERROR(SEARCH("No",K321)))</formula>
    </cfRule>
    <cfRule type="containsText" dxfId="119" priority="147" operator="containsText" text="Yes">
      <formula>NOT(ISERROR(SEARCH("Yes",K321)))</formula>
    </cfRule>
  </conditionalFormatting>
  <conditionalFormatting sqref="K348:K359">
    <cfRule type="containsText" dxfId="118" priority="135" operator="containsText" text="No">
      <formula>NOT(ISERROR(SEARCH("No",K348)))</formula>
    </cfRule>
    <cfRule type="containsText" dxfId="117" priority="136" operator="containsText" text="Yes">
      <formula>NOT(ISERROR(SEARCH("Yes",K348)))</formula>
    </cfRule>
  </conditionalFormatting>
  <conditionalFormatting sqref="K374:K385">
    <cfRule type="containsText" dxfId="115" priority="124" operator="containsText" text="No">
      <formula>NOT(ISERROR(SEARCH("No",K374)))</formula>
    </cfRule>
    <cfRule type="containsText" dxfId="116" priority="125" operator="containsText" text="Yes">
      <formula>NOT(ISERROR(SEARCH("Yes",K374)))</formula>
    </cfRule>
  </conditionalFormatting>
  <conditionalFormatting sqref="K400:K411">
    <cfRule type="containsText" dxfId="113" priority="113" operator="containsText" text="No">
      <formula>NOT(ISERROR(SEARCH("No",K400)))</formula>
    </cfRule>
    <cfRule type="containsText" dxfId="114" priority="114" operator="containsText" text="Yes">
      <formula>NOT(ISERROR(SEARCH("Yes",K400)))</formula>
    </cfRule>
  </conditionalFormatting>
  <conditionalFormatting sqref="K426:K437">
    <cfRule type="containsText" dxfId="111" priority="102" operator="containsText" text="No">
      <formula>NOT(ISERROR(SEARCH("No",K426)))</formula>
    </cfRule>
    <cfRule type="containsText" dxfId="112" priority="103" operator="containsText" text="Yes">
      <formula>NOT(ISERROR(SEARCH("Yes",K426)))</formula>
    </cfRule>
  </conditionalFormatting>
  <conditionalFormatting sqref="K453:K464">
    <cfRule type="containsText" dxfId="109" priority="91" operator="containsText" text="No">
      <formula>NOT(ISERROR(SEARCH("No",K453)))</formula>
    </cfRule>
    <cfRule type="containsText" dxfId="110" priority="92" operator="containsText" text="Yes">
      <formula>NOT(ISERROR(SEARCH("Yes",K453)))</formula>
    </cfRule>
  </conditionalFormatting>
  <conditionalFormatting sqref="K482:K493">
    <cfRule type="containsText" dxfId="107" priority="80" operator="containsText" text="No">
      <formula>NOT(ISERROR(SEARCH("No",K482)))</formula>
    </cfRule>
    <cfRule type="containsText" dxfId="108" priority="81" operator="containsText" text="Yes">
      <formula>NOT(ISERROR(SEARCH("Yes",K482)))</formula>
    </cfRule>
  </conditionalFormatting>
  <conditionalFormatting sqref="K508:K519">
    <cfRule type="containsText" dxfId="105" priority="69" operator="containsText" text="No">
      <formula>NOT(ISERROR(SEARCH("No",K508)))</formula>
    </cfRule>
    <cfRule type="containsText" dxfId="106" priority="70" operator="containsText" text="Yes">
      <formula>NOT(ISERROR(SEARCH("Yes",K508)))</formula>
    </cfRule>
  </conditionalFormatting>
  <conditionalFormatting sqref="M4:N4">
    <cfRule type="cellIs" dxfId="104" priority="286" operator="lessThan">
      <formula>1</formula>
    </cfRule>
    <cfRule type="cellIs" dxfId="103" priority="287" operator="lessThan">
      <formula>0</formula>
    </cfRule>
    <cfRule type="cellIs" dxfId="102" priority="288" operator="greaterThan">
      <formula>0</formula>
    </cfRule>
  </conditionalFormatting>
  <conditionalFormatting sqref="M19:N19">
    <cfRule type="cellIs" dxfId="101" priority="275" operator="lessThan">
      <formula>1</formula>
    </cfRule>
    <cfRule type="cellIs" dxfId="100" priority="276" operator="lessThan">
      <formula>0</formula>
    </cfRule>
    <cfRule type="cellIs" dxfId="99" priority="277" operator="greaterThan">
      <formula>0</formula>
    </cfRule>
  </conditionalFormatting>
  <conditionalFormatting sqref="M37:N37">
    <cfRule type="cellIs" dxfId="98" priority="264" operator="lessThan">
      <formula>1</formula>
    </cfRule>
    <cfRule type="cellIs" dxfId="97" priority="265" operator="lessThan">
      <formula>0</formula>
    </cfRule>
    <cfRule type="cellIs" dxfId="96" priority="266" operator="greaterThan">
      <formula>0</formula>
    </cfRule>
  </conditionalFormatting>
  <conditionalFormatting sqref="M54:N54">
    <cfRule type="cellIs" dxfId="95" priority="253" operator="lessThan">
      <formula>1</formula>
    </cfRule>
    <cfRule type="cellIs" dxfId="93" priority="254" operator="lessThan">
      <formula>0</formula>
    </cfRule>
    <cfRule type="cellIs" dxfId="94" priority="255" operator="greaterThan">
      <formula>0</formula>
    </cfRule>
  </conditionalFormatting>
  <conditionalFormatting sqref="M80:N80">
    <cfRule type="cellIs" dxfId="90" priority="242" operator="lessThan">
      <formula>1</formula>
    </cfRule>
    <cfRule type="cellIs" dxfId="91" priority="243" operator="lessThan">
      <formula>0</formula>
    </cfRule>
    <cfRule type="cellIs" dxfId="92" priority="244" operator="greaterThan">
      <formula>0</formula>
    </cfRule>
  </conditionalFormatting>
  <conditionalFormatting sqref="M106:N106">
    <cfRule type="cellIs" dxfId="88" priority="231" operator="lessThan">
      <formula>1</formula>
    </cfRule>
    <cfRule type="cellIs" dxfId="87" priority="232" operator="lessThan">
      <formula>0</formula>
    </cfRule>
    <cfRule type="cellIs" dxfId="89" priority="233" operator="greaterThan">
      <formula>0</formula>
    </cfRule>
  </conditionalFormatting>
  <conditionalFormatting sqref="M133:N133">
    <cfRule type="cellIs" dxfId="84" priority="220" operator="lessThan">
      <formula>1</formula>
    </cfRule>
    <cfRule type="cellIs" dxfId="86" priority="221" operator="lessThan">
      <formula>0</formula>
    </cfRule>
    <cfRule type="cellIs" dxfId="85" priority="222" operator="greaterThan">
      <formula>0</formula>
    </cfRule>
  </conditionalFormatting>
  <conditionalFormatting sqref="M161:N161">
    <cfRule type="cellIs" dxfId="82" priority="209" operator="lessThan">
      <formula>1</formula>
    </cfRule>
    <cfRule type="cellIs" dxfId="81" priority="210" operator="lessThan">
      <formula>0</formula>
    </cfRule>
    <cfRule type="cellIs" dxfId="83" priority="211" operator="greaterThan">
      <formula>0</formula>
    </cfRule>
  </conditionalFormatting>
  <conditionalFormatting sqref="M187:N187">
    <cfRule type="cellIs" dxfId="78" priority="198" operator="lessThan">
      <formula>1</formula>
    </cfRule>
    <cfRule type="cellIs" dxfId="79" priority="199" operator="lessThan">
      <formula>0</formula>
    </cfRule>
    <cfRule type="cellIs" dxfId="80" priority="200" operator="greaterThan">
      <formula>0</formula>
    </cfRule>
  </conditionalFormatting>
  <conditionalFormatting sqref="M215:N215">
    <cfRule type="cellIs" dxfId="75" priority="187" operator="lessThan">
      <formula>1</formula>
    </cfRule>
    <cfRule type="cellIs" dxfId="76" priority="188" operator="lessThan">
      <formula>0</formula>
    </cfRule>
    <cfRule type="cellIs" dxfId="77" priority="189" operator="greaterThan">
      <formula>0</formula>
    </cfRule>
  </conditionalFormatting>
  <conditionalFormatting sqref="M241:N241">
    <cfRule type="cellIs" dxfId="73" priority="176" operator="lessThan">
      <formula>1</formula>
    </cfRule>
    <cfRule type="cellIs" dxfId="72" priority="177" operator="lessThan">
      <formula>0</formula>
    </cfRule>
    <cfRule type="cellIs" dxfId="74" priority="178" operator="greaterThan">
      <formula>0</formula>
    </cfRule>
  </conditionalFormatting>
  <conditionalFormatting sqref="M267:N267">
    <cfRule type="cellIs" dxfId="69" priority="165" operator="lessThan">
      <formula>1</formula>
    </cfRule>
    <cfRule type="cellIs" dxfId="70" priority="166" operator="lessThan">
      <formula>0</formula>
    </cfRule>
    <cfRule type="cellIs" dxfId="71" priority="167" operator="greaterThan">
      <formula>0</formula>
    </cfRule>
  </conditionalFormatting>
  <conditionalFormatting sqref="M293:N293">
    <cfRule type="cellIs" dxfId="66" priority="154" operator="lessThan">
      <formula>1</formula>
    </cfRule>
    <cfRule type="cellIs" dxfId="67" priority="155" operator="lessThan">
      <formula>0</formula>
    </cfRule>
    <cfRule type="cellIs" dxfId="68" priority="156" operator="greaterThan">
      <formula>0</formula>
    </cfRule>
  </conditionalFormatting>
  <conditionalFormatting sqref="M319:N319">
    <cfRule type="cellIs" dxfId="63" priority="143" operator="lessThan">
      <formula>1</formula>
    </cfRule>
    <cfRule type="cellIs" dxfId="64" priority="144" operator="lessThan">
      <formula>0</formula>
    </cfRule>
    <cfRule type="cellIs" dxfId="65" priority="145" operator="greaterThan">
      <formula>0</formula>
    </cfRule>
  </conditionalFormatting>
  <conditionalFormatting sqref="M346:N346">
    <cfRule type="cellIs" dxfId="60" priority="132" operator="lessThan">
      <formula>1</formula>
    </cfRule>
    <cfRule type="cellIs" dxfId="61" priority="133" operator="lessThan">
      <formula>0</formula>
    </cfRule>
    <cfRule type="cellIs" dxfId="62" priority="134" operator="greaterThan">
      <formula>0</formula>
    </cfRule>
  </conditionalFormatting>
  <conditionalFormatting sqref="M372:N372">
    <cfRule type="cellIs" dxfId="57" priority="121" operator="lessThan">
      <formula>1</formula>
    </cfRule>
    <cfRule type="cellIs" dxfId="58" priority="122" operator="lessThan">
      <formula>0</formula>
    </cfRule>
    <cfRule type="cellIs" dxfId="59" priority="123" operator="greaterThan">
      <formula>0</formula>
    </cfRule>
  </conditionalFormatting>
  <conditionalFormatting sqref="M398:N398">
    <cfRule type="cellIs" dxfId="55" priority="110" operator="lessThan">
      <formula>1</formula>
    </cfRule>
    <cfRule type="cellIs" dxfId="54" priority="111" operator="lessThan">
      <formula>0</formula>
    </cfRule>
    <cfRule type="cellIs" dxfId="56" priority="112" operator="greaterThan">
      <formula>0</formula>
    </cfRule>
  </conditionalFormatting>
  <conditionalFormatting sqref="M424:N424">
    <cfRule type="cellIs" dxfId="51" priority="99" operator="lessThan">
      <formula>1</formula>
    </cfRule>
    <cfRule type="cellIs" dxfId="53" priority="100" operator="lessThan">
      <formula>0</formula>
    </cfRule>
    <cfRule type="cellIs" dxfId="52" priority="101" operator="greaterThan">
      <formula>0</formula>
    </cfRule>
  </conditionalFormatting>
  <conditionalFormatting sqref="M451:N451">
    <cfRule type="cellIs" dxfId="50" priority="88" operator="lessThan">
      <formula>1</formula>
    </cfRule>
    <cfRule type="cellIs" dxfId="49" priority="89" operator="lessThan">
      <formula>0</formula>
    </cfRule>
    <cfRule type="cellIs" dxfId="48" priority="90" operator="greaterThan">
      <formula>0</formula>
    </cfRule>
  </conditionalFormatting>
  <conditionalFormatting sqref="M480:N480">
    <cfRule type="cellIs" dxfId="47" priority="77" operator="lessThan">
      <formula>1</formula>
    </cfRule>
    <cfRule type="cellIs" dxfId="45" priority="78" operator="lessThan">
      <formula>0</formula>
    </cfRule>
    <cfRule type="cellIs" dxfId="46" priority="79" operator="greaterThan">
      <formula>0</formula>
    </cfRule>
  </conditionalFormatting>
  <conditionalFormatting sqref="M506:N506">
    <cfRule type="cellIs" dxfId="42" priority="66" operator="lessThan">
      <formula>1</formula>
    </cfRule>
    <cfRule type="cellIs" dxfId="43" priority="67" operator="lessThan">
      <formula>0</formula>
    </cfRule>
    <cfRule type="cellIs" dxfId="44" priority="68" operator="greaterThan">
      <formula>0</formula>
    </cfRule>
  </conditionalFormatting>
  <conditionalFormatting sqref="N6:N9">
    <cfRule type="containsText" dxfId="40" priority="284" operator="containsText" text="No">
      <formula>NOT(ISERROR(SEARCH("No",N6)))</formula>
    </cfRule>
    <cfRule type="containsText" dxfId="41" priority="285" operator="containsText" text="Yes">
      <formula>NOT(ISERROR(SEARCH("Yes",N6)))</formula>
    </cfRule>
  </conditionalFormatting>
  <conditionalFormatting sqref="N21:N31">
    <cfRule type="containsText" dxfId="38" priority="273" operator="containsText" text="No">
      <formula>NOT(ISERROR(SEARCH("No",N21)))</formula>
    </cfRule>
    <cfRule type="containsText" dxfId="39" priority="274" operator="containsText" text="Yes">
      <formula>NOT(ISERROR(SEARCH("Yes",N21)))</formula>
    </cfRule>
  </conditionalFormatting>
  <conditionalFormatting sqref="N39:N49">
    <cfRule type="containsText" dxfId="37" priority="262" operator="containsText" text="No">
      <formula>NOT(ISERROR(SEARCH("No",N39)))</formula>
    </cfRule>
    <cfRule type="containsText" dxfId="36" priority="263" operator="containsText" text="Yes">
      <formula>NOT(ISERROR(SEARCH("Yes",N39)))</formula>
    </cfRule>
  </conditionalFormatting>
  <conditionalFormatting sqref="N56:N74">
    <cfRule type="containsText" dxfId="34" priority="251" operator="containsText" text="No">
      <formula>NOT(ISERROR(SEARCH("No",N56)))</formula>
    </cfRule>
    <cfRule type="containsText" dxfId="35" priority="252" operator="containsText" text="Yes">
      <formula>NOT(ISERROR(SEARCH("Yes",N56)))</formula>
    </cfRule>
  </conditionalFormatting>
  <conditionalFormatting sqref="N82:N100">
    <cfRule type="containsText" dxfId="32" priority="240" operator="containsText" text="No">
      <formula>NOT(ISERROR(SEARCH("No",N82)))</formula>
    </cfRule>
    <cfRule type="containsText" dxfId="33" priority="241" operator="containsText" text="Yes">
      <formula>NOT(ISERROR(SEARCH("Yes",N82)))</formula>
    </cfRule>
  </conditionalFormatting>
  <conditionalFormatting sqref="N108:N126">
    <cfRule type="containsText" dxfId="30" priority="229" operator="containsText" text="No">
      <formula>NOT(ISERROR(SEARCH("No",N108)))</formula>
    </cfRule>
    <cfRule type="containsText" dxfId="31" priority="230" operator="containsText" text="Yes">
      <formula>NOT(ISERROR(SEARCH("Yes",N108)))</formula>
    </cfRule>
  </conditionalFormatting>
  <conditionalFormatting sqref="N135:N153">
    <cfRule type="containsText" dxfId="29" priority="218" operator="containsText" text="No">
      <formula>NOT(ISERROR(SEARCH("No",N135)))</formula>
    </cfRule>
    <cfRule type="containsText" dxfId="28" priority="219" operator="containsText" text="Yes">
      <formula>NOT(ISERROR(SEARCH("Yes",N135)))</formula>
    </cfRule>
  </conditionalFormatting>
  <conditionalFormatting sqref="N163:N181">
    <cfRule type="containsText" dxfId="27" priority="207" operator="containsText" text="No">
      <formula>NOT(ISERROR(SEARCH("No",N163)))</formula>
    </cfRule>
    <cfRule type="containsText" dxfId="26" priority="208" operator="containsText" text="Yes">
      <formula>NOT(ISERROR(SEARCH("Yes",N163)))</formula>
    </cfRule>
  </conditionalFormatting>
  <conditionalFormatting sqref="N189:N207">
    <cfRule type="containsText" dxfId="25" priority="196" operator="containsText" text="No">
      <formula>NOT(ISERROR(SEARCH("No",N189)))</formula>
    </cfRule>
    <cfRule type="containsText" dxfId="24" priority="197" operator="containsText" text="Yes">
      <formula>NOT(ISERROR(SEARCH("Yes",N189)))</formula>
    </cfRule>
  </conditionalFormatting>
  <conditionalFormatting sqref="N217:N235">
    <cfRule type="containsText" dxfId="23" priority="185" operator="containsText" text="No">
      <formula>NOT(ISERROR(SEARCH("No",N217)))</formula>
    </cfRule>
    <cfRule type="containsText" dxfId="22" priority="186" operator="containsText" text="Yes">
      <formula>NOT(ISERROR(SEARCH("Yes",N217)))</formula>
    </cfRule>
  </conditionalFormatting>
  <conditionalFormatting sqref="N243:N261">
    <cfRule type="containsText" dxfId="21" priority="174" operator="containsText" text="No">
      <formula>NOT(ISERROR(SEARCH("No",N243)))</formula>
    </cfRule>
    <cfRule type="containsText" dxfId="20" priority="175" operator="containsText" text="Yes">
      <formula>NOT(ISERROR(SEARCH("Yes",N243)))</formula>
    </cfRule>
  </conditionalFormatting>
  <conditionalFormatting sqref="N269:N287">
    <cfRule type="containsText" dxfId="19" priority="163" operator="containsText" text="No">
      <formula>NOT(ISERROR(SEARCH("No",N269)))</formula>
    </cfRule>
    <cfRule type="containsText" dxfId="18" priority="164" operator="containsText" text="Yes">
      <formula>NOT(ISERROR(SEARCH("Yes",N269)))</formula>
    </cfRule>
  </conditionalFormatting>
  <conditionalFormatting sqref="N295:N313">
    <cfRule type="containsText" dxfId="17" priority="152" operator="containsText" text="No">
      <formula>NOT(ISERROR(SEARCH("No",N295)))</formula>
    </cfRule>
    <cfRule type="containsText" dxfId="16" priority="153" operator="containsText" text="Yes">
      <formula>NOT(ISERROR(SEARCH("Yes",N295)))</formula>
    </cfRule>
  </conditionalFormatting>
  <conditionalFormatting sqref="N321:N339">
    <cfRule type="containsText" dxfId="15" priority="141" operator="containsText" text="No">
      <formula>NOT(ISERROR(SEARCH("No",N321)))</formula>
    </cfRule>
    <cfRule type="containsText" dxfId="14" priority="142" operator="containsText" text="Yes">
      <formula>NOT(ISERROR(SEARCH("Yes",N321)))</formula>
    </cfRule>
  </conditionalFormatting>
  <conditionalFormatting sqref="N348:N366">
    <cfRule type="containsText" dxfId="13" priority="130" operator="containsText" text="No">
      <formula>NOT(ISERROR(SEARCH("No",N348)))</formula>
    </cfRule>
    <cfRule type="containsText" dxfId="12" priority="131" operator="containsText" text="Yes">
      <formula>NOT(ISERROR(SEARCH("Yes",N348)))</formula>
    </cfRule>
  </conditionalFormatting>
  <conditionalFormatting sqref="N374:N392">
    <cfRule type="containsText" dxfId="10" priority="119" operator="containsText" text="No">
      <formula>NOT(ISERROR(SEARCH("No",N374)))</formula>
    </cfRule>
    <cfRule type="containsText" dxfId="11" priority="120" operator="containsText" text="Yes">
      <formula>NOT(ISERROR(SEARCH("Yes",N374)))</formula>
    </cfRule>
  </conditionalFormatting>
  <conditionalFormatting sqref="N400:N418">
    <cfRule type="containsText" dxfId="9" priority="108" operator="containsText" text="No">
      <formula>NOT(ISERROR(SEARCH("No",N400)))</formula>
    </cfRule>
    <cfRule type="containsText" dxfId="8" priority="109" operator="containsText" text="Yes">
      <formula>NOT(ISERROR(SEARCH("Yes",N400)))</formula>
    </cfRule>
  </conditionalFormatting>
  <conditionalFormatting sqref="N426:N444">
    <cfRule type="containsText" dxfId="6" priority="97" operator="containsText" text="No">
      <formula>NOT(ISERROR(SEARCH("No",N426)))</formula>
    </cfRule>
    <cfRule type="containsText" dxfId="7" priority="98" operator="containsText" text="Yes">
      <formula>NOT(ISERROR(SEARCH("Yes",N426)))</formula>
    </cfRule>
  </conditionalFormatting>
  <conditionalFormatting sqref="N453:N471">
    <cfRule type="containsText" dxfId="4" priority="86" operator="containsText" text="No">
      <formula>NOT(ISERROR(SEARCH("No",N453)))</formula>
    </cfRule>
    <cfRule type="containsText" dxfId="5" priority="87" operator="containsText" text="Yes">
      <formula>NOT(ISERROR(SEARCH("Yes",N453)))</formula>
    </cfRule>
  </conditionalFormatting>
  <conditionalFormatting sqref="N482:N500">
    <cfRule type="containsText" dxfId="3" priority="75" operator="containsText" text="No">
      <formula>NOT(ISERROR(SEARCH("No",N482)))</formula>
    </cfRule>
    <cfRule type="containsText" dxfId="2" priority="76" operator="containsText" text="Yes">
      <formula>NOT(ISERROR(SEARCH("Yes",N482)))</formula>
    </cfRule>
  </conditionalFormatting>
  <conditionalFormatting sqref="N508:N526">
    <cfRule type="containsText" dxfId="0" priority="64" operator="containsText" text="No">
      <formula>NOT(ISERROR(SEARCH("No",N508)))</formula>
    </cfRule>
    <cfRule type="containsText" dxfId="1" priority="65" operator="containsText" text="Yes">
      <formula>NOT(ISERROR(SEARCH("Yes",N508)))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2026-01-23T07:07:10Z</dcterms:created>
  <dcterms:modified xsi:type="dcterms:W3CDTF">2026-01-23T07:07:51Z</dcterms:modified>
</cp:coreProperties>
</file>