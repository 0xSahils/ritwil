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37221716-B1B7-46EE-827F-5202F6A23B6A}" xr6:coauthVersionLast="47" xr6:coauthVersionMax="47" xr10:uidLastSave="{00000000-0000-0000-0000-000000000000}"/>
  <bookViews>
    <workbookView xWindow="-108" yWindow="-108" windowWidth="23256" windowHeight="13176" xr2:uid="{5B97C974-3DB5-4BAB-83F1-BB11DF1C64D0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0" i="1" l="1" a="1"/>
  <c r="B690" i="1" s="1"/>
  <c r="A690" i="1"/>
  <c r="K688" i="1"/>
  <c r="J688" i="1" a="1"/>
  <c r="J688" i="1" s="1"/>
  <c r="H688" i="1"/>
  <c r="B688" i="1"/>
  <c r="F688" i="1" s="1"/>
  <c r="B666" i="1" a="1"/>
  <c r="J664" i="1" s="1" a="1"/>
  <c r="J664" i="1" s="1"/>
  <c r="A666" i="1"/>
  <c r="K664" i="1"/>
  <c r="E664" i="1"/>
  <c r="B664" i="1"/>
  <c r="F664" i="1" s="1"/>
  <c r="G664" i="1" s="1"/>
  <c r="I664" i="1" s="1" a="1"/>
  <c r="I664" i="1" s="1"/>
  <c r="B643" i="1" a="1"/>
  <c r="B643" i="1" s="1"/>
  <c r="A643" i="1"/>
  <c r="K641" i="1"/>
  <c r="J641" i="1" a="1"/>
  <c r="J641" i="1" s="1"/>
  <c r="H641" i="1"/>
  <c r="E641" i="1"/>
  <c r="B641" i="1"/>
  <c r="D641" i="1" s="1"/>
  <c r="B619" i="1" a="1"/>
  <c r="B619" i="1" s="1"/>
  <c r="A619" i="1"/>
  <c r="K617" i="1"/>
  <c r="J617" i="1" a="1"/>
  <c r="J617" i="1" s="1"/>
  <c r="H617" i="1"/>
  <c r="B617" i="1"/>
  <c r="F617" i="1" s="1"/>
  <c r="B595" i="1" a="1"/>
  <c r="B595" i="1" s="1"/>
  <c r="A595" i="1"/>
  <c r="K593" i="1"/>
  <c r="J593" i="1" a="1"/>
  <c r="J593" i="1" s="1"/>
  <c r="H593" i="1"/>
  <c r="B593" i="1"/>
  <c r="F593" i="1" s="1"/>
  <c r="B571" i="1" a="1"/>
  <c r="B571" i="1" s="1"/>
  <c r="A571" i="1"/>
  <c r="K569" i="1"/>
  <c r="J569" i="1" a="1"/>
  <c r="J569" i="1" s="1"/>
  <c r="H569" i="1"/>
  <c r="E569" i="1"/>
  <c r="B569" i="1"/>
  <c r="F569" i="1" s="1"/>
  <c r="G569" i="1" s="1"/>
  <c r="I569" i="1" s="1" a="1"/>
  <c r="I569" i="1" s="1"/>
  <c r="B547" i="1" a="1"/>
  <c r="B547" i="1" s="1"/>
  <c r="A547" i="1"/>
  <c r="K545" i="1"/>
  <c r="J545" i="1" a="1"/>
  <c r="J545" i="1" s="1"/>
  <c r="H545" i="1"/>
  <c r="E545" i="1"/>
  <c r="B545" i="1"/>
  <c r="D545" i="1" s="1"/>
  <c r="B524" i="1" a="1"/>
  <c r="B524" i="1" s="1"/>
  <c r="A524" i="1"/>
  <c r="K522" i="1"/>
  <c r="J522" i="1" a="1"/>
  <c r="J522" i="1" s="1"/>
  <c r="H522" i="1"/>
  <c r="B522" i="1"/>
  <c r="F522" i="1" s="1"/>
  <c r="B500" i="1" a="1"/>
  <c r="B500" i="1" s="1"/>
  <c r="A500" i="1"/>
  <c r="K498" i="1"/>
  <c r="J498" i="1" a="1"/>
  <c r="J498" i="1" s="1"/>
  <c r="H498" i="1"/>
  <c r="B498" i="1"/>
  <c r="F498" i="1" s="1"/>
  <c r="B477" i="1" a="1"/>
  <c r="B477" i="1" s="1"/>
  <c r="A477" i="1"/>
  <c r="K475" i="1"/>
  <c r="J475" i="1" a="1"/>
  <c r="J475" i="1" s="1"/>
  <c r="H475" i="1"/>
  <c r="E475" i="1"/>
  <c r="B475" i="1"/>
  <c r="F475" i="1" s="1"/>
  <c r="G475" i="1" s="1"/>
  <c r="I475" i="1" s="1" a="1"/>
  <c r="I475" i="1" s="1"/>
  <c r="B454" i="1" a="1"/>
  <c r="J452" i="1" s="1" a="1"/>
  <c r="J452" i="1" s="1"/>
  <c r="A454" i="1"/>
  <c r="K452" i="1"/>
  <c r="E452" i="1"/>
  <c r="B452" i="1"/>
  <c r="D452" i="1" s="1"/>
  <c r="B431" i="1" a="1"/>
  <c r="B431" i="1" s="1"/>
  <c r="A431" i="1"/>
  <c r="K429" i="1"/>
  <c r="J429" i="1" a="1"/>
  <c r="J429" i="1" s="1"/>
  <c r="H429" i="1"/>
  <c r="B429" i="1"/>
  <c r="F429" i="1" s="1"/>
  <c r="B408" i="1" a="1"/>
  <c r="B408" i="1" s="1"/>
  <c r="A408" i="1"/>
  <c r="K406" i="1"/>
  <c r="B406" i="1"/>
  <c r="F406" i="1" s="1"/>
  <c r="B384" i="1" a="1"/>
  <c r="J382" i="1" s="1" a="1"/>
  <c r="J382" i="1" s="1"/>
  <c r="A384" i="1"/>
  <c r="K382" i="1"/>
  <c r="E382" i="1"/>
  <c r="B382" i="1"/>
  <c r="F382" i="1" s="1"/>
  <c r="G382" i="1" s="1"/>
  <c r="I382" i="1" s="1" a="1"/>
  <c r="I382" i="1" s="1"/>
  <c r="B361" i="1" a="1"/>
  <c r="B361" i="1" s="1"/>
  <c r="A361" i="1"/>
  <c r="K359" i="1"/>
  <c r="J359" i="1" a="1"/>
  <c r="J359" i="1" s="1"/>
  <c r="H359" i="1"/>
  <c r="E359" i="1"/>
  <c r="B359" i="1"/>
  <c r="D359" i="1" s="1"/>
  <c r="B338" i="1" a="1"/>
  <c r="B338" i="1" s="1"/>
  <c r="A338" i="1"/>
  <c r="K336" i="1"/>
  <c r="J336" i="1" a="1"/>
  <c r="J336" i="1" s="1"/>
  <c r="H336" i="1"/>
  <c r="E336" i="1"/>
  <c r="B336" i="1"/>
  <c r="F336" i="1" s="1"/>
  <c r="G336" i="1" s="1"/>
  <c r="I336" i="1" s="1" a="1"/>
  <c r="I336" i="1" s="1"/>
  <c r="B314" i="1" a="1"/>
  <c r="B314" i="1" s="1"/>
  <c r="A314" i="1"/>
  <c r="K312" i="1"/>
  <c r="J312" i="1" a="1"/>
  <c r="J312" i="1" s="1"/>
  <c r="H312" i="1"/>
  <c r="B312" i="1"/>
  <c r="F312" i="1" s="1"/>
  <c r="B290" i="1" a="1"/>
  <c r="B290" i="1" s="1"/>
  <c r="A290" i="1"/>
  <c r="K288" i="1"/>
  <c r="J288" i="1" a="1"/>
  <c r="J288" i="1" s="1"/>
  <c r="H288" i="1"/>
  <c r="E288" i="1"/>
  <c r="B288" i="1"/>
  <c r="F288" i="1" s="1"/>
  <c r="G288" i="1" s="1"/>
  <c r="I288" i="1" s="1" a="1"/>
  <c r="I288" i="1" s="1"/>
  <c r="B267" i="1" a="1"/>
  <c r="B267" i="1" s="1"/>
  <c r="A267" i="1"/>
  <c r="K265" i="1"/>
  <c r="J265" i="1" a="1"/>
  <c r="J265" i="1" s="1"/>
  <c r="H265" i="1"/>
  <c r="E265" i="1"/>
  <c r="B265" i="1"/>
  <c r="D265" i="1" s="1"/>
  <c r="B244" i="1" a="1"/>
  <c r="B244" i="1" s="1"/>
  <c r="A244" i="1"/>
  <c r="K242" i="1"/>
  <c r="J242" i="1" a="1"/>
  <c r="J242" i="1" s="1"/>
  <c r="H242" i="1"/>
  <c r="B242" i="1"/>
  <c r="F242" i="1" s="1"/>
  <c r="B220" i="1" a="1"/>
  <c r="B220" i="1" s="1"/>
  <c r="A220" i="1"/>
  <c r="K218" i="1"/>
  <c r="B218" i="1"/>
  <c r="F218" i="1" s="1"/>
  <c r="B196" i="1" a="1"/>
  <c r="B196" i="1" s="1"/>
  <c r="A196" i="1"/>
  <c r="K194" i="1"/>
  <c r="J194" i="1" a="1"/>
  <c r="J194" i="1" s="1"/>
  <c r="H194" i="1"/>
  <c r="E194" i="1"/>
  <c r="B194" i="1"/>
  <c r="F194" i="1" s="1"/>
  <c r="G194" i="1" s="1"/>
  <c r="I194" i="1" s="1" a="1"/>
  <c r="I194" i="1" s="1"/>
  <c r="B171" i="1" a="1"/>
  <c r="J169" i="1" s="1" a="1"/>
  <c r="J169" i="1" s="1"/>
  <c r="A171" i="1"/>
  <c r="K169" i="1"/>
  <c r="E169" i="1"/>
  <c r="B169" i="1"/>
  <c r="D169" i="1" s="1"/>
  <c r="B147" i="1" a="1"/>
  <c r="B147" i="1" s="1"/>
  <c r="A147" i="1"/>
  <c r="K145" i="1"/>
  <c r="E145" i="1"/>
  <c r="B145" i="1"/>
  <c r="F145" i="1" s="1"/>
  <c r="G145" i="1" s="1"/>
  <c r="I145" i="1" s="1" a="1"/>
  <c r="I145" i="1" s="1"/>
  <c r="B122" i="1" a="1"/>
  <c r="B122" i="1" s="1"/>
  <c r="A122" i="1"/>
  <c r="K120" i="1"/>
  <c r="B120" i="1"/>
  <c r="F120" i="1" s="1"/>
  <c r="B99" i="1" a="1"/>
  <c r="J97" i="1" s="1" a="1"/>
  <c r="J97" i="1" s="1"/>
  <c r="A99" i="1"/>
  <c r="K97" i="1"/>
  <c r="E97" i="1"/>
  <c r="B97" i="1"/>
  <c r="F97" i="1" s="1"/>
  <c r="G97" i="1" s="1"/>
  <c r="I97" i="1" s="1" a="1"/>
  <c r="I97" i="1" s="1"/>
  <c r="B75" i="1" a="1"/>
  <c r="J73" i="1" s="1" a="1"/>
  <c r="J73" i="1" s="1"/>
  <c r="A75" i="1"/>
  <c r="K73" i="1"/>
  <c r="E73" i="1"/>
  <c r="B73" i="1"/>
  <c r="D73" i="1" s="1"/>
  <c r="B51" i="1" a="1"/>
  <c r="B51" i="1" s="1"/>
  <c r="A51" i="1"/>
  <c r="K49" i="1"/>
  <c r="B49" i="1"/>
  <c r="E49" i="1" s="1"/>
  <c r="B27" i="1" a="1"/>
  <c r="B27" i="1" s="1"/>
  <c r="A27" i="1"/>
  <c r="K25" i="1"/>
  <c r="B25" i="1"/>
  <c r="F25" i="1" s="1"/>
  <c r="B4" i="1" a="1"/>
  <c r="J2" i="1" s="1" a="1"/>
  <c r="J2" i="1" s="1"/>
  <c r="A4" i="1"/>
  <c r="K2" i="1"/>
  <c r="E2" i="1"/>
  <c r="B2" i="1"/>
  <c r="F2" i="1" s="1"/>
  <c r="G2" i="1" s="1"/>
  <c r="I2" i="1" s="1" a="1"/>
  <c r="I2" i="1" s="1"/>
  <c r="G522" i="1" l="1"/>
  <c r="I522" i="1" s="1" a="1"/>
  <c r="I522" i="1" s="1"/>
  <c r="G120" i="1"/>
  <c r="I120" i="1" s="1" a="1"/>
  <c r="I120" i="1" s="1"/>
  <c r="J145" i="1" a="1"/>
  <c r="J145" i="1" s="1"/>
  <c r="H2" i="1"/>
  <c r="B4" i="1"/>
  <c r="D49" i="1"/>
  <c r="F73" i="1"/>
  <c r="G73" i="1" s="1"/>
  <c r="I73" i="1" s="1" a="1"/>
  <c r="I73" i="1" s="1"/>
  <c r="H97" i="1"/>
  <c r="B99" i="1"/>
  <c r="D145" i="1"/>
  <c r="F169" i="1"/>
  <c r="G169" i="1" s="1"/>
  <c r="I169" i="1" s="1" a="1"/>
  <c r="I169" i="1" s="1"/>
  <c r="D242" i="1"/>
  <c r="F265" i="1"/>
  <c r="G265" i="1" s="1"/>
  <c r="I265" i="1" s="1" a="1"/>
  <c r="I265" i="1" s="1"/>
  <c r="D336" i="1"/>
  <c r="F359" i="1"/>
  <c r="G359" i="1" s="1"/>
  <c r="I359" i="1" s="1" a="1"/>
  <c r="I359" i="1" s="1"/>
  <c r="H382" i="1"/>
  <c r="B384" i="1"/>
  <c r="D429" i="1"/>
  <c r="F452" i="1"/>
  <c r="G452" i="1" s="1"/>
  <c r="I452" i="1" s="1" a="1"/>
  <c r="I452" i="1" s="1"/>
  <c r="D522" i="1"/>
  <c r="F545" i="1"/>
  <c r="G545" i="1" s="1"/>
  <c r="I545" i="1" s="1" a="1"/>
  <c r="I545" i="1" s="1"/>
  <c r="D617" i="1"/>
  <c r="F641" i="1"/>
  <c r="G641" i="1" s="1"/>
  <c r="I641" i="1" s="1" a="1"/>
  <c r="I641" i="1" s="1"/>
  <c r="H664" i="1"/>
  <c r="B666" i="1"/>
  <c r="J120" i="1" a="1"/>
  <c r="J120" i="1" s="1"/>
  <c r="J406" i="1" a="1"/>
  <c r="J406" i="1" s="1"/>
  <c r="E429" i="1"/>
  <c r="G429" i="1" s="1"/>
  <c r="I429" i="1" s="1" a="1"/>
  <c r="I429" i="1" s="1"/>
  <c r="J218" i="1" a="1"/>
  <c r="J218" i="1" s="1"/>
  <c r="E242" i="1"/>
  <c r="G242" i="1" s="1"/>
  <c r="I242" i="1" s="1" a="1"/>
  <c r="I242" i="1" s="1"/>
  <c r="E522" i="1"/>
  <c r="E617" i="1"/>
  <c r="G617" i="1" s="1"/>
  <c r="I617" i="1" s="1" a="1"/>
  <c r="I617" i="1" s="1"/>
  <c r="D25" i="1"/>
  <c r="F49" i="1"/>
  <c r="G49" i="1" s="1"/>
  <c r="I49" i="1" s="1" a="1"/>
  <c r="I49" i="1" s="1"/>
  <c r="H73" i="1"/>
  <c r="B75" i="1"/>
  <c r="D120" i="1"/>
  <c r="H169" i="1"/>
  <c r="B171" i="1"/>
  <c r="D218" i="1"/>
  <c r="D312" i="1"/>
  <c r="D406" i="1"/>
  <c r="H452" i="1"/>
  <c r="B454" i="1"/>
  <c r="D498" i="1"/>
  <c r="D593" i="1"/>
  <c r="D688" i="1"/>
  <c r="J49" i="1" a="1"/>
  <c r="J49" i="1" s="1"/>
  <c r="J25" i="1" a="1"/>
  <c r="J25" i="1" s="1"/>
  <c r="E25" i="1"/>
  <c r="G25" i="1" s="1"/>
  <c r="I25" i="1" s="1" a="1"/>
  <c r="I25" i="1" s="1"/>
  <c r="E218" i="1"/>
  <c r="G218" i="1" s="1"/>
  <c r="I218" i="1" s="1" a="1"/>
  <c r="I218" i="1" s="1"/>
  <c r="E406" i="1"/>
  <c r="G406" i="1" s="1"/>
  <c r="I406" i="1" s="1" a="1"/>
  <c r="I406" i="1" s="1"/>
  <c r="E688" i="1"/>
  <c r="G688" i="1" s="1"/>
  <c r="I688" i="1" s="1" a="1"/>
  <c r="I688" i="1" s="1"/>
  <c r="E120" i="1"/>
  <c r="E312" i="1"/>
  <c r="G312" i="1" s="1"/>
  <c r="I312" i="1" s="1" a="1"/>
  <c r="I312" i="1" s="1"/>
  <c r="E498" i="1"/>
  <c r="G498" i="1" s="1"/>
  <c r="I498" i="1" s="1" a="1"/>
  <c r="I498" i="1" s="1"/>
  <c r="E593" i="1"/>
  <c r="G593" i="1" s="1"/>
  <c r="I593" i="1" s="1" a="1"/>
  <c r="I593" i="1" s="1"/>
  <c r="D2" i="1"/>
  <c r="H49" i="1"/>
  <c r="D97" i="1"/>
  <c r="H145" i="1"/>
  <c r="D194" i="1"/>
  <c r="D288" i="1"/>
  <c r="D382" i="1"/>
  <c r="D475" i="1"/>
  <c r="D569" i="1"/>
  <c r="D664" i="1"/>
  <c r="H25" i="1"/>
  <c r="H120" i="1"/>
  <c r="H218" i="1"/>
  <c r="H40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<sst xmlns="http://schemas.openxmlformats.org/spreadsheetml/2006/main" count="810" uniqueCount="55">
  <si>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</si>
  <si>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</si>
  <si>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</si>
  <si>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</si>
  <si>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</si>
  <si>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</si>
  <si>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</si>
  <si>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</si>
  <si>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</si>
  <si>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</si>
  <si>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</si>
  <si>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Trust</t>
  </si>
  <si>
    <t>Rajat Arora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</si>
  <si>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</si>
  <si>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</si>
  <si>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</si>
  <si>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</si>
  <si>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</si>
  <si>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</si>
  <si>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</si>
  <si>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</si>
  <si>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</si>
  <si>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</si>
  <si>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</si>
  <si>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</si>
  <si>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</si>
  <si>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Pushpendra Kumar</t>
  </si>
  <si>
    <t>Sana Zohra</t>
  </si>
  <si>
    <t>Harsh Shukla</t>
  </si>
  <si>
    <t>Harsh Patel</t>
  </si>
  <si>
    <t>Virendra Vikram Singh</t>
  </si>
  <si>
    <t>Rishabh Kapoor</t>
  </si>
  <si>
    <t>Aarzoo Khan</t>
  </si>
  <si>
    <t>Neelendra Dhar Dwivedi</t>
  </si>
  <si>
    <t>Ashish Saxena</t>
  </si>
  <si>
    <t>Risha Singh</t>
  </si>
  <si>
    <t>Alisha Iqbal</t>
  </si>
  <si>
    <t>Gufran Ali</t>
  </si>
  <si>
    <t>Abhishek Singh</t>
  </si>
  <si>
    <t>Sudhir Kumar</t>
  </si>
  <si>
    <t>Anurag Srivastava</t>
  </si>
  <si>
    <t>Abhishek Verma</t>
  </si>
  <si>
    <t>Shivanshu Rastogi</t>
  </si>
  <si>
    <t>Astha Sharma</t>
  </si>
  <si>
    <t>Vivek Mani Upadhyay</t>
  </si>
  <si>
    <t>Shubham Patel</t>
  </si>
  <si>
    <t>Sachendra Singh Pal</t>
  </si>
  <si>
    <t>Mohd. Akbar</t>
  </si>
  <si>
    <t>Aditi Singh</t>
  </si>
  <si>
    <t>Ritika Mishra</t>
  </si>
  <si>
    <t>Ganesh Pandey</t>
  </si>
  <si>
    <t>Abhinay Singh</t>
  </si>
  <si>
    <t>Shubham Saini</t>
  </si>
  <si>
    <t>Rahul Srivastava</t>
  </si>
  <si>
    <t>Sameer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</si>
</sst>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0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5550-DB7F-4AE2-AF18-4187177BF9E3}">
  <dimension ref="A1:N708"/>
  <sheetViews>
    <sheetView tabSelected="1" zoomScale="68" workbookViewId="0">
      <selection activeCell="O18" sqref="O18"/>
    </sheetView>
  </sheetViews>
  <sheetFormatPr defaultColWidth="14.6640625" defaultRowHeight="14.4" x14ac:dyDescent="0.3"/>
  <cols>
    <col min="1" max="1" width="22.44140625" style="3" customWidth="1"/>
    <col min="2" max="2" width="35.44140625" style="3" bestFit="1" customWidth="1"/>
    <col min="3" max="3" width="22.44140625" style="3" bestFit="1" customWidth="1"/>
    <col min="4" max="4" width="14.5546875" style="3" bestFit="1" customWidth="1"/>
    <col min="5" max="5" width="10.109375" style="3" bestFit="1" customWidth="1"/>
    <col min="6" max="6" width="21.21875" style="3" bestFit="1" customWidth="1"/>
    <col min="7" max="7" width="14.6640625" style="3"/>
    <col min="8" max="8" width="14.5546875" style="3" bestFit="1" customWidth="1"/>
    <col min="9" max="9" width="12.88671875" style="3" bestFit="1" customWidth="1"/>
    <col min="10" max="11" width="13.88671875" style="3" bestFit="1" customWidth="1"/>
    <col min="12" max="12" width="14.109375" style="3" bestFit="1" customWidth="1"/>
    <col min="13" max="13" width="12.44140625" style="3" bestFit="1" customWidth="1"/>
    <col min="14" max="14" width="13.33203125" style="3" bestFit="1" customWidth="1"/>
    <col min="15" max="16384" width="14.6640625" style="3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x14ac:dyDescent="0.3">
      <c r="A2" s="4" t="s">
        <v>11</v>
      </c>
      <c r="B2" s="3" t="str">
        <f>_xlfn.XLOOKUP($C2,'[1]Basic EMP Data - 2025'!$D$3:$D$216,'[1]Basic EMP Data - 2025'!$C$3:$C$216)</f>
        <v>VB0957</v>
      </c>
      <c r="C2" s="5" t="s">
        <v>12</v>
      </c>
      <c r="D2" s="4" t="str">
        <f>VLOOKUP($B2,'[1]Basic EMP Data - 2025'!$C$3:$F$216,3,0)</f>
        <v>Harsh Agarwal</v>
      </c>
      <c r="E2" s="4">
        <f>VLOOKUP($B2,'[1]Basic EMP Data - 2025'!$C$3:$I$216,5,0)</f>
        <v>6</v>
      </c>
      <c r="F2" s="4">
        <f>VLOOKUP($B2,'[1]Basic EMP Data - 2025'!$C$3:$I$216,6,0)</f>
        <v>2</v>
      </c>
      <c r="G2" s="6">
        <f>F2/E2</f>
        <v>0.33333333333333331</v>
      </c>
      <c r="H2" s="7">
        <f>SUM(L4:L22)</f>
        <v>3500</v>
      </c>
      <c r="I2" s="8" cm="1">
        <f t="array" ref="I2">_xlfn.IFS($G2&lt;=34%,0%,$G2&lt;=75%,3%,$G2&lt;=120%,4%,$G2&gt;120%,5%)</f>
        <v>0</v>
      </c>
      <c r="J2" s="7" cm="1">
        <f t="array" ref="J2">SUMPRODUCT((C4:C22=2024)*M4:M22) + SUMPRODUCT((C4:C22=2025)*M4:M22*2)</f>
        <v>0</v>
      </c>
      <c r="K2" s="4">
        <f>SUM(N4:N22)</f>
        <v>0</v>
      </c>
      <c r="M2" s="2"/>
      <c r="N2" s="2"/>
    </row>
    <row r="3" spans="1:14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Rajat Arora</v>
      </c>
      <c r="B4" s="4" t="str" cm="1">
        <f t="array" ref="B4:M4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Seshagiri Kalluru</v>
      </c>
      <c r="C4" s="11">
        <v>2025</v>
      </c>
      <c r="D4" s="12">
        <v>45733</v>
      </c>
      <c r="E4" s="12" t="str">
        <v>-</v>
      </c>
      <c r="F4" s="4" t="str">
        <v>Infosys</v>
      </c>
      <c r="G4" s="13" t="str">
        <v>PLC-4147</v>
      </c>
      <c r="H4" s="14" t="str">
        <v>FTE</v>
      </c>
      <c r="I4" s="11" t="str">
        <v>Done</v>
      </c>
      <c r="J4" s="4" t="str">
        <v>Y</v>
      </c>
      <c r="K4" s="4">
        <v>0</v>
      </c>
      <c r="L4" s="7">
        <v>3500</v>
      </c>
      <c r="M4" s="7">
        <v>0</v>
      </c>
      <c r="N4" s="4"/>
    </row>
    <row r="5" spans="1:14" x14ac:dyDescent="0.3">
      <c r="A5" s="10"/>
      <c r="B5" s="4"/>
      <c r="C5" s="11"/>
      <c r="D5" s="12"/>
      <c r="E5" s="12"/>
      <c r="F5" s="4"/>
      <c r="G5" s="13"/>
      <c r="H5" s="14"/>
      <c r="I5" s="11"/>
      <c r="J5" s="4"/>
      <c r="K5" s="4"/>
      <c r="L5" s="7"/>
      <c r="M5" s="7"/>
      <c r="N5" s="4"/>
    </row>
    <row r="6" spans="1:14" x14ac:dyDescent="0.3">
      <c r="A6" s="10"/>
      <c r="B6" s="4"/>
      <c r="C6" s="11"/>
      <c r="D6" s="12"/>
      <c r="E6" s="12"/>
      <c r="F6" s="4"/>
      <c r="G6" s="13"/>
      <c r="H6" s="14"/>
      <c r="I6" s="11"/>
      <c r="J6" s="4"/>
      <c r="K6" s="4"/>
      <c r="L6" s="7"/>
      <c r="M6" s="7"/>
      <c r="N6" s="4"/>
    </row>
    <row r="7" spans="1:14" x14ac:dyDescent="0.3">
      <c r="A7" s="10"/>
      <c r="B7" s="4"/>
      <c r="C7" s="11"/>
      <c r="D7" s="12"/>
      <c r="E7" s="12"/>
      <c r="F7" s="4"/>
      <c r="G7" s="13"/>
      <c r="H7" s="14"/>
      <c r="I7" s="11"/>
      <c r="J7" s="4"/>
      <c r="K7" s="4"/>
      <c r="L7" s="7"/>
      <c r="M7" s="7"/>
      <c r="N7" s="4"/>
    </row>
    <row r="8" spans="1:14" x14ac:dyDescent="0.3">
      <c r="A8" s="10"/>
      <c r="B8" s="4"/>
      <c r="C8" s="11"/>
      <c r="D8" s="12"/>
      <c r="E8" s="12"/>
      <c r="F8" s="4"/>
      <c r="G8" s="13"/>
      <c r="H8" s="14"/>
      <c r="I8" s="11"/>
      <c r="J8" s="4"/>
      <c r="K8" s="4"/>
      <c r="L8" s="7"/>
      <c r="M8" s="7"/>
      <c r="N8" s="4"/>
    </row>
    <row r="9" spans="1:14" x14ac:dyDescent="0.3">
      <c r="A9" s="10"/>
      <c r="B9" s="4"/>
      <c r="C9" s="11"/>
      <c r="D9" s="12"/>
      <c r="E9" s="12"/>
      <c r="F9" s="4"/>
      <c r="G9" s="13"/>
      <c r="H9" s="14"/>
      <c r="I9" s="11"/>
      <c r="J9" s="4"/>
      <c r="K9" s="4"/>
      <c r="L9" s="7"/>
      <c r="M9" s="7"/>
      <c r="N9" s="4"/>
    </row>
    <row r="10" spans="1:14" x14ac:dyDescent="0.3">
      <c r="A10" s="10"/>
      <c r="B10" s="4"/>
      <c r="C10" s="11"/>
      <c r="D10" s="12"/>
      <c r="E10" s="12"/>
      <c r="F10" s="4"/>
      <c r="G10" s="13"/>
      <c r="H10" s="14"/>
      <c r="I10" s="11"/>
      <c r="J10" s="4"/>
      <c r="K10" s="4"/>
      <c r="L10" s="7"/>
      <c r="M10" s="7"/>
      <c r="N10" s="4"/>
    </row>
    <row r="11" spans="1:14" x14ac:dyDescent="0.3">
      <c r="A11" s="10"/>
      <c r="B11" s="4"/>
      <c r="C11" s="11"/>
      <c r="D11" s="12"/>
      <c r="E11" s="12"/>
      <c r="F11" s="4"/>
      <c r="G11" s="13"/>
      <c r="H11" s="14"/>
      <c r="I11" s="11"/>
      <c r="J11" s="4"/>
      <c r="K11" s="4"/>
      <c r="L11" s="7"/>
      <c r="M11" s="7"/>
      <c r="N11" s="4"/>
    </row>
    <row r="12" spans="1:14" x14ac:dyDescent="0.3">
      <c r="A12" s="10"/>
      <c r="B12" s="4"/>
      <c r="C12" s="11"/>
      <c r="D12" s="12"/>
      <c r="E12" s="12"/>
      <c r="F12" s="4"/>
      <c r="G12" s="13"/>
      <c r="H12" s="14"/>
      <c r="I12" s="11"/>
      <c r="J12" s="4"/>
      <c r="K12" s="4"/>
      <c r="L12" s="7"/>
      <c r="M12" s="7"/>
      <c r="N12" s="4"/>
    </row>
    <row r="13" spans="1:14" x14ac:dyDescent="0.3">
      <c r="A13" s="10"/>
      <c r="B13" s="4"/>
      <c r="C13" s="11"/>
      <c r="D13" s="12"/>
      <c r="E13" s="12"/>
      <c r="F13" s="4"/>
      <c r="G13" s="13"/>
      <c r="H13" s="14"/>
      <c r="I13" s="11"/>
      <c r="J13" s="4"/>
      <c r="K13" s="4"/>
      <c r="L13" s="7"/>
      <c r="M13" s="7"/>
      <c r="N13" s="4"/>
    </row>
    <row r="14" spans="1:14" x14ac:dyDescent="0.3">
      <c r="A14" s="10"/>
      <c r="B14" s="4"/>
      <c r="C14" s="11"/>
      <c r="D14" s="12"/>
      <c r="E14" s="12"/>
      <c r="F14" s="4"/>
      <c r="G14" s="13"/>
      <c r="H14" s="14"/>
      <c r="I14" s="11"/>
      <c r="J14" s="4"/>
      <c r="K14" s="4"/>
      <c r="L14" s="7"/>
      <c r="M14" s="7"/>
      <c r="N14" s="4"/>
    </row>
    <row r="15" spans="1:14" x14ac:dyDescent="0.3">
      <c r="A15" s="10"/>
      <c r="B15" s="4"/>
      <c r="C15" s="11"/>
      <c r="D15" s="12"/>
      <c r="E15" s="12"/>
      <c r="F15" s="4"/>
      <c r="G15" s="13"/>
      <c r="H15" s="14"/>
      <c r="I15" s="11"/>
      <c r="J15" s="4"/>
      <c r="K15" s="4"/>
      <c r="L15" s="7"/>
      <c r="M15" s="7"/>
      <c r="N15" s="4"/>
    </row>
    <row r="16" spans="1:14" x14ac:dyDescent="0.3">
      <c r="A16" s="10"/>
      <c r="B16" s="4"/>
      <c r="C16" s="11"/>
      <c r="D16" s="12"/>
      <c r="E16" s="12"/>
      <c r="F16" s="4"/>
      <c r="G16" s="13"/>
      <c r="H16" s="14"/>
      <c r="I16" s="11"/>
      <c r="J16" s="4"/>
      <c r="K16" s="4"/>
      <c r="L16" s="7"/>
      <c r="M16" s="7"/>
      <c r="N16" s="4"/>
    </row>
    <row r="17" spans="1:14" x14ac:dyDescent="0.3">
      <c r="A17" s="10"/>
      <c r="B17" s="4"/>
      <c r="C17" s="11"/>
      <c r="D17" s="12"/>
      <c r="E17" s="12"/>
      <c r="F17" s="4"/>
      <c r="G17" s="13"/>
      <c r="H17" s="14"/>
      <c r="I17" s="11"/>
      <c r="J17" s="4"/>
      <c r="K17" s="4"/>
      <c r="L17" s="7"/>
      <c r="M17" s="7"/>
      <c r="N17" s="4"/>
    </row>
    <row r="18" spans="1:14" x14ac:dyDescent="0.3">
      <c r="A18" s="10"/>
      <c r="B18" s="4"/>
      <c r="C18" s="11"/>
      <c r="D18" s="12"/>
      <c r="E18" s="12"/>
      <c r="F18" s="4"/>
      <c r="G18" s="13"/>
      <c r="H18" s="14"/>
      <c r="I18" s="11"/>
      <c r="J18" s="4"/>
      <c r="K18" s="4"/>
      <c r="L18" s="7"/>
      <c r="M18" s="7"/>
      <c r="N18" s="4"/>
    </row>
    <row r="19" spans="1:14" x14ac:dyDescent="0.3">
      <c r="A19" s="10"/>
      <c r="B19" s="4"/>
      <c r="C19" s="11"/>
      <c r="D19" s="12"/>
      <c r="E19" s="12"/>
      <c r="F19" s="4"/>
      <c r="G19" s="13"/>
      <c r="H19" s="14"/>
      <c r="I19" s="11"/>
      <c r="J19" s="4"/>
      <c r="K19" s="4"/>
      <c r="L19" s="7"/>
      <c r="M19" s="7"/>
      <c r="N19" s="4"/>
    </row>
    <row r="20" spans="1:14" x14ac:dyDescent="0.3">
      <c r="A20" s="10"/>
      <c r="B20" s="4"/>
      <c r="C20" s="11"/>
      <c r="D20" s="12"/>
      <c r="E20" s="12"/>
      <c r="F20" s="4"/>
      <c r="G20" s="13"/>
      <c r="H20" s="14"/>
      <c r="I20" s="11"/>
      <c r="J20" s="4"/>
      <c r="K20" s="4"/>
      <c r="L20" s="7"/>
      <c r="M20" s="7"/>
      <c r="N20" s="4"/>
    </row>
    <row r="21" spans="1:14" x14ac:dyDescent="0.3">
      <c r="A21" s="10"/>
      <c r="B21" s="4"/>
      <c r="C21" s="11"/>
      <c r="D21" s="12"/>
      <c r="E21" s="12"/>
      <c r="F21" s="4"/>
      <c r="G21" s="13"/>
      <c r="H21" s="14"/>
      <c r="I21" s="11"/>
      <c r="J21" s="4"/>
      <c r="K21" s="4"/>
      <c r="L21" s="7"/>
      <c r="M21" s="7"/>
      <c r="N21" s="4"/>
    </row>
    <row r="22" spans="1:14" x14ac:dyDescent="0.3">
      <c r="A22" s="10"/>
      <c r="B22" s="4"/>
      <c r="C22" s="11"/>
      <c r="D22" s="12"/>
      <c r="E22" s="12"/>
      <c r="F22" s="4"/>
      <c r="G22" s="13"/>
      <c r="H22" s="14"/>
      <c r="I22" s="11"/>
      <c r="J22" s="4"/>
      <c r="K22" s="4"/>
      <c r="L22" s="7"/>
      <c r="M22" s="7"/>
      <c r="N22" s="4"/>
    </row>
    <row r="24" spans="1:14" ht="43.2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2"/>
      <c r="M24" s="2"/>
      <c r="N24" s="2"/>
    </row>
    <row r="25" spans="1:14" x14ac:dyDescent="0.3">
      <c r="A25" s="4" t="s">
        <v>11</v>
      </c>
      <c r="B25" s="3" t="str">
        <f>_xlfn.XLOOKUP($C25,'[1]Basic EMP Data - 2025'!$D$3:$D$216,'[1]Basic EMP Data - 2025'!$C$3:$C$216)</f>
        <v>VB0964</v>
      </c>
      <c r="C25" s="5" t="s">
        <v>26</v>
      </c>
      <c r="D25" s="4" t="str">
        <f>VLOOKUP($B25,'[1]Basic EMP Data - 2025'!$C$3:$F$216,3,0)</f>
        <v>Harsh Agarwal</v>
      </c>
      <c r="E25" s="4">
        <f>VLOOKUP($B25,'[1]Basic EMP Data - 2025'!$C$3:$I$216,5,0)</f>
        <v>6</v>
      </c>
      <c r="F25" s="4">
        <f>VLOOKUP($B25,'[1]Basic EMP Data - 2025'!$C$3:$I$216,6,0)</f>
        <v>4</v>
      </c>
      <c r="G25" s="6">
        <f>F25/E25</f>
        <v>0.66666666666666663</v>
      </c>
      <c r="H25" s="7">
        <f>SUM(L27:L45)</f>
        <v>7020</v>
      </c>
      <c r="I25" s="8" cm="1">
        <f t="array" ref="I25">_xlfn.IFS($G25&lt;=34%,0%,$G25&lt;=75%,3%,$G25&lt;=120%,4%,$G25&gt;120%,5%)</f>
        <v>0.03</v>
      </c>
      <c r="J25" s="7" cm="1">
        <f t="array" ref="J25">SUMPRODUCT((C27:C45=2024)*M27:M45) + SUMPRODUCT((C27:C45=2025)*M27:M45*2)</f>
        <v>16848</v>
      </c>
      <c r="K25" s="4">
        <f>SUM(N27:N45)</f>
        <v>0</v>
      </c>
      <c r="M25" s="2"/>
      <c r="N25" s="2"/>
    </row>
    <row r="26" spans="1:14" ht="28.8" x14ac:dyDescent="0.3">
      <c r="A26" s="9" t="s">
        <v>2</v>
      </c>
      <c r="B26" s="9" t="s">
        <v>13</v>
      </c>
      <c r="C26" s="9" t="s">
        <v>14</v>
      </c>
      <c r="D26" s="9" t="s">
        <v>15</v>
      </c>
      <c r="E26" s="9" t="s">
        <v>16</v>
      </c>
      <c r="F26" s="9" t="s">
        <v>17</v>
      </c>
      <c r="G26" s="9" t="s">
        <v>18</v>
      </c>
      <c r="H26" s="9" t="s">
        <v>19</v>
      </c>
      <c r="I26" s="9" t="s">
        <v>20</v>
      </c>
      <c r="J26" s="9" t="s">
        <v>21</v>
      </c>
      <c r="K26" s="9" t="s">
        <v>22</v>
      </c>
      <c r="L26" s="9" t="s">
        <v>23</v>
      </c>
      <c r="M26" s="9" t="s">
        <v>24</v>
      </c>
      <c r="N26" s="9" t="s">
        <v>25</v>
      </c>
    </row>
    <row r="27" spans="1:14" x14ac:dyDescent="0.3">
      <c r="A27" s="10" t="str">
        <f>C25</f>
        <v>Pushpendra Kumar</v>
      </c>
      <c r="B27" s="4" t="str" cm="1">
        <f t="array" ref="B27:M28">_xlfn.LET(
  _xlpm.data, _xlfn._xlws.FILTER('[1]Incentive Data'!A:BV, '[1]Incentive Data'!H:H=$C25),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Raja Pamisetty</v>
      </c>
      <c r="C27" s="11">
        <v>2025</v>
      </c>
      <c r="D27" s="12">
        <v>45748</v>
      </c>
      <c r="E27" s="12">
        <v>45926</v>
      </c>
      <c r="F27" s="4" t="str">
        <v>Fanatics</v>
      </c>
      <c r="G27" s="13" t="str">
        <v>PLC-4194</v>
      </c>
      <c r="H27" s="14" t="str">
        <v>C2C</v>
      </c>
      <c r="I27" s="11" t="str">
        <v>Done</v>
      </c>
      <c r="J27" s="4" t="str">
        <v>Y</v>
      </c>
      <c r="K27" s="4">
        <v>176</v>
      </c>
      <c r="L27" s="7">
        <v>3520</v>
      </c>
      <c r="M27" s="7">
        <v>4224</v>
      </c>
      <c r="N27" s="4"/>
    </row>
    <row r="28" spans="1:14" x14ac:dyDescent="0.3">
      <c r="A28" s="10"/>
      <c r="B28" s="4" t="str">
        <v>Senthil Kumar Kathirvel</v>
      </c>
      <c r="C28" s="11">
        <v>2025</v>
      </c>
      <c r="D28" s="12">
        <v>45768</v>
      </c>
      <c r="E28" s="12" t="str">
        <v>-</v>
      </c>
      <c r="F28" s="4" t="str">
        <v>Infosys</v>
      </c>
      <c r="G28" s="13" t="str">
        <v>PLC-4193</v>
      </c>
      <c r="H28" s="14" t="str">
        <v>FTE</v>
      </c>
      <c r="I28" s="11" t="str">
        <v>Done</v>
      </c>
      <c r="J28" s="4" t="str">
        <v>Y</v>
      </c>
      <c r="K28" s="4">
        <v>0</v>
      </c>
      <c r="L28" s="7">
        <v>3500</v>
      </c>
      <c r="M28" s="7">
        <v>4200</v>
      </c>
      <c r="N28" s="4"/>
    </row>
    <row r="29" spans="1:14" x14ac:dyDescent="0.3">
      <c r="A29" s="10"/>
      <c r="B29" s="4"/>
      <c r="C29" s="11"/>
      <c r="D29" s="12"/>
      <c r="E29" s="12"/>
      <c r="F29" s="4"/>
      <c r="G29" s="13"/>
      <c r="H29" s="14"/>
      <c r="I29" s="11"/>
      <c r="J29" s="4"/>
      <c r="K29" s="4"/>
      <c r="L29" s="7"/>
      <c r="M29" s="7"/>
      <c r="N29" s="4"/>
    </row>
    <row r="30" spans="1:14" x14ac:dyDescent="0.3">
      <c r="A30" s="10"/>
      <c r="B30" s="4"/>
      <c r="C30" s="11"/>
      <c r="D30" s="12"/>
      <c r="E30" s="12"/>
      <c r="F30" s="4"/>
      <c r="G30" s="13"/>
      <c r="H30" s="14"/>
      <c r="I30" s="11"/>
      <c r="J30" s="4"/>
      <c r="K30" s="4"/>
      <c r="L30" s="7"/>
      <c r="M30" s="7"/>
      <c r="N30" s="4"/>
    </row>
    <row r="31" spans="1:14" x14ac:dyDescent="0.3">
      <c r="A31" s="10"/>
      <c r="B31" s="4"/>
      <c r="C31" s="11"/>
      <c r="D31" s="12"/>
      <c r="E31" s="12"/>
      <c r="F31" s="4"/>
      <c r="G31" s="13"/>
      <c r="H31" s="14"/>
      <c r="I31" s="11"/>
      <c r="J31" s="4"/>
      <c r="K31" s="4"/>
      <c r="L31" s="7"/>
      <c r="M31" s="7"/>
      <c r="N31" s="4"/>
    </row>
    <row r="32" spans="1:14" x14ac:dyDescent="0.3">
      <c r="A32" s="10"/>
      <c r="B32" s="4"/>
      <c r="C32" s="11"/>
      <c r="D32" s="12"/>
      <c r="E32" s="12"/>
      <c r="F32" s="4"/>
      <c r="G32" s="13"/>
      <c r="H32" s="14"/>
      <c r="I32" s="11"/>
      <c r="J32" s="4"/>
      <c r="K32" s="4"/>
      <c r="L32" s="7"/>
      <c r="M32" s="7"/>
      <c r="N32" s="4"/>
    </row>
    <row r="33" spans="1:14" x14ac:dyDescent="0.3">
      <c r="A33" s="10"/>
      <c r="B33" s="4"/>
      <c r="C33" s="11"/>
      <c r="D33" s="12"/>
      <c r="E33" s="12"/>
      <c r="F33" s="4"/>
      <c r="G33" s="13"/>
      <c r="H33" s="14"/>
      <c r="I33" s="11"/>
      <c r="J33" s="4"/>
      <c r="K33" s="4"/>
      <c r="L33" s="7"/>
      <c r="M33" s="7"/>
      <c r="N33" s="4"/>
    </row>
    <row r="34" spans="1:14" x14ac:dyDescent="0.3">
      <c r="A34" s="10"/>
      <c r="B34" s="4"/>
      <c r="C34" s="11"/>
      <c r="D34" s="12"/>
      <c r="E34" s="12"/>
      <c r="F34" s="4"/>
      <c r="G34" s="13"/>
      <c r="H34" s="14"/>
      <c r="I34" s="11"/>
      <c r="J34" s="4"/>
      <c r="K34" s="4"/>
      <c r="L34" s="7"/>
      <c r="M34" s="7"/>
      <c r="N34" s="4"/>
    </row>
    <row r="35" spans="1:14" x14ac:dyDescent="0.3">
      <c r="A35" s="10"/>
      <c r="B35" s="4"/>
      <c r="C35" s="11"/>
      <c r="D35" s="12"/>
      <c r="E35" s="12"/>
      <c r="F35" s="4"/>
      <c r="G35" s="13"/>
      <c r="H35" s="14"/>
      <c r="I35" s="11"/>
      <c r="J35" s="4"/>
      <c r="K35" s="4"/>
      <c r="L35" s="7"/>
      <c r="M35" s="7"/>
      <c r="N35" s="4"/>
    </row>
    <row r="36" spans="1:14" x14ac:dyDescent="0.3">
      <c r="A36" s="10"/>
      <c r="B36" s="4"/>
      <c r="C36" s="11"/>
      <c r="D36" s="12"/>
      <c r="E36" s="12"/>
      <c r="F36" s="4"/>
      <c r="G36" s="13"/>
      <c r="H36" s="14"/>
      <c r="I36" s="11"/>
      <c r="J36" s="4"/>
      <c r="K36" s="4"/>
      <c r="L36" s="7"/>
      <c r="M36" s="7"/>
      <c r="N36" s="4"/>
    </row>
    <row r="37" spans="1:14" x14ac:dyDescent="0.3">
      <c r="A37" s="10"/>
      <c r="B37" s="4"/>
      <c r="C37" s="11"/>
      <c r="D37" s="12"/>
      <c r="E37" s="12"/>
      <c r="F37" s="4"/>
      <c r="G37" s="13"/>
      <c r="H37" s="14"/>
      <c r="I37" s="11"/>
      <c r="J37" s="4"/>
      <c r="K37" s="4"/>
      <c r="L37" s="7"/>
      <c r="M37" s="7"/>
      <c r="N37" s="4"/>
    </row>
    <row r="38" spans="1:14" x14ac:dyDescent="0.3">
      <c r="A38" s="10"/>
      <c r="B38" s="4"/>
      <c r="C38" s="11"/>
      <c r="D38" s="12"/>
      <c r="E38" s="12"/>
      <c r="F38" s="4"/>
      <c r="G38" s="13"/>
      <c r="H38" s="14"/>
      <c r="I38" s="11"/>
      <c r="J38" s="4"/>
      <c r="K38" s="4"/>
      <c r="L38" s="7"/>
      <c r="M38" s="7"/>
      <c r="N38" s="4"/>
    </row>
    <row r="39" spans="1:14" x14ac:dyDescent="0.3">
      <c r="A39" s="10"/>
      <c r="B39" s="4"/>
      <c r="C39" s="11"/>
      <c r="D39" s="12"/>
      <c r="E39" s="12"/>
      <c r="F39" s="4"/>
      <c r="G39" s="13"/>
      <c r="H39" s="14"/>
      <c r="I39" s="11"/>
      <c r="J39" s="4"/>
      <c r="K39" s="4"/>
      <c r="L39" s="7"/>
      <c r="M39" s="7"/>
      <c r="N39" s="4"/>
    </row>
    <row r="40" spans="1:14" x14ac:dyDescent="0.3">
      <c r="A40" s="10"/>
      <c r="B40" s="4"/>
      <c r="C40" s="11"/>
      <c r="D40" s="12"/>
      <c r="E40" s="12"/>
      <c r="F40" s="4"/>
      <c r="G40" s="13"/>
      <c r="H40" s="14"/>
      <c r="I40" s="11"/>
      <c r="J40" s="4"/>
      <c r="K40" s="4"/>
      <c r="L40" s="7"/>
      <c r="M40" s="7"/>
      <c r="N40" s="4"/>
    </row>
    <row r="41" spans="1:14" x14ac:dyDescent="0.3">
      <c r="A41" s="10"/>
      <c r="B41" s="4"/>
      <c r="C41" s="11"/>
      <c r="D41" s="12"/>
      <c r="E41" s="12"/>
      <c r="F41" s="4"/>
      <c r="G41" s="13"/>
      <c r="H41" s="14"/>
      <c r="I41" s="11"/>
      <c r="J41" s="4"/>
      <c r="K41" s="4"/>
      <c r="L41" s="7"/>
      <c r="M41" s="7"/>
      <c r="N41" s="4"/>
    </row>
    <row r="42" spans="1:14" x14ac:dyDescent="0.3">
      <c r="A42" s="10"/>
      <c r="B42" s="4"/>
      <c r="C42" s="11"/>
      <c r="D42" s="12"/>
      <c r="E42" s="12"/>
      <c r="F42" s="4"/>
      <c r="G42" s="13"/>
      <c r="H42" s="14"/>
      <c r="I42" s="11"/>
      <c r="J42" s="4"/>
      <c r="K42" s="4"/>
      <c r="L42" s="7"/>
      <c r="M42" s="7"/>
      <c r="N42" s="4"/>
    </row>
    <row r="43" spans="1:14" x14ac:dyDescent="0.3">
      <c r="A43" s="10"/>
      <c r="B43" s="4"/>
      <c r="C43" s="11"/>
      <c r="D43" s="12"/>
      <c r="E43" s="12"/>
      <c r="F43" s="4"/>
      <c r="G43" s="13"/>
      <c r="H43" s="14"/>
      <c r="I43" s="11"/>
      <c r="J43" s="4"/>
      <c r="K43" s="4"/>
      <c r="L43" s="7"/>
      <c r="M43" s="7"/>
      <c r="N43" s="4"/>
    </row>
    <row r="44" spans="1:14" x14ac:dyDescent="0.3">
      <c r="A44" s="10"/>
      <c r="B44" s="4"/>
      <c r="C44" s="11"/>
      <c r="D44" s="12"/>
      <c r="E44" s="12"/>
      <c r="F44" s="4"/>
      <c r="G44" s="13"/>
      <c r="H44" s="14"/>
      <c r="I44" s="11"/>
      <c r="J44" s="4"/>
      <c r="K44" s="4"/>
      <c r="L44" s="7"/>
      <c r="M44" s="7"/>
      <c r="N44" s="4"/>
    </row>
    <row r="45" spans="1:14" x14ac:dyDescent="0.3">
      <c r="A45" s="10"/>
      <c r="B45" s="4"/>
      <c r="C45" s="11"/>
      <c r="D45" s="12"/>
      <c r="E45" s="12"/>
      <c r="F45" s="4"/>
      <c r="G45" s="13"/>
      <c r="H45" s="14"/>
      <c r="I45" s="11"/>
      <c r="J45" s="4"/>
      <c r="K45" s="4"/>
      <c r="L45" s="7"/>
      <c r="M45" s="7"/>
      <c r="N45" s="4"/>
    </row>
    <row r="48" spans="1:14" ht="43.2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2"/>
      <c r="M48" s="2"/>
      <c r="N48" s="2"/>
    </row>
    <row r="49" spans="1:14" x14ac:dyDescent="0.3">
      <c r="A49" s="4" t="s">
        <v>11</v>
      </c>
      <c r="B49" s="3" t="str">
        <f>_xlfn.XLOOKUP($C49,'[1]Basic EMP Data - 2025'!$D$3:$D$216,'[1]Basic EMP Data - 2025'!$C$3:$C$216)</f>
        <v>VB1782</v>
      </c>
      <c r="C49" s="5" t="s">
        <v>27</v>
      </c>
      <c r="D49" s="4" t="str">
        <f>VLOOKUP($B49,'[1]Basic EMP Data - 2025'!$C$3:$F$216,3,0)</f>
        <v>Harsh Agarwal</v>
      </c>
      <c r="E49" s="4">
        <f>VLOOKUP($B49,'[1]Basic EMP Data - 2025'!$C$3:$I$216,5,0)</f>
        <v>6</v>
      </c>
      <c r="F49" s="4">
        <f>VLOOKUP($B49,'[1]Basic EMP Data - 2025'!$C$3:$I$216,6,0)</f>
        <v>3.5</v>
      </c>
      <c r="G49" s="6">
        <f>F49/E49</f>
        <v>0.58333333333333337</v>
      </c>
      <c r="H49" s="7">
        <f>SUM(L51:L69)</f>
        <v>14677.599999999999</v>
      </c>
      <c r="I49" s="8" cm="1">
        <f t="array" ref="I49">_xlfn.IFS($G49&lt;=34%,0%,$G49&lt;=75%,3%,$G49&lt;=120%,4%,$G49&gt;120%,5%)</f>
        <v>0.03</v>
      </c>
      <c r="J49" s="7" cm="1">
        <f t="array" ref="J49">SUMPRODUCT((C51:C69=2024)*M51:M69) + SUMPRODUCT((C51:C69=2025)*M51:M69*2)</f>
        <v>33426.87999999999</v>
      </c>
      <c r="K49" s="4">
        <f>SUM(N51:N69)</f>
        <v>0</v>
      </c>
      <c r="M49" s="2"/>
      <c r="N49" s="2"/>
    </row>
    <row r="50" spans="1:14" ht="28.8" x14ac:dyDescent="0.3">
      <c r="A50" s="9" t="s">
        <v>2</v>
      </c>
      <c r="B50" s="9" t="s">
        <v>13</v>
      </c>
      <c r="C50" s="9" t="s">
        <v>14</v>
      </c>
      <c r="D50" s="9" t="s">
        <v>15</v>
      </c>
      <c r="E50" s="9" t="s">
        <v>16</v>
      </c>
      <c r="F50" s="9" t="s">
        <v>17</v>
      </c>
      <c r="G50" s="9" t="s">
        <v>18</v>
      </c>
      <c r="H50" s="9" t="s">
        <v>19</v>
      </c>
      <c r="I50" s="9" t="s">
        <v>20</v>
      </c>
      <c r="J50" s="9" t="s">
        <v>21</v>
      </c>
      <c r="K50" s="9" t="s">
        <v>22</v>
      </c>
      <c r="L50" s="9" t="s">
        <v>23</v>
      </c>
      <c r="M50" s="9" t="s">
        <v>24</v>
      </c>
      <c r="N50" s="9" t="s">
        <v>25</v>
      </c>
    </row>
    <row r="51" spans="1:14" x14ac:dyDescent="0.3">
      <c r="A51" s="10" t="str">
        <f>C49</f>
        <v>Sana Zohra</v>
      </c>
      <c r="B51" s="4" t="str" cm="1">
        <f t="array" ref="B51:M55">_xlfn.LET(
  _xlpm.data, _xlfn._xlws.FILTER('[1]Incentive Data'!A:BV, '[1]Incentive Data'!H:H=$C49),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Douglas Campbell</v>
      </c>
      <c r="C51" s="11">
        <v>2025</v>
      </c>
      <c r="D51" s="12">
        <v>45762</v>
      </c>
      <c r="E51" s="12">
        <v>45863</v>
      </c>
      <c r="F51" s="4" t="str">
        <v>Global Logic</v>
      </c>
      <c r="G51" s="13" t="str">
        <v>PLC-4192</v>
      </c>
      <c r="H51" s="14" t="str">
        <v>C2C</v>
      </c>
      <c r="I51" s="11" t="str">
        <v>Done</v>
      </c>
      <c r="J51" s="4" t="str">
        <v>Y</v>
      </c>
      <c r="K51" s="4">
        <v>88</v>
      </c>
      <c r="L51" s="7">
        <v>871.2</v>
      </c>
      <c r="M51" s="7">
        <v>1056</v>
      </c>
      <c r="N51" s="4"/>
    </row>
    <row r="52" spans="1:14" x14ac:dyDescent="0.3">
      <c r="A52" s="10"/>
      <c r="B52" s="4" t="str">
        <v>Rama Subrahmanyam Jonnalagadda</v>
      </c>
      <c r="C52" s="11">
        <v>2024</v>
      </c>
      <c r="D52" s="12">
        <v>45446</v>
      </c>
      <c r="E52" s="12">
        <v>45730</v>
      </c>
      <c r="F52" s="4" t="str">
        <v>Birlasoft</v>
      </c>
      <c r="G52" s="13" t="str">
        <v>PLC-3795</v>
      </c>
      <c r="H52" s="14" t="str">
        <v>C2C</v>
      </c>
      <c r="I52" s="11" t="str">
        <v>Done</v>
      </c>
      <c r="J52" s="4" t="str">
        <v>Y</v>
      </c>
      <c r="K52" s="4">
        <v>416</v>
      </c>
      <c r="L52" s="7">
        <v>2329.5999999999976</v>
      </c>
      <c r="M52" s="7">
        <v>5125.1199999999935</v>
      </c>
      <c r="N52" s="4"/>
    </row>
    <row r="53" spans="1:14" x14ac:dyDescent="0.3">
      <c r="A53" s="10"/>
      <c r="B53" s="4" t="str">
        <v>Raymond Benison</v>
      </c>
      <c r="C53" s="11">
        <v>2024</v>
      </c>
      <c r="D53" s="12">
        <v>45453</v>
      </c>
      <c r="E53" s="12">
        <v>45912</v>
      </c>
      <c r="F53" s="4" t="str">
        <v>Morton Way</v>
      </c>
      <c r="G53" s="13" t="str">
        <v>PLC-3792</v>
      </c>
      <c r="H53" s="14" t="str">
        <v>W2</v>
      </c>
      <c r="I53" s="11" t="str">
        <v>Done</v>
      </c>
      <c r="J53" s="4" t="str">
        <v>Y</v>
      </c>
      <c r="K53" s="4">
        <v>664</v>
      </c>
      <c r="L53" s="7">
        <v>6772.800000000002</v>
      </c>
      <c r="M53" s="7">
        <v>14900.160000000002</v>
      </c>
      <c r="N53" s="4"/>
    </row>
    <row r="54" spans="1:14" x14ac:dyDescent="0.3">
      <c r="A54" s="10"/>
      <c r="B54" s="4" t="str">
        <v>Sagul Hameed Mohamed Haneefa</v>
      </c>
      <c r="C54" s="11">
        <v>2025</v>
      </c>
      <c r="D54" s="12">
        <v>45678</v>
      </c>
      <c r="E54" s="12">
        <v>45716</v>
      </c>
      <c r="F54" s="4" t="str">
        <v>Birlasoft</v>
      </c>
      <c r="G54" s="13" t="str">
        <v>PLC-4078</v>
      </c>
      <c r="H54" s="14" t="str">
        <v>W2</v>
      </c>
      <c r="I54" s="11" t="str">
        <v>Done</v>
      </c>
      <c r="J54" s="4" t="str">
        <v>Y</v>
      </c>
      <c r="K54" s="4">
        <v>224</v>
      </c>
      <c r="L54" s="7">
        <v>2912</v>
      </c>
      <c r="M54" s="7">
        <v>3494.3999999999996</v>
      </c>
      <c r="N54" s="4"/>
    </row>
    <row r="55" spans="1:14" x14ac:dyDescent="0.3">
      <c r="A55" s="10"/>
      <c r="B55" s="4" t="str">
        <v>Srinivas Pulkaram</v>
      </c>
      <c r="C55" s="11">
        <v>2025</v>
      </c>
      <c r="D55" s="12">
        <v>45729</v>
      </c>
      <c r="E55" s="12">
        <v>45919</v>
      </c>
      <c r="F55" s="4" t="str">
        <v>Birlasoft</v>
      </c>
      <c r="G55" s="13" t="str">
        <v>PLC-4160</v>
      </c>
      <c r="H55" s="14" t="str">
        <v>C2C</v>
      </c>
      <c r="I55" s="11" t="str">
        <v>Done</v>
      </c>
      <c r="J55" s="4" t="str">
        <v>Y</v>
      </c>
      <c r="K55" s="4">
        <v>256</v>
      </c>
      <c r="L55" s="7">
        <v>1792</v>
      </c>
      <c r="M55" s="7">
        <v>2150.4</v>
      </c>
      <c r="N55" s="4"/>
    </row>
    <row r="56" spans="1:14" x14ac:dyDescent="0.3">
      <c r="A56" s="10"/>
      <c r="B56" s="4"/>
      <c r="C56" s="11"/>
      <c r="D56" s="12"/>
      <c r="E56" s="12"/>
      <c r="F56" s="4"/>
      <c r="G56" s="13"/>
      <c r="H56" s="14"/>
      <c r="I56" s="11"/>
      <c r="J56" s="4"/>
      <c r="K56" s="4"/>
      <c r="L56" s="7"/>
      <c r="M56" s="7"/>
      <c r="N56" s="4"/>
    </row>
    <row r="57" spans="1:14" x14ac:dyDescent="0.3">
      <c r="A57" s="10"/>
      <c r="B57" s="4"/>
      <c r="C57" s="11"/>
      <c r="D57" s="12"/>
      <c r="E57" s="12"/>
      <c r="F57" s="4"/>
      <c r="G57" s="13"/>
      <c r="H57" s="14"/>
      <c r="I57" s="11"/>
      <c r="J57" s="4"/>
      <c r="K57" s="4"/>
      <c r="L57" s="7"/>
      <c r="M57" s="7"/>
      <c r="N57" s="4"/>
    </row>
    <row r="58" spans="1:14" x14ac:dyDescent="0.3">
      <c r="A58" s="10"/>
      <c r="B58" s="4"/>
      <c r="C58" s="11"/>
      <c r="D58" s="12"/>
      <c r="E58" s="12"/>
      <c r="F58" s="4"/>
      <c r="G58" s="13"/>
      <c r="H58" s="14"/>
      <c r="I58" s="11"/>
      <c r="J58" s="4"/>
      <c r="K58" s="4"/>
      <c r="L58" s="7"/>
      <c r="M58" s="7"/>
      <c r="N58" s="4"/>
    </row>
    <row r="59" spans="1:14" x14ac:dyDescent="0.3">
      <c r="A59" s="10"/>
      <c r="B59" s="4"/>
      <c r="C59" s="11"/>
      <c r="D59" s="12"/>
      <c r="E59" s="12"/>
      <c r="F59" s="4"/>
      <c r="G59" s="13"/>
      <c r="H59" s="14"/>
      <c r="I59" s="11"/>
      <c r="J59" s="4"/>
      <c r="K59" s="4"/>
      <c r="L59" s="7"/>
      <c r="M59" s="7"/>
      <c r="N59" s="4"/>
    </row>
    <row r="60" spans="1:14" x14ac:dyDescent="0.3">
      <c r="A60" s="10"/>
      <c r="B60" s="4"/>
      <c r="C60" s="11"/>
      <c r="D60" s="12"/>
      <c r="E60" s="12"/>
      <c r="F60" s="4"/>
      <c r="G60" s="13"/>
      <c r="H60" s="14"/>
      <c r="I60" s="11"/>
      <c r="J60" s="4"/>
      <c r="K60" s="4"/>
      <c r="L60" s="7"/>
      <c r="M60" s="7"/>
      <c r="N60" s="4"/>
    </row>
    <row r="61" spans="1:14" x14ac:dyDescent="0.3">
      <c r="A61" s="10"/>
      <c r="B61" s="4"/>
      <c r="C61" s="11"/>
      <c r="D61" s="12"/>
      <c r="E61" s="12"/>
      <c r="F61" s="4"/>
      <c r="G61" s="13"/>
      <c r="H61" s="14"/>
      <c r="I61" s="11"/>
      <c r="J61" s="4"/>
      <c r="K61" s="4"/>
      <c r="L61" s="7"/>
      <c r="M61" s="7"/>
      <c r="N61" s="4"/>
    </row>
    <row r="62" spans="1:14" x14ac:dyDescent="0.3">
      <c r="A62" s="10"/>
      <c r="B62" s="4"/>
      <c r="C62" s="11"/>
      <c r="D62" s="12"/>
      <c r="E62" s="12"/>
      <c r="F62" s="4"/>
      <c r="G62" s="13"/>
      <c r="H62" s="14"/>
      <c r="I62" s="11"/>
      <c r="J62" s="4"/>
      <c r="K62" s="4"/>
      <c r="L62" s="7"/>
      <c r="M62" s="7"/>
      <c r="N62" s="4"/>
    </row>
    <row r="63" spans="1:14" x14ac:dyDescent="0.3">
      <c r="A63" s="10"/>
      <c r="B63" s="4"/>
      <c r="C63" s="11"/>
      <c r="D63" s="12"/>
      <c r="E63" s="12"/>
      <c r="F63" s="4"/>
      <c r="G63" s="13"/>
      <c r="H63" s="14"/>
      <c r="I63" s="11"/>
      <c r="J63" s="4"/>
      <c r="K63" s="4"/>
      <c r="L63" s="7"/>
      <c r="M63" s="7"/>
      <c r="N63" s="4"/>
    </row>
    <row r="64" spans="1:14" x14ac:dyDescent="0.3">
      <c r="A64" s="10"/>
      <c r="B64" s="4"/>
      <c r="C64" s="11"/>
      <c r="D64" s="12"/>
      <c r="E64" s="12"/>
      <c r="F64" s="4"/>
      <c r="G64" s="13"/>
      <c r="H64" s="14"/>
      <c r="I64" s="11"/>
      <c r="J64" s="4"/>
      <c r="K64" s="4"/>
      <c r="L64" s="7"/>
      <c r="M64" s="7"/>
      <c r="N64" s="4"/>
    </row>
    <row r="65" spans="1:14" x14ac:dyDescent="0.3">
      <c r="A65" s="10"/>
      <c r="B65" s="4"/>
      <c r="C65" s="11"/>
      <c r="D65" s="12"/>
      <c r="E65" s="12"/>
      <c r="F65" s="4"/>
      <c r="G65" s="13"/>
      <c r="H65" s="14"/>
      <c r="I65" s="11"/>
      <c r="J65" s="4"/>
      <c r="K65" s="4"/>
      <c r="L65" s="7"/>
      <c r="M65" s="7"/>
      <c r="N65" s="4"/>
    </row>
    <row r="66" spans="1:14" x14ac:dyDescent="0.3">
      <c r="A66" s="10"/>
      <c r="B66" s="4"/>
      <c r="C66" s="11"/>
      <c r="D66" s="12"/>
      <c r="E66" s="12"/>
      <c r="F66" s="4"/>
      <c r="G66" s="13"/>
      <c r="H66" s="14"/>
      <c r="I66" s="11"/>
      <c r="J66" s="4"/>
      <c r="K66" s="4"/>
      <c r="L66" s="7"/>
      <c r="M66" s="7"/>
      <c r="N66" s="4"/>
    </row>
    <row r="67" spans="1:14" x14ac:dyDescent="0.3">
      <c r="A67" s="10"/>
      <c r="B67" s="4"/>
      <c r="C67" s="11"/>
      <c r="D67" s="12"/>
      <c r="E67" s="12"/>
      <c r="F67" s="4"/>
      <c r="G67" s="13"/>
      <c r="H67" s="14"/>
      <c r="I67" s="11"/>
      <c r="J67" s="4"/>
      <c r="K67" s="4"/>
      <c r="L67" s="7"/>
      <c r="M67" s="7"/>
      <c r="N67" s="4"/>
    </row>
    <row r="68" spans="1:14" x14ac:dyDescent="0.3">
      <c r="A68" s="10"/>
      <c r="B68" s="4"/>
      <c r="C68" s="11"/>
      <c r="D68" s="12"/>
      <c r="E68" s="12"/>
      <c r="F68" s="4"/>
      <c r="G68" s="13"/>
      <c r="H68" s="14"/>
      <c r="I68" s="11"/>
      <c r="J68" s="4"/>
      <c r="K68" s="4"/>
      <c r="L68" s="7"/>
      <c r="M68" s="7"/>
      <c r="N68" s="4"/>
    </row>
    <row r="69" spans="1:14" x14ac:dyDescent="0.3">
      <c r="A69" s="10"/>
      <c r="B69" s="4"/>
      <c r="C69" s="11"/>
      <c r="D69" s="12"/>
      <c r="E69" s="12"/>
      <c r="F69" s="4"/>
      <c r="G69" s="13"/>
      <c r="H69" s="14"/>
      <c r="I69" s="11"/>
      <c r="J69" s="4"/>
      <c r="K69" s="4"/>
      <c r="L69" s="7"/>
      <c r="M69" s="7"/>
      <c r="N69" s="4"/>
    </row>
    <row r="72" spans="1:14" ht="43.2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2"/>
      <c r="M72" s="2"/>
      <c r="N72" s="2"/>
    </row>
    <row r="73" spans="1:14" x14ac:dyDescent="0.3">
      <c r="A73" s="4" t="s">
        <v>11</v>
      </c>
      <c r="B73" s="3" t="str">
        <f>_xlfn.XLOOKUP($C73,'[1]Basic EMP Data - 2025'!$D$3:$D$216,'[1]Basic EMP Data - 2025'!$C$3:$C$216)</f>
        <v>VB0694</v>
      </c>
      <c r="C73" s="5" t="s">
        <v>28</v>
      </c>
      <c r="D73" s="4" t="str">
        <f>VLOOKUP($B73,'[1]Basic EMP Data - 2025'!$C$3:$F$216,3,0)</f>
        <v>Harsh Agarwal</v>
      </c>
      <c r="E73" s="4">
        <f>VLOOKUP($B73,'[1]Basic EMP Data - 2025'!$C$3:$I$216,5,0)</f>
        <v>6</v>
      </c>
      <c r="F73" s="4">
        <f>VLOOKUP($B73,'[1]Basic EMP Data - 2025'!$C$3:$I$216,6,0)</f>
        <v>5</v>
      </c>
      <c r="G73" s="6">
        <f>F73/E73</f>
        <v>0.83333333333333337</v>
      </c>
      <c r="H73" s="7">
        <f>SUM(L75:L93)</f>
        <v>3500</v>
      </c>
      <c r="I73" s="8" cm="1">
        <f t="array" ref="I73">_xlfn.IFS($G73&lt;=34%,0%,$G73&lt;=75%,3%,$G73&lt;=120%,4%,$G73&gt;120%,5%)</f>
        <v>0.04</v>
      </c>
      <c r="J73" s="7" cm="1">
        <f t="array" ref="J73">SUMPRODUCT((C75:C93=2024)*M75:M93) + SUMPRODUCT((C75:C93=2025)*M75:M93*2)</f>
        <v>11200</v>
      </c>
      <c r="K73" s="4">
        <f>SUM(N75:N93)</f>
        <v>0</v>
      </c>
      <c r="M73" s="2"/>
      <c r="N73" s="2"/>
    </row>
    <row r="74" spans="1:14" ht="28.8" x14ac:dyDescent="0.3">
      <c r="A74" s="9" t="s">
        <v>2</v>
      </c>
      <c r="B74" s="9" t="s">
        <v>13</v>
      </c>
      <c r="C74" s="9" t="s">
        <v>14</v>
      </c>
      <c r="D74" s="9" t="s">
        <v>15</v>
      </c>
      <c r="E74" s="9" t="s">
        <v>16</v>
      </c>
      <c r="F74" s="9" t="s">
        <v>17</v>
      </c>
      <c r="G74" s="9" t="s">
        <v>18</v>
      </c>
      <c r="H74" s="9" t="s">
        <v>19</v>
      </c>
      <c r="I74" s="9" t="s">
        <v>20</v>
      </c>
      <c r="J74" s="9" t="s">
        <v>21</v>
      </c>
      <c r="K74" s="9" t="s">
        <v>22</v>
      </c>
      <c r="L74" s="9" t="s">
        <v>23</v>
      </c>
      <c r="M74" s="9" t="s">
        <v>24</v>
      </c>
      <c r="N74" s="9" t="s">
        <v>25</v>
      </c>
    </row>
    <row r="75" spans="1:14" x14ac:dyDescent="0.3">
      <c r="A75" s="10" t="str">
        <f>C73</f>
        <v>Harsh Shukla</v>
      </c>
      <c r="B75" s="4" t="str" cm="1">
        <f t="array" ref="B75:M75">_xlfn.LET(
  _xlpm.data, _xlfn._xlws.FILTER('[1]Incentive Data'!A:BV, '[1]Incentive Data'!H:H=$C73),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Smita Pattanaik</v>
      </c>
      <c r="C75" s="11">
        <v>2025</v>
      </c>
      <c r="D75" s="12">
        <v>45775</v>
      </c>
      <c r="E75" s="12" t="str">
        <v>-</v>
      </c>
      <c r="F75" s="4" t="str">
        <v>Infosys</v>
      </c>
      <c r="G75" s="13" t="str">
        <v>PLC-4210</v>
      </c>
      <c r="H75" s="14" t="str">
        <v>FTE</v>
      </c>
      <c r="I75" s="11" t="str">
        <v>Done</v>
      </c>
      <c r="J75" s="4" t="str">
        <v>Y</v>
      </c>
      <c r="K75" s="4">
        <v>0</v>
      </c>
      <c r="L75" s="7">
        <v>3500</v>
      </c>
      <c r="M75" s="7">
        <v>5600</v>
      </c>
      <c r="N75" s="4"/>
    </row>
    <row r="76" spans="1:14" x14ac:dyDescent="0.3">
      <c r="A76" s="10"/>
      <c r="B76" s="4"/>
      <c r="C76" s="11"/>
      <c r="D76" s="12"/>
      <c r="E76" s="12"/>
      <c r="F76" s="4"/>
      <c r="G76" s="13"/>
      <c r="H76" s="14"/>
      <c r="I76" s="11"/>
      <c r="J76" s="4"/>
      <c r="K76" s="4"/>
      <c r="L76" s="7"/>
      <c r="M76" s="7"/>
      <c r="N76" s="4"/>
    </row>
    <row r="77" spans="1:14" x14ac:dyDescent="0.3">
      <c r="A77" s="10"/>
      <c r="B77" s="4"/>
      <c r="C77" s="11"/>
      <c r="D77" s="12"/>
      <c r="E77" s="12"/>
      <c r="F77" s="4"/>
      <c r="G77" s="13"/>
      <c r="H77" s="14"/>
      <c r="I77" s="11"/>
      <c r="J77" s="4"/>
      <c r="K77" s="4"/>
      <c r="L77" s="7"/>
      <c r="M77" s="7"/>
      <c r="N77" s="4"/>
    </row>
    <row r="78" spans="1:14" x14ac:dyDescent="0.3">
      <c r="A78" s="10"/>
      <c r="B78" s="4"/>
      <c r="C78" s="11"/>
      <c r="D78" s="12"/>
      <c r="E78" s="12"/>
      <c r="F78" s="4"/>
      <c r="G78" s="13"/>
      <c r="H78" s="14"/>
      <c r="I78" s="11"/>
      <c r="J78" s="4"/>
      <c r="K78" s="4"/>
      <c r="L78" s="7"/>
      <c r="M78" s="7"/>
      <c r="N78" s="4"/>
    </row>
    <row r="79" spans="1:14" x14ac:dyDescent="0.3">
      <c r="A79" s="10"/>
      <c r="B79" s="4"/>
      <c r="C79" s="11"/>
      <c r="D79" s="12"/>
      <c r="E79" s="12"/>
      <c r="F79" s="4"/>
      <c r="G79" s="13"/>
      <c r="H79" s="14"/>
      <c r="I79" s="11"/>
      <c r="J79" s="4"/>
      <c r="K79" s="4"/>
      <c r="L79" s="7"/>
      <c r="M79" s="7"/>
      <c r="N79" s="4"/>
    </row>
    <row r="80" spans="1:14" x14ac:dyDescent="0.3">
      <c r="A80" s="10"/>
      <c r="B80" s="4"/>
      <c r="C80" s="11"/>
      <c r="D80" s="12"/>
      <c r="E80" s="12"/>
      <c r="F80" s="4"/>
      <c r="G80" s="13"/>
      <c r="H80" s="14"/>
      <c r="I80" s="11"/>
      <c r="J80" s="4"/>
      <c r="K80" s="4"/>
      <c r="L80" s="7"/>
      <c r="M80" s="7"/>
      <c r="N80" s="4"/>
    </row>
    <row r="81" spans="1:14" x14ac:dyDescent="0.3">
      <c r="A81" s="10"/>
      <c r="B81" s="4"/>
      <c r="C81" s="11"/>
      <c r="D81" s="12"/>
      <c r="E81" s="12"/>
      <c r="F81" s="4"/>
      <c r="G81" s="13"/>
      <c r="H81" s="14"/>
      <c r="I81" s="11"/>
      <c r="J81" s="4"/>
      <c r="K81" s="4"/>
      <c r="L81" s="7"/>
      <c r="M81" s="7"/>
      <c r="N81" s="4"/>
    </row>
    <row r="82" spans="1:14" x14ac:dyDescent="0.3">
      <c r="A82" s="10"/>
      <c r="B82" s="4"/>
      <c r="C82" s="11"/>
      <c r="D82" s="12"/>
      <c r="E82" s="12"/>
      <c r="F82" s="4"/>
      <c r="G82" s="13"/>
      <c r="H82" s="14"/>
      <c r="I82" s="11"/>
      <c r="J82" s="4"/>
      <c r="K82" s="4"/>
      <c r="L82" s="7"/>
      <c r="M82" s="7"/>
      <c r="N82" s="4"/>
    </row>
    <row r="83" spans="1:14" x14ac:dyDescent="0.3">
      <c r="A83" s="10"/>
      <c r="B83" s="4"/>
      <c r="C83" s="11"/>
      <c r="D83" s="12"/>
      <c r="E83" s="12"/>
      <c r="F83" s="4"/>
      <c r="G83" s="13"/>
      <c r="H83" s="14"/>
      <c r="I83" s="11"/>
      <c r="J83" s="4"/>
      <c r="K83" s="4"/>
      <c r="L83" s="7"/>
      <c r="M83" s="7"/>
      <c r="N83" s="4"/>
    </row>
    <row r="84" spans="1:14" x14ac:dyDescent="0.3">
      <c r="A84" s="10"/>
      <c r="B84" s="4"/>
      <c r="C84" s="11"/>
      <c r="D84" s="12"/>
      <c r="E84" s="12"/>
      <c r="F84" s="4"/>
      <c r="G84" s="13"/>
      <c r="H84" s="14"/>
      <c r="I84" s="11"/>
      <c r="J84" s="4"/>
      <c r="K84" s="4"/>
      <c r="L84" s="7"/>
      <c r="M84" s="7"/>
      <c r="N84" s="4"/>
    </row>
    <row r="85" spans="1:14" x14ac:dyDescent="0.3">
      <c r="A85" s="10"/>
      <c r="B85" s="4"/>
      <c r="C85" s="11"/>
      <c r="D85" s="12"/>
      <c r="E85" s="12"/>
      <c r="F85" s="4"/>
      <c r="G85" s="13"/>
      <c r="H85" s="14"/>
      <c r="I85" s="11"/>
      <c r="J85" s="4"/>
      <c r="K85" s="4"/>
      <c r="L85" s="7"/>
      <c r="M85" s="7"/>
      <c r="N85" s="4"/>
    </row>
    <row r="86" spans="1:14" x14ac:dyDescent="0.3">
      <c r="A86" s="10"/>
      <c r="B86" s="4"/>
      <c r="C86" s="11"/>
      <c r="D86" s="12"/>
      <c r="E86" s="12"/>
      <c r="F86" s="4"/>
      <c r="G86" s="13"/>
      <c r="H86" s="14"/>
      <c r="I86" s="11"/>
      <c r="J86" s="4"/>
      <c r="K86" s="4"/>
      <c r="L86" s="7"/>
      <c r="M86" s="7"/>
      <c r="N86" s="4"/>
    </row>
    <row r="87" spans="1:14" x14ac:dyDescent="0.3">
      <c r="A87" s="10"/>
      <c r="B87" s="4"/>
      <c r="C87" s="11"/>
      <c r="D87" s="12"/>
      <c r="E87" s="12"/>
      <c r="F87" s="4"/>
      <c r="G87" s="13"/>
      <c r="H87" s="14"/>
      <c r="I87" s="11"/>
      <c r="J87" s="4"/>
      <c r="K87" s="4"/>
      <c r="L87" s="7"/>
      <c r="M87" s="7"/>
      <c r="N87" s="4"/>
    </row>
    <row r="88" spans="1:14" x14ac:dyDescent="0.3">
      <c r="A88" s="10"/>
      <c r="B88" s="4"/>
      <c r="C88" s="11"/>
      <c r="D88" s="12"/>
      <c r="E88" s="12"/>
      <c r="F88" s="4"/>
      <c r="G88" s="13"/>
      <c r="H88" s="14"/>
      <c r="I88" s="11"/>
      <c r="J88" s="4"/>
      <c r="K88" s="4"/>
      <c r="L88" s="7"/>
      <c r="M88" s="7"/>
      <c r="N88" s="4"/>
    </row>
    <row r="89" spans="1:14" x14ac:dyDescent="0.3">
      <c r="A89" s="10"/>
      <c r="B89" s="4"/>
      <c r="C89" s="11"/>
      <c r="D89" s="12"/>
      <c r="E89" s="12"/>
      <c r="F89" s="4"/>
      <c r="G89" s="13"/>
      <c r="H89" s="14"/>
      <c r="I89" s="11"/>
      <c r="J89" s="4"/>
      <c r="K89" s="4"/>
      <c r="L89" s="7"/>
      <c r="M89" s="7"/>
      <c r="N89" s="4"/>
    </row>
    <row r="90" spans="1:14" x14ac:dyDescent="0.3">
      <c r="A90" s="10"/>
      <c r="B90" s="4"/>
      <c r="C90" s="11"/>
      <c r="D90" s="12"/>
      <c r="E90" s="12"/>
      <c r="F90" s="4"/>
      <c r="G90" s="13"/>
      <c r="H90" s="14"/>
      <c r="I90" s="11"/>
      <c r="J90" s="4"/>
      <c r="K90" s="4"/>
      <c r="L90" s="7"/>
      <c r="M90" s="7"/>
      <c r="N90" s="4"/>
    </row>
    <row r="91" spans="1:14" x14ac:dyDescent="0.3">
      <c r="A91" s="10"/>
      <c r="B91" s="4"/>
      <c r="C91" s="11"/>
      <c r="D91" s="12"/>
      <c r="E91" s="12"/>
      <c r="F91" s="4"/>
      <c r="G91" s="13"/>
      <c r="H91" s="14"/>
      <c r="I91" s="11"/>
      <c r="J91" s="4"/>
      <c r="K91" s="4"/>
      <c r="L91" s="7"/>
      <c r="M91" s="7"/>
      <c r="N91" s="4"/>
    </row>
    <row r="92" spans="1:14" x14ac:dyDescent="0.3">
      <c r="A92" s="10"/>
      <c r="B92" s="4"/>
      <c r="C92" s="11"/>
      <c r="D92" s="12"/>
      <c r="E92" s="12"/>
      <c r="F92" s="4"/>
      <c r="G92" s="13"/>
      <c r="H92" s="14"/>
      <c r="I92" s="11"/>
      <c r="J92" s="4"/>
      <c r="K92" s="4"/>
      <c r="L92" s="7"/>
      <c r="M92" s="7"/>
      <c r="N92" s="4"/>
    </row>
    <row r="93" spans="1:14" x14ac:dyDescent="0.3">
      <c r="A93" s="10"/>
      <c r="B93" s="4"/>
      <c r="C93" s="11"/>
      <c r="D93" s="12"/>
      <c r="E93" s="12"/>
      <c r="F93" s="4"/>
      <c r="G93" s="13"/>
      <c r="H93" s="14"/>
      <c r="I93" s="11"/>
      <c r="J93" s="4"/>
      <c r="K93" s="4"/>
      <c r="L93" s="7"/>
      <c r="M93" s="7"/>
      <c r="N93" s="4"/>
    </row>
    <row r="96" spans="1:14" ht="43.2" x14ac:dyDescent="0.3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9</v>
      </c>
      <c r="K96" s="1" t="s">
        <v>10</v>
      </c>
      <c r="L96" s="2"/>
      <c r="M96" s="2"/>
      <c r="N96" s="2"/>
    </row>
    <row r="97" spans="1:14" x14ac:dyDescent="0.3">
      <c r="A97" s="4" t="s">
        <v>11</v>
      </c>
      <c r="B97" s="3" t="str">
        <f>_xlfn.XLOOKUP($C97,'[1]Basic EMP Data - 2025'!$D$3:$D$216,'[1]Basic EMP Data - 2025'!$C$3:$C$216)</f>
        <v>VB1791</v>
      </c>
      <c r="C97" s="5" t="s">
        <v>29</v>
      </c>
      <c r="D97" s="4" t="str">
        <f>VLOOKUP($B97,'[1]Basic EMP Data - 2025'!$C$3:$F$216,3,0)</f>
        <v>Harsh Agarwal</v>
      </c>
      <c r="E97" s="4">
        <f>VLOOKUP($B97,'[1]Basic EMP Data - 2025'!$C$3:$I$216,5,0)</f>
        <v>5</v>
      </c>
      <c r="F97" s="4">
        <f>VLOOKUP($B97,'[1]Basic EMP Data - 2025'!$C$3:$I$216,6,0)</f>
        <v>2</v>
      </c>
      <c r="G97" s="6">
        <f>F97/E97</f>
        <v>0.4</v>
      </c>
      <c r="H97" s="7">
        <f>SUM(L99:L117)</f>
        <v>662.4</v>
      </c>
      <c r="I97" s="8" cm="1">
        <f t="array" ref="I97">_xlfn.IFS($G97&lt;=34%,0%,$G97&lt;=75%,3%,$G97&lt;=120%,4%,$G97&gt;120%,5%)</f>
        <v>0.03</v>
      </c>
      <c r="J97" s="7" cm="1">
        <f t="array" ref="J97">SUMPRODUCT((C99:C117=2024)*M99:M117) + SUMPRODUCT((C99:C117=2025)*M99:M117*2)</f>
        <v>1854.72</v>
      </c>
      <c r="K97" s="4">
        <f>SUM(N99:N117)</f>
        <v>0</v>
      </c>
      <c r="M97" s="2"/>
      <c r="N97" s="2"/>
    </row>
    <row r="98" spans="1:14" ht="28.8" x14ac:dyDescent="0.3">
      <c r="A98" s="9" t="s">
        <v>2</v>
      </c>
      <c r="B98" s="9" t="s">
        <v>13</v>
      </c>
      <c r="C98" s="9" t="s">
        <v>14</v>
      </c>
      <c r="D98" s="9" t="s">
        <v>15</v>
      </c>
      <c r="E98" s="9" t="s">
        <v>16</v>
      </c>
      <c r="F98" s="9" t="s">
        <v>17</v>
      </c>
      <c r="G98" s="9" t="s">
        <v>18</v>
      </c>
      <c r="H98" s="9" t="s">
        <v>19</v>
      </c>
      <c r="I98" s="9" t="s">
        <v>20</v>
      </c>
      <c r="J98" s="9" t="s">
        <v>21</v>
      </c>
      <c r="K98" s="9" t="s">
        <v>22</v>
      </c>
      <c r="L98" s="9" t="s">
        <v>23</v>
      </c>
      <c r="M98" s="9" t="s">
        <v>24</v>
      </c>
      <c r="N98" s="9" t="s">
        <v>25</v>
      </c>
    </row>
    <row r="99" spans="1:14" x14ac:dyDescent="0.3">
      <c r="A99" s="10" t="str">
        <f>C97</f>
        <v>Harsh Patel</v>
      </c>
      <c r="B99" s="4" t="str" cm="1">
        <f t="array" ref="B99:M99">_xlfn.LET(
  _xlpm.data, _xlfn._xlws.FILTER('[1]Incentive Data'!A:BV, '[1]Incentive Data'!H:H=$C97),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Azure Williams-Scott</v>
      </c>
      <c r="C99" s="11">
        <v>2024</v>
      </c>
      <c r="D99" s="12">
        <v>45516</v>
      </c>
      <c r="E99" s="12">
        <v>45700</v>
      </c>
      <c r="F99" s="4" t="str">
        <v>Reflik</v>
      </c>
      <c r="G99" s="13" t="str">
        <v>PLC-3920</v>
      </c>
      <c r="H99" s="14" t="str">
        <v>Referral</v>
      </c>
      <c r="I99" s="11" t="str">
        <v>Done</v>
      </c>
      <c r="J99" s="4" t="str">
        <v>Y</v>
      </c>
      <c r="K99" s="4">
        <v>552</v>
      </c>
      <c r="L99" s="7">
        <v>662.4</v>
      </c>
      <c r="M99" s="7">
        <v>1854.72</v>
      </c>
      <c r="N99" s="4"/>
    </row>
    <row r="100" spans="1:14" x14ac:dyDescent="0.3">
      <c r="A100" s="10"/>
      <c r="B100" s="4"/>
      <c r="C100" s="11"/>
      <c r="D100" s="12"/>
      <c r="E100" s="12"/>
      <c r="F100" s="4"/>
      <c r="G100" s="13"/>
      <c r="H100" s="14"/>
      <c r="I100" s="11"/>
      <c r="J100" s="4"/>
      <c r="K100" s="4"/>
      <c r="L100" s="7"/>
      <c r="M100" s="7"/>
      <c r="N100" s="4"/>
    </row>
    <row r="101" spans="1:14" x14ac:dyDescent="0.3">
      <c r="A101" s="10"/>
      <c r="B101" s="4"/>
      <c r="C101" s="11"/>
      <c r="D101" s="12"/>
      <c r="E101" s="12"/>
      <c r="F101" s="4"/>
      <c r="G101" s="13"/>
      <c r="H101" s="14"/>
      <c r="I101" s="11"/>
      <c r="J101" s="4"/>
      <c r="K101" s="4"/>
      <c r="L101" s="7"/>
      <c r="M101" s="7"/>
      <c r="N101" s="4"/>
    </row>
    <row r="102" spans="1:14" x14ac:dyDescent="0.3">
      <c r="A102" s="10"/>
      <c r="B102" s="4"/>
      <c r="C102" s="11"/>
      <c r="D102" s="12"/>
      <c r="E102" s="12"/>
      <c r="F102" s="4"/>
      <c r="G102" s="13"/>
      <c r="H102" s="14"/>
      <c r="I102" s="11"/>
      <c r="J102" s="4"/>
      <c r="K102" s="4"/>
      <c r="L102" s="7"/>
      <c r="M102" s="7"/>
      <c r="N102" s="4"/>
    </row>
    <row r="103" spans="1:14" x14ac:dyDescent="0.3">
      <c r="A103" s="10"/>
      <c r="B103" s="4"/>
      <c r="C103" s="11"/>
      <c r="D103" s="12"/>
      <c r="E103" s="12"/>
      <c r="F103" s="4"/>
      <c r="G103" s="13"/>
      <c r="H103" s="14"/>
      <c r="I103" s="11"/>
      <c r="J103" s="4"/>
      <c r="K103" s="4"/>
      <c r="L103" s="7"/>
      <c r="M103" s="7"/>
      <c r="N103" s="4"/>
    </row>
    <row r="104" spans="1:14" x14ac:dyDescent="0.3">
      <c r="A104" s="10"/>
      <c r="B104" s="4"/>
      <c r="C104" s="11"/>
      <c r="D104" s="12"/>
      <c r="E104" s="12"/>
      <c r="F104" s="4"/>
      <c r="G104" s="13"/>
      <c r="H104" s="14"/>
      <c r="I104" s="11"/>
      <c r="J104" s="4"/>
      <c r="K104" s="4"/>
      <c r="L104" s="7"/>
      <c r="M104" s="7"/>
      <c r="N104" s="4"/>
    </row>
    <row r="105" spans="1:14" x14ac:dyDescent="0.3">
      <c r="A105" s="10"/>
      <c r="B105" s="4"/>
      <c r="C105" s="11"/>
      <c r="D105" s="12"/>
      <c r="E105" s="12"/>
      <c r="F105" s="4"/>
      <c r="G105" s="13"/>
      <c r="H105" s="14"/>
      <c r="I105" s="11"/>
      <c r="J105" s="4"/>
      <c r="K105" s="4"/>
      <c r="L105" s="7"/>
      <c r="M105" s="7"/>
      <c r="N105" s="4"/>
    </row>
    <row r="106" spans="1:14" x14ac:dyDescent="0.3">
      <c r="A106" s="10"/>
      <c r="B106" s="4"/>
      <c r="C106" s="11"/>
      <c r="D106" s="12"/>
      <c r="E106" s="12"/>
      <c r="F106" s="4"/>
      <c r="G106" s="13"/>
      <c r="H106" s="14"/>
      <c r="I106" s="11"/>
      <c r="J106" s="4"/>
      <c r="K106" s="4"/>
      <c r="L106" s="7"/>
      <c r="M106" s="7"/>
      <c r="N106" s="4"/>
    </row>
    <row r="107" spans="1:14" x14ac:dyDescent="0.3">
      <c r="A107" s="10"/>
      <c r="B107" s="4"/>
      <c r="C107" s="11"/>
      <c r="D107" s="12"/>
      <c r="E107" s="12"/>
      <c r="F107" s="4"/>
      <c r="G107" s="13"/>
      <c r="H107" s="14"/>
      <c r="I107" s="11"/>
      <c r="J107" s="4"/>
      <c r="K107" s="4"/>
      <c r="L107" s="7"/>
      <c r="M107" s="7"/>
      <c r="N107" s="4"/>
    </row>
    <row r="108" spans="1:14" x14ac:dyDescent="0.3">
      <c r="A108" s="10"/>
      <c r="B108" s="4"/>
      <c r="C108" s="11"/>
      <c r="D108" s="12"/>
      <c r="E108" s="12"/>
      <c r="F108" s="4"/>
      <c r="G108" s="13"/>
      <c r="H108" s="14"/>
      <c r="I108" s="11"/>
      <c r="J108" s="4"/>
      <c r="K108" s="4"/>
      <c r="L108" s="7"/>
      <c r="M108" s="7"/>
      <c r="N108" s="4"/>
    </row>
    <row r="109" spans="1:14" x14ac:dyDescent="0.3">
      <c r="A109" s="10"/>
      <c r="B109" s="4"/>
      <c r="C109" s="11"/>
      <c r="D109" s="12"/>
      <c r="E109" s="12"/>
      <c r="F109" s="4"/>
      <c r="G109" s="13"/>
      <c r="H109" s="14"/>
      <c r="I109" s="11"/>
      <c r="J109" s="4"/>
      <c r="K109" s="4"/>
      <c r="L109" s="7"/>
      <c r="M109" s="7"/>
      <c r="N109" s="4"/>
    </row>
    <row r="110" spans="1:14" x14ac:dyDescent="0.3">
      <c r="A110" s="10"/>
      <c r="B110" s="4"/>
      <c r="C110" s="11"/>
      <c r="D110" s="12"/>
      <c r="E110" s="12"/>
      <c r="F110" s="4"/>
      <c r="G110" s="13"/>
      <c r="H110" s="14"/>
      <c r="I110" s="11"/>
      <c r="J110" s="4"/>
      <c r="K110" s="4"/>
      <c r="L110" s="7"/>
      <c r="M110" s="7"/>
      <c r="N110" s="4"/>
    </row>
    <row r="111" spans="1:14" x14ac:dyDescent="0.3">
      <c r="A111" s="10"/>
      <c r="B111" s="4"/>
      <c r="C111" s="11"/>
      <c r="D111" s="12"/>
      <c r="E111" s="12"/>
      <c r="F111" s="4"/>
      <c r="G111" s="13"/>
      <c r="H111" s="14"/>
      <c r="I111" s="11"/>
      <c r="J111" s="4"/>
      <c r="K111" s="4"/>
      <c r="L111" s="7"/>
      <c r="M111" s="7"/>
      <c r="N111" s="4"/>
    </row>
    <row r="112" spans="1:14" x14ac:dyDescent="0.3">
      <c r="A112" s="10"/>
      <c r="B112" s="4"/>
      <c r="C112" s="11"/>
      <c r="D112" s="12"/>
      <c r="E112" s="12"/>
      <c r="F112" s="4"/>
      <c r="G112" s="13"/>
      <c r="H112" s="14"/>
      <c r="I112" s="11"/>
      <c r="J112" s="4"/>
      <c r="K112" s="4"/>
      <c r="L112" s="7"/>
      <c r="M112" s="7"/>
      <c r="N112" s="4"/>
    </row>
    <row r="113" spans="1:14" x14ac:dyDescent="0.3">
      <c r="A113" s="10"/>
      <c r="B113" s="4"/>
      <c r="C113" s="11"/>
      <c r="D113" s="12"/>
      <c r="E113" s="12"/>
      <c r="F113" s="4"/>
      <c r="G113" s="13"/>
      <c r="H113" s="14"/>
      <c r="I113" s="11"/>
      <c r="J113" s="4"/>
      <c r="K113" s="4"/>
      <c r="L113" s="7"/>
      <c r="M113" s="7"/>
      <c r="N113" s="4"/>
    </row>
    <row r="114" spans="1:14" x14ac:dyDescent="0.3">
      <c r="A114" s="10"/>
      <c r="B114" s="4"/>
      <c r="C114" s="11"/>
      <c r="D114" s="12"/>
      <c r="E114" s="12"/>
      <c r="F114" s="4"/>
      <c r="G114" s="13"/>
      <c r="H114" s="14"/>
      <c r="I114" s="11"/>
      <c r="J114" s="4"/>
      <c r="K114" s="4"/>
      <c r="L114" s="7"/>
      <c r="M114" s="7"/>
      <c r="N114" s="4"/>
    </row>
    <row r="115" spans="1:14" x14ac:dyDescent="0.3">
      <c r="A115" s="10"/>
      <c r="B115" s="4"/>
      <c r="C115" s="11"/>
      <c r="D115" s="12"/>
      <c r="E115" s="12"/>
      <c r="F115" s="4"/>
      <c r="G115" s="13"/>
      <c r="H115" s="14"/>
      <c r="I115" s="11"/>
      <c r="J115" s="4"/>
      <c r="K115" s="4"/>
      <c r="L115" s="7"/>
      <c r="M115" s="7"/>
      <c r="N115" s="4"/>
    </row>
    <row r="116" spans="1:14" x14ac:dyDescent="0.3">
      <c r="A116" s="10"/>
      <c r="B116" s="4"/>
      <c r="C116" s="11"/>
      <c r="D116" s="12"/>
      <c r="E116" s="12"/>
      <c r="F116" s="4"/>
      <c r="G116" s="13"/>
      <c r="H116" s="14"/>
      <c r="I116" s="11"/>
      <c r="J116" s="4"/>
      <c r="K116" s="4"/>
      <c r="L116" s="7"/>
      <c r="M116" s="7"/>
      <c r="N116" s="4"/>
    </row>
    <row r="117" spans="1:14" x14ac:dyDescent="0.3">
      <c r="A117" s="10"/>
      <c r="B117" s="4"/>
      <c r="C117" s="11"/>
      <c r="D117" s="12"/>
      <c r="E117" s="12"/>
      <c r="F117" s="4"/>
      <c r="G117" s="13"/>
      <c r="H117" s="14"/>
      <c r="I117" s="11"/>
      <c r="J117" s="4"/>
      <c r="K117" s="4"/>
      <c r="L117" s="7"/>
      <c r="M117" s="7"/>
      <c r="N117" s="4"/>
    </row>
    <row r="119" spans="1:14" ht="43.2" x14ac:dyDescent="0.3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2"/>
      <c r="M119" s="2"/>
      <c r="N119" s="2"/>
    </row>
    <row r="120" spans="1:14" x14ac:dyDescent="0.3">
      <c r="A120" s="4" t="s">
        <v>11</v>
      </c>
      <c r="B120" s="3" t="str">
        <f>_xlfn.XLOOKUP($C120,'[1]Basic EMP Data - 2025'!$D$3:$D$216,'[1]Basic EMP Data - 2025'!$C$3:$C$216)</f>
        <v>VB1948</v>
      </c>
      <c r="C120" s="5" t="s">
        <v>30</v>
      </c>
      <c r="D120" s="4" t="str">
        <f>VLOOKUP($B120,'[1]Basic EMP Data - 2025'!$C$3:$F$216,3,0)</f>
        <v>Harsh Agarwal</v>
      </c>
      <c r="E120" s="4">
        <f>VLOOKUP($B120,'[1]Basic EMP Data - 2025'!$C$3:$I$216,5,0)</f>
        <v>7</v>
      </c>
      <c r="F120" s="4">
        <f>VLOOKUP($B120,'[1]Basic EMP Data - 2025'!$C$3:$I$216,6,0)</f>
        <v>6</v>
      </c>
      <c r="G120" s="6">
        <f>F120/E120</f>
        <v>0.8571428571428571</v>
      </c>
      <c r="H120" s="7">
        <f>SUM(L122:L140)</f>
        <v>3585.0199999999991</v>
      </c>
      <c r="I120" s="8" cm="1">
        <f t="array" ref="I120">_xlfn.IFS($G120&lt;=34%,0%,$G120&lt;=75%,3%,$G120&lt;=120%,4%,$G120&gt;120%,5%)</f>
        <v>0.04</v>
      </c>
      <c r="J120" s="7" cm="1">
        <f t="array" ref="J120">SUMPRODUCT((C122:C140=2024)*M122:M140) + SUMPRODUCT((C122:C140=2025)*M122:M140*2)</f>
        <v>11462.399999999996</v>
      </c>
      <c r="K120" s="4">
        <f>SUM(N122:N140)</f>
        <v>0</v>
      </c>
      <c r="M120" s="2"/>
      <c r="N120" s="2"/>
    </row>
    <row r="121" spans="1:14" ht="28.8" x14ac:dyDescent="0.3">
      <c r="A121" s="9" t="s">
        <v>2</v>
      </c>
      <c r="B121" s="9" t="s">
        <v>13</v>
      </c>
      <c r="C121" s="9" t="s">
        <v>14</v>
      </c>
      <c r="D121" s="9" t="s">
        <v>15</v>
      </c>
      <c r="E121" s="9" t="s">
        <v>16</v>
      </c>
      <c r="F121" s="9" t="s">
        <v>17</v>
      </c>
      <c r="G121" s="9" t="s">
        <v>18</v>
      </c>
      <c r="H121" s="9" t="s">
        <v>19</v>
      </c>
      <c r="I121" s="9" t="s">
        <v>20</v>
      </c>
      <c r="J121" s="9" t="s">
        <v>21</v>
      </c>
      <c r="K121" s="9" t="s">
        <v>22</v>
      </c>
      <c r="L121" s="9" t="s">
        <v>23</v>
      </c>
      <c r="M121" s="9" t="s">
        <v>24</v>
      </c>
      <c r="N121" s="9" t="s">
        <v>25</v>
      </c>
    </row>
    <row r="122" spans="1:14" x14ac:dyDescent="0.3">
      <c r="A122" s="10" t="str">
        <f>C120</f>
        <v>Virendra Vikram Singh</v>
      </c>
      <c r="B122" s="4" t="str" cm="1">
        <f t="array" ref="B122:M124">_xlfn.LET(
  _xlpm.data, _xlfn._xlws.FILTER('[1]Incentive Data'!A:BV, '[1]Incentive Data'!H:H=$C120),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Frederic Pascal Denis Jubier</v>
      </c>
      <c r="C122" s="11">
        <v>2025</v>
      </c>
      <c r="D122" s="12">
        <v>45743</v>
      </c>
      <c r="E122" s="12">
        <v>45839</v>
      </c>
      <c r="F122" s="4" t="str">
        <v>Birlasoft</v>
      </c>
      <c r="G122" s="13" t="str">
        <v>PLC-4159</v>
      </c>
      <c r="H122" s="14">
        <v>1099</v>
      </c>
      <c r="I122" s="11" t="str">
        <v>Done</v>
      </c>
      <c r="J122" s="4" t="str">
        <v>Y</v>
      </c>
      <c r="K122" s="4">
        <v>200</v>
      </c>
      <c r="L122" s="7">
        <v>-298.98000000000104</v>
      </c>
      <c r="M122" s="7">
        <v>-483.20000000000169</v>
      </c>
      <c r="N122" s="4"/>
    </row>
    <row r="123" spans="1:14" x14ac:dyDescent="0.3">
      <c r="A123" s="10"/>
      <c r="B123" s="4" t="str">
        <v>Narendra Bevinahalli Ramachandra Rao</v>
      </c>
      <c r="C123" s="11">
        <v>2025</v>
      </c>
      <c r="D123" s="12">
        <v>45775</v>
      </c>
      <c r="E123" s="12" t="str">
        <v>-</v>
      </c>
      <c r="F123" s="4" t="str">
        <v>Birlasoft</v>
      </c>
      <c r="G123" s="13" t="str">
        <v>PLC-4223</v>
      </c>
      <c r="H123" s="14" t="str">
        <v>C2C</v>
      </c>
      <c r="I123" s="11" t="str">
        <v>Done</v>
      </c>
      <c r="J123" s="4" t="str">
        <v>Y</v>
      </c>
      <c r="K123" s="4">
        <v>32</v>
      </c>
      <c r="L123" s="7">
        <v>384</v>
      </c>
      <c r="M123" s="7">
        <v>614.4</v>
      </c>
      <c r="N123" s="4"/>
    </row>
    <row r="124" spans="1:14" x14ac:dyDescent="0.3">
      <c r="A124" s="10"/>
      <c r="B124" s="4" t="str">
        <v>Ramiro Espinosa Zambrano</v>
      </c>
      <c r="C124" s="11">
        <v>2025</v>
      </c>
      <c r="D124" s="12">
        <v>45719</v>
      </c>
      <c r="E124" s="12" t="str">
        <v>-</v>
      </c>
      <c r="F124" s="4" t="str">
        <v>Infosys</v>
      </c>
      <c r="G124" s="13" t="str">
        <v>PLC-4083</v>
      </c>
      <c r="H124" s="14" t="str">
        <v>FTE</v>
      </c>
      <c r="I124" s="11" t="str">
        <v>Done</v>
      </c>
      <c r="J124" s="4" t="str">
        <v>Y</v>
      </c>
      <c r="K124" s="4">
        <v>0</v>
      </c>
      <c r="L124" s="7">
        <v>3500</v>
      </c>
      <c r="M124" s="7">
        <v>5600</v>
      </c>
      <c r="N124" s="4"/>
    </row>
    <row r="125" spans="1:14" x14ac:dyDescent="0.3">
      <c r="A125" s="10"/>
      <c r="B125" s="4"/>
      <c r="C125" s="11"/>
      <c r="D125" s="12"/>
      <c r="E125" s="12"/>
      <c r="F125" s="4"/>
      <c r="G125" s="13"/>
      <c r="H125" s="14"/>
      <c r="I125" s="11"/>
      <c r="J125" s="4"/>
      <c r="K125" s="4"/>
      <c r="L125" s="7"/>
      <c r="M125" s="7"/>
      <c r="N125" s="4"/>
    </row>
    <row r="126" spans="1:14" x14ac:dyDescent="0.3">
      <c r="A126" s="10"/>
      <c r="B126" s="4"/>
      <c r="C126" s="11"/>
      <c r="D126" s="12"/>
      <c r="E126" s="12"/>
      <c r="F126" s="4"/>
      <c r="G126" s="13"/>
      <c r="H126" s="14"/>
      <c r="I126" s="11"/>
      <c r="J126" s="4"/>
      <c r="K126" s="4"/>
      <c r="L126" s="7"/>
      <c r="M126" s="7"/>
      <c r="N126" s="4"/>
    </row>
    <row r="127" spans="1:14" x14ac:dyDescent="0.3">
      <c r="A127" s="10"/>
      <c r="B127" s="4"/>
      <c r="C127" s="11"/>
      <c r="D127" s="12"/>
      <c r="E127" s="12"/>
      <c r="F127" s="4"/>
      <c r="G127" s="13"/>
      <c r="H127" s="14"/>
      <c r="I127" s="11"/>
      <c r="J127" s="4"/>
      <c r="K127" s="4"/>
      <c r="L127" s="7"/>
      <c r="M127" s="7"/>
      <c r="N127" s="4"/>
    </row>
    <row r="128" spans="1:14" x14ac:dyDescent="0.3">
      <c r="A128" s="10"/>
      <c r="B128" s="4"/>
      <c r="C128" s="11"/>
      <c r="D128" s="12"/>
      <c r="E128" s="12"/>
      <c r="F128" s="4"/>
      <c r="G128" s="13"/>
      <c r="H128" s="14"/>
      <c r="I128" s="11"/>
      <c r="J128" s="4"/>
      <c r="K128" s="4"/>
      <c r="L128" s="7"/>
      <c r="M128" s="7"/>
      <c r="N128" s="4"/>
    </row>
    <row r="129" spans="1:14" x14ac:dyDescent="0.3">
      <c r="A129" s="10"/>
      <c r="B129" s="4"/>
      <c r="C129" s="11"/>
      <c r="D129" s="12"/>
      <c r="E129" s="12"/>
      <c r="F129" s="4"/>
      <c r="G129" s="13"/>
      <c r="H129" s="14"/>
      <c r="I129" s="11"/>
      <c r="J129" s="4"/>
      <c r="K129" s="4"/>
      <c r="L129" s="7"/>
      <c r="M129" s="7"/>
      <c r="N129" s="4"/>
    </row>
    <row r="130" spans="1:14" x14ac:dyDescent="0.3">
      <c r="A130" s="10"/>
      <c r="B130" s="4"/>
      <c r="C130" s="11"/>
      <c r="D130" s="12"/>
      <c r="E130" s="12"/>
      <c r="F130" s="4"/>
      <c r="G130" s="13"/>
      <c r="H130" s="14"/>
      <c r="I130" s="11"/>
      <c r="J130" s="4"/>
      <c r="K130" s="4"/>
      <c r="L130" s="7"/>
      <c r="M130" s="7"/>
      <c r="N130" s="4"/>
    </row>
    <row r="131" spans="1:14" x14ac:dyDescent="0.3">
      <c r="A131" s="10"/>
      <c r="B131" s="4"/>
      <c r="C131" s="11"/>
      <c r="D131" s="12"/>
      <c r="E131" s="12"/>
      <c r="F131" s="4"/>
      <c r="G131" s="13"/>
      <c r="H131" s="14"/>
      <c r="I131" s="11"/>
      <c r="J131" s="4"/>
      <c r="K131" s="4"/>
      <c r="L131" s="7"/>
      <c r="M131" s="7"/>
      <c r="N131" s="4"/>
    </row>
    <row r="132" spans="1:14" x14ac:dyDescent="0.3">
      <c r="A132" s="10"/>
      <c r="B132" s="4"/>
      <c r="C132" s="11"/>
      <c r="D132" s="12"/>
      <c r="E132" s="12"/>
      <c r="F132" s="4"/>
      <c r="G132" s="13"/>
      <c r="H132" s="14"/>
      <c r="I132" s="11"/>
      <c r="J132" s="4"/>
      <c r="K132" s="4"/>
      <c r="L132" s="7"/>
      <c r="M132" s="7"/>
      <c r="N132" s="4"/>
    </row>
    <row r="133" spans="1:14" x14ac:dyDescent="0.3">
      <c r="A133" s="10"/>
      <c r="B133" s="4"/>
      <c r="C133" s="11"/>
      <c r="D133" s="12"/>
      <c r="E133" s="12"/>
      <c r="F133" s="4"/>
      <c r="G133" s="13"/>
      <c r="H133" s="14"/>
      <c r="I133" s="11"/>
      <c r="J133" s="4"/>
      <c r="K133" s="4"/>
      <c r="L133" s="7"/>
      <c r="M133" s="7"/>
      <c r="N133" s="4"/>
    </row>
    <row r="134" spans="1:14" x14ac:dyDescent="0.3">
      <c r="A134" s="10"/>
      <c r="B134" s="4"/>
      <c r="C134" s="11"/>
      <c r="D134" s="12"/>
      <c r="E134" s="12"/>
      <c r="F134" s="4"/>
      <c r="G134" s="13"/>
      <c r="H134" s="14"/>
      <c r="I134" s="11"/>
      <c r="J134" s="4"/>
      <c r="K134" s="4"/>
      <c r="L134" s="7"/>
      <c r="M134" s="7"/>
      <c r="N134" s="4"/>
    </row>
    <row r="135" spans="1:14" x14ac:dyDescent="0.3">
      <c r="A135" s="10"/>
      <c r="B135" s="4"/>
      <c r="C135" s="11"/>
      <c r="D135" s="12"/>
      <c r="E135" s="12"/>
      <c r="F135" s="4"/>
      <c r="G135" s="13"/>
      <c r="H135" s="14"/>
      <c r="I135" s="11"/>
      <c r="J135" s="4"/>
      <c r="K135" s="4"/>
      <c r="L135" s="7"/>
      <c r="M135" s="7"/>
      <c r="N135" s="4"/>
    </row>
    <row r="136" spans="1:14" x14ac:dyDescent="0.3">
      <c r="A136" s="10"/>
      <c r="B136" s="4"/>
      <c r="C136" s="11"/>
      <c r="D136" s="12"/>
      <c r="E136" s="12"/>
      <c r="F136" s="4"/>
      <c r="G136" s="13"/>
      <c r="H136" s="14"/>
      <c r="I136" s="11"/>
      <c r="J136" s="4"/>
      <c r="K136" s="4"/>
      <c r="L136" s="7"/>
      <c r="M136" s="7"/>
      <c r="N136" s="4"/>
    </row>
    <row r="137" spans="1:14" x14ac:dyDescent="0.3">
      <c r="A137" s="10"/>
      <c r="B137" s="4"/>
      <c r="C137" s="11"/>
      <c r="D137" s="12"/>
      <c r="E137" s="12"/>
      <c r="F137" s="4"/>
      <c r="G137" s="13"/>
      <c r="H137" s="14"/>
      <c r="I137" s="11"/>
      <c r="J137" s="4"/>
      <c r="K137" s="4"/>
      <c r="L137" s="7"/>
      <c r="M137" s="7"/>
      <c r="N137" s="4"/>
    </row>
    <row r="138" spans="1:14" x14ac:dyDescent="0.3">
      <c r="A138" s="10"/>
      <c r="B138" s="4"/>
      <c r="C138" s="11"/>
      <c r="D138" s="12"/>
      <c r="E138" s="12"/>
      <c r="F138" s="4"/>
      <c r="G138" s="13"/>
      <c r="H138" s="14"/>
      <c r="I138" s="11"/>
      <c r="J138" s="4"/>
      <c r="K138" s="4"/>
      <c r="L138" s="7"/>
      <c r="M138" s="7"/>
      <c r="N138" s="4"/>
    </row>
    <row r="139" spans="1:14" x14ac:dyDescent="0.3">
      <c r="A139" s="10"/>
      <c r="B139" s="4"/>
      <c r="C139" s="11"/>
      <c r="D139" s="12"/>
      <c r="E139" s="12"/>
      <c r="F139" s="4"/>
      <c r="G139" s="13"/>
      <c r="H139" s="14"/>
      <c r="I139" s="11"/>
      <c r="J139" s="4"/>
      <c r="K139" s="4"/>
      <c r="L139" s="7"/>
      <c r="M139" s="7"/>
      <c r="N139" s="4"/>
    </row>
    <row r="140" spans="1:14" x14ac:dyDescent="0.3">
      <c r="A140" s="10"/>
      <c r="B140" s="4"/>
      <c r="C140" s="11"/>
      <c r="D140" s="12"/>
      <c r="E140" s="12"/>
      <c r="F140" s="4"/>
      <c r="G140" s="13"/>
      <c r="H140" s="14"/>
      <c r="I140" s="11"/>
      <c r="J140" s="4"/>
      <c r="K140" s="4"/>
      <c r="L140" s="7"/>
      <c r="M140" s="7"/>
      <c r="N140" s="4"/>
    </row>
    <row r="144" spans="1:14" ht="43.2" x14ac:dyDescent="0.3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2"/>
      <c r="M144" s="2"/>
      <c r="N144" s="2"/>
    </row>
    <row r="145" spans="1:14" x14ac:dyDescent="0.3">
      <c r="A145" s="4" t="s">
        <v>11</v>
      </c>
      <c r="B145" s="3" t="str">
        <f>_xlfn.XLOOKUP($C145,'[1]Basic EMP Data - 2025'!$D$3:$D$216,'[1]Basic EMP Data - 2025'!$C$3:$C$216)</f>
        <v>VB1956</v>
      </c>
      <c r="C145" s="5" t="s">
        <v>31</v>
      </c>
      <c r="D145" s="4" t="str">
        <f>VLOOKUP($B145,'[1]Basic EMP Data - 2025'!$C$3:$F$216,3,0)</f>
        <v>Harsh Agarwal</v>
      </c>
      <c r="E145" s="4">
        <f>VLOOKUP($B145,'[1]Basic EMP Data - 2025'!$C$3:$I$216,5,0)</f>
        <v>7</v>
      </c>
      <c r="F145" s="4">
        <f>VLOOKUP($B145,'[1]Basic EMP Data - 2025'!$C$3:$I$216,6,0)</f>
        <v>2</v>
      </c>
      <c r="G145" s="6">
        <f>F145/E145</f>
        <v>0.2857142857142857</v>
      </c>
      <c r="H145" s="7">
        <f>SUM(L147:L165)</f>
        <v>9891.6450000000004</v>
      </c>
      <c r="I145" s="8" cm="1">
        <f t="array" ref="I145">_xlfn.IFS($G145&lt;=34%,0%,$G145&lt;=75%,3%,$G145&lt;=120%,4%,$G145&gt;120%,5%)</f>
        <v>0</v>
      </c>
      <c r="J145" s="7" cm="1">
        <f t="array" ref="J145">SUMPRODUCT((C147:C165=2024)*M147:M165) + SUMPRODUCT((C147:C165=2025)*M147:M165*2)</f>
        <v>10752</v>
      </c>
      <c r="K145" s="4">
        <f>SUM(N147:N165)</f>
        <v>0</v>
      </c>
      <c r="M145" s="2"/>
      <c r="N145" s="2"/>
    </row>
    <row r="146" spans="1:14" ht="28.8" x14ac:dyDescent="0.3">
      <c r="A146" s="9" t="s">
        <v>2</v>
      </c>
      <c r="B146" s="9" t="s">
        <v>13</v>
      </c>
      <c r="C146" s="9" t="s">
        <v>14</v>
      </c>
      <c r="D146" s="9" t="s">
        <v>15</v>
      </c>
      <c r="E146" s="9" t="s">
        <v>16</v>
      </c>
      <c r="F146" s="9" t="s">
        <v>17</v>
      </c>
      <c r="G146" s="9" t="s">
        <v>18</v>
      </c>
      <c r="H146" s="9" t="s">
        <v>19</v>
      </c>
      <c r="I146" s="9" t="s">
        <v>20</v>
      </c>
      <c r="J146" s="9" t="s">
        <v>21</v>
      </c>
      <c r="K146" s="9" t="s">
        <v>22</v>
      </c>
      <c r="L146" s="9" t="s">
        <v>23</v>
      </c>
      <c r="M146" s="9" t="s">
        <v>24</v>
      </c>
      <c r="N146" s="9" t="s">
        <v>25</v>
      </c>
    </row>
    <row r="147" spans="1:14" x14ac:dyDescent="0.3">
      <c r="A147" s="10" t="str">
        <f>C145</f>
        <v>Rishabh Kapoor</v>
      </c>
      <c r="B147" s="4" t="str" cm="1">
        <f t="array" ref="B147:M149">_xlfn.LET(
  _xlpm.data, _xlfn._xlws.FILTER('[1]Incentive Data'!A:BV, '[1]Incentive Data'!H:H=$C145),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Amit Jain</v>
      </c>
      <c r="C147" s="11">
        <v>2025</v>
      </c>
      <c r="D147" s="12">
        <v>45720</v>
      </c>
      <c r="E147" s="12">
        <v>45846</v>
      </c>
      <c r="F147" s="4" t="str">
        <v>Global Logic</v>
      </c>
      <c r="G147" s="13" t="str">
        <v>PLC-4136</v>
      </c>
      <c r="H147" s="14" t="str">
        <v>C2C</v>
      </c>
      <c r="I147" s="11" t="str">
        <v>Done</v>
      </c>
      <c r="J147" s="4" t="str">
        <v>Y</v>
      </c>
      <c r="K147" s="4">
        <v>332</v>
      </c>
      <c r="L147" s="7">
        <v>2958.12</v>
      </c>
      <c r="M147" s="7">
        <v>0</v>
      </c>
      <c r="N147" s="4"/>
    </row>
    <row r="148" spans="1:14" x14ac:dyDescent="0.3">
      <c r="A148" s="10"/>
      <c r="B148" s="4" t="str">
        <v>Jeffrey Ronaldo Ortiz</v>
      </c>
      <c r="C148" s="11">
        <v>2025</v>
      </c>
      <c r="D148" s="12">
        <v>45707</v>
      </c>
      <c r="E148" s="12">
        <v>45713</v>
      </c>
      <c r="F148" s="4" t="str">
        <v>Movate</v>
      </c>
      <c r="G148" s="13" t="str">
        <v>PLC-4129</v>
      </c>
      <c r="H148" s="14" t="str">
        <v>W2</v>
      </c>
      <c r="I148" s="11" t="str">
        <v>Done</v>
      </c>
      <c r="J148" s="4" t="str">
        <v>Y</v>
      </c>
      <c r="K148" s="4">
        <v>36.5</v>
      </c>
      <c r="L148" s="7">
        <v>213.52500000000006</v>
      </c>
      <c r="M148" s="7">
        <v>0</v>
      </c>
      <c r="N148" s="4"/>
    </row>
    <row r="149" spans="1:14" x14ac:dyDescent="0.3">
      <c r="A149" s="10"/>
      <c r="B149" s="4" t="str">
        <v>Sahithi Bommasani</v>
      </c>
      <c r="C149" s="11">
        <v>2024</v>
      </c>
      <c r="D149" s="12">
        <v>45567</v>
      </c>
      <c r="E149" s="12">
        <v>45808</v>
      </c>
      <c r="F149" s="4" t="str">
        <v>Movate</v>
      </c>
      <c r="G149" s="13" t="str">
        <v>PLC-3979</v>
      </c>
      <c r="H149" s="14" t="str">
        <v>C2H</v>
      </c>
      <c r="I149" s="11" t="str">
        <v>Done</v>
      </c>
      <c r="J149" s="4" t="str">
        <v>Y</v>
      </c>
      <c r="K149" s="4">
        <v>672</v>
      </c>
      <c r="L149" s="7">
        <v>6720</v>
      </c>
      <c r="M149" s="7">
        <v>10752</v>
      </c>
      <c r="N149" s="4"/>
    </row>
    <row r="150" spans="1:14" x14ac:dyDescent="0.3">
      <c r="A150" s="10"/>
      <c r="B150" s="4"/>
      <c r="C150" s="11"/>
      <c r="D150" s="12"/>
      <c r="E150" s="12"/>
      <c r="F150" s="4"/>
      <c r="G150" s="13"/>
      <c r="H150" s="14"/>
      <c r="I150" s="11"/>
      <c r="J150" s="4"/>
      <c r="K150" s="4"/>
      <c r="L150" s="7"/>
      <c r="M150" s="7"/>
      <c r="N150" s="4"/>
    </row>
    <row r="151" spans="1:14" x14ac:dyDescent="0.3">
      <c r="A151" s="10"/>
      <c r="B151" s="4"/>
      <c r="C151" s="11"/>
      <c r="D151" s="12"/>
      <c r="E151" s="12"/>
      <c r="F151" s="4"/>
      <c r="G151" s="13"/>
      <c r="H151" s="14"/>
      <c r="I151" s="11"/>
      <c r="J151" s="4"/>
      <c r="K151" s="4"/>
      <c r="L151" s="7"/>
      <c r="M151" s="7"/>
      <c r="N151" s="4"/>
    </row>
    <row r="152" spans="1:14" x14ac:dyDescent="0.3">
      <c r="A152" s="10"/>
      <c r="B152" s="4"/>
      <c r="C152" s="11"/>
      <c r="D152" s="12"/>
      <c r="E152" s="12"/>
      <c r="F152" s="4"/>
      <c r="G152" s="13"/>
      <c r="H152" s="14"/>
      <c r="I152" s="11"/>
      <c r="J152" s="4"/>
      <c r="K152" s="4"/>
      <c r="L152" s="7"/>
      <c r="M152" s="7"/>
      <c r="N152" s="4"/>
    </row>
    <row r="153" spans="1:14" x14ac:dyDescent="0.3">
      <c r="A153" s="10"/>
      <c r="B153" s="4"/>
      <c r="C153" s="11"/>
      <c r="D153" s="12"/>
      <c r="E153" s="12"/>
      <c r="F153" s="4"/>
      <c r="G153" s="13"/>
      <c r="H153" s="14"/>
      <c r="I153" s="11"/>
      <c r="J153" s="4"/>
      <c r="K153" s="4"/>
      <c r="L153" s="7"/>
      <c r="M153" s="7"/>
      <c r="N153" s="4"/>
    </row>
    <row r="154" spans="1:14" x14ac:dyDescent="0.3">
      <c r="A154" s="10"/>
      <c r="B154" s="4"/>
      <c r="C154" s="11"/>
      <c r="D154" s="12"/>
      <c r="E154" s="12"/>
      <c r="F154" s="4"/>
      <c r="G154" s="13"/>
      <c r="H154" s="14"/>
      <c r="I154" s="11"/>
      <c r="J154" s="4"/>
      <c r="K154" s="4"/>
      <c r="L154" s="7"/>
      <c r="M154" s="7"/>
      <c r="N154" s="4"/>
    </row>
    <row r="155" spans="1:14" x14ac:dyDescent="0.3">
      <c r="A155" s="10"/>
      <c r="B155" s="4"/>
      <c r="C155" s="11"/>
      <c r="D155" s="12"/>
      <c r="E155" s="12"/>
      <c r="F155" s="4"/>
      <c r="G155" s="13"/>
      <c r="H155" s="14"/>
      <c r="I155" s="11"/>
      <c r="J155" s="4"/>
      <c r="K155" s="4"/>
      <c r="L155" s="7"/>
      <c r="M155" s="7"/>
      <c r="N155" s="4"/>
    </row>
    <row r="156" spans="1:14" x14ac:dyDescent="0.3">
      <c r="A156" s="10"/>
      <c r="B156" s="4"/>
      <c r="C156" s="11"/>
      <c r="D156" s="12"/>
      <c r="E156" s="12"/>
      <c r="F156" s="4"/>
      <c r="G156" s="13"/>
      <c r="H156" s="14"/>
      <c r="I156" s="11"/>
      <c r="J156" s="4"/>
      <c r="K156" s="4"/>
      <c r="L156" s="7"/>
      <c r="M156" s="7"/>
      <c r="N156" s="4"/>
    </row>
    <row r="157" spans="1:14" x14ac:dyDescent="0.3">
      <c r="A157" s="10"/>
      <c r="B157" s="4"/>
      <c r="C157" s="11"/>
      <c r="D157" s="12"/>
      <c r="E157" s="12"/>
      <c r="F157" s="4"/>
      <c r="G157" s="13"/>
      <c r="H157" s="14"/>
      <c r="I157" s="11"/>
      <c r="J157" s="4"/>
      <c r="K157" s="4"/>
      <c r="L157" s="7"/>
      <c r="M157" s="7"/>
      <c r="N157" s="4"/>
    </row>
    <row r="158" spans="1:14" x14ac:dyDescent="0.3">
      <c r="A158" s="10"/>
      <c r="B158" s="4"/>
      <c r="C158" s="11"/>
      <c r="D158" s="12"/>
      <c r="E158" s="12"/>
      <c r="F158" s="4"/>
      <c r="G158" s="13"/>
      <c r="H158" s="14"/>
      <c r="I158" s="11"/>
      <c r="J158" s="4"/>
      <c r="K158" s="4"/>
      <c r="L158" s="7"/>
      <c r="M158" s="7"/>
      <c r="N158" s="4"/>
    </row>
    <row r="159" spans="1:14" x14ac:dyDescent="0.3">
      <c r="A159" s="10"/>
      <c r="B159" s="4"/>
      <c r="C159" s="11"/>
      <c r="D159" s="12"/>
      <c r="E159" s="12"/>
      <c r="F159" s="4"/>
      <c r="G159" s="13"/>
      <c r="H159" s="14"/>
      <c r="I159" s="11"/>
      <c r="J159" s="4"/>
      <c r="K159" s="4"/>
      <c r="L159" s="7"/>
      <c r="M159" s="7"/>
      <c r="N159" s="4"/>
    </row>
    <row r="160" spans="1:14" x14ac:dyDescent="0.3">
      <c r="A160" s="10"/>
      <c r="B160" s="4"/>
      <c r="C160" s="11"/>
      <c r="D160" s="12"/>
      <c r="E160" s="12"/>
      <c r="F160" s="4"/>
      <c r="G160" s="13"/>
      <c r="H160" s="14"/>
      <c r="I160" s="11"/>
      <c r="J160" s="4"/>
      <c r="K160" s="4"/>
      <c r="L160" s="7"/>
      <c r="M160" s="7"/>
      <c r="N160" s="4"/>
    </row>
    <row r="161" spans="1:14" x14ac:dyDescent="0.3">
      <c r="A161" s="10"/>
      <c r="B161" s="4"/>
      <c r="C161" s="11"/>
      <c r="D161" s="12"/>
      <c r="E161" s="12"/>
      <c r="F161" s="4"/>
      <c r="G161" s="13"/>
      <c r="H161" s="14"/>
      <c r="I161" s="11"/>
      <c r="J161" s="4"/>
      <c r="K161" s="4"/>
      <c r="L161" s="7"/>
      <c r="M161" s="7"/>
      <c r="N161" s="4"/>
    </row>
    <row r="162" spans="1:14" x14ac:dyDescent="0.3">
      <c r="A162" s="10"/>
      <c r="B162" s="4"/>
      <c r="C162" s="11"/>
      <c r="D162" s="12"/>
      <c r="E162" s="12"/>
      <c r="F162" s="4"/>
      <c r="G162" s="13"/>
      <c r="H162" s="14"/>
      <c r="I162" s="11"/>
      <c r="J162" s="4"/>
      <c r="K162" s="4"/>
      <c r="L162" s="7"/>
      <c r="M162" s="7"/>
      <c r="N162" s="4"/>
    </row>
    <row r="163" spans="1:14" x14ac:dyDescent="0.3">
      <c r="A163" s="10"/>
      <c r="B163" s="4"/>
      <c r="C163" s="11"/>
      <c r="D163" s="12"/>
      <c r="E163" s="12"/>
      <c r="F163" s="4"/>
      <c r="G163" s="13"/>
      <c r="H163" s="14"/>
      <c r="I163" s="11"/>
      <c r="J163" s="4"/>
      <c r="K163" s="4"/>
      <c r="L163" s="7"/>
      <c r="M163" s="7"/>
      <c r="N163" s="4"/>
    </row>
    <row r="164" spans="1:14" x14ac:dyDescent="0.3">
      <c r="A164" s="10"/>
      <c r="B164" s="4"/>
      <c r="C164" s="11"/>
      <c r="D164" s="12"/>
      <c r="E164" s="12"/>
      <c r="F164" s="4"/>
      <c r="G164" s="13"/>
      <c r="H164" s="14"/>
      <c r="I164" s="11"/>
      <c r="J164" s="4"/>
      <c r="K164" s="4"/>
      <c r="L164" s="7"/>
      <c r="M164" s="7"/>
      <c r="N164" s="4"/>
    </row>
    <row r="165" spans="1:14" x14ac:dyDescent="0.3">
      <c r="A165" s="10"/>
      <c r="B165" s="4"/>
      <c r="C165" s="11"/>
      <c r="D165" s="12"/>
      <c r="E165" s="12"/>
      <c r="F165" s="4"/>
      <c r="G165" s="13"/>
      <c r="H165" s="14"/>
      <c r="I165" s="11"/>
      <c r="J165" s="4"/>
      <c r="K165" s="4"/>
      <c r="L165" s="7"/>
      <c r="M165" s="7"/>
      <c r="N165" s="4"/>
    </row>
    <row r="168" spans="1:14" ht="43.2" x14ac:dyDescent="0.3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  <c r="G168" s="1" t="s">
        <v>6</v>
      </c>
      <c r="H168" s="1" t="s">
        <v>7</v>
      </c>
      <c r="I168" s="1" t="s">
        <v>8</v>
      </c>
      <c r="J168" s="1" t="s">
        <v>9</v>
      </c>
      <c r="K168" s="1" t="s">
        <v>10</v>
      </c>
      <c r="L168" s="2"/>
      <c r="M168" s="2"/>
      <c r="N168" s="2"/>
    </row>
    <row r="169" spans="1:14" x14ac:dyDescent="0.3">
      <c r="A169" s="4" t="s">
        <v>11</v>
      </c>
      <c r="B169" s="3" t="str">
        <f>_xlfn.XLOOKUP($C169,'[1]Basic EMP Data - 2025'!$D$3:$D$216,'[1]Basic EMP Data - 2025'!$C$3:$C$216)</f>
        <v>VB1261</v>
      </c>
      <c r="C169" s="5" t="s">
        <v>32</v>
      </c>
      <c r="D169" s="4" t="str">
        <f>VLOOKUP($B169,'[1]Basic EMP Data - 2025'!$C$3:$F$216,3,0)</f>
        <v>Harsh Agarwal</v>
      </c>
      <c r="E169" s="4">
        <f>VLOOKUP($B169,'[1]Basic EMP Data - 2025'!$C$3:$I$216,5,0)</f>
        <v>6</v>
      </c>
      <c r="F169" s="4">
        <f>VLOOKUP($B169,'[1]Basic EMP Data - 2025'!$C$3:$I$216,6,0)</f>
        <v>3</v>
      </c>
      <c r="G169" s="6">
        <f>F169/E169</f>
        <v>0.5</v>
      </c>
      <c r="H169" s="7">
        <f>SUM(L171:L189)</f>
        <v>2640</v>
      </c>
      <c r="I169" s="8" cm="1">
        <f t="array" ref="I169">_xlfn.IFS($G169&lt;=34%,0%,$G169&lt;=75%,3%,$G169&lt;=120%,4%,$G169&gt;120%,5%)</f>
        <v>0.03</v>
      </c>
      <c r="J169" s="7" cm="1">
        <f t="array" ref="J169">SUMPRODUCT((C171:C189=2024)*M171:M189) + SUMPRODUCT((C171:C189=2025)*M171:M189*2)</f>
        <v>6336</v>
      </c>
      <c r="K169" s="4">
        <f>SUM(N171:N189)</f>
        <v>0</v>
      </c>
      <c r="M169" s="2"/>
      <c r="N169" s="2"/>
    </row>
    <row r="170" spans="1:14" ht="28.8" x14ac:dyDescent="0.3">
      <c r="A170" s="9" t="s">
        <v>2</v>
      </c>
      <c r="B170" s="9" t="s">
        <v>13</v>
      </c>
      <c r="C170" s="9" t="s">
        <v>14</v>
      </c>
      <c r="D170" s="9" t="s">
        <v>15</v>
      </c>
      <c r="E170" s="9" t="s">
        <v>16</v>
      </c>
      <c r="F170" s="9" t="s">
        <v>17</v>
      </c>
      <c r="G170" s="9" t="s">
        <v>18</v>
      </c>
      <c r="H170" s="9" t="s">
        <v>19</v>
      </c>
      <c r="I170" s="9" t="s">
        <v>20</v>
      </c>
      <c r="J170" s="9" t="s">
        <v>21</v>
      </c>
      <c r="K170" s="9" t="s">
        <v>22</v>
      </c>
      <c r="L170" s="9" t="s">
        <v>23</v>
      </c>
      <c r="M170" s="9" t="s">
        <v>24</v>
      </c>
      <c r="N170" s="9" t="s">
        <v>25</v>
      </c>
    </row>
    <row r="171" spans="1:14" x14ac:dyDescent="0.3">
      <c r="A171" s="10" t="str">
        <f>C169</f>
        <v>Aarzoo Khan</v>
      </c>
      <c r="B171" s="4" t="str" cm="1">
        <f t="array" ref="B171:M171">_xlfn.LET(
  _xlpm.data, _xlfn._xlws.FILTER('[1]Incentive Data'!A:BV, '[1]Incentive Data'!H:H=$C169),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Timothy Douglas Scott</v>
      </c>
      <c r="C171" s="11">
        <v>2025</v>
      </c>
      <c r="D171" s="12">
        <v>45754</v>
      </c>
      <c r="E171" s="12" t="str">
        <v>-</v>
      </c>
      <c r="F171" s="4" t="str">
        <v>Birlasoft</v>
      </c>
      <c r="G171" s="13" t="str">
        <v>PLC-4180</v>
      </c>
      <c r="H171" s="14" t="str">
        <v>C2C</v>
      </c>
      <c r="I171" s="11" t="str">
        <v>Done</v>
      </c>
      <c r="J171" s="4" t="str">
        <v>Y</v>
      </c>
      <c r="K171" s="4">
        <v>176</v>
      </c>
      <c r="L171" s="7">
        <v>2640</v>
      </c>
      <c r="M171" s="7">
        <v>3168</v>
      </c>
      <c r="N171" s="4"/>
    </row>
    <row r="172" spans="1:14" x14ac:dyDescent="0.3">
      <c r="A172" s="10"/>
      <c r="B172" s="4"/>
      <c r="C172" s="11"/>
      <c r="D172" s="12"/>
      <c r="E172" s="12"/>
      <c r="F172" s="4"/>
      <c r="G172" s="13"/>
      <c r="H172" s="14"/>
      <c r="I172" s="11"/>
      <c r="J172" s="4"/>
      <c r="K172" s="4"/>
      <c r="L172" s="7"/>
      <c r="M172" s="7"/>
      <c r="N172" s="4"/>
    </row>
    <row r="173" spans="1:14" x14ac:dyDescent="0.3">
      <c r="A173" s="10"/>
      <c r="B173" s="4"/>
      <c r="C173" s="11"/>
      <c r="D173" s="12"/>
      <c r="E173" s="12"/>
      <c r="F173" s="4"/>
      <c r="G173" s="13"/>
      <c r="H173" s="14"/>
      <c r="I173" s="11"/>
      <c r="J173" s="4"/>
      <c r="K173" s="4"/>
      <c r="L173" s="7"/>
      <c r="M173" s="7"/>
      <c r="N173" s="4"/>
    </row>
    <row r="174" spans="1:14" x14ac:dyDescent="0.3">
      <c r="A174" s="10"/>
      <c r="B174" s="4"/>
      <c r="C174" s="11"/>
      <c r="D174" s="12"/>
      <c r="E174" s="12"/>
      <c r="F174" s="4"/>
      <c r="G174" s="13"/>
      <c r="H174" s="14"/>
      <c r="I174" s="11"/>
      <c r="J174" s="4"/>
      <c r="K174" s="4"/>
      <c r="L174" s="7"/>
      <c r="M174" s="7"/>
      <c r="N174" s="4"/>
    </row>
    <row r="175" spans="1:14" x14ac:dyDescent="0.3">
      <c r="A175" s="10"/>
      <c r="B175" s="4"/>
      <c r="C175" s="11"/>
      <c r="D175" s="12"/>
      <c r="E175" s="12"/>
      <c r="F175" s="4"/>
      <c r="G175" s="13"/>
      <c r="H175" s="14"/>
      <c r="I175" s="11"/>
      <c r="J175" s="4"/>
      <c r="K175" s="4"/>
      <c r="L175" s="7"/>
      <c r="M175" s="7"/>
      <c r="N175" s="4"/>
    </row>
    <row r="176" spans="1:14" x14ac:dyDescent="0.3">
      <c r="A176" s="10"/>
      <c r="B176" s="4"/>
      <c r="C176" s="11"/>
      <c r="D176" s="12"/>
      <c r="E176" s="12"/>
      <c r="F176" s="4"/>
      <c r="G176" s="13"/>
      <c r="H176" s="14"/>
      <c r="I176" s="11"/>
      <c r="J176" s="4"/>
      <c r="K176" s="4"/>
      <c r="L176" s="7"/>
      <c r="M176" s="7"/>
      <c r="N176" s="4"/>
    </row>
    <row r="177" spans="1:14" x14ac:dyDescent="0.3">
      <c r="A177" s="10"/>
      <c r="B177" s="4"/>
      <c r="C177" s="11"/>
      <c r="D177" s="12"/>
      <c r="E177" s="12"/>
      <c r="F177" s="4"/>
      <c r="G177" s="13"/>
      <c r="H177" s="14"/>
      <c r="I177" s="11"/>
      <c r="J177" s="4"/>
      <c r="K177" s="4"/>
      <c r="L177" s="7"/>
      <c r="M177" s="7"/>
      <c r="N177" s="4"/>
    </row>
    <row r="178" spans="1:14" x14ac:dyDescent="0.3">
      <c r="A178" s="10"/>
      <c r="B178" s="4"/>
      <c r="C178" s="11"/>
      <c r="D178" s="12"/>
      <c r="E178" s="12"/>
      <c r="F178" s="4"/>
      <c r="G178" s="13"/>
      <c r="H178" s="14"/>
      <c r="I178" s="11"/>
      <c r="J178" s="4"/>
      <c r="K178" s="4"/>
      <c r="L178" s="7"/>
      <c r="M178" s="7"/>
      <c r="N178" s="4"/>
    </row>
    <row r="179" spans="1:14" x14ac:dyDescent="0.3">
      <c r="A179" s="10"/>
      <c r="B179" s="4"/>
      <c r="C179" s="11"/>
      <c r="D179" s="12"/>
      <c r="E179" s="12"/>
      <c r="F179" s="4"/>
      <c r="G179" s="13"/>
      <c r="H179" s="14"/>
      <c r="I179" s="11"/>
      <c r="J179" s="4"/>
      <c r="K179" s="4"/>
      <c r="L179" s="7"/>
      <c r="M179" s="7"/>
      <c r="N179" s="4"/>
    </row>
    <row r="180" spans="1:14" x14ac:dyDescent="0.3">
      <c r="A180" s="10"/>
      <c r="B180" s="4"/>
      <c r="C180" s="11"/>
      <c r="D180" s="12"/>
      <c r="E180" s="12"/>
      <c r="F180" s="4"/>
      <c r="G180" s="13"/>
      <c r="H180" s="14"/>
      <c r="I180" s="11"/>
      <c r="J180" s="4"/>
      <c r="K180" s="4"/>
      <c r="L180" s="7"/>
      <c r="M180" s="7"/>
      <c r="N180" s="4"/>
    </row>
    <row r="181" spans="1:14" x14ac:dyDescent="0.3">
      <c r="A181" s="10"/>
      <c r="B181" s="4"/>
      <c r="C181" s="11"/>
      <c r="D181" s="12"/>
      <c r="E181" s="12"/>
      <c r="F181" s="4"/>
      <c r="G181" s="13"/>
      <c r="H181" s="14"/>
      <c r="I181" s="11"/>
      <c r="J181" s="4"/>
      <c r="K181" s="4"/>
      <c r="L181" s="7"/>
      <c r="M181" s="7"/>
      <c r="N181" s="4"/>
    </row>
    <row r="182" spans="1:14" x14ac:dyDescent="0.3">
      <c r="A182" s="10"/>
      <c r="B182" s="4"/>
      <c r="C182" s="11"/>
      <c r="D182" s="12"/>
      <c r="E182" s="12"/>
      <c r="F182" s="4"/>
      <c r="G182" s="13"/>
      <c r="H182" s="14"/>
      <c r="I182" s="11"/>
      <c r="J182" s="4"/>
      <c r="K182" s="4"/>
      <c r="L182" s="7"/>
      <c r="M182" s="7"/>
      <c r="N182" s="4"/>
    </row>
    <row r="183" spans="1:14" x14ac:dyDescent="0.3">
      <c r="A183" s="10"/>
      <c r="B183" s="4"/>
      <c r="C183" s="11"/>
      <c r="D183" s="12"/>
      <c r="E183" s="12"/>
      <c r="F183" s="4"/>
      <c r="G183" s="13"/>
      <c r="H183" s="14"/>
      <c r="I183" s="11"/>
      <c r="J183" s="4"/>
      <c r="K183" s="4"/>
      <c r="L183" s="7"/>
      <c r="M183" s="7"/>
      <c r="N183" s="4"/>
    </row>
    <row r="184" spans="1:14" x14ac:dyDescent="0.3">
      <c r="A184" s="10"/>
      <c r="B184" s="4"/>
      <c r="C184" s="11"/>
      <c r="D184" s="12"/>
      <c r="E184" s="12"/>
      <c r="F184" s="4"/>
      <c r="G184" s="13"/>
      <c r="H184" s="14"/>
      <c r="I184" s="11"/>
      <c r="J184" s="4"/>
      <c r="K184" s="4"/>
      <c r="L184" s="7"/>
      <c r="M184" s="7"/>
      <c r="N184" s="4"/>
    </row>
    <row r="185" spans="1:14" x14ac:dyDescent="0.3">
      <c r="A185" s="10"/>
      <c r="B185" s="4"/>
      <c r="C185" s="11"/>
      <c r="D185" s="12"/>
      <c r="E185" s="12"/>
      <c r="F185" s="4"/>
      <c r="G185" s="13"/>
      <c r="H185" s="14"/>
      <c r="I185" s="11"/>
      <c r="J185" s="4"/>
      <c r="K185" s="4"/>
      <c r="L185" s="7"/>
      <c r="M185" s="7"/>
      <c r="N185" s="4"/>
    </row>
    <row r="186" spans="1:14" x14ac:dyDescent="0.3">
      <c r="A186" s="10"/>
      <c r="B186" s="4"/>
      <c r="C186" s="11"/>
      <c r="D186" s="12"/>
      <c r="E186" s="12"/>
      <c r="F186" s="4"/>
      <c r="G186" s="13"/>
      <c r="H186" s="14"/>
      <c r="I186" s="11"/>
      <c r="J186" s="4"/>
      <c r="K186" s="4"/>
      <c r="L186" s="7"/>
      <c r="M186" s="7"/>
      <c r="N186" s="4"/>
    </row>
    <row r="187" spans="1:14" x14ac:dyDescent="0.3">
      <c r="A187" s="10"/>
      <c r="B187" s="4"/>
      <c r="C187" s="11"/>
      <c r="D187" s="12"/>
      <c r="E187" s="12"/>
      <c r="F187" s="4"/>
      <c r="G187" s="13"/>
      <c r="H187" s="14"/>
      <c r="I187" s="11"/>
      <c r="J187" s="4"/>
      <c r="K187" s="4"/>
      <c r="L187" s="7"/>
      <c r="M187" s="7"/>
      <c r="N187" s="4"/>
    </row>
    <row r="188" spans="1:14" x14ac:dyDescent="0.3">
      <c r="A188" s="10"/>
      <c r="B188" s="4"/>
      <c r="C188" s="11"/>
      <c r="D188" s="12"/>
      <c r="E188" s="12"/>
      <c r="F188" s="4"/>
      <c r="G188" s="13"/>
      <c r="H188" s="14"/>
      <c r="I188" s="11"/>
      <c r="J188" s="4"/>
      <c r="K188" s="4"/>
      <c r="L188" s="7"/>
      <c r="M188" s="7"/>
      <c r="N188" s="4"/>
    </row>
    <row r="189" spans="1:14" x14ac:dyDescent="0.3">
      <c r="A189" s="10"/>
      <c r="B189" s="4"/>
      <c r="C189" s="11"/>
      <c r="D189" s="12"/>
      <c r="E189" s="12"/>
      <c r="F189" s="4"/>
      <c r="G189" s="13"/>
      <c r="H189" s="14"/>
      <c r="I189" s="11"/>
      <c r="J189" s="4"/>
      <c r="K189" s="4"/>
      <c r="L189" s="7"/>
      <c r="M189" s="7"/>
      <c r="N189" s="4"/>
    </row>
    <row r="193" spans="1:14" ht="43.2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9</v>
      </c>
      <c r="K193" s="1" t="s">
        <v>10</v>
      </c>
      <c r="L193" s="2"/>
      <c r="M193" s="2"/>
      <c r="N193" s="2"/>
    </row>
    <row r="194" spans="1:14" x14ac:dyDescent="0.3">
      <c r="A194" s="4" t="s">
        <v>11</v>
      </c>
      <c r="B194" s="3" t="str">
        <f>_xlfn.XLOOKUP($C194,'[1]Basic EMP Data - 2025'!$D$3:$D$216,'[1]Basic EMP Data - 2025'!$C$3:$C$216)</f>
        <v>VB1914</v>
      </c>
      <c r="C194" s="5" t="s">
        <v>33</v>
      </c>
      <c r="D194" s="4" t="str">
        <f>VLOOKUP($B194,'[1]Basic EMP Data - 2025'!$C$3:$F$216,3,0)</f>
        <v>Harsh Agarwal</v>
      </c>
      <c r="E194" s="4">
        <f>VLOOKUP($B194,'[1]Basic EMP Data - 2025'!$C$3:$I$216,5,0)</f>
        <v>6</v>
      </c>
      <c r="F194" s="4">
        <f>VLOOKUP($B194,'[1]Basic EMP Data - 2025'!$C$3:$I$216,6,0)</f>
        <v>4</v>
      </c>
      <c r="G194" s="6">
        <f>F194/E194</f>
        <v>0.66666666666666663</v>
      </c>
      <c r="H194" s="7">
        <f>SUM(L196:L214)</f>
        <v>0</v>
      </c>
      <c r="I194" s="8" cm="1">
        <f t="array" ref="I194">_xlfn.IFS($G194&lt;=34%,0%,$G194&lt;=75%,3%,$G194&lt;=120%,4%,$G194&gt;120%,5%)</f>
        <v>0.03</v>
      </c>
      <c r="J194" s="7" cm="1">
        <f t="array" ref="J194">SUMPRODUCT((C196:C214=2024)*M196:M214) + SUMPRODUCT((C196:C214=2025)*M196:M214*2)</f>
        <v>0</v>
      </c>
      <c r="K194" s="4">
        <f>SUM(N196:N214)</f>
        <v>0</v>
      </c>
      <c r="M194" s="2"/>
      <c r="N194" s="2"/>
    </row>
    <row r="195" spans="1:14" ht="28.8" x14ac:dyDescent="0.3">
      <c r="A195" s="9" t="s">
        <v>2</v>
      </c>
      <c r="B195" s="9" t="s">
        <v>13</v>
      </c>
      <c r="C195" s="9" t="s">
        <v>14</v>
      </c>
      <c r="D195" s="9" t="s">
        <v>15</v>
      </c>
      <c r="E195" s="9" t="s">
        <v>16</v>
      </c>
      <c r="F195" s="9" t="s">
        <v>17</v>
      </c>
      <c r="G195" s="9" t="s">
        <v>18</v>
      </c>
      <c r="H195" s="9" t="s">
        <v>19</v>
      </c>
      <c r="I195" s="9" t="s">
        <v>20</v>
      </c>
      <c r="J195" s="9" t="s">
        <v>21</v>
      </c>
      <c r="K195" s="9" t="s">
        <v>22</v>
      </c>
      <c r="L195" s="9" t="s">
        <v>23</v>
      </c>
      <c r="M195" s="9" t="s">
        <v>24</v>
      </c>
      <c r="N195" s="9" t="s">
        <v>25</v>
      </c>
    </row>
    <row r="196" spans="1:14" x14ac:dyDescent="0.3">
      <c r="A196" s="10" t="str">
        <f>C194</f>
        <v>Neelendra Dhar Dwivedi</v>
      </c>
      <c r="B196" s="4" t="e" cm="1" vm="1">
        <f t="array" ref="B196">_xlfn.LET(
  _xlpm.data, _xlfn._xlws.FILTER('[1]Incentive Data'!A:BV, '[1]Incentive Data'!H:H=$C194),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96" s="11"/>
      <c r="D196" s="12"/>
      <c r="E196" s="12"/>
      <c r="F196" s="4"/>
      <c r="G196" s="13"/>
      <c r="H196" s="14"/>
      <c r="I196" s="11"/>
      <c r="J196" s="4"/>
      <c r="K196" s="4"/>
      <c r="L196" s="7"/>
      <c r="M196" s="7"/>
      <c r="N196" s="4"/>
    </row>
    <row r="197" spans="1:14" x14ac:dyDescent="0.3">
      <c r="A197" s="10"/>
      <c r="B197" s="4"/>
      <c r="C197" s="11"/>
      <c r="D197" s="12"/>
      <c r="E197" s="12"/>
      <c r="F197" s="4"/>
      <c r="G197" s="13"/>
      <c r="H197" s="14"/>
      <c r="I197" s="11"/>
      <c r="J197" s="4"/>
      <c r="K197" s="4"/>
      <c r="L197" s="7"/>
      <c r="M197" s="7"/>
      <c r="N197" s="4"/>
    </row>
    <row r="198" spans="1:14" x14ac:dyDescent="0.3">
      <c r="A198" s="10"/>
      <c r="B198" s="4"/>
      <c r="C198" s="11"/>
      <c r="D198" s="12"/>
      <c r="E198" s="12"/>
      <c r="F198" s="4"/>
      <c r="G198" s="13"/>
      <c r="H198" s="14"/>
      <c r="I198" s="11"/>
      <c r="J198" s="4"/>
      <c r="K198" s="4"/>
      <c r="L198" s="7"/>
      <c r="M198" s="7"/>
      <c r="N198" s="4"/>
    </row>
    <row r="199" spans="1:14" x14ac:dyDescent="0.3">
      <c r="A199" s="10"/>
      <c r="B199" s="4"/>
      <c r="C199" s="11"/>
      <c r="D199" s="12"/>
      <c r="E199" s="12"/>
      <c r="F199" s="4"/>
      <c r="G199" s="13"/>
      <c r="H199" s="14"/>
      <c r="I199" s="11"/>
      <c r="J199" s="4"/>
      <c r="K199" s="4"/>
      <c r="L199" s="7"/>
      <c r="M199" s="7"/>
      <c r="N199" s="4"/>
    </row>
    <row r="200" spans="1:14" x14ac:dyDescent="0.3">
      <c r="A200" s="10"/>
      <c r="B200" s="4"/>
      <c r="C200" s="11"/>
      <c r="D200" s="12"/>
      <c r="E200" s="12"/>
      <c r="F200" s="4"/>
      <c r="G200" s="13"/>
      <c r="H200" s="14"/>
      <c r="I200" s="11"/>
      <c r="J200" s="4"/>
      <c r="K200" s="4"/>
      <c r="L200" s="7"/>
      <c r="M200" s="7"/>
      <c r="N200" s="4"/>
    </row>
    <row r="201" spans="1:14" x14ac:dyDescent="0.3">
      <c r="A201" s="10"/>
      <c r="B201" s="4"/>
      <c r="C201" s="11"/>
      <c r="D201" s="12"/>
      <c r="E201" s="12"/>
      <c r="F201" s="4"/>
      <c r="G201" s="13"/>
      <c r="H201" s="14"/>
      <c r="I201" s="11"/>
      <c r="J201" s="4"/>
      <c r="K201" s="4"/>
      <c r="L201" s="7"/>
      <c r="M201" s="7"/>
      <c r="N201" s="4"/>
    </row>
    <row r="202" spans="1:14" x14ac:dyDescent="0.3">
      <c r="A202" s="10"/>
      <c r="B202" s="4"/>
      <c r="C202" s="11"/>
      <c r="D202" s="12"/>
      <c r="E202" s="12"/>
      <c r="F202" s="4"/>
      <c r="G202" s="13"/>
      <c r="H202" s="14"/>
      <c r="I202" s="11"/>
      <c r="J202" s="4"/>
      <c r="K202" s="4"/>
      <c r="L202" s="7"/>
      <c r="M202" s="7"/>
      <c r="N202" s="4"/>
    </row>
    <row r="203" spans="1:14" x14ac:dyDescent="0.3">
      <c r="A203" s="10"/>
      <c r="B203" s="4"/>
      <c r="C203" s="11"/>
      <c r="D203" s="12"/>
      <c r="E203" s="12"/>
      <c r="F203" s="4"/>
      <c r="G203" s="13"/>
      <c r="H203" s="14"/>
      <c r="I203" s="11"/>
      <c r="J203" s="4"/>
      <c r="K203" s="4"/>
      <c r="L203" s="7"/>
      <c r="M203" s="7"/>
      <c r="N203" s="4"/>
    </row>
    <row r="204" spans="1:14" x14ac:dyDescent="0.3">
      <c r="A204" s="10"/>
      <c r="B204" s="4"/>
      <c r="C204" s="11"/>
      <c r="D204" s="12"/>
      <c r="E204" s="12"/>
      <c r="F204" s="4"/>
      <c r="G204" s="13"/>
      <c r="H204" s="14"/>
      <c r="I204" s="11"/>
      <c r="J204" s="4"/>
      <c r="K204" s="4"/>
      <c r="L204" s="7"/>
      <c r="M204" s="7"/>
      <c r="N204" s="4"/>
    </row>
    <row r="205" spans="1:14" x14ac:dyDescent="0.3">
      <c r="A205" s="10"/>
      <c r="B205" s="4"/>
      <c r="C205" s="11"/>
      <c r="D205" s="12"/>
      <c r="E205" s="12"/>
      <c r="F205" s="4"/>
      <c r="G205" s="13"/>
      <c r="H205" s="14"/>
      <c r="I205" s="11"/>
      <c r="J205" s="4"/>
      <c r="K205" s="4"/>
      <c r="L205" s="7"/>
      <c r="M205" s="7"/>
      <c r="N205" s="4"/>
    </row>
    <row r="206" spans="1:14" x14ac:dyDescent="0.3">
      <c r="A206" s="10"/>
      <c r="B206" s="4"/>
      <c r="C206" s="11"/>
      <c r="D206" s="12"/>
      <c r="E206" s="12"/>
      <c r="F206" s="4"/>
      <c r="G206" s="13"/>
      <c r="H206" s="14"/>
      <c r="I206" s="11"/>
      <c r="J206" s="4"/>
      <c r="K206" s="4"/>
      <c r="L206" s="7"/>
      <c r="M206" s="7"/>
      <c r="N206" s="4"/>
    </row>
    <row r="207" spans="1:14" x14ac:dyDescent="0.3">
      <c r="A207" s="10"/>
      <c r="B207" s="4"/>
      <c r="C207" s="11"/>
      <c r="D207" s="12"/>
      <c r="E207" s="12"/>
      <c r="F207" s="4"/>
      <c r="G207" s="13"/>
      <c r="H207" s="14"/>
      <c r="I207" s="11"/>
      <c r="J207" s="4"/>
      <c r="K207" s="4"/>
      <c r="L207" s="7"/>
      <c r="M207" s="7"/>
      <c r="N207" s="4"/>
    </row>
    <row r="208" spans="1:14" x14ac:dyDescent="0.3">
      <c r="A208" s="10"/>
      <c r="B208" s="4"/>
      <c r="C208" s="11"/>
      <c r="D208" s="12"/>
      <c r="E208" s="12"/>
      <c r="F208" s="4"/>
      <c r="G208" s="13"/>
      <c r="H208" s="14"/>
      <c r="I208" s="11"/>
      <c r="J208" s="4"/>
      <c r="K208" s="4"/>
      <c r="L208" s="7"/>
      <c r="M208" s="7"/>
      <c r="N208" s="4"/>
    </row>
    <row r="209" spans="1:14" x14ac:dyDescent="0.3">
      <c r="A209" s="10"/>
      <c r="B209" s="4"/>
      <c r="C209" s="11"/>
      <c r="D209" s="12"/>
      <c r="E209" s="12"/>
      <c r="F209" s="4"/>
      <c r="G209" s="13"/>
      <c r="H209" s="14"/>
      <c r="I209" s="11"/>
      <c r="J209" s="4"/>
      <c r="K209" s="4"/>
      <c r="L209" s="7"/>
      <c r="M209" s="7"/>
      <c r="N209" s="4"/>
    </row>
    <row r="210" spans="1:14" x14ac:dyDescent="0.3">
      <c r="A210" s="10"/>
      <c r="B210" s="4"/>
      <c r="C210" s="11"/>
      <c r="D210" s="12"/>
      <c r="E210" s="12"/>
      <c r="F210" s="4"/>
      <c r="G210" s="13"/>
      <c r="H210" s="14"/>
      <c r="I210" s="11"/>
      <c r="J210" s="4"/>
      <c r="K210" s="4"/>
      <c r="L210" s="7"/>
      <c r="M210" s="7"/>
      <c r="N210" s="4"/>
    </row>
    <row r="211" spans="1:14" x14ac:dyDescent="0.3">
      <c r="A211" s="10"/>
      <c r="B211" s="4"/>
      <c r="C211" s="11"/>
      <c r="D211" s="12"/>
      <c r="E211" s="12"/>
      <c r="F211" s="4"/>
      <c r="G211" s="13"/>
      <c r="H211" s="14"/>
      <c r="I211" s="11"/>
      <c r="J211" s="4"/>
      <c r="K211" s="4"/>
      <c r="L211" s="7"/>
      <c r="M211" s="7"/>
      <c r="N211" s="4"/>
    </row>
    <row r="212" spans="1:14" x14ac:dyDescent="0.3">
      <c r="A212" s="10"/>
      <c r="B212" s="4"/>
      <c r="C212" s="11"/>
      <c r="D212" s="12"/>
      <c r="E212" s="12"/>
      <c r="F212" s="4"/>
      <c r="G212" s="13"/>
      <c r="H212" s="14"/>
      <c r="I212" s="11"/>
      <c r="J212" s="4"/>
      <c r="K212" s="4"/>
      <c r="L212" s="7"/>
      <c r="M212" s="7"/>
      <c r="N212" s="4"/>
    </row>
    <row r="213" spans="1:14" x14ac:dyDescent="0.3">
      <c r="A213" s="10"/>
      <c r="B213" s="4"/>
      <c r="C213" s="11"/>
      <c r="D213" s="12"/>
      <c r="E213" s="12"/>
      <c r="F213" s="4"/>
      <c r="G213" s="13"/>
      <c r="H213" s="14"/>
      <c r="I213" s="11"/>
      <c r="J213" s="4"/>
      <c r="K213" s="4"/>
      <c r="L213" s="7"/>
      <c r="M213" s="7"/>
      <c r="N213" s="4"/>
    </row>
    <row r="214" spans="1:14" x14ac:dyDescent="0.3">
      <c r="A214" s="10"/>
      <c r="B214" s="4"/>
      <c r="C214" s="11"/>
      <c r="D214" s="12"/>
      <c r="E214" s="12"/>
      <c r="F214" s="4"/>
      <c r="G214" s="13"/>
      <c r="H214" s="14"/>
      <c r="I214" s="11"/>
      <c r="J214" s="4"/>
      <c r="K214" s="4"/>
      <c r="L214" s="7"/>
      <c r="M214" s="7"/>
      <c r="N214" s="4"/>
    </row>
    <row r="217" spans="1:14" ht="43.2" x14ac:dyDescent="0.3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2"/>
      <c r="M217" s="2"/>
      <c r="N217" s="2"/>
    </row>
    <row r="218" spans="1:14" x14ac:dyDescent="0.3">
      <c r="A218" s="4" t="s">
        <v>11</v>
      </c>
      <c r="B218" s="3" t="str">
        <f>_xlfn.XLOOKUP($C218,'[1]Basic EMP Data - 2025'!$D$3:$D$216,'[1]Basic EMP Data - 2025'!$C$3:$C$216)</f>
        <v>VB1511</v>
      </c>
      <c r="C218" s="5" t="s">
        <v>34</v>
      </c>
      <c r="D218" s="4" t="str">
        <f>VLOOKUP($B218,'[1]Basic EMP Data - 2025'!$C$3:$F$216,3,0)</f>
        <v>Harsh Agarwal</v>
      </c>
      <c r="E218" s="4">
        <f>VLOOKUP($B218,'[1]Basic EMP Data - 2025'!$C$3:$I$216,5,0)</f>
        <v>6</v>
      </c>
      <c r="F218" s="4">
        <f>VLOOKUP($B218,'[1]Basic EMP Data - 2025'!$C$3:$I$216,6,0)</f>
        <v>3</v>
      </c>
      <c r="G218" s="6">
        <f>F218/E218</f>
        <v>0.5</v>
      </c>
      <c r="H218" s="7">
        <f>SUM(L220:L238)</f>
        <v>4295.1000000000049</v>
      </c>
      <c r="I218" s="8" cm="1">
        <f t="array" ref="I218">_xlfn.IFS($G218&lt;=34%,0%,$G218&lt;=75%,3%,$G218&lt;=120%,4%,$G218&gt;120%,5%)</f>
        <v>0.03</v>
      </c>
      <c r="J218" s="7" cm="1">
        <f t="array" ref="J218">SUMPRODUCT((C220:C238=2024)*M220:M238) + SUMPRODUCT((C220:C238=2025)*M220:M238*2)</f>
        <v>10308.240000000013</v>
      </c>
      <c r="K218" s="4">
        <f>SUM(N220:N238)</f>
        <v>0</v>
      </c>
      <c r="M218" s="2"/>
      <c r="N218" s="2"/>
    </row>
    <row r="219" spans="1:14" ht="28.8" x14ac:dyDescent="0.3">
      <c r="A219" s="9" t="s">
        <v>2</v>
      </c>
      <c r="B219" s="9" t="s">
        <v>13</v>
      </c>
      <c r="C219" s="9" t="s">
        <v>14</v>
      </c>
      <c r="D219" s="9" t="s">
        <v>15</v>
      </c>
      <c r="E219" s="9" t="s">
        <v>16</v>
      </c>
      <c r="F219" s="9" t="s">
        <v>17</v>
      </c>
      <c r="G219" s="9" t="s">
        <v>18</v>
      </c>
      <c r="H219" s="9" t="s">
        <v>19</v>
      </c>
      <c r="I219" s="9" t="s">
        <v>20</v>
      </c>
      <c r="J219" s="9" t="s">
        <v>21</v>
      </c>
      <c r="K219" s="9" t="s">
        <v>22</v>
      </c>
      <c r="L219" s="9" t="s">
        <v>23</v>
      </c>
      <c r="M219" s="9" t="s">
        <v>24</v>
      </c>
      <c r="N219" s="9" t="s">
        <v>25</v>
      </c>
    </row>
    <row r="220" spans="1:14" x14ac:dyDescent="0.3">
      <c r="A220" s="10" t="str">
        <f>C218</f>
        <v>Ashish Saxena</v>
      </c>
      <c r="B220" s="4" t="str" cm="1">
        <f t="array" ref="B220:M220">_xlfn.LET(
  _xlpm.data, _xlfn._xlws.FILTER('[1]Incentive Data'!A:BV, '[1]Incentive Data'!H:H=$C218),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Wisdom Agbangba Primus</v>
      </c>
      <c r="C220" s="11">
        <v>2025</v>
      </c>
      <c r="D220" s="12">
        <v>45701</v>
      </c>
      <c r="E220" s="12">
        <v>45786</v>
      </c>
      <c r="F220" s="4" t="str">
        <v>Global Logic</v>
      </c>
      <c r="G220" s="13" t="str">
        <v>PLC-4110</v>
      </c>
      <c r="H220" s="14" t="str">
        <v>W2</v>
      </c>
      <c r="I220" s="11" t="str">
        <v>Done</v>
      </c>
      <c r="J220" s="4" t="str">
        <v>Y</v>
      </c>
      <c r="K220" s="4">
        <v>417</v>
      </c>
      <c r="L220" s="7">
        <v>4295.1000000000049</v>
      </c>
      <c r="M220" s="7">
        <v>5154.1200000000063</v>
      </c>
      <c r="N220" s="4"/>
    </row>
    <row r="221" spans="1:14" x14ac:dyDescent="0.3">
      <c r="A221" s="10"/>
      <c r="B221" s="4"/>
      <c r="C221" s="11"/>
      <c r="D221" s="12"/>
      <c r="E221" s="12"/>
      <c r="F221" s="4"/>
      <c r="G221" s="13"/>
      <c r="H221" s="14"/>
      <c r="I221" s="11"/>
      <c r="J221" s="4"/>
      <c r="K221" s="4"/>
      <c r="L221" s="7"/>
      <c r="M221" s="7"/>
      <c r="N221" s="4"/>
    </row>
    <row r="222" spans="1:14" x14ac:dyDescent="0.3">
      <c r="A222" s="10"/>
      <c r="B222" s="4"/>
      <c r="C222" s="11"/>
      <c r="D222" s="12"/>
      <c r="E222" s="12"/>
      <c r="F222" s="4"/>
      <c r="G222" s="13"/>
      <c r="H222" s="14"/>
      <c r="I222" s="11"/>
      <c r="J222" s="4"/>
      <c r="K222" s="4"/>
      <c r="L222" s="7"/>
      <c r="M222" s="7"/>
      <c r="N222" s="4"/>
    </row>
    <row r="223" spans="1:14" x14ac:dyDescent="0.3">
      <c r="A223" s="10"/>
      <c r="B223" s="4"/>
      <c r="C223" s="11"/>
      <c r="D223" s="12"/>
      <c r="E223" s="12"/>
      <c r="F223" s="4"/>
      <c r="G223" s="13"/>
      <c r="H223" s="14"/>
      <c r="I223" s="11"/>
      <c r="J223" s="4"/>
      <c r="K223" s="4"/>
      <c r="L223" s="7"/>
      <c r="M223" s="7"/>
      <c r="N223" s="4"/>
    </row>
    <row r="224" spans="1:14" x14ac:dyDescent="0.3">
      <c r="A224" s="10"/>
      <c r="B224" s="4"/>
      <c r="C224" s="11"/>
      <c r="D224" s="12"/>
      <c r="E224" s="12"/>
      <c r="F224" s="4"/>
      <c r="G224" s="13"/>
      <c r="H224" s="14"/>
      <c r="I224" s="11"/>
      <c r="J224" s="4"/>
      <c r="K224" s="4"/>
      <c r="L224" s="7"/>
      <c r="M224" s="7"/>
      <c r="N224" s="4"/>
    </row>
    <row r="225" spans="1:14" x14ac:dyDescent="0.3">
      <c r="A225" s="10"/>
      <c r="B225" s="4"/>
      <c r="C225" s="11"/>
      <c r="D225" s="12"/>
      <c r="E225" s="12"/>
      <c r="F225" s="4"/>
      <c r="G225" s="13"/>
      <c r="H225" s="14"/>
      <c r="I225" s="11"/>
      <c r="J225" s="4"/>
      <c r="K225" s="4"/>
      <c r="L225" s="7"/>
      <c r="M225" s="7"/>
      <c r="N225" s="4"/>
    </row>
    <row r="226" spans="1:14" x14ac:dyDescent="0.3">
      <c r="A226" s="10"/>
      <c r="B226" s="4"/>
      <c r="C226" s="11"/>
      <c r="D226" s="12"/>
      <c r="E226" s="12"/>
      <c r="F226" s="4"/>
      <c r="G226" s="13"/>
      <c r="H226" s="14"/>
      <c r="I226" s="11"/>
      <c r="J226" s="4"/>
      <c r="K226" s="4"/>
      <c r="L226" s="7"/>
      <c r="M226" s="7"/>
      <c r="N226" s="4"/>
    </row>
    <row r="227" spans="1:14" x14ac:dyDescent="0.3">
      <c r="A227" s="10"/>
      <c r="B227" s="4"/>
      <c r="C227" s="11"/>
      <c r="D227" s="12"/>
      <c r="E227" s="12"/>
      <c r="F227" s="4"/>
      <c r="G227" s="13"/>
      <c r="H227" s="14"/>
      <c r="I227" s="11"/>
      <c r="J227" s="4"/>
      <c r="K227" s="4"/>
      <c r="L227" s="7"/>
      <c r="M227" s="7"/>
      <c r="N227" s="4"/>
    </row>
    <row r="228" spans="1:14" x14ac:dyDescent="0.3">
      <c r="A228" s="10"/>
      <c r="B228" s="4"/>
      <c r="C228" s="11"/>
      <c r="D228" s="12"/>
      <c r="E228" s="12"/>
      <c r="F228" s="4"/>
      <c r="G228" s="13"/>
      <c r="H228" s="14"/>
      <c r="I228" s="11"/>
      <c r="J228" s="4"/>
      <c r="K228" s="4"/>
      <c r="L228" s="7"/>
      <c r="M228" s="7"/>
      <c r="N228" s="4"/>
    </row>
    <row r="229" spans="1:14" x14ac:dyDescent="0.3">
      <c r="A229" s="10"/>
      <c r="B229" s="4"/>
      <c r="C229" s="11"/>
      <c r="D229" s="12"/>
      <c r="E229" s="12"/>
      <c r="F229" s="4"/>
      <c r="G229" s="13"/>
      <c r="H229" s="14"/>
      <c r="I229" s="11"/>
      <c r="J229" s="4"/>
      <c r="K229" s="4"/>
      <c r="L229" s="7"/>
      <c r="M229" s="7"/>
      <c r="N229" s="4"/>
    </row>
    <row r="230" spans="1:14" x14ac:dyDescent="0.3">
      <c r="A230" s="10"/>
      <c r="B230" s="4"/>
      <c r="C230" s="11"/>
      <c r="D230" s="12"/>
      <c r="E230" s="12"/>
      <c r="F230" s="4"/>
      <c r="G230" s="13"/>
      <c r="H230" s="14"/>
      <c r="I230" s="11"/>
      <c r="J230" s="4"/>
      <c r="K230" s="4"/>
      <c r="L230" s="7"/>
      <c r="M230" s="7"/>
      <c r="N230" s="4"/>
    </row>
    <row r="231" spans="1:14" x14ac:dyDescent="0.3">
      <c r="A231" s="10"/>
      <c r="B231" s="4"/>
      <c r="C231" s="11"/>
      <c r="D231" s="12"/>
      <c r="E231" s="12"/>
      <c r="F231" s="4"/>
      <c r="G231" s="13"/>
      <c r="H231" s="14"/>
      <c r="I231" s="11"/>
      <c r="J231" s="4"/>
      <c r="K231" s="4"/>
      <c r="L231" s="7"/>
      <c r="M231" s="7"/>
      <c r="N231" s="4"/>
    </row>
    <row r="232" spans="1:14" x14ac:dyDescent="0.3">
      <c r="A232" s="10"/>
      <c r="B232" s="4"/>
      <c r="C232" s="11"/>
      <c r="D232" s="12"/>
      <c r="E232" s="12"/>
      <c r="F232" s="4"/>
      <c r="G232" s="13"/>
      <c r="H232" s="14"/>
      <c r="I232" s="11"/>
      <c r="J232" s="4"/>
      <c r="K232" s="4"/>
      <c r="L232" s="7"/>
      <c r="M232" s="7"/>
      <c r="N232" s="4"/>
    </row>
    <row r="233" spans="1:14" x14ac:dyDescent="0.3">
      <c r="A233" s="10"/>
      <c r="B233" s="4"/>
      <c r="C233" s="11"/>
      <c r="D233" s="12"/>
      <c r="E233" s="12"/>
      <c r="F233" s="4"/>
      <c r="G233" s="13"/>
      <c r="H233" s="14"/>
      <c r="I233" s="11"/>
      <c r="J233" s="4"/>
      <c r="K233" s="4"/>
      <c r="L233" s="7"/>
      <c r="M233" s="7"/>
      <c r="N233" s="4"/>
    </row>
    <row r="234" spans="1:14" x14ac:dyDescent="0.3">
      <c r="A234" s="10"/>
      <c r="B234" s="4"/>
      <c r="C234" s="11"/>
      <c r="D234" s="12"/>
      <c r="E234" s="12"/>
      <c r="F234" s="4"/>
      <c r="G234" s="13"/>
      <c r="H234" s="14"/>
      <c r="I234" s="11"/>
      <c r="J234" s="4"/>
      <c r="K234" s="4"/>
      <c r="L234" s="7"/>
      <c r="M234" s="7"/>
      <c r="N234" s="4"/>
    </row>
    <row r="235" spans="1:14" x14ac:dyDescent="0.3">
      <c r="A235" s="10"/>
      <c r="B235" s="4"/>
      <c r="C235" s="11"/>
      <c r="D235" s="12"/>
      <c r="E235" s="12"/>
      <c r="F235" s="4"/>
      <c r="G235" s="13"/>
      <c r="H235" s="14"/>
      <c r="I235" s="11"/>
      <c r="J235" s="4"/>
      <c r="K235" s="4"/>
      <c r="L235" s="7"/>
      <c r="M235" s="7"/>
      <c r="N235" s="4"/>
    </row>
    <row r="236" spans="1:14" x14ac:dyDescent="0.3">
      <c r="A236" s="10"/>
      <c r="B236" s="4"/>
      <c r="C236" s="11"/>
      <c r="D236" s="12"/>
      <c r="E236" s="12"/>
      <c r="F236" s="4"/>
      <c r="G236" s="13"/>
      <c r="H236" s="14"/>
      <c r="I236" s="11"/>
      <c r="J236" s="4"/>
      <c r="K236" s="4"/>
      <c r="L236" s="7"/>
      <c r="M236" s="7"/>
      <c r="N236" s="4"/>
    </row>
    <row r="237" spans="1:14" x14ac:dyDescent="0.3">
      <c r="A237" s="10"/>
      <c r="B237" s="4"/>
      <c r="C237" s="11"/>
      <c r="D237" s="12"/>
      <c r="E237" s="12"/>
      <c r="F237" s="4"/>
      <c r="G237" s="13"/>
      <c r="H237" s="14"/>
      <c r="I237" s="11"/>
      <c r="J237" s="4"/>
      <c r="K237" s="4"/>
      <c r="L237" s="7"/>
      <c r="M237" s="7"/>
      <c r="N237" s="4"/>
    </row>
    <row r="238" spans="1:14" x14ac:dyDescent="0.3">
      <c r="A238" s="10"/>
      <c r="B238" s="4"/>
      <c r="C238" s="11"/>
      <c r="D238" s="12"/>
      <c r="E238" s="12"/>
      <c r="F238" s="4"/>
      <c r="G238" s="13"/>
      <c r="H238" s="14"/>
      <c r="I238" s="11"/>
      <c r="J238" s="4"/>
      <c r="K238" s="4"/>
      <c r="L238" s="7"/>
      <c r="M238" s="7"/>
      <c r="N238" s="4"/>
    </row>
    <row r="241" spans="1:14" ht="43.2" x14ac:dyDescent="0.3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2"/>
      <c r="M241" s="2"/>
      <c r="N241" s="2"/>
    </row>
    <row r="242" spans="1:14" x14ac:dyDescent="0.3">
      <c r="A242" s="4" t="s">
        <v>11</v>
      </c>
      <c r="B242" s="3" t="str">
        <f>_xlfn.XLOOKUP($C242,'[1]Basic EMP Data - 2025'!$D$3:$D$216,'[1]Basic EMP Data - 2025'!$C$3:$C$216)</f>
        <v>VB2232</v>
      </c>
      <c r="C242" s="5" t="s">
        <v>35</v>
      </c>
      <c r="D242" s="4" t="str">
        <f>VLOOKUP($B242,'[1]Basic EMP Data - 2025'!$C$3:$F$216,3,0)</f>
        <v>Harsh Agarwal</v>
      </c>
      <c r="E242" s="4">
        <f>VLOOKUP($B242,'[1]Basic EMP Data - 2025'!$C$3:$I$216,5,0)</f>
        <v>0</v>
      </c>
      <c r="F242" s="4">
        <f>VLOOKUP($B242,'[1]Basic EMP Data - 2025'!$C$3:$I$216,6,0)</f>
        <v>0</v>
      </c>
      <c r="G242" s="6" t="e">
        <f>F242/E242</f>
        <v>#DIV/0!</v>
      </c>
      <c r="H242" s="7">
        <f>SUM(L244:L262)</f>
        <v>0</v>
      </c>
      <c r="I242" s="8" t="e" cm="1">
        <f t="array" ref="I242">_xlfn.IFS($G242&lt;=34%,0%,$G242&lt;=75%,3%,$G242&lt;=120%,4%,$G242&gt;120%,5%)</f>
        <v>#DIV/0!</v>
      </c>
      <c r="J242" s="7" cm="1">
        <f t="array" ref="J242">SUMPRODUCT((C244:C262=2024)*M244:M262) + SUMPRODUCT((C244:C262=2025)*M244:M262*2)</f>
        <v>0</v>
      </c>
      <c r="K242" s="4">
        <f>SUM(N244:N262)</f>
        <v>0</v>
      </c>
      <c r="M242" s="2"/>
      <c r="N242" s="2"/>
    </row>
    <row r="243" spans="1:14" ht="28.8" x14ac:dyDescent="0.3">
      <c r="A243" s="9" t="s">
        <v>2</v>
      </c>
      <c r="B243" s="9" t="s">
        <v>13</v>
      </c>
      <c r="C243" s="9" t="s">
        <v>14</v>
      </c>
      <c r="D243" s="9" t="s">
        <v>15</v>
      </c>
      <c r="E243" s="9" t="s">
        <v>16</v>
      </c>
      <c r="F243" s="9" t="s">
        <v>17</v>
      </c>
      <c r="G243" s="9" t="s">
        <v>18</v>
      </c>
      <c r="H243" s="9" t="s">
        <v>19</v>
      </c>
      <c r="I243" s="9" t="s">
        <v>20</v>
      </c>
      <c r="J243" s="9" t="s">
        <v>21</v>
      </c>
      <c r="K243" s="9" t="s">
        <v>22</v>
      </c>
      <c r="L243" s="9" t="s">
        <v>23</v>
      </c>
      <c r="M243" s="9" t="s">
        <v>24</v>
      </c>
      <c r="N243" s="9" t="s">
        <v>25</v>
      </c>
    </row>
    <row r="244" spans="1:14" x14ac:dyDescent="0.3">
      <c r="A244" s="10" t="str">
        <f>C242</f>
        <v>Risha Singh</v>
      </c>
      <c r="B244" s="4" t="e" cm="1" vm="1">
        <f t="array" ref="B244">_xlfn.LET(
  _xlpm.data, _xlfn._xlws.FILTER('[1]Incentive Data'!A:BV, '[1]Incentive Data'!H:H=$C242),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44" s="11"/>
      <c r="D244" s="12"/>
      <c r="E244" s="12"/>
      <c r="F244" s="4"/>
      <c r="G244" s="13"/>
      <c r="H244" s="14"/>
      <c r="I244" s="11"/>
      <c r="J244" s="4"/>
      <c r="K244" s="4"/>
      <c r="L244" s="7"/>
      <c r="M244" s="7"/>
      <c r="N244" s="4"/>
    </row>
    <row r="245" spans="1:14" x14ac:dyDescent="0.3">
      <c r="A245" s="10"/>
      <c r="B245" s="4"/>
      <c r="C245" s="11"/>
      <c r="D245" s="12"/>
      <c r="E245" s="12"/>
      <c r="F245" s="4"/>
      <c r="G245" s="13"/>
      <c r="H245" s="14"/>
      <c r="I245" s="11"/>
      <c r="J245" s="4"/>
      <c r="K245" s="4"/>
      <c r="L245" s="7"/>
      <c r="M245" s="7"/>
      <c r="N245" s="4"/>
    </row>
    <row r="246" spans="1:14" x14ac:dyDescent="0.3">
      <c r="A246" s="10"/>
      <c r="B246" s="4"/>
      <c r="C246" s="11"/>
      <c r="D246" s="12"/>
      <c r="E246" s="12"/>
      <c r="F246" s="4"/>
      <c r="G246" s="13"/>
      <c r="H246" s="14"/>
      <c r="I246" s="11"/>
      <c r="J246" s="4"/>
      <c r="K246" s="4"/>
      <c r="L246" s="7"/>
      <c r="M246" s="7"/>
      <c r="N246" s="4"/>
    </row>
    <row r="247" spans="1:14" x14ac:dyDescent="0.3">
      <c r="A247" s="10"/>
      <c r="B247" s="4"/>
      <c r="C247" s="11"/>
      <c r="D247" s="12"/>
      <c r="E247" s="12"/>
      <c r="F247" s="4"/>
      <c r="G247" s="13"/>
      <c r="H247" s="14"/>
      <c r="I247" s="11"/>
      <c r="J247" s="4"/>
      <c r="K247" s="4"/>
      <c r="L247" s="7"/>
      <c r="M247" s="7"/>
      <c r="N247" s="4"/>
    </row>
    <row r="248" spans="1:14" x14ac:dyDescent="0.3">
      <c r="A248" s="10"/>
      <c r="B248" s="4"/>
      <c r="C248" s="11"/>
      <c r="D248" s="12"/>
      <c r="E248" s="12"/>
      <c r="F248" s="4"/>
      <c r="G248" s="13"/>
      <c r="H248" s="14"/>
      <c r="I248" s="11"/>
      <c r="J248" s="4"/>
      <c r="K248" s="4"/>
      <c r="L248" s="7"/>
      <c r="M248" s="7"/>
      <c r="N248" s="4"/>
    </row>
    <row r="249" spans="1:14" x14ac:dyDescent="0.3">
      <c r="A249" s="10"/>
      <c r="B249" s="4"/>
      <c r="C249" s="11"/>
      <c r="D249" s="12"/>
      <c r="E249" s="12"/>
      <c r="F249" s="4"/>
      <c r="G249" s="13"/>
      <c r="H249" s="14"/>
      <c r="I249" s="11"/>
      <c r="J249" s="4"/>
      <c r="K249" s="4"/>
      <c r="L249" s="7"/>
      <c r="M249" s="7"/>
      <c r="N249" s="4"/>
    </row>
    <row r="250" spans="1:14" x14ac:dyDescent="0.3">
      <c r="A250" s="10"/>
      <c r="B250" s="4"/>
      <c r="C250" s="11"/>
      <c r="D250" s="12"/>
      <c r="E250" s="12"/>
      <c r="F250" s="4"/>
      <c r="G250" s="13"/>
      <c r="H250" s="14"/>
      <c r="I250" s="11"/>
      <c r="J250" s="4"/>
      <c r="K250" s="4"/>
      <c r="L250" s="7"/>
      <c r="M250" s="7"/>
      <c r="N250" s="4"/>
    </row>
    <row r="251" spans="1:14" x14ac:dyDescent="0.3">
      <c r="A251" s="10"/>
      <c r="B251" s="4"/>
      <c r="C251" s="11"/>
      <c r="D251" s="12"/>
      <c r="E251" s="12"/>
      <c r="F251" s="4"/>
      <c r="G251" s="13"/>
      <c r="H251" s="14"/>
      <c r="I251" s="11"/>
      <c r="J251" s="4"/>
      <c r="K251" s="4"/>
      <c r="L251" s="7"/>
      <c r="M251" s="7"/>
      <c r="N251" s="4"/>
    </row>
    <row r="252" spans="1:14" x14ac:dyDescent="0.3">
      <c r="A252" s="10"/>
      <c r="B252" s="4"/>
      <c r="C252" s="11"/>
      <c r="D252" s="12"/>
      <c r="E252" s="12"/>
      <c r="F252" s="4"/>
      <c r="G252" s="13"/>
      <c r="H252" s="14"/>
      <c r="I252" s="11"/>
      <c r="J252" s="4"/>
      <c r="K252" s="4"/>
      <c r="L252" s="7"/>
      <c r="M252" s="7"/>
      <c r="N252" s="4"/>
    </row>
    <row r="253" spans="1:14" x14ac:dyDescent="0.3">
      <c r="A253" s="10"/>
      <c r="B253" s="4"/>
      <c r="C253" s="11"/>
      <c r="D253" s="12"/>
      <c r="E253" s="12"/>
      <c r="F253" s="4"/>
      <c r="G253" s="13"/>
      <c r="H253" s="14"/>
      <c r="I253" s="11"/>
      <c r="J253" s="4"/>
      <c r="K253" s="4"/>
      <c r="L253" s="7"/>
      <c r="M253" s="7"/>
      <c r="N253" s="4"/>
    </row>
    <row r="254" spans="1:14" x14ac:dyDescent="0.3">
      <c r="A254" s="10"/>
      <c r="B254" s="4"/>
      <c r="C254" s="11"/>
      <c r="D254" s="12"/>
      <c r="E254" s="12"/>
      <c r="F254" s="4"/>
      <c r="G254" s="13"/>
      <c r="H254" s="14"/>
      <c r="I254" s="11"/>
      <c r="J254" s="4"/>
      <c r="K254" s="4"/>
      <c r="L254" s="7"/>
      <c r="M254" s="7"/>
      <c r="N254" s="4"/>
    </row>
    <row r="255" spans="1:14" x14ac:dyDescent="0.3">
      <c r="A255" s="10"/>
      <c r="B255" s="4"/>
      <c r="C255" s="11"/>
      <c r="D255" s="12"/>
      <c r="E255" s="12"/>
      <c r="F255" s="4"/>
      <c r="G255" s="13"/>
      <c r="H255" s="14"/>
      <c r="I255" s="11"/>
      <c r="J255" s="4"/>
      <c r="K255" s="4"/>
      <c r="L255" s="7"/>
      <c r="M255" s="7"/>
      <c r="N255" s="4"/>
    </row>
    <row r="256" spans="1:14" x14ac:dyDescent="0.3">
      <c r="A256" s="10"/>
      <c r="B256" s="4"/>
      <c r="C256" s="11"/>
      <c r="D256" s="12"/>
      <c r="E256" s="12"/>
      <c r="F256" s="4"/>
      <c r="G256" s="13"/>
      <c r="H256" s="14"/>
      <c r="I256" s="11"/>
      <c r="J256" s="4"/>
      <c r="K256" s="4"/>
      <c r="L256" s="7"/>
      <c r="M256" s="7"/>
      <c r="N256" s="4"/>
    </row>
    <row r="257" spans="1:14" x14ac:dyDescent="0.3">
      <c r="A257" s="10"/>
      <c r="B257" s="4"/>
      <c r="C257" s="11"/>
      <c r="D257" s="12"/>
      <c r="E257" s="12"/>
      <c r="F257" s="4"/>
      <c r="G257" s="13"/>
      <c r="H257" s="14"/>
      <c r="I257" s="11"/>
      <c r="J257" s="4"/>
      <c r="K257" s="4"/>
      <c r="L257" s="7"/>
      <c r="M257" s="7"/>
      <c r="N257" s="4"/>
    </row>
    <row r="258" spans="1:14" x14ac:dyDescent="0.3">
      <c r="A258" s="10"/>
      <c r="B258" s="4"/>
      <c r="C258" s="11"/>
      <c r="D258" s="12"/>
      <c r="E258" s="12"/>
      <c r="F258" s="4"/>
      <c r="G258" s="13"/>
      <c r="H258" s="14"/>
      <c r="I258" s="11"/>
      <c r="J258" s="4"/>
      <c r="K258" s="4"/>
      <c r="L258" s="7"/>
      <c r="M258" s="7"/>
      <c r="N258" s="4"/>
    </row>
    <row r="259" spans="1:14" x14ac:dyDescent="0.3">
      <c r="A259" s="10"/>
      <c r="B259" s="4"/>
      <c r="C259" s="11"/>
      <c r="D259" s="12"/>
      <c r="E259" s="12"/>
      <c r="F259" s="4"/>
      <c r="G259" s="13"/>
      <c r="H259" s="14"/>
      <c r="I259" s="11"/>
      <c r="J259" s="4"/>
      <c r="K259" s="4"/>
      <c r="L259" s="7"/>
      <c r="M259" s="7"/>
      <c r="N259" s="4"/>
    </row>
    <row r="260" spans="1:14" x14ac:dyDescent="0.3">
      <c r="A260" s="10"/>
      <c r="B260" s="4"/>
      <c r="C260" s="11"/>
      <c r="D260" s="12"/>
      <c r="E260" s="12"/>
      <c r="F260" s="4"/>
      <c r="G260" s="13"/>
      <c r="H260" s="14"/>
      <c r="I260" s="11"/>
      <c r="J260" s="4"/>
      <c r="K260" s="4"/>
      <c r="L260" s="7"/>
      <c r="M260" s="7"/>
      <c r="N260" s="4"/>
    </row>
    <row r="261" spans="1:14" x14ac:dyDescent="0.3">
      <c r="A261" s="10"/>
      <c r="B261" s="4"/>
      <c r="C261" s="11"/>
      <c r="D261" s="12"/>
      <c r="E261" s="12"/>
      <c r="F261" s="4"/>
      <c r="G261" s="13"/>
      <c r="H261" s="14"/>
      <c r="I261" s="11"/>
      <c r="J261" s="4"/>
      <c r="K261" s="4"/>
      <c r="L261" s="7"/>
      <c r="M261" s="7"/>
      <c r="N261" s="4"/>
    </row>
    <row r="262" spans="1:14" x14ac:dyDescent="0.3">
      <c r="A262" s="10"/>
      <c r="B262" s="4"/>
      <c r="C262" s="11"/>
      <c r="D262" s="12"/>
      <c r="E262" s="12"/>
      <c r="F262" s="4"/>
      <c r="G262" s="13"/>
      <c r="H262" s="14"/>
      <c r="I262" s="11"/>
      <c r="J262" s="4"/>
      <c r="K262" s="4"/>
      <c r="L262" s="7"/>
      <c r="M262" s="7"/>
      <c r="N262" s="4"/>
    </row>
    <row r="264" spans="1:14" ht="43.2" x14ac:dyDescent="0.3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5</v>
      </c>
      <c r="G264" s="1" t="s">
        <v>6</v>
      </c>
      <c r="H264" s="1" t="s">
        <v>7</v>
      </c>
      <c r="I264" s="1" t="s">
        <v>8</v>
      </c>
      <c r="J264" s="1" t="s">
        <v>9</v>
      </c>
      <c r="K264" s="1" t="s">
        <v>10</v>
      </c>
      <c r="L264" s="2"/>
      <c r="M264" s="2"/>
      <c r="N264" s="2"/>
    </row>
    <row r="265" spans="1:14" x14ac:dyDescent="0.3">
      <c r="A265" s="4" t="s">
        <v>11</v>
      </c>
      <c r="B265" s="3" t="str">
        <f>_xlfn.XLOOKUP($C265,'[1]Basic EMP Data - 2025'!$D$3:$D$216,'[1]Basic EMP Data - 2025'!$C$3:$C$216)</f>
        <v>VB2231</v>
      </c>
      <c r="C265" s="5" t="s">
        <v>36</v>
      </c>
      <c r="D265" s="4" t="str">
        <f>VLOOKUP($B265,'[1]Basic EMP Data - 2025'!$C$3:$F$216,3,0)</f>
        <v>Harsh Agarwal</v>
      </c>
      <c r="E265" s="4">
        <f>VLOOKUP($B265,'[1]Basic EMP Data - 2025'!$C$3:$I$216,5,0)</f>
        <v>0</v>
      </c>
      <c r="F265" s="4">
        <f>VLOOKUP($B265,'[1]Basic EMP Data - 2025'!$C$3:$I$216,6,0)</f>
        <v>0</v>
      </c>
      <c r="G265" s="6" t="e">
        <f>F265/E265</f>
        <v>#DIV/0!</v>
      </c>
      <c r="H265" s="7">
        <f>SUM(L267:L285)</f>
        <v>0</v>
      </c>
      <c r="I265" s="8" t="e" cm="1">
        <f t="array" ref="I265">_xlfn.IFS($G265&lt;=34%,0%,$G265&lt;=75%,3%,$G265&lt;=120%,4%,$G265&gt;120%,5%)</f>
        <v>#DIV/0!</v>
      </c>
      <c r="J265" s="7" cm="1">
        <f t="array" ref="J265">SUMPRODUCT((C267:C285=2024)*M267:M285) + SUMPRODUCT((C267:C285=2025)*M267:M285*2)</f>
        <v>0</v>
      </c>
      <c r="K265" s="4">
        <f>SUM(N267:N285)</f>
        <v>0</v>
      </c>
      <c r="M265" s="2"/>
      <c r="N265" s="2"/>
    </row>
    <row r="266" spans="1:14" ht="28.8" x14ac:dyDescent="0.3">
      <c r="A266" s="9" t="s">
        <v>2</v>
      </c>
      <c r="B266" s="9" t="s">
        <v>13</v>
      </c>
      <c r="C266" s="9" t="s">
        <v>14</v>
      </c>
      <c r="D266" s="9" t="s">
        <v>15</v>
      </c>
      <c r="E266" s="9" t="s">
        <v>16</v>
      </c>
      <c r="F266" s="9" t="s">
        <v>17</v>
      </c>
      <c r="G266" s="9" t="s">
        <v>18</v>
      </c>
      <c r="H266" s="9" t="s">
        <v>19</v>
      </c>
      <c r="I266" s="9" t="s">
        <v>20</v>
      </c>
      <c r="J266" s="9" t="s">
        <v>21</v>
      </c>
      <c r="K266" s="9" t="s">
        <v>22</v>
      </c>
      <c r="L266" s="9" t="s">
        <v>23</v>
      </c>
      <c r="M266" s="9" t="s">
        <v>24</v>
      </c>
      <c r="N266" s="9" t="s">
        <v>25</v>
      </c>
    </row>
    <row r="267" spans="1:14" x14ac:dyDescent="0.3">
      <c r="A267" s="10" t="str">
        <f>C265</f>
        <v>Alisha Iqbal</v>
      </c>
      <c r="B267" s="4" t="e" cm="1" vm="1">
        <f t="array" ref="B267">_xlfn.LET(
  _xlpm.data, _xlfn._xlws.FILTER('[1]Incentive Data'!A:BV, '[1]Incentive Data'!H:H=$C265),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67" s="11"/>
      <c r="D267" s="12"/>
      <c r="E267" s="12"/>
      <c r="F267" s="4"/>
      <c r="G267" s="13"/>
      <c r="H267" s="14"/>
      <c r="I267" s="11"/>
      <c r="J267" s="4"/>
      <c r="K267" s="4"/>
      <c r="L267" s="7"/>
      <c r="M267" s="7"/>
      <c r="N267" s="4"/>
    </row>
    <row r="268" spans="1:14" x14ac:dyDescent="0.3">
      <c r="A268" s="10"/>
      <c r="B268" s="4"/>
      <c r="C268" s="11"/>
      <c r="D268" s="12"/>
      <c r="E268" s="12"/>
      <c r="F268" s="4"/>
      <c r="G268" s="13"/>
      <c r="H268" s="14"/>
      <c r="I268" s="11"/>
      <c r="J268" s="4"/>
      <c r="K268" s="4"/>
      <c r="L268" s="7"/>
      <c r="M268" s="7"/>
      <c r="N268" s="4"/>
    </row>
    <row r="269" spans="1:14" x14ac:dyDescent="0.3">
      <c r="A269" s="10"/>
      <c r="B269" s="4"/>
      <c r="C269" s="11"/>
      <c r="D269" s="12"/>
      <c r="E269" s="12"/>
      <c r="F269" s="4"/>
      <c r="G269" s="13"/>
      <c r="H269" s="14"/>
      <c r="I269" s="11"/>
      <c r="J269" s="4"/>
      <c r="K269" s="4"/>
      <c r="L269" s="7"/>
      <c r="M269" s="7"/>
      <c r="N269" s="4"/>
    </row>
    <row r="270" spans="1:14" x14ac:dyDescent="0.3">
      <c r="A270" s="10"/>
      <c r="B270" s="4"/>
      <c r="C270" s="11"/>
      <c r="D270" s="12"/>
      <c r="E270" s="12"/>
      <c r="F270" s="4"/>
      <c r="G270" s="13"/>
      <c r="H270" s="14"/>
      <c r="I270" s="11"/>
      <c r="J270" s="4"/>
      <c r="K270" s="4"/>
      <c r="L270" s="7"/>
      <c r="M270" s="7"/>
      <c r="N270" s="4"/>
    </row>
    <row r="271" spans="1:14" x14ac:dyDescent="0.3">
      <c r="A271" s="10"/>
      <c r="B271" s="4"/>
      <c r="C271" s="11"/>
      <c r="D271" s="12"/>
      <c r="E271" s="12"/>
      <c r="F271" s="4"/>
      <c r="G271" s="13"/>
      <c r="H271" s="14"/>
      <c r="I271" s="11"/>
      <c r="J271" s="4"/>
      <c r="K271" s="4"/>
      <c r="L271" s="7"/>
      <c r="M271" s="7"/>
      <c r="N271" s="4"/>
    </row>
    <row r="272" spans="1:14" x14ac:dyDescent="0.3">
      <c r="A272" s="10"/>
      <c r="B272" s="4"/>
      <c r="C272" s="11"/>
      <c r="D272" s="12"/>
      <c r="E272" s="12"/>
      <c r="F272" s="4"/>
      <c r="G272" s="13"/>
      <c r="H272" s="14"/>
      <c r="I272" s="11"/>
      <c r="J272" s="4"/>
      <c r="K272" s="4"/>
      <c r="L272" s="7"/>
      <c r="M272" s="7"/>
      <c r="N272" s="4"/>
    </row>
    <row r="273" spans="1:14" x14ac:dyDescent="0.3">
      <c r="A273" s="10"/>
      <c r="B273" s="4"/>
      <c r="C273" s="11"/>
      <c r="D273" s="12"/>
      <c r="E273" s="12"/>
      <c r="F273" s="4"/>
      <c r="G273" s="13"/>
      <c r="H273" s="14"/>
      <c r="I273" s="11"/>
      <c r="J273" s="4"/>
      <c r="K273" s="4"/>
      <c r="L273" s="7"/>
      <c r="M273" s="7"/>
      <c r="N273" s="4"/>
    </row>
    <row r="274" spans="1:14" x14ac:dyDescent="0.3">
      <c r="A274" s="10"/>
      <c r="B274" s="4"/>
      <c r="C274" s="11"/>
      <c r="D274" s="12"/>
      <c r="E274" s="12"/>
      <c r="F274" s="4"/>
      <c r="G274" s="13"/>
      <c r="H274" s="14"/>
      <c r="I274" s="11"/>
      <c r="J274" s="4"/>
      <c r="K274" s="4"/>
      <c r="L274" s="7"/>
      <c r="M274" s="7"/>
      <c r="N274" s="4"/>
    </row>
    <row r="275" spans="1:14" x14ac:dyDescent="0.3">
      <c r="A275" s="10"/>
      <c r="B275" s="4"/>
      <c r="C275" s="11"/>
      <c r="D275" s="12"/>
      <c r="E275" s="12"/>
      <c r="F275" s="4"/>
      <c r="G275" s="13"/>
      <c r="H275" s="14"/>
      <c r="I275" s="11"/>
      <c r="J275" s="4"/>
      <c r="K275" s="4"/>
      <c r="L275" s="7"/>
      <c r="M275" s="7"/>
      <c r="N275" s="4"/>
    </row>
    <row r="276" spans="1:14" x14ac:dyDescent="0.3">
      <c r="A276" s="10"/>
      <c r="B276" s="4"/>
      <c r="C276" s="11"/>
      <c r="D276" s="12"/>
      <c r="E276" s="12"/>
      <c r="F276" s="4"/>
      <c r="G276" s="13"/>
      <c r="H276" s="14"/>
      <c r="I276" s="11"/>
      <c r="J276" s="4"/>
      <c r="K276" s="4"/>
      <c r="L276" s="7"/>
      <c r="M276" s="7"/>
      <c r="N276" s="4"/>
    </row>
    <row r="277" spans="1:14" x14ac:dyDescent="0.3">
      <c r="A277" s="10"/>
      <c r="B277" s="4"/>
      <c r="C277" s="11"/>
      <c r="D277" s="12"/>
      <c r="E277" s="12"/>
      <c r="F277" s="4"/>
      <c r="G277" s="13"/>
      <c r="H277" s="14"/>
      <c r="I277" s="11"/>
      <c r="J277" s="4"/>
      <c r="K277" s="4"/>
      <c r="L277" s="7"/>
      <c r="M277" s="7"/>
      <c r="N277" s="4"/>
    </row>
    <row r="278" spans="1:14" x14ac:dyDescent="0.3">
      <c r="A278" s="10"/>
      <c r="B278" s="4"/>
      <c r="C278" s="11"/>
      <c r="D278" s="12"/>
      <c r="E278" s="12"/>
      <c r="F278" s="4"/>
      <c r="G278" s="13"/>
      <c r="H278" s="14"/>
      <c r="I278" s="11"/>
      <c r="J278" s="4"/>
      <c r="K278" s="4"/>
      <c r="L278" s="7"/>
      <c r="M278" s="7"/>
      <c r="N278" s="4"/>
    </row>
    <row r="279" spans="1:14" x14ac:dyDescent="0.3">
      <c r="A279" s="10"/>
      <c r="B279" s="4"/>
      <c r="C279" s="11"/>
      <c r="D279" s="12"/>
      <c r="E279" s="12"/>
      <c r="F279" s="4"/>
      <c r="G279" s="13"/>
      <c r="H279" s="14"/>
      <c r="I279" s="11"/>
      <c r="J279" s="4"/>
      <c r="K279" s="4"/>
      <c r="L279" s="7"/>
      <c r="M279" s="7"/>
      <c r="N279" s="4"/>
    </row>
    <row r="280" spans="1:14" x14ac:dyDescent="0.3">
      <c r="A280" s="10"/>
      <c r="B280" s="4"/>
      <c r="C280" s="11"/>
      <c r="D280" s="12"/>
      <c r="E280" s="12"/>
      <c r="F280" s="4"/>
      <c r="G280" s="13"/>
      <c r="H280" s="14"/>
      <c r="I280" s="11"/>
      <c r="J280" s="4"/>
      <c r="K280" s="4"/>
      <c r="L280" s="7"/>
      <c r="M280" s="7"/>
      <c r="N280" s="4"/>
    </row>
    <row r="281" spans="1:14" x14ac:dyDescent="0.3">
      <c r="A281" s="10"/>
      <c r="B281" s="4"/>
      <c r="C281" s="11"/>
      <c r="D281" s="12"/>
      <c r="E281" s="12"/>
      <c r="F281" s="4"/>
      <c r="G281" s="13"/>
      <c r="H281" s="14"/>
      <c r="I281" s="11"/>
      <c r="J281" s="4"/>
      <c r="K281" s="4"/>
      <c r="L281" s="7"/>
      <c r="M281" s="7"/>
      <c r="N281" s="4"/>
    </row>
    <row r="282" spans="1:14" x14ac:dyDescent="0.3">
      <c r="A282" s="10"/>
      <c r="B282" s="4"/>
      <c r="C282" s="11"/>
      <c r="D282" s="12"/>
      <c r="E282" s="12"/>
      <c r="F282" s="4"/>
      <c r="G282" s="13"/>
      <c r="H282" s="14"/>
      <c r="I282" s="11"/>
      <c r="J282" s="4"/>
      <c r="K282" s="4"/>
      <c r="L282" s="7"/>
      <c r="M282" s="7"/>
      <c r="N282" s="4"/>
    </row>
    <row r="283" spans="1:14" x14ac:dyDescent="0.3">
      <c r="A283" s="10"/>
      <c r="B283" s="4"/>
      <c r="C283" s="11"/>
      <c r="D283" s="12"/>
      <c r="E283" s="12"/>
      <c r="F283" s="4"/>
      <c r="G283" s="13"/>
      <c r="H283" s="14"/>
      <c r="I283" s="11"/>
      <c r="J283" s="4"/>
      <c r="K283" s="4"/>
      <c r="L283" s="7"/>
      <c r="M283" s="7"/>
      <c r="N283" s="4"/>
    </row>
    <row r="284" spans="1:14" x14ac:dyDescent="0.3">
      <c r="A284" s="10"/>
      <c r="B284" s="4"/>
      <c r="C284" s="11"/>
      <c r="D284" s="12"/>
      <c r="E284" s="12"/>
      <c r="F284" s="4"/>
      <c r="G284" s="13"/>
      <c r="H284" s="14"/>
      <c r="I284" s="11"/>
      <c r="J284" s="4"/>
      <c r="K284" s="4"/>
      <c r="L284" s="7"/>
      <c r="M284" s="7"/>
      <c r="N284" s="4"/>
    </row>
    <row r="285" spans="1:14" x14ac:dyDescent="0.3">
      <c r="A285" s="10"/>
      <c r="B285" s="4"/>
      <c r="C285" s="11"/>
      <c r="D285" s="12"/>
      <c r="E285" s="12"/>
      <c r="F285" s="4"/>
      <c r="G285" s="13"/>
      <c r="H285" s="14"/>
      <c r="I285" s="11"/>
      <c r="J285" s="4"/>
      <c r="K285" s="4"/>
      <c r="L285" s="7"/>
      <c r="M285" s="7"/>
      <c r="N285" s="4"/>
    </row>
    <row r="287" spans="1:14" ht="43.2" x14ac:dyDescent="0.3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 t="s">
        <v>5</v>
      </c>
      <c r="G287" s="1" t="s">
        <v>6</v>
      </c>
      <c r="H287" s="1" t="s">
        <v>7</v>
      </c>
      <c r="I287" s="1" t="s">
        <v>8</v>
      </c>
      <c r="J287" s="1" t="s">
        <v>9</v>
      </c>
      <c r="K287" s="1" t="s">
        <v>10</v>
      </c>
      <c r="L287" s="2"/>
      <c r="M287" s="2"/>
      <c r="N287" s="2"/>
    </row>
    <row r="288" spans="1:14" x14ac:dyDescent="0.3">
      <c r="A288" s="4" t="s">
        <v>11</v>
      </c>
      <c r="B288" s="3" t="str">
        <f>_xlfn.XLOOKUP($C288,'[1]Basic EMP Data - 2025'!$D$3:$D$216,'[1]Basic EMP Data - 2025'!$C$3:$C$216)</f>
        <v>VB2170</v>
      </c>
      <c r="C288" s="5" t="s">
        <v>37</v>
      </c>
      <c r="D288" s="4" t="str">
        <f>VLOOKUP($B288,'[1]Basic EMP Data - 2025'!$C$3:$F$216,3,0)</f>
        <v>Harsh Agarwal</v>
      </c>
      <c r="E288" s="4">
        <f>VLOOKUP($B288,'[1]Basic EMP Data - 2025'!$C$3:$I$216,5,0)</f>
        <v>4</v>
      </c>
      <c r="F288" s="4">
        <f>VLOOKUP($B288,'[1]Basic EMP Data - 2025'!$C$3:$I$216,6,0)</f>
        <v>1</v>
      </c>
      <c r="G288" s="6">
        <f>F288/E288</f>
        <v>0.25</v>
      </c>
      <c r="H288" s="7">
        <f>SUM(L290:L308)</f>
        <v>0</v>
      </c>
      <c r="I288" s="8" cm="1">
        <f t="array" ref="I288">_xlfn.IFS($G288&lt;=34%,0%,$G288&lt;=75%,3%,$G288&lt;=120%,4%,$G288&gt;120%,5%)</f>
        <v>0</v>
      </c>
      <c r="J288" s="7" cm="1">
        <f t="array" ref="J288">SUMPRODUCT((C290:C308=2024)*M290:M308) + SUMPRODUCT((C290:C308=2025)*M290:M308*2)</f>
        <v>0</v>
      </c>
      <c r="K288" s="4">
        <f>SUM(N290:N308)</f>
        <v>0</v>
      </c>
      <c r="M288" s="2"/>
      <c r="N288" s="2"/>
    </row>
    <row r="289" spans="1:14" ht="28.8" x14ac:dyDescent="0.3">
      <c r="A289" s="9" t="s">
        <v>2</v>
      </c>
      <c r="B289" s="9" t="s">
        <v>13</v>
      </c>
      <c r="C289" s="9" t="s">
        <v>14</v>
      </c>
      <c r="D289" s="9" t="s">
        <v>15</v>
      </c>
      <c r="E289" s="9" t="s">
        <v>16</v>
      </c>
      <c r="F289" s="9" t="s">
        <v>17</v>
      </c>
      <c r="G289" s="9" t="s">
        <v>18</v>
      </c>
      <c r="H289" s="9" t="s">
        <v>19</v>
      </c>
      <c r="I289" s="9" t="s">
        <v>20</v>
      </c>
      <c r="J289" s="9" t="s">
        <v>21</v>
      </c>
      <c r="K289" s="9" t="s">
        <v>22</v>
      </c>
      <c r="L289" s="9" t="s">
        <v>23</v>
      </c>
      <c r="M289" s="9" t="s">
        <v>24</v>
      </c>
      <c r="N289" s="9" t="s">
        <v>25</v>
      </c>
    </row>
    <row r="290" spans="1:14" x14ac:dyDescent="0.3">
      <c r="A290" s="10" t="str">
        <f>C288</f>
        <v>Gufran Ali</v>
      </c>
      <c r="B290" s="4" t="e" cm="1" vm="1">
        <f t="array" ref="B290">_xlfn.LET(
  _xlpm.data, _xlfn._xlws.FILTER('[1]Incentive Data'!A:BV, '[1]Incentive Data'!H:H=$C288),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90" s="11"/>
      <c r="D290" s="12"/>
      <c r="E290" s="12"/>
      <c r="F290" s="4"/>
      <c r="G290" s="13"/>
      <c r="H290" s="14"/>
      <c r="I290" s="11"/>
      <c r="J290" s="4"/>
      <c r="K290" s="4"/>
      <c r="L290" s="7"/>
      <c r="M290" s="7"/>
      <c r="N290" s="4"/>
    </row>
    <row r="291" spans="1:14" x14ac:dyDescent="0.3">
      <c r="A291" s="10"/>
      <c r="B291" s="4"/>
      <c r="C291" s="11"/>
      <c r="D291" s="12"/>
      <c r="E291" s="12"/>
      <c r="F291" s="4"/>
      <c r="G291" s="13"/>
      <c r="H291" s="14"/>
      <c r="I291" s="11"/>
      <c r="J291" s="4"/>
      <c r="K291" s="4"/>
      <c r="L291" s="7"/>
      <c r="M291" s="7"/>
      <c r="N291" s="4"/>
    </row>
    <row r="292" spans="1:14" x14ac:dyDescent="0.3">
      <c r="A292" s="10"/>
      <c r="B292" s="4"/>
      <c r="C292" s="11"/>
      <c r="D292" s="12"/>
      <c r="E292" s="12"/>
      <c r="F292" s="4"/>
      <c r="G292" s="13"/>
      <c r="H292" s="14"/>
      <c r="I292" s="11"/>
      <c r="J292" s="4"/>
      <c r="K292" s="4"/>
      <c r="L292" s="7"/>
      <c r="M292" s="7"/>
      <c r="N292" s="4"/>
    </row>
    <row r="293" spans="1:14" x14ac:dyDescent="0.3">
      <c r="A293" s="10"/>
      <c r="B293" s="4"/>
      <c r="C293" s="11"/>
      <c r="D293" s="12"/>
      <c r="E293" s="12"/>
      <c r="F293" s="4"/>
      <c r="G293" s="13"/>
      <c r="H293" s="14"/>
      <c r="I293" s="11"/>
      <c r="J293" s="4"/>
      <c r="K293" s="4"/>
      <c r="L293" s="7"/>
      <c r="M293" s="7"/>
      <c r="N293" s="4"/>
    </row>
    <row r="294" spans="1:14" x14ac:dyDescent="0.3">
      <c r="A294" s="10"/>
      <c r="B294" s="4"/>
      <c r="C294" s="11"/>
      <c r="D294" s="12"/>
      <c r="E294" s="12"/>
      <c r="F294" s="4"/>
      <c r="G294" s="13"/>
      <c r="H294" s="14"/>
      <c r="I294" s="11"/>
      <c r="J294" s="4"/>
      <c r="K294" s="4"/>
      <c r="L294" s="7"/>
      <c r="M294" s="7"/>
      <c r="N294" s="4"/>
    </row>
    <row r="295" spans="1:14" x14ac:dyDescent="0.3">
      <c r="A295" s="10"/>
      <c r="B295" s="4"/>
      <c r="C295" s="11"/>
      <c r="D295" s="12"/>
      <c r="E295" s="12"/>
      <c r="F295" s="4"/>
      <c r="G295" s="13"/>
      <c r="H295" s="14"/>
      <c r="I295" s="11"/>
      <c r="J295" s="4"/>
      <c r="K295" s="4"/>
      <c r="L295" s="7"/>
      <c r="M295" s="7"/>
      <c r="N295" s="4"/>
    </row>
    <row r="296" spans="1:14" x14ac:dyDescent="0.3">
      <c r="A296" s="10"/>
      <c r="B296" s="4"/>
      <c r="C296" s="11"/>
      <c r="D296" s="12"/>
      <c r="E296" s="12"/>
      <c r="F296" s="4"/>
      <c r="G296" s="13"/>
      <c r="H296" s="14"/>
      <c r="I296" s="11"/>
      <c r="J296" s="4"/>
      <c r="K296" s="4"/>
      <c r="L296" s="7"/>
      <c r="M296" s="7"/>
      <c r="N296" s="4"/>
    </row>
    <row r="297" spans="1:14" x14ac:dyDescent="0.3">
      <c r="A297" s="10"/>
      <c r="B297" s="4"/>
      <c r="C297" s="11"/>
      <c r="D297" s="12"/>
      <c r="E297" s="12"/>
      <c r="F297" s="4"/>
      <c r="G297" s="13"/>
      <c r="H297" s="14"/>
      <c r="I297" s="11"/>
      <c r="J297" s="4"/>
      <c r="K297" s="4"/>
      <c r="L297" s="7"/>
      <c r="M297" s="7"/>
      <c r="N297" s="4"/>
    </row>
    <row r="298" spans="1:14" x14ac:dyDescent="0.3">
      <c r="A298" s="10"/>
      <c r="B298" s="4"/>
      <c r="C298" s="11"/>
      <c r="D298" s="12"/>
      <c r="E298" s="12"/>
      <c r="F298" s="4"/>
      <c r="G298" s="13"/>
      <c r="H298" s="14"/>
      <c r="I298" s="11"/>
      <c r="J298" s="4"/>
      <c r="K298" s="4"/>
      <c r="L298" s="7"/>
      <c r="M298" s="7"/>
      <c r="N298" s="4"/>
    </row>
    <row r="299" spans="1:14" x14ac:dyDescent="0.3">
      <c r="A299" s="10"/>
      <c r="B299" s="4"/>
      <c r="C299" s="11"/>
      <c r="D299" s="12"/>
      <c r="E299" s="12"/>
      <c r="F299" s="4"/>
      <c r="G299" s="13"/>
      <c r="H299" s="14"/>
      <c r="I299" s="11"/>
      <c r="J299" s="4"/>
      <c r="K299" s="4"/>
      <c r="L299" s="7"/>
      <c r="M299" s="7"/>
      <c r="N299" s="4"/>
    </row>
    <row r="300" spans="1:14" x14ac:dyDescent="0.3">
      <c r="A300" s="10"/>
      <c r="B300" s="4"/>
      <c r="C300" s="11"/>
      <c r="D300" s="12"/>
      <c r="E300" s="12"/>
      <c r="F300" s="4"/>
      <c r="G300" s="13"/>
      <c r="H300" s="14"/>
      <c r="I300" s="11"/>
      <c r="J300" s="4"/>
      <c r="K300" s="4"/>
      <c r="L300" s="7"/>
      <c r="M300" s="7"/>
      <c r="N300" s="4"/>
    </row>
    <row r="301" spans="1:14" x14ac:dyDescent="0.3">
      <c r="A301" s="10"/>
      <c r="B301" s="4"/>
      <c r="C301" s="11"/>
      <c r="D301" s="12"/>
      <c r="E301" s="12"/>
      <c r="F301" s="4"/>
      <c r="G301" s="13"/>
      <c r="H301" s="14"/>
      <c r="I301" s="11"/>
      <c r="J301" s="4"/>
      <c r="K301" s="4"/>
      <c r="L301" s="7"/>
      <c r="M301" s="7"/>
      <c r="N301" s="4"/>
    </row>
    <row r="302" spans="1:14" x14ac:dyDescent="0.3">
      <c r="A302" s="10"/>
      <c r="B302" s="4"/>
      <c r="C302" s="11"/>
      <c r="D302" s="12"/>
      <c r="E302" s="12"/>
      <c r="F302" s="4"/>
      <c r="G302" s="13"/>
      <c r="H302" s="14"/>
      <c r="I302" s="11"/>
      <c r="J302" s="4"/>
      <c r="K302" s="4"/>
      <c r="L302" s="7"/>
      <c r="M302" s="7"/>
      <c r="N302" s="4"/>
    </row>
    <row r="303" spans="1:14" x14ac:dyDescent="0.3">
      <c r="A303" s="10"/>
      <c r="B303" s="4"/>
      <c r="C303" s="11"/>
      <c r="D303" s="12"/>
      <c r="E303" s="12"/>
      <c r="F303" s="4"/>
      <c r="G303" s="13"/>
      <c r="H303" s="14"/>
      <c r="I303" s="11"/>
      <c r="J303" s="4"/>
      <c r="K303" s="4"/>
      <c r="L303" s="7"/>
      <c r="M303" s="7"/>
      <c r="N303" s="4"/>
    </row>
    <row r="304" spans="1:14" x14ac:dyDescent="0.3">
      <c r="A304" s="10"/>
      <c r="B304" s="4"/>
      <c r="C304" s="11"/>
      <c r="D304" s="12"/>
      <c r="E304" s="12"/>
      <c r="F304" s="4"/>
      <c r="G304" s="13"/>
      <c r="H304" s="14"/>
      <c r="I304" s="11"/>
      <c r="J304" s="4"/>
      <c r="K304" s="4"/>
      <c r="L304" s="7"/>
      <c r="M304" s="7"/>
      <c r="N304" s="4"/>
    </row>
    <row r="305" spans="1:14" x14ac:dyDescent="0.3">
      <c r="A305" s="10"/>
      <c r="B305" s="4"/>
      <c r="C305" s="11"/>
      <c r="D305" s="12"/>
      <c r="E305" s="12"/>
      <c r="F305" s="4"/>
      <c r="G305" s="13"/>
      <c r="H305" s="14"/>
      <c r="I305" s="11"/>
      <c r="J305" s="4"/>
      <c r="K305" s="4"/>
      <c r="L305" s="7"/>
      <c r="M305" s="7"/>
      <c r="N305" s="4"/>
    </row>
    <row r="306" spans="1:14" x14ac:dyDescent="0.3">
      <c r="A306" s="10"/>
      <c r="B306" s="4"/>
      <c r="C306" s="11"/>
      <c r="D306" s="12"/>
      <c r="E306" s="12"/>
      <c r="F306" s="4"/>
      <c r="G306" s="13"/>
      <c r="H306" s="14"/>
      <c r="I306" s="11"/>
      <c r="J306" s="4"/>
      <c r="K306" s="4"/>
      <c r="L306" s="7"/>
      <c r="M306" s="7"/>
      <c r="N306" s="4"/>
    </row>
    <row r="307" spans="1:14" x14ac:dyDescent="0.3">
      <c r="A307" s="10"/>
      <c r="B307" s="4"/>
      <c r="C307" s="11"/>
      <c r="D307" s="12"/>
      <c r="E307" s="12"/>
      <c r="F307" s="4"/>
      <c r="G307" s="13"/>
      <c r="H307" s="14"/>
      <c r="I307" s="11"/>
      <c r="J307" s="4"/>
      <c r="K307" s="4"/>
      <c r="L307" s="7"/>
      <c r="M307" s="7"/>
      <c r="N307" s="4"/>
    </row>
    <row r="308" spans="1:14" x14ac:dyDescent="0.3">
      <c r="A308" s="10"/>
      <c r="B308" s="4"/>
      <c r="C308" s="11"/>
      <c r="D308" s="12"/>
      <c r="E308" s="12"/>
      <c r="F308" s="4"/>
      <c r="G308" s="13"/>
      <c r="H308" s="14"/>
      <c r="I308" s="11"/>
      <c r="J308" s="4"/>
      <c r="K308" s="4"/>
      <c r="L308" s="7"/>
      <c r="M308" s="7"/>
      <c r="N308" s="4"/>
    </row>
    <row r="311" spans="1:14" ht="43.2" x14ac:dyDescent="0.3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2"/>
      <c r="M311" s="2"/>
      <c r="N311" s="2"/>
    </row>
    <row r="312" spans="1:14" x14ac:dyDescent="0.3">
      <c r="A312" s="4" t="s">
        <v>11</v>
      </c>
      <c r="B312" s="3" t="str">
        <f>_xlfn.XLOOKUP($C312,'[1]Basic EMP Data - 2025'!$D$3:$D$216,'[1]Basic EMP Data - 2025'!$C$3:$C$216)</f>
        <v>VB2189</v>
      </c>
      <c r="C312" s="5" t="s">
        <v>38</v>
      </c>
      <c r="D312" s="4" t="str">
        <f>VLOOKUP($B312,'[1]Basic EMP Data - 2025'!$C$3:$F$216,3,0)</f>
        <v>Harsh Agarwal</v>
      </c>
      <c r="E312" s="4">
        <f>VLOOKUP($B312,'[1]Basic EMP Data - 2025'!$C$3:$I$216,5,0)</f>
        <v>3</v>
      </c>
      <c r="F312" s="4">
        <f>VLOOKUP($B312,'[1]Basic EMP Data - 2025'!$C$3:$I$216,6,0)</f>
        <v>0</v>
      </c>
      <c r="G312" s="6">
        <f>F312/E312</f>
        <v>0</v>
      </c>
      <c r="H312" s="7">
        <f>SUM(L314:L332)</f>
        <v>0</v>
      </c>
      <c r="I312" s="8" cm="1">
        <f t="array" ref="I312">_xlfn.IFS($G312&lt;=34%,0%,$G312&lt;=75%,3%,$G312&lt;=120%,4%,$G312&gt;120%,5%)</f>
        <v>0</v>
      </c>
      <c r="J312" s="7" cm="1">
        <f t="array" ref="J312">SUMPRODUCT((C314:C332=2024)*M314:M332) + SUMPRODUCT((C314:C332=2025)*M314:M332*2)</f>
        <v>0</v>
      </c>
      <c r="K312" s="4">
        <f>SUM(N314:N332)</f>
        <v>0</v>
      </c>
      <c r="M312" s="2"/>
      <c r="N312" s="2"/>
    </row>
    <row r="313" spans="1:14" ht="28.8" x14ac:dyDescent="0.3">
      <c r="A313" s="9" t="s">
        <v>2</v>
      </c>
      <c r="B313" s="9" t="s">
        <v>13</v>
      </c>
      <c r="C313" s="9" t="s">
        <v>14</v>
      </c>
      <c r="D313" s="9" t="s">
        <v>15</v>
      </c>
      <c r="E313" s="9" t="s">
        <v>16</v>
      </c>
      <c r="F313" s="9" t="s">
        <v>17</v>
      </c>
      <c r="G313" s="9" t="s">
        <v>18</v>
      </c>
      <c r="H313" s="9" t="s">
        <v>19</v>
      </c>
      <c r="I313" s="9" t="s">
        <v>20</v>
      </c>
      <c r="J313" s="9" t="s">
        <v>21</v>
      </c>
      <c r="K313" s="9" t="s">
        <v>22</v>
      </c>
      <c r="L313" s="9" t="s">
        <v>23</v>
      </c>
      <c r="M313" s="9" t="s">
        <v>24</v>
      </c>
      <c r="N313" s="9" t="s">
        <v>25</v>
      </c>
    </row>
    <row r="314" spans="1:14" x14ac:dyDescent="0.3">
      <c r="A314" s="10" t="str">
        <f>C312</f>
        <v>Abhishek Singh</v>
      </c>
      <c r="B314" s="4" t="e" cm="1" vm="1">
        <f t="array" ref="B314">_xlfn.LET(
  _xlpm.data, _xlfn._xlws.FILTER('[1]Incentive Data'!A:BV, '[1]Incentive Data'!H:H=$C312),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14" s="11"/>
      <c r="D314" s="12"/>
      <c r="E314" s="12"/>
      <c r="F314" s="4"/>
      <c r="G314" s="13"/>
      <c r="H314" s="14"/>
      <c r="I314" s="11"/>
      <c r="J314" s="4"/>
      <c r="K314" s="4"/>
      <c r="L314" s="7"/>
      <c r="M314" s="7"/>
      <c r="N314" s="4"/>
    </row>
    <row r="315" spans="1:14" x14ac:dyDescent="0.3">
      <c r="A315" s="10"/>
      <c r="B315" s="4"/>
      <c r="C315" s="11"/>
      <c r="D315" s="12"/>
      <c r="E315" s="12"/>
      <c r="F315" s="4"/>
      <c r="G315" s="13"/>
      <c r="H315" s="14"/>
      <c r="I315" s="11"/>
      <c r="J315" s="4"/>
      <c r="K315" s="4"/>
      <c r="L315" s="7"/>
      <c r="M315" s="7"/>
      <c r="N315" s="4"/>
    </row>
    <row r="316" spans="1:14" x14ac:dyDescent="0.3">
      <c r="A316" s="10"/>
      <c r="B316" s="4"/>
      <c r="C316" s="11"/>
      <c r="D316" s="12"/>
      <c r="E316" s="12"/>
      <c r="F316" s="4"/>
      <c r="G316" s="13"/>
      <c r="H316" s="14"/>
      <c r="I316" s="11"/>
      <c r="J316" s="4"/>
      <c r="K316" s="4"/>
      <c r="L316" s="7"/>
      <c r="M316" s="7"/>
      <c r="N316" s="4"/>
    </row>
    <row r="317" spans="1:14" x14ac:dyDescent="0.3">
      <c r="A317" s="10"/>
      <c r="B317" s="4"/>
      <c r="C317" s="11"/>
      <c r="D317" s="12"/>
      <c r="E317" s="12"/>
      <c r="F317" s="4"/>
      <c r="G317" s="13"/>
      <c r="H317" s="14"/>
      <c r="I317" s="11"/>
      <c r="J317" s="4"/>
      <c r="K317" s="4"/>
      <c r="L317" s="7"/>
      <c r="M317" s="7"/>
      <c r="N317" s="4"/>
    </row>
    <row r="318" spans="1:14" x14ac:dyDescent="0.3">
      <c r="A318" s="10"/>
      <c r="B318" s="4"/>
      <c r="C318" s="11"/>
      <c r="D318" s="12"/>
      <c r="E318" s="12"/>
      <c r="F318" s="4"/>
      <c r="G318" s="13"/>
      <c r="H318" s="14"/>
      <c r="I318" s="11"/>
      <c r="J318" s="4"/>
      <c r="K318" s="4"/>
      <c r="L318" s="7"/>
      <c r="M318" s="7"/>
      <c r="N318" s="4"/>
    </row>
    <row r="319" spans="1:14" x14ac:dyDescent="0.3">
      <c r="A319" s="10"/>
      <c r="B319" s="4"/>
      <c r="C319" s="11"/>
      <c r="D319" s="12"/>
      <c r="E319" s="12"/>
      <c r="F319" s="4"/>
      <c r="G319" s="13"/>
      <c r="H319" s="14"/>
      <c r="I319" s="11"/>
      <c r="J319" s="4"/>
      <c r="K319" s="4"/>
      <c r="L319" s="7"/>
      <c r="M319" s="7"/>
      <c r="N319" s="4"/>
    </row>
    <row r="320" spans="1:14" x14ac:dyDescent="0.3">
      <c r="A320" s="10"/>
      <c r="B320" s="4"/>
      <c r="C320" s="11"/>
      <c r="D320" s="12"/>
      <c r="E320" s="12"/>
      <c r="F320" s="4"/>
      <c r="G320" s="13"/>
      <c r="H320" s="14"/>
      <c r="I320" s="11"/>
      <c r="J320" s="4"/>
      <c r="K320" s="4"/>
      <c r="L320" s="7"/>
      <c r="M320" s="7"/>
      <c r="N320" s="4"/>
    </row>
    <row r="321" spans="1:14" x14ac:dyDescent="0.3">
      <c r="A321" s="10"/>
      <c r="B321" s="4"/>
      <c r="C321" s="11"/>
      <c r="D321" s="12"/>
      <c r="E321" s="12"/>
      <c r="F321" s="4"/>
      <c r="G321" s="13"/>
      <c r="H321" s="14"/>
      <c r="I321" s="11"/>
      <c r="J321" s="4"/>
      <c r="K321" s="4"/>
      <c r="L321" s="7"/>
      <c r="M321" s="7"/>
      <c r="N321" s="4"/>
    </row>
    <row r="322" spans="1:14" x14ac:dyDescent="0.3">
      <c r="A322" s="10"/>
      <c r="B322" s="4"/>
      <c r="C322" s="11"/>
      <c r="D322" s="12"/>
      <c r="E322" s="12"/>
      <c r="F322" s="4"/>
      <c r="G322" s="13"/>
      <c r="H322" s="14"/>
      <c r="I322" s="11"/>
      <c r="J322" s="4"/>
      <c r="K322" s="4"/>
      <c r="L322" s="7"/>
      <c r="M322" s="7"/>
      <c r="N322" s="4"/>
    </row>
    <row r="323" spans="1:14" x14ac:dyDescent="0.3">
      <c r="A323" s="10"/>
      <c r="B323" s="4"/>
      <c r="C323" s="11"/>
      <c r="D323" s="12"/>
      <c r="E323" s="12"/>
      <c r="F323" s="4"/>
      <c r="G323" s="13"/>
      <c r="H323" s="14"/>
      <c r="I323" s="11"/>
      <c r="J323" s="4"/>
      <c r="K323" s="4"/>
      <c r="L323" s="7"/>
      <c r="M323" s="7"/>
      <c r="N323" s="4"/>
    </row>
    <row r="324" spans="1:14" x14ac:dyDescent="0.3">
      <c r="A324" s="10"/>
      <c r="B324" s="4"/>
      <c r="C324" s="11"/>
      <c r="D324" s="12"/>
      <c r="E324" s="12"/>
      <c r="F324" s="4"/>
      <c r="G324" s="13"/>
      <c r="H324" s="14"/>
      <c r="I324" s="11"/>
      <c r="J324" s="4"/>
      <c r="K324" s="4"/>
      <c r="L324" s="7"/>
      <c r="M324" s="7"/>
      <c r="N324" s="4"/>
    </row>
    <row r="325" spans="1:14" x14ac:dyDescent="0.3">
      <c r="A325" s="10"/>
      <c r="B325" s="4"/>
      <c r="C325" s="11"/>
      <c r="D325" s="12"/>
      <c r="E325" s="12"/>
      <c r="F325" s="4"/>
      <c r="G325" s="13"/>
      <c r="H325" s="14"/>
      <c r="I325" s="11"/>
      <c r="J325" s="4"/>
      <c r="K325" s="4"/>
      <c r="L325" s="7"/>
      <c r="M325" s="7"/>
      <c r="N325" s="4"/>
    </row>
    <row r="326" spans="1:14" x14ac:dyDescent="0.3">
      <c r="A326" s="10"/>
      <c r="B326" s="4"/>
      <c r="C326" s="11"/>
      <c r="D326" s="12"/>
      <c r="E326" s="12"/>
      <c r="F326" s="4"/>
      <c r="G326" s="13"/>
      <c r="H326" s="14"/>
      <c r="I326" s="11"/>
      <c r="J326" s="4"/>
      <c r="K326" s="4"/>
      <c r="L326" s="7"/>
      <c r="M326" s="7"/>
      <c r="N326" s="4"/>
    </row>
    <row r="327" spans="1:14" x14ac:dyDescent="0.3">
      <c r="A327" s="10"/>
      <c r="B327" s="4"/>
      <c r="C327" s="11"/>
      <c r="D327" s="12"/>
      <c r="E327" s="12"/>
      <c r="F327" s="4"/>
      <c r="G327" s="13"/>
      <c r="H327" s="14"/>
      <c r="I327" s="11"/>
      <c r="J327" s="4"/>
      <c r="K327" s="4"/>
      <c r="L327" s="7"/>
      <c r="M327" s="7"/>
      <c r="N327" s="4"/>
    </row>
    <row r="328" spans="1:14" x14ac:dyDescent="0.3">
      <c r="A328" s="10"/>
      <c r="B328" s="4"/>
      <c r="C328" s="11"/>
      <c r="D328" s="12"/>
      <c r="E328" s="12"/>
      <c r="F328" s="4"/>
      <c r="G328" s="13"/>
      <c r="H328" s="14"/>
      <c r="I328" s="11"/>
      <c r="J328" s="4"/>
      <c r="K328" s="4"/>
      <c r="L328" s="7"/>
      <c r="M328" s="7"/>
      <c r="N328" s="4"/>
    </row>
    <row r="329" spans="1:14" x14ac:dyDescent="0.3">
      <c r="A329" s="10"/>
      <c r="B329" s="4"/>
      <c r="C329" s="11"/>
      <c r="D329" s="12"/>
      <c r="E329" s="12"/>
      <c r="F329" s="4"/>
      <c r="G329" s="13"/>
      <c r="H329" s="14"/>
      <c r="I329" s="11"/>
      <c r="J329" s="4"/>
      <c r="K329" s="4"/>
      <c r="L329" s="7"/>
      <c r="M329" s="7"/>
      <c r="N329" s="4"/>
    </row>
    <row r="330" spans="1:14" x14ac:dyDescent="0.3">
      <c r="A330" s="10"/>
      <c r="B330" s="4"/>
      <c r="C330" s="11"/>
      <c r="D330" s="12"/>
      <c r="E330" s="12"/>
      <c r="F330" s="4"/>
      <c r="G330" s="13"/>
      <c r="H330" s="14"/>
      <c r="I330" s="11"/>
      <c r="J330" s="4"/>
      <c r="K330" s="4"/>
      <c r="L330" s="7"/>
      <c r="M330" s="7"/>
      <c r="N330" s="4"/>
    </row>
    <row r="331" spans="1:14" x14ac:dyDescent="0.3">
      <c r="A331" s="10"/>
      <c r="B331" s="4"/>
      <c r="C331" s="11"/>
      <c r="D331" s="12"/>
      <c r="E331" s="12"/>
      <c r="F331" s="4"/>
      <c r="G331" s="13"/>
      <c r="H331" s="14"/>
      <c r="I331" s="11"/>
      <c r="J331" s="4"/>
      <c r="K331" s="4"/>
      <c r="L331" s="7"/>
      <c r="M331" s="7"/>
      <c r="N331" s="4"/>
    </row>
    <row r="332" spans="1:14" x14ac:dyDescent="0.3">
      <c r="A332" s="10"/>
      <c r="B332" s="4"/>
      <c r="C332" s="11"/>
      <c r="D332" s="12"/>
      <c r="E332" s="12"/>
      <c r="F332" s="4"/>
      <c r="G332" s="13"/>
      <c r="H332" s="14"/>
      <c r="I332" s="11"/>
      <c r="J332" s="4"/>
      <c r="K332" s="4"/>
      <c r="L332" s="7"/>
      <c r="M332" s="7"/>
      <c r="N332" s="4"/>
    </row>
    <row r="335" spans="1:14" ht="43.2" x14ac:dyDescent="0.3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5</v>
      </c>
      <c r="G335" s="1" t="s">
        <v>6</v>
      </c>
      <c r="H335" s="1" t="s">
        <v>7</v>
      </c>
      <c r="I335" s="1" t="s">
        <v>8</v>
      </c>
      <c r="J335" s="1" t="s">
        <v>9</v>
      </c>
      <c r="K335" s="1" t="s">
        <v>10</v>
      </c>
      <c r="L335" s="2"/>
      <c r="M335" s="2"/>
      <c r="N335" s="2"/>
    </row>
    <row r="336" spans="1:14" x14ac:dyDescent="0.3">
      <c r="A336" s="4" t="s">
        <v>11</v>
      </c>
      <c r="B336" s="3" t="str">
        <f>_xlfn.XLOOKUP($C336,'[1]Basic EMP Data - 2025'!$D$3:$D$216,'[1]Basic EMP Data - 2025'!$C$3:$C$216)</f>
        <v>VB1619</v>
      </c>
      <c r="C336" s="5" t="s">
        <v>39</v>
      </c>
      <c r="D336" s="4" t="str">
        <f>VLOOKUP($B336,'[1]Basic EMP Data - 2025'!$C$3:$F$216,3,0)</f>
        <v>Harsh Agarwal</v>
      </c>
      <c r="E336" s="4">
        <f>VLOOKUP($B336,'[1]Basic EMP Data - 2025'!$C$3:$I$216,5,0)</f>
        <v>7</v>
      </c>
      <c r="F336" s="4">
        <f>VLOOKUP($B336,'[1]Basic EMP Data - 2025'!$C$3:$I$216,6,0)</f>
        <v>2</v>
      </c>
      <c r="G336" s="6">
        <f>F336/E336</f>
        <v>0.2857142857142857</v>
      </c>
      <c r="H336" s="7">
        <f>SUM(L338:L356)</f>
        <v>0</v>
      </c>
      <c r="I336" s="8" cm="1">
        <f t="array" ref="I336">_xlfn.IFS($G336&lt;=34%,0%,$G336&lt;=75%,3%,$G336&lt;=120%,4%,$G336&gt;120%,5%)</f>
        <v>0</v>
      </c>
      <c r="J336" s="7" cm="1">
        <f t="array" ref="J336">SUMPRODUCT((C338:C356=2024)*M338:M356) + SUMPRODUCT((C338:C356=2025)*M338:M356*2)</f>
        <v>0</v>
      </c>
      <c r="K336" s="4">
        <f>SUM(N338:N356)</f>
        <v>0</v>
      </c>
      <c r="M336" s="2"/>
      <c r="N336" s="2"/>
    </row>
    <row r="337" spans="1:14" ht="28.8" x14ac:dyDescent="0.3">
      <c r="A337" s="9" t="s">
        <v>2</v>
      </c>
      <c r="B337" s="9" t="s">
        <v>13</v>
      </c>
      <c r="C337" s="9" t="s">
        <v>14</v>
      </c>
      <c r="D337" s="9" t="s">
        <v>15</v>
      </c>
      <c r="E337" s="9" t="s">
        <v>16</v>
      </c>
      <c r="F337" s="9" t="s">
        <v>17</v>
      </c>
      <c r="G337" s="9" t="s">
        <v>18</v>
      </c>
      <c r="H337" s="9" t="s">
        <v>19</v>
      </c>
      <c r="I337" s="9" t="s">
        <v>20</v>
      </c>
      <c r="J337" s="9" t="s">
        <v>21</v>
      </c>
      <c r="K337" s="9" t="s">
        <v>22</v>
      </c>
      <c r="L337" s="9" t="s">
        <v>23</v>
      </c>
      <c r="M337" s="9" t="s">
        <v>24</v>
      </c>
      <c r="N337" s="9" t="s">
        <v>25</v>
      </c>
    </row>
    <row r="338" spans="1:14" x14ac:dyDescent="0.3">
      <c r="A338" s="10" t="str">
        <f>C336</f>
        <v>Sudhir Kumar</v>
      </c>
      <c r="B338" s="4" t="e" cm="1" vm="1">
        <f t="array" ref="B338">_xlfn.LET(
  _xlpm.data, _xlfn._xlws.FILTER('[1]Incentive Data'!A:BV, '[1]Incentive Data'!H:H=$C336),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38" s="11"/>
      <c r="D338" s="12"/>
      <c r="E338" s="12"/>
      <c r="F338" s="4"/>
      <c r="G338" s="13"/>
      <c r="H338" s="14"/>
      <c r="I338" s="11"/>
      <c r="J338" s="4"/>
      <c r="K338" s="4"/>
      <c r="L338" s="7"/>
      <c r="M338" s="7"/>
      <c r="N338" s="4"/>
    </row>
    <row r="339" spans="1:14" x14ac:dyDescent="0.3">
      <c r="A339" s="10"/>
      <c r="B339" s="4"/>
      <c r="C339" s="11"/>
      <c r="D339" s="12"/>
      <c r="E339" s="12"/>
      <c r="F339" s="4"/>
      <c r="G339" s="13"/>
      <c r="H339" s="14"/>
      <c r="I339" s="11"/>
      <c r="J339" s="4"/>
      <c r="K339" s="4"/>
      <c r="L339" s="7"/>
      <c r="M339" s="7"/>
      <c r="N339" s="4"/>
    </row>
    <row r="340" spans="1:14" x14ac:dyDescent="0.3">
      <c r="A340" s="10"/>
      <c r="B340" s="4"/>
      <c r="C340" s="11"/>
      <c r="D340" s="12"/>
      <c r="E340" s="12"/>
      <c r="F340" s="4"/>
      <c r="G340" s="13"/>
      <c r="H340" s="14"/>
      <c r="I340" s="11"/>
      <c r="J340" s="4"/>
      <c r="K340" s="4"/>
      <c r="L340" s="7"/>
      <c r="M340" s="7"/>
      <c r="N340" s="4"/>
    </row>
    <row r="341" spans="1:14" x14ac:dyDescent="0.3">
      <c r="A341" s="10"/>
      <c r="B341" s="4"/>
      <c r="C341" s="11"/>
      <c r="D341" s="12"/>
      <c r="E341" s="12"/>
      <c r="F341" s="4"/>
      <c r="G341" s="13"/>
      <c r="H341" s="14"/>
      <c r="I341" s="11"/>
      <c r="J341" s="4"/>
      <c r="K341" s="4"/>
      <c r="L341" s="7"/>
      <c r="M341" s="7"/>
      <c r="N341" s="4"/>
    </row>
    <row r="342" spans="1:14" x14ac:dyDescent="0.3">
      <c r="A342" s="10"/>
      <c r="B342" s="4"/>
      <c r="C342" s="11"/>
      <c r="D342" s="12"/>
      <c r="E342" s="12"/>
      <c r="F342" s="4"/>
      <c r="G342" s="13"/>
      <c r="H342" s="14"/>
      <c r="I342" s="11"/>
      <c r="J342" s="4"/>
      <c r="K342" s="4"/>
      <c r="L342" s="7"/>
      <c r="M342" s="7"/>
      <c r="N342" s="4"/>
    </row>
    <row r="343" spans="1:14" x14ac:dyDescent="0.3">
      <c r="A343" s="10"/>
      <c r="B343" s="4"/>
      <c r="C343" s="11"/>
      <c r="D343" s="12"/>
      <c r="E343" s="12"/>
      <c r="F343" s="4"/>
      <c r="G343" s="13"/>
      <c r="H343" s="14"/>
      <c r="I343" s="11"/>
      <c r="J343" s="4"/>
      <c r="K343" s="4"/>
      <c r="L343" s="7"/>
      <c r="M343" s="7"/>
      <c r="N343" s="4"/>
    </row>
    <row r="344" spans="1:14" x14ac:dyDescent="0.3">
      <c r="A344" s="10"/>
      <c r="B344" s="4"/>
      <c r="C344" s="11"/>
      <c r="D344" s="12"/>
      <c r="E344" s="12"/>
      <c r="F344" s="4"/>
      <c r="G344" s="13"/>
      <c r="H344" s="14"/>
      <c r="I344" s="11"/>
      <c r="J344" s="4"/>
      <c r="K344" s="4"/>
      <c r="L344" s="7"/>
      <c r="M344" s="7"/>
      <c r="N344" s="4"/>
    </row>
    <row r="345" spans="1:14" x14ac:dyDescent="0.3">
      <c r="A345" s="10"/>
      <c r="B345" s="4"/>
      <c r="C345" s="11"/>
      <c r="D345" s="12"/>
      <c r="E345" s="12"/>
      <c r="F345" s="4"/>
      <c r="G345" s="13"/>
      <c r="H345" s="14"/>
      <c r="I345" s="11"/>
      <c r="J345" s="4"/>
      <c r="K345" s="4"/>
      <c r="L345" s="7"/>
      <c r="M345" s="7"/>
      <c r="N345" s="4"/>
    </row>
    <row r="346" spans="1:14" x14ac:dyDescent="0.3">
      <c r="A346" s="10"/>
      <c r="B346" s="4"/>
      <c r="C346" s="11"/>
      <c r="D346" s="12"/>
      <c r="E346" s="12"/>
      <c r="F346" s="4"/>
      <c r="G346" s="13"/>
      <c r="H346" s="14"/>
      <c r="I346" s="11"/>
      <c r="J346" s="4"/>
      <c r="K346" s="4"/>
      <c r="L346" s="7"/>
      <c r="M346" s="7"/>
      <c r="N346" s="4"/>
    </row>
    <row r="347" spans="1:14" x14ac:dyDescent="0.3">
      <c r="A347" s="10"/>
      <c r="B347" s="4"/>
      <c r="C347" s="11"/>
      <c r="D347" s="12"/>
      <c r="E347" s="12"/>
      <c r="F347" s="4"/>
      <c r="G347" s="13"/>
      <c r="H347" s="14"/>
      <c r="I347" s="11"/>
      <c r="J347" s="4"/>
      <c r="K347" s="4"/>
      <c r="L347" s="7"/>
      <c r="M347" s="7"/>
      <c r="N347" s="4"/>
    </row>
    <row r="348" spans="1:14" x14ac:dyDescent="0.3">
      <c r="A348" s="10"/>
      <c r="B348" s="4"/>
      <c r="C348" s="11"/>
      <c r="D348" s="12"/>
      <c r="E348" s="12"/>
      <c r="F348" s="4"/>
      <c r="G348" s="13"/>
      <c r="H348" s="14"/>
      <c r="I348" s="11"/>
      <c r="J348" s="4"/>
      <c r="K348" s="4"/>
      <c r="L348" s="7"/>
      <c r="M348" s="7"/>
      <c r="N348" s="4"/>
    </row>
    <row r="349" spans="1:14" x14ac:dyDescent="0.3">
      <c r="A349" s="10"/>
      <c r="B349" s="4"/>
      <c r="C349" s="11"/>
      <c r="D349" s="12"/>
      <c r="E349" s="12"/>
      <c r="F349" s="4"/>
      <c r="G349" s="13"/>
      <c r="H349" s="14"/>
      <c r="I349" s="11"/>
      <c r="J349" s="4"/>
      <c r="K349" s="4"/>
      <c r="L349" s="7"/>
      <c r="M349" s="7"/>
      <c r="N349" s="4"/>
    </row>
    <row r="350" spans="1:14" x14ac:dyDescent="0.3">
      <c r="A350" s="10"/>
      <c r="B350" s="4"/>
      <c r="C350" s="11"/>
      <c r="D350" s="12"/>
      <c r="E350" s="12"/>
      <c r="F350" s="4"/>
      <c r="G350" s="13"/>
      <c r="H350" s="14"/>
      <c r="I350" s="11"/>
      <c r="J350" s="4"/>
      <c r="K350" s="4"/>
      <c r="L350" s="7"/>
      <c r="M350" s="7"/>
      <c r="N350" s="4"/>
    </row>
    <row r="351" spans="1:14" x14ac:dyDescent="0.3">
      <c r="A351" s="10"/>
      <c r="B351" s="4"/>
      <c r="C351" s="11"/>
      <c r="D351" s="12"/>
      <c r="E351" s="12"/>
      <c r="F351" s="4"/>
      <c r="G351" s="13"/>
      <c r="H351" s="14"/>
      <c r="I351" s="11"/>
      <c r="J351" s="4"/>
      <c r="K351" s="4"/>
      <c r="L351" s="7"/>
      <c r="M351" s="7"/>
      <c r="N351" s="4"/>
    </row>
    <row r="352" spans="1:14" x14ac:dyDescent="0.3">
      <c r="A352" s="10"/>
      <c r="B352" s="4"/>
      <c r="C352" s="11"/>
      <c r="D352" s="12"/>
      <c r="E352" s="12"/>
      <c r="F352" s="4"/>
      <c r="G352" s="13"/>
      <c r="H352" s="14"/>
      <c r="I352" s="11"/>
      <c r="J352" s="4"/>
      <c r="K352" s="4"/>
      <c r="L352" s="7"/>
      <c r="M352" s="7"/>
      <c r="N352" s="4"/>
    </row>
    <row r="353" spans="1:14" x14ac:dyDescent="0.3">
      <c r="A353" s="10"/>
      <c r="B353" s="4"/>
      <c r="C353" s="11"/>
      <c r="D353" s="12"/>
      <c r="E353" s="12"/>
      <c r="F353" s="4"/>
      <c r="G353" s="13"/>
      <c r="H353" s="14"/>
      <c r="I353" s="11"/>
      <c r="J353" s="4"/>
      <c r="K353" s="4"/>
      <c r="L353" s="7"/>
      <c r="M353" s="7"/>
      <c r="N353" s="4"/>
    </row>
    <row r="354" spans="1:14" x14ac:dyDescent="0.3">
      <c r="A354" s="10"/>
      <c r="B354" s="4"/>
      <c r="C354" s="11"/>
      <c r="D354" s="12"/>
      <c r="E354" s="12"/>
      <c r="F354" s="4"/>
      <c r="G354" s="13"/>
      <c r="H354" s="14"/>
      <c r="I354" s="11"/>
      <c r="J354" s="4"/>
      <c r="K354" s="4"/>
      <c r="L354" s="7"/>
      <c r="M354" s="7"/>
      <c r="N354" s="4"/>
    </row>
    <row r="355" spans="1:14" x14ac:dyDescent="0.3">
      <c r="A355" s="10"/>
      <c r="B355" s="4"/>
      <c r="C355" s="11"/>
      <c r="D355" s="12"/>
      <c r="E355" s="12"/>
      <c r="F355" s="4"/>
      <c r="G355" s="13"/>
      <c r="H355" s="14"/>
      <c r="I355" s="11"/>
      <c r="J355" s="4"/>
      <c r="K355" s="4"/>
      <c r="L355" s="7"/>
      <c r="M355" s="7"/>
      <c r="N355" s="4"/>
    </row>
    <row r="356" spans="1:14" x14ac:dyDescent="0.3">
      <c r="A356" s="10"/>
      <c r="B356" s="4"/>
      <c r="C356" s="11"/>
      <c r="D356" s="12"/>
      <c r="E356" s="12"/>
      <c r="F356" s="4"/>
      <c r="G356" s="13"/>
      <c r="H356" s="14"/>
      <c r="I356" s="11"/>
      <c r="J356" s="4"/>
      <c r="K356" s="4"/>
      <c r="L356" s="7"/>
      <c r="M356" s="7"/>
      <c r="N356" s="4"/>
    </row>
    <row r="358" spans="1:14" ht="43.2" x14ac:dyDescent="0.3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2"/>
      <c r="M358" s="2"/>
      <c r="N358" s="2"/>
    </row>
    <row r="359" spans="1:14" x14ac:dyDescent="0.3">
      <c r="A359" s="4" t="s">
        <v>11</v>
      </c>
      <c r="B359" s="3" t="str">
        <f>_xlfn.XLOOKUP($C359,'[1]Basic EMP Data - 2025'!$D$3:$D$216,'[1]Basic EMP Data - 2025'!$C$3:$C$216)</f>
        <v>VB2286</v>
      </c>
      <c r="C359" s="5" t="s">
        <v>40</v>
      </c>
      <c r="D359" s="4" t="str">
        <f>VLOOKUP($B359,'[1]Basic EMP Data - 2025'!$C$3:$F$216,3,0)</f>
        <v>Harsh Agarwal</v>
      </c>
      <c r="E359" s="4">
        <f>VLOOKUP($B359,'[1]Basic EMP Data - 2025'!$C$3:$I$216,5,0)</f>
        <v>0</v>
      </c>
      <c r="F359" s="4">
        <f>VLOOKUP($B359,'[1]Basic EMP Data - 2025'!$C$3:$I$216,6,0)</f>
        <v>0</v>
      </c>
      <c r="G359" s="6" t="e">
        <f>F359/E359</f>
        <v>#DIV/0!</v>
      </c>
      <c r="H359" s="7">
        <f>SUM(L361:L379)</f>
        <v>0</v>
      </c>
      <c r="I359" s="8" t="e" cm="1">
        <f t="array" ref="I359">_xlfn.IFS($G359&lt;=34%,0%,$G359&lt;=75%,3%,$G359&lt;=120%,4%,$G359&gt;120%,5%)</f>
        <v>#DIV/0!</v>
      </c>
      <c r="J359" s="7" cm="1">
        <f t="array" ref="J359">SUMPRODUCT((C361:C379=2024)*M361:M379) + SUMPRODUCT((C361:C379=2025)*M361:M379*2)</f>
        <v>0</v>
      </c>
      <c r="K359" s="4">
        <f>SUM(N361:N379)</f>
        <v>0</v>
      </c>
      <c r="M359" s="2"/>
      <c r="N359" s="2"/>
    </row>
    <row r="360" spans="1:14" ht="28.8" x14ac:dyDescent="0.3">
      <c r="A360" s="9" t="s">
        <v>2</v>
      </c>
      <c r="B360" s="9" t="s">
        <v>13</v>
      </c>
      <c r="C360" s="9" t="s">
        <v>14</v>
      </c>
      <c r="D360" s="9" t="s">
        <v>15</v>
      </c>
      <c r="E360" s="9" t="s">
        <v>16</v>
      </c>
      <c r="F360" s="9" t="s">
        <v>17</v>
      </c>
      <c r="G360" s="9" t="s">
        <v>18</v>
      </c>
      <c r="H360" s="9" t="s">
        <v>19</v>
      </c>
      <c r="I360" s="9" t="s">
        <v>20</v>
      </c>
      <c r="J360" s="9" t="s">
        <v>21</v>
      </c>
      <c r="K360" s="9" t="s">
        <v>22</v>
      </c>
      <c r="L360" s="9" t="s">
        <v>23</v>
      </c>
      <c r="M360" s="9" t="s">
        <v>24</v>
      </c>
      <c r="N360" s="9" t="s">
        <v>25</v>
      </c>
    </row>
    <row r="361" spans="1:14" x14ac:dyDescent="0.3">
      <c r="A361" s="10" t="str">
        <f>C359</f>
        <v>Anurag Srivastava</v>
      </c>
      <c r="B361" s="4" t="e" cm="1" vm="1">
        <f t="array" ref="B361">_xlfn.LET(
  _xlpm.data, _xlfn._xlws.FILTER('[1]Incentive Data'!A:BV, '[1]Incentive Data'!H:H=$C359),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61" s="11"/>
      <c r="D361" s="12"/>
      <c r="E361" s="12"/>
      <c r="F361" s="4"/>
      <c r="G361" s="13"/>
      <c r="H361" s="14"/>
      <c r="I361" s="11"/>
      <c r="J361" s="4"/>
      <c r="K361" s="4"/>
      <c r="L361" s="7"/>
      <c r="M361" s="7"/>
      <c r="N361" s="4"/>
    </row>
    <row r="362" spans="1:14" x14ac:dyDescent="0.3">
      <c r="A362" s="10"/>
      <c r="B362" s="4"/>
      <c r="C362" s="11"/>
      <c r="D362" s="12"/>
      <c r="E362" s="12"/>
      <c r="F362" s="4"/>
      <c r="G362" s="13"/>
      <c r="H362" s="14"/>
      <c r="I362" s="11"/>
      <c r="J362" s="4"/>
      <c r="K362" s="4"/>
      <c r="L362" s="7"/>
      <c r="M362" s="7"/>
      <c r="N362" s="4"/>
    </row>
    <row r="363" spans="1:14" x14ac:dyDescent="0.3">
      <c r="A363" s="10"/>
      <c r="B363" s="4"/>
      <c r="C363" s="11"/>
      <c r="D363" s="12"/>
      <c r="E363" s="12"/>
      <c r="F363" s="4"/>
      <c r="G363" s="13"/>
      <c r="H363" s="14"/>
      <c r="I363" s="11"/>
      <c r="J363" s="4"/>
      <c r="K363" s="4"/>
      <c r="L363" s="7"/>
      <c r="M363" s="7"/>
      <c r="N363" s="4"/>
    </row>
    <row r="364" spans="1:14" x14ac:dyDescent="0.3">
      <c r="A364" s="10"/>
      <c r="B364" s="4"/>
      <c r="C364" s="11"/>
      <c r="D364" s="12"/>
      <c r="E364" s="12"/>
      <c r="F364" s="4"/>
      <c r="G364" s="13"/>
      <c r="H364" s="14"/>
      <c r="I364" s="11"/>
      <c r="J364" s="4"/>
      <c r="K364" s="4"/>
      <c r="L364" s="7"/>
      <c r="M364" s="7"/>
      <c r="N364" s="4"/>
    </row>
    <row r="365" spans="1:14" x14ac:dyDescent="0.3">
      <c r="A365" s="10"/>
      <c r="B365" s="4"/>
      <c r="C365" s="11"/>
      <c r="D365" s="12"/>
      <c r="E365" s="12"/>
      <c r="F365" s="4"/>
      <c r="G365" s="13"/>
      <c r="H365" s="14"/>
      <c r="I365" s="11"/>
      <c r="J365" s="4"/>
      <c r="K365" s="4"/>
      <c r="L365" s="7"/>
      <c r="M365" s="7"/>
      <c r="N365" s="4"/>
    </row>
    <row r="366" spans="1:14" x14ac:dyDescent="0.3">
      <c r="A366" s="10"/>
      <c r="B366" s="4"/>
      <c r="C366" s="11"/>
      <c r="D366" s="12"/>
      <c r="E366" s="12"/>
      <c r="F366" s="4"/>
      <c r="G366" s="13"/>
      <c r="H366" s="14"/>
      <c r="I366" s="11"/>
      <c r="J366" s="4"/>
      <c r="K366" s="4"/>
      <c r="L366" s="7"/>
      <c r="M366" s="7"/>
      <c r="N366" s="4"/>
    </row>
    <row r="367" spans="1:14" x14ac:dyDescent="0.3">
      <c r="A367" s="10"/>
      <c r="B367" s="4"/>
      <c r="C367" s="11"/>
      <c r="D367" s="12"/>
      <c r="E367" s="12"/>
      <c r="F367" s="4"/>
      <c r="G367" s="13"/>
      <c r="H367" s="14"/>
      <c r="I367" s="11"/>
      <c r="J367" s="4"/>
      <c r="K367" s="4"/>
      <c r="L367" s="7"/>
      <c r="M367" s="7"/>
      <c r="N367" s="4"/>
    </row>
    <row r="368" spans="1:14" x14ac:dyDescent="0.3">
      <c r="A368" s="10"/>
      <c r="B368" s="4"/>
      <c r="C368" s="11"/>
      <c r="D368" s="12"/>
      <c r="E368" s="12"/>
      <c r="F368" s="4"/>
      <c r="G368" s="13"/>
      <c r="H368" s="14"/>
      <c r="I368" s="11"/>
      <c r="J368" s="4"/>
      <c r="K368" s="4"/>
      <c r="L368" s="7"/>
      <c r="M368" s="7"/>
      <c r="N368" s="4"/>
    </row>
    <row r="369" spans="1:14" x14ac:dyDescent="0.3">
      <c r="A369" s="10"/>
      <c r="B369" s="4"/>
      <c r="C369" s="11"/>
      <c r="D369" s="12"/>
      <c r="E369" s="12"/>
      <c r="F369" s="4"/>
      <c r="G369" s="13"/>
      <c r="H369" s="14"/>
      <c r="I369" s="11"/>
      <c r="J369" s="4"/>
      <c r="K369" s="4"/>
      <c r="L369" s="7"/>
      <c r="M369" s="7"/>
      <c r="N369" s="4"/>
    </row>
    <row r="370" spans="1:14" x14ac:dyDescent="0.3">
      <c r="A370" s="10"/>
      <c r="B370" s="4"/>
      <c r="C370" s="11"/>
      <c r="D370" s="12"/>
      <c r="E370" s="12"/>
      <c r="F370" s="4"/>
      <c r="G370" s="13"/>
      <c r="H370" s="14"/>
      <c r="I370" s="11"/>
      <c r="J370" s="4"/>
      <c r="K370" s="4"/>
      <c r="L370" s="7"/>
      <c r="M370" s="7"/>
      <c r="N370" s="4"/>
    </row>
    <row r="371" spans="1:14" x14ac:dyDescent="0.3">
      <c r="A371" s="10"/>
      <c r="B371" s="4"/>
      <c r="C371" s="11"/>
      <c r="D371" s="12"/>
      <c r="E371" s="12"/>
      <c r="F371" s="4"/>
      <c r="G371" s="13"/>
      <c r="H371" s="14"/>
      <c r="I371" s="11"/>
      <c r="J371" s="4"/>
      <c r="K371" s="4"/>
      <c r="L371" s="7"/>
      <c r="M371" s="7"/>
      <c r="N371" s="4"/>
    </row>
    <row r="372" spans="1:14" x14ac:dyDescent="0.3">
      <c r="A372" s="10"/>
      <c r="B372" s="4"/>
      <c r="C372" s="11"/>
      <c r="D372" s="12"/>
      <c r="E372" s="12"/>
      <c r="F372" s="4"/>
      <c r="G372" s="13"/>
      <c r="H372" s="14"/>
      <c r="I372" s="11"/>
      <c r="J372" s="4"/>
      <c r="K372" s="4"/>
      <c r="L372" s="7"/>
      <c r="M372" s="7"/>
      <c r="N372" s="4"/>
    </row>
    <row r="373" spans="1:14" x14ac:dyDescent="0.3">
      <c r="A373" s="10"/>
      <c r="B373" s="4"/>
      <c r="C373" s="11"/>
      <c r="D373" s="12"/>
      <c r="E373" s="12"/>
      <c r="F373" s="4"/>
      <c r="G373" s="13"/>
      <c r="H373" s="14"/>
      <c r="I373" s="11"/>
      <c r="J373" s="4"/>
      <c r="K373" s="4"/>
      <c r="L373" s="7"/>
      <c r="M373" s="7"/>
      <c r="N373" s="4"/>
    </row>
    <row r="374" spans="1:14" x14ac:dyDescent="0.3">
      <c r="A374" s="10"/>
      <c r="B374" s="4"/>
      <c r="C374" s="11"/>
      <c r="D374" s="12"/>
      <c r="E374" s="12"/>
      <c r="F374" s="4"/>
      <c r="G374" s="13"/>
      <c r="H374" s="14"/>
      <c r="I374" s="11"/>
      <c r="J374" s="4"/>
      <c r="K374" s="4"/>
      <c r="L374" s="7"/>
      <c r="M374" s="7"/>
      <c r="N374" s="4"/>
    </row>
    <row r="375" spans="1:14" x14ac:dyDescent="0.3">
      <c r="A375" s="10"/>
      <c r="B375" s="4"/>
      <c r="C375" s="11"/>
      <c r="D375" s="12"/>
      <c r="E375" s="12"/>
      <c r="F375" s="4"/>
      <c r="G375" s="13"/>
      <c r="H375" s="14"/>
      <c r="I375" s="11"/>
      <c r="J375" s="4"/>
      <c r="K375" s="4"/>
      <c r="L375" s="7"/>
      <c r="M375" s="7"/>
      <c r="N375" s="4"/>
    </row>
    <row r="376" spans="1:14" x14ac:dyDescent="0.3">
      <c r="A376" s="10"/>
      <c r="B376" s="4"/>
      <c r="C376" s="11"/>
      <c r="D376" s="12"/>
      <c r="E376" s="12"/>
      <c r="F376" s="4"/>
      <c r="G376" s="13"/>
      <c r="H376" s="14"/>
      <c r="I376" s="11"/>
      <c r="J376" s="4"/>
      <c r="K376" s="4"/>
      <c r="L376" s="7"/>
      <c r="M376" s="7"/>
      <c r="N376" s="4"/>
    </row>
    <row r="377" spans="1:14" x14ac:dyDescent="0.3">
      <c r="A377" s="10"/>
      <c r="B377" s="4"/>
      <c r="C377" s="11"/>
      <c r="D377" s="12"/>
      <c r="E377" s="12"/>
      <c r="F377" s="4"/>
      <c r="G377" s="13"/>
      <c r="H377" s="14"/>
      <c r="I377" s="11"/>
      <c r="J377" s="4"/>
      <c r="K377" s="4"/>
      <c r="L377" s="7"/>
      <c r="M377" s="7"/>
      <c r="N377" s="4"/>
    </row>
    <row r="378" spans="1:14" x14ac:dyDescent="0.3">
      <c r="A378" s="10"/>
      <c r="B378" s="4"/>
      <c r="C378" s="11"/>
      <c r="D378" s="12"/>
      <c r="E378" s="12"/>
      <c r="F378" s="4"/>
      <c r="G378" s="13"/>
      <c r="H378" s="14"/>
      <c r="I378" s="11"/>
      <c r="J378" s="4"/>
      <c r="K378" s="4"/>
      <c r="L378" s="7"/>
      <c r="M378" s="7"/>
      <c r="N378" s="4"/>
    </row>
    <row r="379" spans="1:14" x14ac:dyDescent="0.3">
      <c r="A379" s="10"/>
      <c r="B379" s="4"/>
      <c r="C379" s="11"/>
      <c r="D379" s="12"/>
      <c r="E379" s="12"/>
      <c r="F379" s="4"/>
      <c r="G379" s="13"/>
      <c r="H379" s="14"/>
      <c r="I379" s="11"/>
      <c r="J379" s="4"/>
      <c r="K379" s="4"/>
      <c r="L379" s="7"/>
      <c r="M379" s="7"/>
      <c r="N379" s="4"/>
    </row>
    <row r="381" spans="1:14" ht="43.2" x14ac:dyDescent="0.3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G381" s="1" t="s">
        <v>6</v>
      </c>
      <c r="H381" s="1" t="s">
        <v>7</v>
      </c>
      <c r="I381" s="1" t="s">
        <v>8</v>
      </c>
      <c r="J381" s="1" t="s">
        <v>9</v>
      </c>
      <c r="K381" s="1" t="s">
        <v>10</v>
      </c>
      <c r="L381" s="2"/>
      <c r="M381" s="2"/>
      <c r="N381" s="2"/>
    </row>
    <row r="382" spans="1:14" x14ac:dyDescent="0.3">
      <c r="A382" s="4" t="s">
        <v>11</v>
      </c>
      <c r="B382" s="3" t="str">
        <f>_xlfn.XLOOKUP($C382,'[1]Basic EMP Data - 2025'!$D$3:$D$216,'[1]Basic EMP Data - 2025'!$C$3:$C$216)</f>
        <v>VB0498</v>
      </c>
      <c r="C382" s="5" t="s">
        <v>41</v>
      </c>
      <c r="D382" s="4" t="str">
        <f>VLOOKUP($B382,'[1]Basic EMP Data - 2025'!$C$3:$F$216,3,0)</f>
        <v>Shashank Yadav</v>
      </c>
      <c r="E382" s="4">
        <f>VLOOKUP($B382,'[1]Basic EMP Data - 2025'!$C$3:$I$216,5,0)</f>
        <v>6</v>
      </c>
      <c r="F382" s="4">
        <f>VLOOKUP($B382,'[1]Basic EMP Data - 2025'!$C$3:$I$216,6,0)</f>
        <v>8.5</v>
      </c>
      <c r="G382" s="6">
        <f>F382/E382</f>
        <v>1.4166666666666667</v>
      </c>
      <c r="H382" s="7">
        <f>SUM(L384:L402)</f>
        <v>2112.625</v>
      </c>
      <c r="I382" s="8" cm="1">
        <f t="array" ref="I382">_xlfn.IFS($G382&lt;=34%,0%,$G382&lt;=75%,3%,$G382&lt;=120%,4%,$G382&gt;120%,5%)</f>
        <v>0.05</v>
      </c>
      <c r="J382" s="7" cm="1">
        <f t="array" ref="J382">SUMPRODUCT((C384:C402=2024)*M384:M402) + SUMPRODUCT((C384:C402=2025)*M384:M402*2)</f>
        <v>6760.4</v>
      </c>
      <c r="K382" s="4">
        <f>SUM(N384:N402)</f>
        <v>0</v>
      </c>
      <c r="M382" s="2"/>
      <c r="N382" s="2"/>
    </row>
    <row r="383" spans="1:14" ht="28.8" x14ac:dyDescent="0.3">
      <c r="A383" s="9" t="s">
        <v>2</v>
      </c>
      <c r="B383" s="9" t="s">
        <v>13</v>
      </c>
      <c r="C383" s="9" t="s">
        <v>14</v>
      </c>
      <c r="D383" s="9" t="s">
        <v>15</v>
      </c>
      <c r="E383" s="9" t="s">
        <v>16</v>
      </c>
      <c r="F383" s="9" t="s">
        <v>17</v>
      </c>
      <c r="G383" s="9" t="s">
        <v>18</v>
      </c>
      <c r="H383" s="9" t="s">
        <v>19</v>
      </c>
      <c r="I383" s="9" t="s">
        <v>20</v>
      </c>
      <c r="J383" s="9" t="s">
        <v>21</v>
      </c>
      <c r="K383" s="9" t="s">
        <v>22</v>
      </c>
      <c r="L383" s="9" t="s">
        <v>23</v>
      </c>
      <c r="M383" s="9" t="s">
        <v>24</v>
      </c>
      <c r="N383" s="9" t="s">
        <v>25</v>
      </c>
    </row>
    <row r="384" spans="1:14" x14ac:dyDescent="0.3">
      <c r="A384" s="10" t="str">
        <f>C382</f>
        <v>Abhishek Verma</v>
      </c>
      <c r="B384" s="4" t="str" cm="1">
        <f t="array" ref="B384:M385">_xlfn.LET(
  _xlpm.data, _xlfn._xlws.FILTER('[1]Incentive Data'!A:BV, '[1]Incentive Data'!H:H=$C382),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Princess Shimmadar Manaois-Battung</v>
      </c>
      <c r="C384" s="11">
        <v>2025</v>
      </c>
      <c r="D384" s="12">
        <v>45733</v>
      </c>
      <c r="E384" s="12" t="str">
        <v>-</v>
      </c>
      <c r="F384" s="4" t="str">
        <v>Reflik</v>
      </c>
      <c r="G384" s="13" t="str">
        <v>PLC-4156</v>
      </c>
      <c r="H384" s="14" t="str">
        <v>Referral</v>
      </c>
      <c r="I384" s="11" t="str">
        <v>Done</v>
      </c>
      <c r="J384" s="4" t="str">
        <v>Y</v>
      </c>
      <c r="K384" s="4">
        <v>264</v>
      </c>
      <c r="L384" s="7">
        <v>1003.1999999999999</v>
      </c>
      <c r="M384" s="7">
        <v>1605.12</v>
      </c>
      <c r="N384" s="4"/>
    </row>
    <row r="385" spans="1:14" x14ac:dyDescent="0.3">
      <c r="A385" s="10"/>
      <c r="B385" s="4" t="str">
        <v>Yamel Wong</v>
      </c>
      <c r="C385" s="11">
        <v>2025</v>
      </c>
      <c r="D385" s="12">
        <v>45664</v>
      </c>
      <c r="E385" s="12">
        <v>45756</v>
      </c>
      <c r="F385" s="4" t="str">
        <v>Reflik</v>
      </c>
      <c r="G385" s="13" t="str">
        <v>PLC-4094</v>
      </c>
      <c r="H385" s="14" t="str">
        <v>Referral</v>
      </c>
      <c r="I385" s="11" t="str">
        <v>Done</v>
      </c>
      <c r="J385" s="4" t="str">
        <v>Y</v>
      </c>
      <c r="K385" s="4">
        <v>497.5</v>
      </c>
      <c r="L385" s="7">
        <v>1109.425</v>
      </c>
      <c r="M385" s="7">
        <v>1775.08</v>
      </c>
      <c r="N385" s="4"/>
    </row>
    <row r="386" spans="1:14" x14ac:dyDescent="0.3">
      <c r="A386" s="10"/>
      <c r="B386" s="4"/>
      <c r="C386" s="11"/>
      <c r="D386" s="12"/>
      <c r="E386" s="12"/>
      <c r="F386" s="4"/>
      <c r="G386" s="13"/>
      <c r="H386" s="14"/>
      <c r="I386" s="11"/>
      <c r="J386" s="4"/>
      <c r="K386" s="4"/>
      <c r="L386" s="7"/>
      <c r="M386" s="7"/>
      <c r="N386" s="4"/>
    </row>
    <row r="387" spans="1:14" x14ac:dyDescent="0.3">
      <c r="A387" s="10"/>
      <c r="B387" s="4"/>
      <c r="C387" s="11"/>
      <c r="D387" s="12"/>
      <c r="E387" s="12"/>
      <c r="F387" s="4"/>
      <c r="G387" s="13"/>
      <c r="H387" s="14"/>
      <c r="I387" s="11"/>
      <c r="J387" s="4"/>
      <c r="K387" s="4"/>
      <c r="L387" s="7"/>
      <c r="M387" s="7"/>
      <c r="N387" s="4"/>
    </row>
    <row r="388" spans="1:14" x14ac:dyDescent="0.3">
      <c r="A388" s="10"/>
      <c r="B388" s="4"/>
      <c r="C388" s="11"/>
      <c r="D388" s="12"/>
      <c r="E388" s="12"/>
      <c r="F388" s="4"/>
      <c r="G388" s="13"/>
      <c r="H388" s="14"/>
      <c r="I388" s="11"/>
      <c r="J388" s="4"/>
      <c r="K388" s="4"/>
      <c r="L388" s="7"/>
      <c r="M388" s="7"/>
      <c r="N388" s="4"/>
    </row>
    <row r="389" spans="1:14" x14ac:dyDescent="0.3">
      <c r="A389" s="10"/>
      <c r="B389" s="4"/>
      <c r="C389" s="11"/>
      <c r="D389" s="12"/>
      <c r="E389" s="12"/>
      <c r="F389" s="4"/>
      <c r="G389" s="13"/>
      <c r="H389" s="14"/>
      <c r="I389" s="11"/>
      <c r="J389" s="4"/>
      <c r="K389" s="4"/>
      <c r="L389" s="7"/>
      <c r="M389" s="7"/>
      <c r="N389" s="4"/>
    </row>
    <row r="390" spans="1:14" x14ac:dyDescent="0.3">
      <c r="A390" s="10"/>
      <c r="B390" s="4"/>
      <c r="C390" s="11"/>
      <c r="D390" s="12"/>
      <c r="E390" s="12"/>
      <c r="F390" s="4"/>
      <c r="G390" s="13"/>
      <c r="H390" s="14"/>
      <c r="I390" s="11"/>
      <c r="J390" s="4"/>
      <c r="K390" s="4"/>
      <c r="L390" s="7"/>
      <c r="M390" s="7"/>
      <c r="N390" s="4"/>
    </row>
    <row r="391" spans="1:14" x14ac:dyDescent="0.3">
      <c r="A391" s="10"/>
      <c r="B391" s="4"/>
      <c r="C391" s="11"/>
      <c r="D391" s="12"/>
      <c r="E391" s="12"/>
      <c r="F391" s="4"/>
      <c r="G391" s="13"/>
      <c r="H391" s="14"/>
      <c r="I391" s="11"/>
      <c r="J391" s="4"/>
      <c r="K391" s="4"/>
      <c r="L391" s="7"/>
      <c r="M391" s="7"/>
      <c r="N391" s="4"/>
    </row>
    <row r="392" spans="1:14" x14ac:dyDescent="0.3">
      <c r="A392" s="10"/>
      <c r="B392" s="4"/>
      <c r="C392" s="11"/>
      <c r="D392" s="12"/>
      <c r="E392" s="12"/>
      <c r="F392" s="4"/>
      <c r="G392" s="13"/>
      <c r="H392" s="14"/>
      <c r="I392" s="11"/>
      <c r="J392" s="4"/>
      <c r="K392" s="4"/>
      <c r="L392" s="7"/>
      <c r="M392" s="7"/>
      <c r="N392" s="4"/>
    </row>
    <row r="393" spans="1:14" x14ac:dyDescent="0.3">
      <c r="A393" s="10"/>
      <c r="B393" s="4"/>
      <c r="C393" s="11"/>
      <c r="D393" s="12"/>
      <c r="E393" s="12"/>
      <c r="F393" s="4"/>
      <c r="G393" s="13"/>
      <c r="H393" s="14"/>
      <c r="I393" s="11"/>
      <c r="J393" s="4"/>
      <c r="K393" s="4"/>
      <c r="L393" s="7"/>
      <c r="M393" s="7"/>
      <c r="N393" s="4"/>
    </row>
    <row r="394" spans="1:14" x14ac:dyDescent="0.3">
      <c r="A394" s="10"/>
      <c r="B394" s="4"/>
      <c r="C394" s="11"/>
      <c r="D394" s="12"/>
      <c r="E394" s="12"/>
      <c r="F394" s="4"/>
      <c r="G394" s="13"/>
      <c r="H394" s="14"/>
      <c r="I394" s="11"/>
      <c r="J394" s="4"/>
      <c r="K394" s="4"/>
      <c r="L394" s="7"/>
      <c r="M394" s="7"/>
      <c r="N394" s="4"/>
    </row>
    <row r="395" spans="1:14" x14ac:dyDescent="0.3">
      <c r="A395" s="10"/>
      <c r="B395" s="4"/>
      <c r="C395" s="11"/>
      <c r="D395" s="12"/>
      <c r="E395" s="12"/>
      <c r="F395" s="4"/>
      <c r="G395" s="13"/>
      <c r="H395" s="14"/>
      <c r="I395" s="11"/>
      <c r="J395" s="4"/>
      <c r="K395" s="4"/>
      <c r="L395" s="7"/>
      <c r="M395" s="7"/>
      <c r="N395" s="4"/>
    </row>
    <row r="396" spans="1:14" x14ac:dyDescent="0.3">
      <c r="A396" s="10"/>
      <c r="B396" s="4"/>
      <c r="C396" s="11"/>
      <c r="D396" s="12"/>
      <c r="E396" s="12"/>
      <c r="F396" s="4"/>
      <c r="G396" s="13"/>
      <c r="H396" s="14"/>
      <c r="I396" s="11"/>
      <c r="J396" s="4"/>
      <c r="K396" s="4"/>
      <c r="L396" s="7"/>
      <c r="M396" s="7"/>
      <c r="N396" s="4"/>
    </row>
    <row r="397" spans="1:14" x14ac:dyDescent="0.3">
      <c r="A397" s="10"/>
      <c r="B397" s="4"/>
      <c r="C397" s="11"/>
      <c r="D397" s="12"/>
      <c r="E397" s="12"/>
      <c r="F397" s="4"/>
      <c r="G397" s="13"/>
      <c r="H397" s="14"/>
      <c r="I397" s="11"/>
      <c r="J397" s="4"/>
      <c r="K397" s="4"/>
      <c r="L397" s="7"/>
      <c r="M397" s="7"/>
      <c r="N397" s="4"/>
    </row>
    <row r="398" spans="1:14" x14ac:dyDescent="0.3">
      <c r="A398" s="10"/>
      <c r="B398" s="4"/>
      <c r="C398" s="11"/>
      <c r="D398" s="12"/>
      <c r="E398" s="12"/>
      <c r="F398" s="4"/>
      <c r="G398" s="13"/>
      <c r="H398" s="14"/>
      <c r="I398" s="11"/>
      <c r="J398" s="4"/>
      <c r="K398" s="4"/>
      <c r="L398" s="7"/>
      <c r="M398" s="7"/>
      <c r="N398" s="4"/>
    </row>
    <row r="399" spans="1:14" x14ac:dyDescent="0.3">
      <c r="A399" s="10"/>
      <c r="B399" s="4"/>
      <c r="C399" s="11"/>
      <c r="D399" s="12"/>
      <c r="E399" s="12"/>
      <c r="F399" s="4"/>
      <c r="G399" s="13"/>
      <c r="H399" s="14"/>
      <c r="I399" s="11"/>
      <c r="J399" s="4"/>
      <c r="K399" s="4"/>
      <c r="L399" s="7"/>
      <c r="M399" s="7"/>
      <c r="N399" s="4"/>
    </row>
    <row r="400" spans="1:14" x14ac:dyDescent="0.3">
      <c r="A400" s="10"/>
      <c r="B400" s="4"/>
      <c r="C400" s="11"/>
      <c r="D400" s="12"/>
      <c r="E400" s="12"/>
      <c r="F400" s="4"/>
      <c r="G400" s="13"/>
      <c r="H400" s="14"/>
      <c r="I400" s="11"/>
      <c r="J400" s="4"/>
      <c r="K400" s="4"/>
      <c r="L400" s="7"/>
      <c r="M400" s="7"/>
      <c r="N400" s="4"/>
    </row>
    <row r="401" spans="1:14" x14ac:dyDescent="0.3">
      <c r="A401" s="10"/>
      <c r="B401" s="4"/>
      <c r="C401" s="11"/>
      <c r="D401" s="12"/>
      <c r="E401" s="12"/>
      <c r="F401" s="4"/>
      <c r="G401" s="13"/>
      <c r="H401" s="14"/>
      <c r="I401" s="11"/>
      <c r="J401" s="4"/>
      <c r="K401" s="4"/>
      <c r="L401" s="7"/>
      <c r="M401" s="7"/>
      <c r="N401" s="4"/>
    </row>
    <row r="402" spans="1:14" x14ac:dyDescent="0.3">
      <c r="A402" s="10"/>
      <c r="B402" s="4"/>
      <c r="C402" s="11"/>
      <c r="D402" s="12"/>
      <c r="E402" s="12"/>
      <c r="F402" s="4"/>
      <c r="G402" s="13"/>
      <c r="H402" s="14"/>
      <c r="I402" s="11"/>
      <c r="J402" s="4"/>
      <c r="K402" s="4"/>
      <c r="L402" s="7"/>
      <c r="M402" s="7"/>
      <c r="N402" s="4"/>
    </row>
    <row r="405" spans="1:14" ht="43.2" x14ac:dyDescent="0.3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4</v>
      </c>
      <c r="F405" s="1" t="s">
        <v>5</v>
      </c>
      <c r="G405" s="1" t="s">
        <v>6</v>
      </c>
      <c r="H405" s="1" t="s">
        <v>7</v>
      </c>
      <c r="I405" s="1" t="s">
        <v>8</v>
      </c>
      <c r="J405" s="1" t="s">
        <v>9</v>
      </c>
      <c r="K405" s="1" t="s">
        <v>10</v>
      </c>
      <c r="L405" s="2"/>
      <c r="M405" s="2"/>
      <c r="N405" s="2"/>
    </row>
    <row r="406" spans="1:14" x14ac:dyDescent="0.3">
      <c r="A406" s="4" t="s">
        <v>11</v>
      </c>
      <c r="B406" s="3" t="str">
        <f>_xlfn.XLOOKUP($C406,'[1]Basic EMP Data - 2025'!$D$3:$D$216,'[1]Basic EMP Data - 2025'!$C$3:$C$216)</f>
        <v>VB0520</v>
      </c>
      <c r="C406" s="5" t="s">
        <v>42</v>
      </c>
      <c r="D406" s="4" t="str">
        <f>VLOOKUP($B406,'[1]Basic EMP Data - 2025'!$C$3:$F$216,3,0)</f>
        <v>Shashank Yadav</v>
      </c>
      <c r="E406" s="4">
        <f>VLOOKUP($B406,'[1]Basic EMP Data - 2025'!$C$3:$I$216,5,0)</f>
        <v>6</v>
      </c>
      <c r="F406" s="4">
        <f>VLOOKUP($B406,'[1]Basic EMP Data - 2025'!$C$3:$I$216,6,0)</f>
        <v>3</v>
      </c>
      <c r="G406" s="6">
        <f>F406/E406</f>
        <v>0.5</v>
      </c>
      <c r="H406" s="7">
        <f>SUM(L408:L426)</f>
        <v>7500</v>
      </c>
      <c r="I406" s="8" cm="1">
        <f t="array" ref="I406">_xlfn.IFS($G406&lt;=34%,0%,$G406&lt;=75%,3%,$G406&lt;=120%,4%,$G406&gt;120%,5%)</f>
        <v>0.03</v>
      </c>
      <c r="J406" s="7" cm="1">
        <f t="array" ref="J406">SUMPRODUCT((C408:C426=2024)*M408:M426) + SUMPRODUCT((C408:C426=2025)*M408:M426*2)</f>
        <v>18000</v>
      </c>
      <c r="K406" s="4">
        <f>SUM(N408:N426)</f>
        <v>0</v>
      </c>
      <c r="M406" s="2"/>
      <c r="N406" s="2"/>
    </row>
    <row r="407" spans="1:14" ht="28.8" x14ac:dyDescent="0.3">
      <c r="A407" s="9" t="s">
        <v>2</v>
      </c>
      <c r="B407" s="9" t="s">
        <v>13</v>
      </c>
      <c r="C407" s="9" t="s">
        <v>14</v>
      </c>
      <c r="D407" s="9" t="s">
        <v>15</v>
      </c>
      <c r="E407" s="9" t="s">
        <v>16</v>
      </c>
      <c r="F407" s="9" t="s">
        <v>17</v>
      </c>
      <c r="G407" s="9" t="s">
        <v>18</v>
      </c>
      <c r="H407" s="9" t="s">
        <v>19</v>
      </c>
      <c r="I407" s="9" t="s">
        <v>20</v>
      </c>
      <c r="J407" s="9" t="s">
        <v>21</v>
      </c>
      <c r="K407" s="9" t="s">
        <v>22</v>
      </c>
      <c r="L407" s="9" t="s">
        <v>23</v>
      </c>
      <c r="M407" s="9" t="s">
        <v>24</v>
      </c>
      <c r="N407" s="9" t="s">
        <v>25</v>
      </c>
    </row>
    <row r="408" spans="1:14" x14ac:dyDescent="0.3">
      <c r="A408" s="10" t="str">
        <f>C406</f>
        <v>Shivanshu Rastogi</v>
      </c>
      <c r="B408" s="4" t="str" cm="1">
        <f t="array" ref="B408:M408">_xlfn.LET(
  _xlpm.data, _xlfn._xlws.FILTER('[1]Incentive Data'!A:BV, '[1]Incentive Data'!H:H=$C406),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Shane Fraley</v>
      </c>
      <c r="C408" s="11">
        <v>2025</v>
      </c>
      <c r="D408" s="12">
        <v>45715</v>
      </c>
      <c r="E408" s="12" t="str">
        <v>-</v>
      </c>
      <c r="F408" s="4" t="str">
        <v>Reflik</v>
      </c>
      <c r="G408" s="13" t="str">
        <v>PLC-4100</v>
      </c>
      <c r="H408" s="14" t="str">
        <v>FTE</v>
      </c>
      <c r="I408" s="11" t="str">
        <v>Done</v>
      </c>
      <c r="J408" s="4" t="str">
        <v>Y</v>
      </c>
      <c r="K408" s="4">
        <v>0</v>
      </c>
      <c r="L408" s="7">
        <v>7500</v>
      </c>
      <c r="M408" s="7">
        <v>9000</v>
      </c>
      <c r="N408" s="4"/>
    </row>
    <row r="409" spans="1:14" x14ac:dyDescent="0.3">
      <c r="A409" s="10"/>
      <c r="B409" s="4"/>
      <c r="C409" s="11"/>
      <c r="D409" s="12"/>
      <c r="E409" s="12"/>
      <c r="F409" s="4"/>
      <c r="G409" s="13"/>
      <c r="H409" s="14"/>
      <c r="I409" s="11"/>
      <c r="J409" s="4"/>
      <c r="K409" s="4"/>
      <c r="L409" s="7"/>
      <c r="M409" s="7"/>
      <c r="N409" s="4"/>
    </row>
    <row r="410" spans="1:14" x14ac:dyDescent="0.3">
      <c r="A410" s="10"/>
      <c r="B410" s="4"/>
      <c r="C410" s="11"/>
      <c r="D410" s="12"/>
      <c r="E410" s="12"/>
      <c r="F410" s="4"/>
      <c r="G410" s="13"/>
      <c r="H410" s="14"/>
      <c r="I410" s="11"/>
      <c r="J410" s="4"/>
      <c r="K410" s="4"/>
      <c r="L410" s="7"/>
      <c r="M410" s="7"/>
      <c r="N410" s="4"/>
    </row>
    <row r="411" spans="1:14" x14ac:dyDescent="0.3">
      <c r="A411" s="10"/>
      <c r="B411" s="4"/>
      <c r="C411" s="11"/>
      <c r="D411" s="12"/>
      <c r="E411" s="12"/>
      <c r="F411" s="4"/>
      <c r="G411" s="13"/>
      <c r="H411" s="14"/>
      <c r="I411" s="11"/>
      <c r="J411" s="4"/>
      <c r="K411" s="4"/>
      <c r="L411" s="7"/>
      <c r="M411" s="7"/>
      <c r="N411" s="4"/>
    </row>
    <row r="412" spans="1:14" x14ac:dyDescent="0.3">
      <c r="A412" s="10"/>
      <c r="B412" s="4"/>
      <c r="C412" s="11"/>
      <c r="D412" s="12"/>
      <c r="E412" s="12"/>
      <c r="F412" s="4"/>
      <c r="G412" s="13"/>
      <c r="H412" s="14"/>
      <c r="I412" s="11"/>
      <c r="J412" s="4"/>
      <c r="K412" s="4"/>
      <c r="L412" s="7"/>
      <c r="M412" s="7"/>
      <c r="N412" s="4"/>
    </row>
    <row r="413" spans="1:14" x14ac:dyDescent="0.3">
      <c r="A413" s="10"/>
      <c r="B413" s="4"/>
      <c r="C413" s="11"/>
      <c r="D413" s="12"/>
      <c r="E413" s="12"/>
      <c r="F413" s="4"/>
      <c r="G413" s="13"/>
      <c r="H413" s="14"/>
      <c r="I413" s="11"/>
      <c r="J413" s="4"/>
      <c r="K413" s="4"/>
      <c r="L413" s="7"/>
      <c r="M413" s="7"/>
      <c r="N413" s="4"/>
    </row>
    <row r="414" spans="1:14" x14ac:dyDescent="0.3">
      <c r="A414" s="10"/>
      <c r="B414" s="4"/>
      <c r="C414" s="11"/>
      <c r="D414" s="12"/>
      <c r="E414" s="12"/>
      <c r="F414" s="4"/>
      <c r="G414" s="13"/>
      <c r="H414" s="14"/>
      <c r="I414" s="11"/>
      <c r="J414" s="4"/>
      <c r="K414" s="4"/>
      <c r="L414" s="7"/>
      <c r="M414" s="7"/>
      <c r="N414" s="4"/>
    </row>
    <row r="415" spans="1:14" x14ac:dyDescent="0.3">
      <c r="A415" s="10"/>
      <c r="B415" s="4"/>
      <c r="C415" s="11"/>
      <c r="D415" s="12"/>
      <c r="E415" s="12"/>
      <c r="F415" s="4"/>
      <c r="G415" s="13"/>
      <c r="H415" s="14"/>
      <c r="I415" s="11"/>
      <c r="J415" s="4"/>
      <c r="K415" s="4"/>
      <c r="L415" s="7"/>
      <c r="M415" s="7"/>
      <c r="N415" s="4"/>
    </row>
    <row r="416" spans="1:14" x14ac:dyDescent="0.3">
      <c r="A416" s="10"/>
      <c r="B416" s="4"/>
      <c r="C416" s="11"/>
      <c r="D416" s="12"/>
      <c r="E416" s="12"/>
      <c r="F416" s="4"/>
      <c r="G416" s="13"/>
      <c r="H416" s="14"/>
      <c r="I416" s="11"/>
      <c r="J416" s="4"/>
      <c r="K416" s="4"/>
      <c r="L416" s="7"/>
      <c r="M416" s="7"/>
      <c r="N416" s="4"/>
    </row>
    <row r="417" spans="1:14" x14ac:dyDescent="0.3">
      <c r="A417" s="10"/>
      <c r="B417" s="4"/>
      <c r="C417" s="11"/>
      <c r="D417" s="12"/>
      <c r="E417" s="12"/>
      <c r="F417" s="4"/>
      <c r="G417" s="13"/>
      <c r="H417" s="14"/>
      <c r="I417" s="11"/>
      <c r="J417" s="4"/>
      <c r="K417" s="4"/>
      <c r="L417" s="7"/>
      <c r="M417" s="7"/>
      <c r="N417" s="4"/>
    </row>
    <row r="418" spans="1:14" x14ac:dyDescent="0.3">
      <c r="A418" s="10"/>
      <c r="B418" s="4"/>
      <c r="C418" s="11"/>
      <c r="D418" s="12"/>
      <c r="E418" s="12"/>
      <c r="F418" s="4"/>
      <c r="G418" s="13"/>
      <c r="H418" s="14"/>
      <c r="I418" s="11"/>
      <c r="J418" s="4"/>
      <c r="K418" s="4"/>
      <c r="L418" s="7"/>
      <c r="M418" s="7"/>
      <c r="N418" s="4"/>
    </row>
    <row r="419" spans="1:14" x14ac:dyDescent="0.3">
      <c r="A419" s="10"/>
      <c r="B419" s="4"/>
      <c r="C419" s="11"/>
      <c r="D419" s="12"/>
      <c r="E419" s="12"/>
      <c r="F419" s="4"/>
      <c r="G419" s="13"/>
      <c r="H419" s="14"/>
      <c r="I419" s="11"/>
      <c r="J419" s="4"/>
      <c r="K419" s="4"/>
      <c r="L419" s="7"/>
      <c r="M419" s="7"/>
      <c r="N419" s="4"/>
    </row>
    <row r="420" spans="1:14" x14ac:dyDescent="0.3">
      <c r="A420" s="10"/>
      <c r="B420" s="4"/>
      <c r="C420" s="11"/>
      <c r="D420" s="12"/>
      <c r="E420" s="12"/>
      <c r="F420" s="4"/>
      <c r="G420" s="13"/>
      <c r="H420" s="14"/>
      <c r="I420" s="11"/>
      <c r="J420" s="4"/>
      <c r="K420" s="4"/>
      <c r="L420" s="7"/>
      <c r="M420" s="7"/>
      <c r="N420" s="4"/>
    </row>
    <row r="421" spans="1:14" x14ac:dyDescent="0.3">
      <c r="A421" s="10"/>
      <c r="B421" s="4"/>
      <c r="C421" s="11"/>
      <c r="D421" s="12"/>
      <c r="E421" s="12"/>
      <c r="F421" s="4"/>
      <c r="G421" s="13"/>
      <c r="H421" s="14"/>
      <c r="I421" s="11"/>
      <c r="J421" s="4"/>
      <c r="K421" s="4"/>
      <c r="L421" s="7"/>
      <c r="M421" s="7"/>
      <c r="N421" s="4"/>
    </row>
    <row r="422" spans="1:14" x14ac:dyDescent="0.3">
      <c r="A422" s="10"/>
      <c r="B422" s="4"/>
      <c r="C422" s="11"/>
      <c r="D422" s="12"/>
      <c r="E422" s="12"/>
      <c r="F422" s="4"/>
      <c r="G422" s="13"/>
      <c r="H422" s="14"/>
      <c r="I422" s="11"/>
      <c r="J422" s="4"/>
      <c r="K422" s="4"/>
      <c r="L422" s="7"/>
      <c r="M422" s="7"/>
      <c r="N422" s="4"/>
    </row>
    <row r="423" spans="1:14" x14ac:dyDescent="0.3">
      <c r="A423" s="10"/>
      <c r="B423" s="4"/>
      <c r="C423" s="11"/>
      <c r="D423" s="12"/>
      <c r="E423" s="12"/>
      <c r="F423" s="4"/>
      <c r="G423" s="13"/>
      <c r="H423" s="14"/>
      <c r="I423" s="11"/>
      <c r="J423" s="4"/>
      <c r="K423" s="4"/>
      <c r="L423" s="7"/>
      <c r="M423" s="7"/>
      <c r="N423" s="4"/>
    </row>
    <row r="424" spans="1:14" x14ac:dyDescent="0.3">
      <c r="A424" s="10"/>
      <c r="B424" s="4"/>
      <c r="C424" s="11"/>
      <c r="D424" s="12"/>
      <c r="E424" s="12"/>
      <c r="F424" s="4"/>
      <c r="G424" s="13"/>
      <c r="H424" s="14"/>
      <c r="I424" s="11"/>
      <c r="J424" s="4"/>
      <c r="K424" s="4"/>
      <c r="L424" s="7"/>
      <c r="M424" s="7"/>
      <c r="N424" s="4"/>
    </row>
    <row r="425" spans="1:14" x14ac:dyDescent="0.3">
      <c r="A425" s="10"/>
      <c r="B425" s="4"/>
      <c r="C425" s="11"/>
      <c r="D425" s="12"/>
      <c r="E425" s="12"/>
      <c r="F425" s="4"/>
      <c r="G425" s="13"/>
      <c r="H425" s="14"/>
      <c r="I425" s="11"/>
      <c r="J425" s="4"/>
      <c r="K425" s="4"/>
      <c r="L425" s="7"/>
      <c r="M425" s="7"/>
      <c r="N425" s="4"/>
    </row>
    <row r="426" spans="1:14" x14ac:dyDescent="0.3">
      <c r="A426" s="10"/>
      <c r="B426" s="4"/>
      <c r="C426" s="11"/>
      <c r="D426" s="12"/>
      <c r="E426" s="12"/>
      <c r="F426" s="4"/>
      <c r="G426" s="13"/>
      <c r="H426" s="14"/>
      <c r="I426" s="11"/>
      <c r="J426" s="4"/>
      <c r="K426" s="4"/>
      <c r="L426" s="7"/>
      <c r="M426" s="7"/>
      <c r="N426" s="4"/>
    </row>
    <row r="428" spans="1:14" ht="43.2" x14ac:dyDescent="0.3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1" t="s">
        <v>5</v>
      </c>
      <c r="G428" s="1" t="s">
        <v>6</v>
      </c>
      <c r="H428" s="1" t="s">
        <v>7</v>
      </c>
      <c r="I428" s="1" t="s">
        <v>8</v>
      </c>
      <c r="J428" s="1" t="s">
        <v>9</v>
      </c>
      <c r="K428" s="1" t="s">
        <v>10</v>
      </c>
      <c r="L428" s="2"/>
      <c r="M428" s="2"/>
      <c r="N428" s="2"/>
    </row>
    <row r="429" spans="1:14" x14ac:dyDescent="0.3">
      <c r="A429" s="4" t="s">
        <v>11</v>
      </c>
      <c r="B429" s="3" t="str">
        <f>_xlfn.XLOOKUP($C429,'[1]Basic EMP Data - 2025'!$D$3:$D$216,'[1]Basic EMP Data - 2025'!$C$3:$C$216)</f>
        <v>VB0863</v>
      </c>
      <c r="C429" s="5" t="s">
        <v>43</v>
      </c>
      <c r="D429" s="4" t="str">
        <f>VLOOKUP($B429,'[1]Basic EMP Data - 2025'!$C$3:$F$216,3,0)</f>
        <v>Shashank Yadav</v>
      </c>
      <c r="E429" s="4">
        <f>VLOOKUP($B429,'[1]Basic EMP Data - 2025'!$C$3:$I$216,5,0)</f>
        <v>7</v>
      </c>
      <c r="F429" s="4">
        <f>VLOOKUP($B429,'[1]Basic EMP Data - 2025'!$C$3:$I$216,6,0)</f>
        <v>3</v>
      </c>
      <c r="G429" s="6">
        <f>F429/E429</f>
        <v>0.42857142857142855</v>
      </c>
      <c r="H429" s="7">
        <f>SUM(L431:L449)</f>
        <v>0</v>
      </c>
      <c r="I429" s="8" cm="1">
        <f t="array" ref="I429">_xlfn.IFS($G429&lt;=34%,0%,$G429&lt;=75%,3%,$G429&lt;=120%,4%,$G429&gt;120%,5%)</f>
        <v>0.03</v>
      </c>
      <c r="J429" s="7" cm="1">
        <f t="array" ref="J429">SUMPRODUCT((C431:C449=2024)*M431:M449) + SUMPRODUCT((C431:C449=2025)*M431:M449*2)</f>
        <v>0</v>
      </c>
      <c r="K429" s="4">
        <f>SUM(N431:N449)</f>
        <v>0</v>
      </c>
      <c r="M429" s="2"/>
      <c r="N429" s="2"/>
    </row>
    <row r="430" spans="1:14" ht="28.8" x14ac:dyDescent="0.3">
      <c r="A430" s="9" t="s">
        <v>2</v>
      </c>
      <c r="B430" s="9" t="s">
        <v>13</v>
      </c>
      <c r="C430" s="9" t="s">
        <v>14</v>
      </c>
      <c r="D430" s="9" t="s">
        <v>15</v>
      </c>
      <c r="E430" s="9" t="s">
        <v>16</v>
      </c>
      <c r="F430" s="9" t="s">
        <v>17</v>
      </c>
      <c r="G430" s="9" t="s">
        <v>18</v>
      </c>
      <c r="H430" s="9" t="s">
        <v>19</v>
      </c>
      <c r="I430" s="9" t="s">
        <v>20</v>
      </c>
      <c r="J430" s="9" t="s">
        <v>21</v>
      </c>
      <c r="K430" s="9" t="s">
        <v>22</v>
      </c>
      <c r="L430" s="9" t="s">
        <v>23</v>
      </c>
      <c r="M430" s="9" t="s">
        <v>24</v>
      </c>
      <c r="N430" s="9" t="s">
        <v>25</v>
      </c>
    </row>
    <row r="431" spans="1:14" x14ac:dyDescent="0.3">
      <c r="A431" s="10" t="str">
        <f>C429</f>
        <v>Astha Sharma</v>
      </c>
      <c r="B431" s="4" t="e" cm="1" vm="1">
        <f t="array" ref="B431">_xlfn.LET(
  _xlpm.data, _xlfn._xlws.FILTER('[1]Incentive Data'!A:BV, '[1]Incentive Data'!H:H=$C429),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31" s="11"/>
      <c r="D431" s="12"/>
      <c r="E431" s="12"/>
      <c r="F431" s="4"/>
      <c r="G431" s="13"/>
      <c r="H431" s="14"/>
      <c r="I431" s="11"/>
      <c r="J431" s="4"/>
      <c r="K431" s="4"/>
      <c r="L431" s="7"/>
      <c r="M431" s="7"/>
      <c r="N431" s="4"/>
    </row>
    <row r="432" spans="1:14" x14ac:dyDescent="0.3">
      <c r="A432" s="10"/>
      <c r="B432" s="4"/>
      <c r="C432" s="11"/>
      <c r="D432" s="12"/>
      <c r="E432" s="12"/>
      <c r="F432" s="4"/>
      <c r="G432" s="13"/>
      <c r="H432" s="14"/>
      <c r="I432" s="11"/>
      <c r="J432" s="4"/>
      <c r="K432" s="4"/>
      <c r="L432" s="7"/>
      <c r="M432" s="7"/>
      <c r="N432" s="4"/>
    </row>
    <row r="433" spans="1:14" x14ac:dyDescent="0.3">
      <c r="A433" s="10"/>
      <c r="B433" s="4"/>
      <c r="C433" s="11"/>
      <c r="D433" s="12"/>
      <c r="E433" s="12"/>
      <c r="F433" s="4"/>
      <c r="G433" s="13"/>
      <c r="H433" s="14"/>
      <c r="I433" s="11"/>
      <c r="J433" s="4"/>
      <c r="K433" s="4"/>
      <c r="L433" s="7"/>
      <c r="M433" s="7"/>
      <c r="N433" s="4"/>
    </row>
    <row r="434" spans="1:14" x14ac:dyDescent="0.3">
      <c r="A434" s="10"/>
      <c r="B434" s="4"/>
      <c r="C434" s="11"/>
      <c r="D434" s="12"/>
      <c r="E434" s="12"/>
      <c r="F434" s="4"/>
      <c r="G434" s="13"/>
      <c r="H434" s="14"/>
      <c r="I434" s="11"/>
      <c r="J434" s="4"/>
      <c r="K434" s="4"/>
      <c r="L434" s="7"/>
      <c r="M434" s="7"/>
      <c r="N434" s="4"/>
    </row>
    <row r="435" spans="1:14" x14ac:dyDescent="0.3">
      <c r="A435" s="10"/>
      <c r="B435" s="4"/>
      <c r="C435" s="11"/>
      <c r="D435" s="12"/>
      <c r="E435" s="12"/>
      <c r="F435" s="4"/>
      <c r="G435" s="13"/>
      <c r="H435" s="14"/>
      <c r="I435" s="11"/>
      <c r="J435" s="4"/>
      <c r="K435" s="4"/>
      <c r="L435" s="7"/>
      <c r="M435" s="7"/>
      <c r="N435" s="4"/>
    </row>
    <row r="436" spans="1:14" x14ac:dyDescent="0.3">
      <c r="A436" s="10"/>
      <c r="B436" s="4"/>
      <c r="C436" s="11"/>
      <c r="D436" s="12"/>
      <c r="E436" s="12"/>
      <c r="F436" s="4"/>
      <c r="G436" s="13"/>
      <c r="H436" s="14"/>
      <c r="I436" s="11"/>
      <c r="J436" s="4"/>
      <c r="K436" s="4"/>
      <c r="L436" s="7"/>
      <c r="M436" s="7"/>
      <c r="N436" s="4"/>
    </row>
    <row r="437" spans="1:14" x14ac:dyDescent="0.3">
      <c r="A437" s="10"/>
      <c r="B437" s="4"/>
      <c r="C437" s="11"/>
      <c r="D437" s="12"/>
      <c r="E437" s="12"/>
      <c r="F437" s="4"/>
      <c r="G437" s="13"/>
      <c r="H437" s="14"/>
      <c r="I437" s="11"/>
      <c r="J437" s="4"/>
      <c r="K437" s="4"/>
      <c r="L437" s="7"/>
      <c r="M437" s="7"/>
      <c r="N437" s="4"/>
    </row>
    <row r="438" spans="1:14" x14ac:dyDescent="0.3">
      <c r="A438" s="10"/>
      <c r="B438" s="4"/>
      <c r="C438" s="11"/>
      <c r="D438" s="12"/>
      <c r="E438" s="12"/>
      <c r="F438" s="4"/>
      <c r="G438" s="13"/>
      <c r="H438" s="14"/>
      <c r="I438" s="11"/>
      <c r="J438" s="4"/>
      <c r="K438" s="4"/>
      <c r="L438" s="7"/>
      <c r="M438" s="7"/>
      <c r="N438" s="4"/>
    </row>
    <row r="439" spans="1:14" x14ac:dyDescent="0.3">
      <c r="A439" s="10"/>
      <c r="B439" s="4"/>
      <c r="C439" s="11"/>
      <c r="D439" s="12"/>
      <c r="E439" s="12"/>
      <c r="F439" s="4"/>
      <c r="G439" s="13"/>
      <c r="H439" s="14"/>
      <c r="I439" s="11"/>
      <c r="J439" s="4"/>
      <c r="K439" s="4"/>
      <c r="L439" s="7"/>
      <c r="M439" s="7"/>
      <c r="N439" s="4"/>
    </row>
    <row r="440" spans="1:14" x14ac:dyDescent="0.3">
      <c r="A440" s="10"/>
      <c r="B440" s="4"/>
      <c r="C440" s="11"/>
      <c r="D440" s="12"/>
      <c r="E440" s="12"/>
      <c r="F440" s="4"/>
      <c r="G440" s="13"/>
      <c r="H440" s="14"/>
      <c r="I440" s="11"/>
      <c r="J440" s="4"/>
      <c r="K440" s="4"/>
      <c r="L440" s="7"/>
      <c r="M440" s="7"/>
      <c r="N440" s="4"/>
    </row>
    <row r="441" spans="1:14" x14ac:dyDescent="0.3">
      <c r="A441" s="10"/>
      <c r="B441" s="4"/>
      <c r="C441" s="11"/>
      <c r="D441" s="12"/>
      <c r="E441" s="12"/>
      <c r="F441" s="4"/>
      <c r="G441" s="13"/>
      <c r="H441" s="14"/>
      <c r="I441" s="11"/>
      <c r="J441" s="4"/>
      <c r="K441" s="4"/>
      <c r="L441" s="7"/>
      <c r="M441" s="7"/>
      <c r="N441" s="4"/>
    </row>
    <row r="442" spans="1:14" x14ac:dyDescent="0.3">
      <c r="A442" s="10"/>
      <c r="B442" s="4"/>
      <c r="C442" s="11"/>
      <c r="D442" s="12"/>
      <c r="E442" s="12"/>
      <c r="F442" s="4"/>
      <c r="G442" s="13"/>
      <c r="H442" s="14"/>
      <c r="I442" s="11"/>
      <c r="J442" s="4"/>
      <c r="K442" s="4"/>
      <c r="L442" s="7"/>
      <c r="M442" s="7"/>
      <c r="N442" s="4"/>
    </row>
    <row r="443" spans="1:14" x14ac:dyDescent="0.3">
      <c r="A443" s="10"/>
      <c r="B443" s="4"/>
      <c r="C443" s="11"/>
      <c r="D443" s="12"/>
      <c r="E443" s="12"/>
      <c r="F443" s="4"/>
      <c r="G443" s="13"/>
      <c r="H443" s="14"/>
      <c r="I443" s="11"/>
      <c r="J443" s="4"/>
      <c r="K443" s="4"/>
      <c r="L443" s="7"/>
      <c r="M443" s="7"/>
      <c r="N443" s="4"/>
    </row>
    <row r="444" spans="1:14" x14ac:dyDescent="0.3">
      <c r="A444" s="10"/>
      <c r="B444" s="4"/>
      <c r="C444" s="11"/>
      <c r="D444" s="12"/>
      <c r="E444" s="12"/>
      <c r="F444" s="4"/>
      <c r="G444" s="13"/>
      <c r="H444" s="14"/>
      <c r="I444" s="11"/>
      <c r="J444" s="4"/>
      <c r="K444" s="4"/>
      <c r="L444" s="7"/>
      <c r="M444" s="7"/>
      <c r="N444" s="4"/>
    </row>
    <row r="445" spans="1:14" x14ac:dyDescent="0.3">
      <c r="A445" s="10"/>
      <c r="B445" s="4"/>
      <c r="C445" s="11"/>
      <c r="D445" s="12"/>
      <c r="E445" s="12"/>
      <c r="F445" s="4"/>
      <c r="G445" s="13"/>
      <c r="H445" s="14"/>
      <c r="I445" s="11"/>
      <c r="J445" s="4"/>
      <c r="K445" s="4"/>
      <c r="L445" s="7"/>
      <c r="M445" s="7"/>
      <c r="N445" s="4"/>
    </row>
    <row r="446" spans="1:14" x14ac:dyDescent="0.3">
      <c r="A446" s="10"/>
      <c r="B446" s="4"/>
      <c r="C446" s="11"/>
      <c r="D446" s="12"/>
      <c r="E446" s="12"/>
      <c r="F446" s="4"/>
      <c r="G446" s="13"/>
      <c r="H446" s="14"/>
      <c r="I446" s="11"/>
      <c r="J446" s="4"/>
      <c r="K446" s="4"/>
      <c r="L446" s="7"/>
      <c r="M446" s="7"/>
      <c r="N446" s="4"/>
    </row>
    <row r="447" spans="1:14" x14ac:dyDescent="0.3">
      <c r="A447" s="10"/>
      <c r="B447" s="4"/>
      <c r="C447" s="11"/>
      <c r="D447" s="12"/>
      <c r="E447" s="12"/>
      <c r="F447" s="4"/>
      <c r="G447" s="13"/>
      <c r="H447" s="14"/>
      <c r="I447" s="11"/>
      <c r="J447" s="4"/>
      <c r="K447" s="4"/>
      <c r="L447" s="7"/>
      <c r="M447" s="7"/>
      <c r="N447" s="4"/>
    </row>
    <row r="448" spans="1:14" x14ac:dyDescent="0.3">
      <c r="A448" s="10"/>
      <c r="B448" s="4"/>
      <c r="C448" s="11"/>
      <c r="D448" s="12"/>
      <c r="E448" s="12"/>
      <c r="F448" s="4"/>
      <c r="G448" s="13"/>
      <c r="H448" s="14"/>
      <c r="I448" s="11"/>
      <c r="J448" s="4"/>
      <c r="K448" s="4"/>
      <c r="L448" s="7"/>
      <c r="M448" s="7"/>
      <c r="N448" s="4"/>
    </row>
    <row r="449" spans="1:14" x14ac:dyDescent="0.3">
      <c r="A449" s="10"/>
      <c r="B449" s="4"/>
      <c r="C449" s="11"/>
      <c r="D449" s="12"/>
      <c r="E449" s="12"/>
      <c r="F449" s="4"/>
      <c r="G449" s="13"/>
      <c r="H449" s="14"/>
      <c r="I449" s="11"/>
      <c r="J449" s="4"/>
      <c r="K449" s="4"/>
      <c r="L449" s="7"/>
      <c r="M449" s="7"/>
      <c r="N449" s="4"/>
    </row>
    <row r="451" spans="1:14" ht="43.2" x14ac:dyDescent="0.3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  <c r="G451" s="1" t="s">
        <v>6</v>
      </c>
      <c r="H451" s="1" t="s">
        <v>7</v>
      </c>
      <c r="I451" s="1" t="s">
        <v>8</v>
      </c>
      <c r="J451" s="1" t="s">
        <v>9</v>
      </c>
      <c r="K451" s="1" t="s">
        <v>10</v>
      </c>
      <c r="L451" s="2"/>
      <c r="M451" s="2"/>
      <c r="N451" s="2"/>
    </row>
    <row r="452" spans="1:14" x14ac:dyDescent="0.3">
      <c r="A452" s="4" t="s">
        <v>11</v>
      </c>
      <c r="B452" s="3" t="str">
        <f>_xlfn.XLOOKUP($C452,'[1]Basic EMP Data - 2025'!$D$3:$D$216,'[1]Basic EMP Data - 2025'!$C$3:$C$216)</f>
        <v>VB1645</v>
      </c>
      <c r="C452" s="5" t="s">
        <v>44</v>
      </c>
      <c r="D452" s="4" t="str">
        <f>VLOOKUP($B452,'[1]Basic EMP Data - 2025'!$C$3:$F$216,3,0)</f>
        <v>Shashank Yadav</v>
      </c>
      <c r="E452" s="4">
        <f>VLOOKUP($B452,'[1]Basic EMP Data - 2025'!$C$3:$I$216,5,0)</f>
        <v>7</v>
      </c>
      <c r="F452" s="4">
        <f>VLOOKUP($B452,'[1]Basic EMP Data - 2025'!$C$3:$I$216,6,0)</f>
        <v>3</v>
      </c>
      <c r="G452" s="6">
        <f>F452/E452</f>
        <v>0.42857142857142855</v>
      </c>
      <c r="H452" s="7">
        <f>SUM(L454:L472)</f>
        <v>5981.5505000000148</v>
      </c>
      <c r="I452" s="8" cm="1">
        <f t="array" ref="I452">_xlfn.IFS($G452&lt;=34%,0%,$G452&lt;=75%,3%,$G452&lt;=120%,4%,$G452&gt;120%,5%)</f>
        <v>0.03</v>
      </c>
      <c r="J452" s="7" cm="1">
        <f t="array" ref="J452">SUMPRODUCT((C454:C472=2024)*M454:M472) + SUMPRODUCT((C454:C472=2025)*M454:M472*2)</f>
        <v>9570.480800000023</v>
      </c>
      <c r="K452" s="4">
        <f>SUM(N454:N472)</f>
        <v>0</v>
      </c>
      <c r="M452" s="2"/>
      <c r="N452" s="2"/>
    </row>
    <row r="453" spans="1:14" ht="28.8" x14ac:dyDescent="0.3">
      <c r="A453" s="9" t="s">
        <v>2</v>
      </c>
      <c r="B453" s="9" t="s">
        <v>13</v>
      </c>
      <c r="C453" s="9" t="s">
        <v>14</v>
      </c>
      <c r="D453" s="9" t="s">
        <v>15</v>
      </c>
      <c r="E453" s="9" t="s">
        <v>16</v>
      </c>
      <c r="F453" s="9" t="s">
        <v>17</v>
      </c>
      <c r="G453" s="9" t="s">
        <v>18</v>
      </c>
      <c r="H453" s="9" t="s">
        <v>19</v>
      </c>
      <c r="I453" s="9" t="s">
        <v>20</v>
      </c>
      <c r="J453" s="9" t="s">
        <v>21</v>
      </c>
      <c r="K453" s="9" t="s">
        <v>22</v>
      </c>
      <c r="L453" s="9" t="s">
        <v>23</v>
      </c>
      <c r="M453" s="9" t="s">
        <v>24</v>
      </c>
      <c r="N453" s="9" t="s">
        <v>25</v>
      </c>
    </row>
    <row r="454" spans="1:14" x14ac:dyDescent="0.3">
      <c r="A454" s="10" t="str">
        <f>C452</f>
        <v>Vivek Mani Upadhyay</v>
      </c>
      <c r="B454" s="4" t="str" cm="1">
        <f t="array" ref="B454:M456">_xlfn.LET(
  _xlpm.data, _xlfn._xlws.FILTER('[1]Incentive Data'!A:BV, '[1]Incentive Data'!H:H=$C452),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Kenneth A Balangue</v>
      </c>
      <c r="C454" s="11">
        <v>2024</v>
      </c>
      <c r="D454" s="12">
        <v>45441</v>
      </c>
      <c r="E454" s="12">
        <v>45891</v>
      </c>
      <c r="F454" s="4" t="str">
        <v>HII-NNS</v>
      </c>
      <c r="G454" s="13" t="str">
        <v>PLC-3807</v>
      </c>
      <c r="H454" s="14" t="str">
        <v>W2</v>
      </c>
      <c r="I454" s="11" t="str">
        <v>Done</v>
      </c>
      <c r="J454" s="4" t="str">
        <v>Y</v>
      </c>
      <c r="K454" s="4">
        <v>606</v>
      </c>
      <c r="L454" s="7">
        <v>2256.4410000000053</v>
      </c>
      <c r="M454" s="7">
        <v>3610.3056000000083</v>
      </c>
      <c r="N454" s="4"/>
    </row>
    <row r="455" spans="1:14" x14ac:dyDescent="0.3">
      <c r="A455" s="10"/>
      <c r="B455" s="4" t="str">
        <v>Norissa Toussaint</v>
      </c>
      <c r="C455" s="11">
        <v>2024</v>
      </c>
      <c r="D455" s="12">
        <v>45446</v>
      </c>
      <c r="E455" s="12" t="str">
        <v>-</v>
      </c>
      <c r="F455" s="4" t="str">
        <v>HII-NNS</v>
      </c>
      <c r="G455" s="13" t="str">
        <v>PLC-3810</v>
      </c>
      <c r="H455" s="14" t="str">
        <v>W2</v>
      </c>
      <c r="I455" s="11" t="str">
        <v>Done</v>
      </c>
      <c r="J455" s="4" t="str">
        <v>Y</v>
      </c>
      <c r="K455" s="4">
        <v>601</v>
      </c>
      <c r="L455" s="7">
        <v>2237.823500000005</v>
      </c>
      <c r="M455" s="7">
        <v>3580.5176000000083</v>
      </c>
      <c r="N455" s="4"/>
    </row>
    <row r="456" spans="1:14" x14ac:dyDescent="0.3">
      <c r="A456" s="10"/>
      <c r="B456" s="4" t="str">
        <v>Wanika Blair</v>
      </c>
      <c r="C456" s="11">
        <v>2024</v>
      </c>
      <c r="D456" s="12">
        <v>45502</v>
      </c>
      <c r="E456" s="12" t="str">
        <v>-</v>
      </c>
      <c r="F456" s="4" t="str">
        <v>HII-NNS</v>
      </c>
      <c r="G456" s="13" t="str">
        <v>PLC-3870</v>
      </c>
      <c r="H456" s="14" t="str">
        <v>W2</v>
      </c>
      <c r="I456" s="11" t="str">
        <v>Done</v>
      </c>
      <c r="J456" s="4" t="str">
        <v>Y</v>
      </c>
      <c r="K456" s="4">
        <v>477</v>
      </c>
      <c r="L456" s="7">
        <v>1487.2860000000044</v>
      </c>
      <c r="M456" s="7">
        <v>2379.6576000000068</v>
      </c>
      <c r="N456" s="4"/>
    </row>
    <row r="457" spans="1:14" x14ac:dyDescent="0.3">
      <c r="A457" s="10"/>
      <c r="B457" s="4"/>
      <c r="C457" s="11"/>
      <c r="D457" s="12"/>
      <c r="E457" s="12"/>
      <c r="F457" s="4"/>
      <c r="G457" s="13"/>
      <c r="H457" s="14"/>
      <c r="I457" s="11"/>
      <c r="J457" s="4"/>
      <c r="K457" s="4"/>
      <c r="L457" s="7"/>
      <c r="M457" s="7"/>
      <c r="N457" s="4"/>
    </row>
    <row r="458" spans="1:14" x14ac:dyDescent="0.3">
      <c r="A458" s="10"/>
      <c r="B458" s="4"/>
      <c r="C458" s="11"/>
      <c r="D458" s="12"/>
      <c r="E458" s="12"/>
      <c r="F458" s="4"/>
      <c r="G458" s="13"/>
      <c r="H458" s="14"/>
      <c r="I458" s="11"/>
      <c r="J458" s="4"/>
      <c r="K458" s="4"/>
      <c r="L458" s="7"/>
      <c r="M458" s="7"/>
      <c r="N458" s="4"/>
    </row>
    <row r="459" spans="1:14" x14ac:dyDescent="0.3">
      <c r="A459" s="10"/>
      <c r="B459" s="4"/>
      <c r="C459" s="11"/>
      <c r="D459" s="12"/>
      <c r="E459" s="12"/>
      <c r="F459" s="4"/>
      <c r="G459" s="13"/>
      <c r="H459" s="14"/>
      <c r="I459" s="11"/>
      <c r="J459" s="4"/>
      <c r="K459" s="4"/>
      <c r="L459" s="7"/>
      <c r="M459" s="7"/>
      <c r="N459" s="4"/>
    </row>
    <row r="460" spans="1:14" x14ac:dyDescent="0.3">
      <c r="A460" s="10"/>
      <c r="B460" s="4"/>
      <c r="C460" s="11"/>
      <c r="D460" s="12"/>
      <c r="E460" s="12"/>
      <c r="F460" s="4"/>
      <c r="G460" s="13"/>
      <c r="H460" s="14"/>
      <c r="I460" s="11"/>
      <c r="J460" s="4"/>
      <c r="K460" s="4"/>
      <c r="L460" s="7"/>
      <c r="M460" s="7"/>
      <c r="N460" s="4"/>
    </row>
    <row r="461" spans="1:14" x14ac:dyDescent="0.3">
      <c r="A461" s="10"/>
      <c r="B461" s="4"/>
      <c r="C461" s="11"/>
      <c r="D461" s="12"/>
      <c r="E461" s="12"/>
      <c r="F461" s="4"/>
      <c r="G461" s="13"/>
      <c r="H461" s="14"/>
      <c r="I461" s="11"/>
      <c r="J461" s="4"/>
      <c r="K461" s="4"/>
      <c r="L461" s="7"/>
      <c r="M461" s="7"/>
      <c r="N461" s="4"/>
    </row>
    <row r="462" spans="1:14" x14ac:dyDescent="0.3">
      <c r="A462" s="10"/>
      <c r="B462" s="4"/>
      <c r="C462" s="11"/>
      <c r="D462" s="12"/>
      <c r="E462" s="12"/>
      <c r="F462" s="4"/>
      <c r="G462" s="13"/>
      <c r="H462" s="14"/>
      <c r="I462" s="11"/>
      <c r="J462" s="4"/>
      <c r="K462" s="4"/>
      <c r="L462" s="7"/>
      <c r="M462" s="7"/>
      <c r="N462" s="4"/>
    </row>
    <row r="463" spans="1:14" x14ac:dyDescent="0.3">
      <c r="A463" s="10"/>
      <c r="B463" s="4"/>
      <c r="C463" s="11"/>
      <c r="D463" s="12"/>
      <c r="E463" s="12"/>
      <c r="F463" s="4"/>
      <c r="G463" s="13"/>
      <c r="H463" s="14"/>
      <c r="I463" s="11"/>
      <c r="J463" s="4"/>
      <c r="K463" s="4"/>
      <c r="L463" s="7"/>
      <c r="M463" s="7"/>
      <c r="N463" s="4"/>
    </row>
    <row r="464" spans="1:14" x14ac:dyDescent="0.3">
      <c r="A464" s="10"/>
      <c r="B464" s="4"/>
      <c r="C464" s="11"/>
      <c r="D464" s="12"/>
      <c r="E464" s="12"/>
      <c r="F464" s="4"/>
      <c r="G464" s="13"/>
      <c r="H464" s="14"/>
      <c r="I464" s="11"/>
      <c r="J464" s="4"/>
      <c r="K464" s="4"/>
      <c r="L464" s="7"/>
      <c r="M464" s="7"/>
      <c r="N464" s="4"/>
    </row>
    <row r="465" spans="1:14" x14ac:dyDescent="0.3">
      <c r="A465" s="10"/>
      <c r="B465" s="4"/>
      <c r="C465" s="11"/>
      <c r="D465" s="12"/>
      <c r="E465" s="12"/>
      <c r="F465" s="4"/>
      <c r="G465" s="13"/>
      <c r="H465" s="14"/>
      <c r="I465" s="11"/>
      <c r="J465" s="4"/>
      <c r="K465" s="4"/>
      <c r="L465" s="7"/>
      <c r="M465" s="7"/>
      <c r="N465" s="4"/>
    </row>
    <row r="466" spans="1:14" x14ac:dyDescent="0.3">
      <c r="A466" s="10"/>
      <c r="B466" s="4"/>
      <c r="C466" s="11"/>
      <c r="D466" s="12"/>
      <c r="E466" s="12"/>
      <c r="F466" s="4"/>
      <c r="G466" s="13"/>
      <c r="H466" s="14"/>
      <c r="I466" s="11"/>
      <c r="J466" s="4"/>
      <c r="K466" s="4"/>
      <c r="L466" s="7"/>
      <c r="M466" s="7"/>
      <c r="N466" s="4"/>
    </row>
    <row r="467" spans="1:14" x14ac:dyDescent="0.3">
      <c r="A467" s="10"/>
      <c r="B467" s="4"/>
      <c r="C467" s="11"/>
      <c r="D467" s="12"/>
      <c r="E467" s="12"/>
      <c r="F467" s="4"/>
      <c r="G467" s="13"/>
      <c r="H467" s="14"/>
      <c r="I467" s="11"/>
      <c r="J467" s="4"/>
      <c r="K467" s="4"/>
      <c r="L467" s="7"/>
      <c r="M467" s="7"/>
      <c r="N467" s="4"/>
    </row>
    <row r="468" spans="1:14" x14ac:dyDescent="0.3">
      <c r="A468" s="10"/>
      <c r="B468" s="4"/>
      <c r="C468" s="11"/>
      <c r="D468" s="12"/>
      <c r="E468" s="12"/>
      <c r="F468" s="4"/>
      <c r="G468" s="13"/>
      <c r="H468" s="14"/>
      <c r="I468" s="11"/>
      <c r="J468" s="4"/>
      <c r="K468" s="4"/>
      <c r="L468" s="7"/>
      <c r="M468" s="7"/>
      <c r="N468" s="4"/>
    </row>
    <row r="469" spans="1:14" x14ac:dyDescent="0.3">
      <c r="A469" s="10"/>
      <c r="B469" s="4"/>
      <c r="C469" s="11"/>
      <c r="D469" s="12"/>
      <c r="E469" s="12"/>
      <c r="F469" s="4"/>
      <c r="G469" s="13"/>
      <c r="H469" s="14"/>
      <c r="I469" s="11"/>
      <c r="J469" s="4"/>
      <c r="K469" s="4"/>
      <c r="L469" s="7"/>
      <c r="M469" s="7"/>
      <c r="N469" s="4"/>
    </row>
    <row r="470" spans="1:14" x14ac:dyDescent="0.3">
      <c r="A470" s="10"/>
      <c r="B470" s="4"/>
      <c r="C470" s="11"/>
      <c r="D470" s="12"/>
      <c r="E470" s="12"/>
      <c r="F470" s="4"/>
      <c r="G470" s="13"/>
      <c r="H470" s="14"/>
      <c r="I470" s="11"/>
      <c r="J470" s="4"/>
      <c r="K470" s="4"/>
      <c r="L470" s="7"/>
      <c r="M470" s="7"/>
      <c r="N470" s="4"/>
    </row>
    <row r="471" spans="1:14" x14ac:dyDescent="0.3">
      <c r="A471" s="10"/>
      <c r="B471" s="4"/>
      <c r="C471" s="11"/>
      <c r="D471" s="12"/>
      <c r="E471" s="12"/>
      <c r="F471" s="4"/>
      <c r="G471" s="13"/>
      <c r="H471" s="14"/>
      <c r="I471" s="11"/>
      <c r="J471" s="4"/>
      <c r="K471" s="4"/>
      <c r="L471" s="7"/>
      <c r="M471" s="7"/>
      <c r="N471" s="4"/>
    </row>
    <row r="472" spans="1:14" x14ac:dyDescent="0.3">
      <c r="A472" s="10"/>
      <c r="B472" s="4"/>
      <c r="C472" s="11"/>
      <c r="D472" s="12"/>
      <c r="E472" s="12"/>
      <c r="F472" s="4"/>
      <c r="G472" s="13"/>
      <c r="H472" s="14"/>
      <c r="I472" s="11"/>
      <c r="J472" s="4"/>
      <c r="K472" s="4"/>
      <c r="L472" s="7"/>
      <c r="M472" s="7"/>
      <c r="N472" s="4"/>
    </row>
    <row r="474" spans="1:14" ht="43.2" x14ac:dyDescent="0.3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5</v>
      </c>
      <c r="G474" s="1" t="s">
        <v>6</v>
      </c>
      <c r="H474" s="1" t="s">
        <v>7</v>
      </c>
      <c r="I474" s="1" t="s">
        <v>8</v>
      </c>
      <c r="J474" s="1" t="s">
        <v>9</v>
      </c>
      <c r="K474" s="1" t="s">
        <v>10</v>
      </c>
      <c r="L474" s="2"/>
      <c r="M474" s="2"/>
      <c r="N474" s="2"/>
    </row>
    <row r="475" spans="1:14" x14ac:dyDescent="0.3">
      <c r="A475" s="4" t="s">
        <v>11</v>
      </c>
      <c r="B475" s="3" t="str">
        <f>_xlfn.XLOOKUP($C475,'[1]Basic EMP Data - 2025'!$D$3:$D$216,'[1]Basic EMP Data - 2025'!$C$3:$C$216)</f>
        <v>VB2123</v>
      </c>
      <c r="C475" s="5" t="s">
        <v>45</v>
      </c>
      <c r="D475" s="4" t="str">
        <f>VLOOKUP($B475,'[1]Basic EMP Data - 2025'!$C$3:$F$216,3,0)</f>
        <v>Shashank Yadav</v>
      </c>
      <c r="E475" s="4">
        <f>VLOOKUP($B475,'[1]Basic EMP Data - 2025'!$C$3:$I$216,5,0)</f>
        <v>4</v>
      </c>
      <c r="F475" s="4">
        <f>VLOOKUP($B475,'[1]Basic EMP Data - 2025'!$C$3:$I$216,6,0)</f>
        <v>2</v>
      </c>
      <c r="G475" s="6">
        <f>F475/E475</f>
        <v>0.5</v>
      </c>
      <c r="H475" s="7">
        <f>SUM(L477:L495)</f>
        <v>0</v>
      </c>
      <c r="I475" s="8" cm="1">
        <f t="array" ref="I475">_xlfn.IFS($G475&lt;=34%,0%,$G475&lt;=75%,3%,$G475&lt;=120%,4%,$G475&gt;120%,5%)</f>
        <v>0.03</v>
      </c>
      <c r="J475" s="7" cm="1">
        <f t="array" ref="J475">SUMPRODUCT((C477:C495=2024)*M477:M495) + SUMPRODUCT((C477:C495=2025)*M477:M495*2)</f>
        <v>0</v>
      </c>
      <c r="K475" s="4">
        <f>SUM(N477:N495)</f>
        <v>0</v>
      </c>
      <c r="M475" s="2"/>
      <c r="N475" s="2"/>
    </row>
    <row r="476" spans="1:14" ht="28.8" x14ac:dyDescent="0.3">
      <c r="A476" s="9" t="s">
        <v>2</v>
      </c>
      <c r="B476" s="9" t="s">
        <v>13</v>
      </c>
      <c r="C476" s="9" t="s">
        <v>14</v>
      </c>
      <c r="D476" s="9" t="s">
        <v>15</v>
      </c>
      <c r="E476" s="9" t="s">
        <v>16</v>
      </c>
      <c r="F476" s="9" t="s">
        <v>17</v>
      </c>
      <c r="G476" s="9" t="s">
        <v>18</v>
      </c>
      <c r="H476" s="9" t="s">
        <v>19</v>
      </c>
      <c r="I476" s="9" t="s">
        <v>20</v>
      </c>
      <c r="J476" s="9" t="s">
        <v>21</v>
      </c>
      <c r="K476" s="9" t="s">
        <v>22</v>
      </c>
      <c r="L476" s="9" t="s">
        <v>23</v>
      </c>
      <c r="M476" s="9" t="s">
        <v>24</v>
      </c>
      <c r="N476" s="9" t="s">
        <v>25</v>
      </c>
    </row>
    <row r="477" spans="1:14" x14ac:dyDescent="0.3">
      <c r="A477" s="10" t="str">
        <f>C475</f>
        <v>Shubham Patel</v>
      </c>
      <c r="B477" s="4" t="e" cm="1" vm="1">
        <f t="array" ref="B477">_xlfn.LET(
  _xlpm.data, _xlfn._xlws.FILTER('[1]Incentive Data'!A:BV, '[1]Incentive Data'!H:H=$C475),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77" s="11"/>
      <c r="D477" s="12"/>
      <c r="E477" s="12"/>
      <c r="F477" s="4"/>
      <c r="G477" s="13"/>
      <c r="H477" s="14"/>
      <c r="I477" s="11"/>
      <c r="J477" s="4"/>
      <c r="K477" s="4"/>
      <c r="L477" s="7"/>
      <c r="M477" s="7"/>
      <c r="N477" s="4"/>
    </row>
    <row r="478" spans="1:14" x14ac:dyDescent="0.3">
      <c r="A478" s="10"/>
      <c r="B478" s="4"/>
      <c r="C478" s="11"/>
      <c r="D478" s="12"/>
      <c r="E478" s="12"/>
      <c r="F478" s="4"/>
      <c r="G478" s="13"/>
      <c r="H478" s="14"/>
      <c r="I478" s="11"/>
      <c r="J478" s="4"/>
      <c r="K478" s="4"/>
      <c r="L478" s="7"/>
      <c r="M478" s="7"/>
      <c r="N478" s="4"/>
    </row>
    <row r="479" spans="1:14" x14ac:dyDescent="0.3">
      <c r="A479" s="10"/>
      <c r="B479" s="4"/>
      <c r="C479" s="11"/>
      <c r="D479" s="12"/>
      <c r="E479" s="12"/>
      <c r="F479" s="4"/>
      <c r="G479" s="13"/>
      <c r="H479" s="14"/>
      <c r="I479" s="11"/>
      <c r="J479" s="4"/>
      <c r="K479" s="4"/>
      <c r="L479" s="7"/>
      <c r="M479" s="7"/>
      <c r="N479" s="4"/>
    </row>
    <row r="480" spans="1:14" x14ac:dyDescent="0.3">
      <c r="A480" s="10"/>
      <c r="B480" s="4"/>
      <c r="C480" s="11"/>
      <c r="D480" s="12"/>
      <c r="E480" s="12"/>
      <c r="F480" s="4"/>
      <c r="G480" s="13"/>
      <c r="H480" s="14"/>
      <c r="I480" s="11"/>
      <c r="J480" s="4"/>
      <c r="K480" s="4"/>
      <c r="L480" s="7"/>
      <c r="M480" s="7"/>
      <c r="N480" s="4"/>
    </row>
    <row r="481" spans="1:14" x14ac:dyDescent="0.3">
      <c r="A481" s="10"/>
      <c r="B481" s="4"/>
      <c r="C481" s="11"/>
      <c r="D481" s="12"/>
      <c r="E481" s="12"/>
      <c r="F481" s="4"/>
      <c r="G481" s="13"/>
      <c r="H481" s="14"/>
      <c r="I481" s="11"/>
      <c r="J481" s="4"/>
      <c r="K481" s="4"/>
      <c r="L481" s="7"/>
      <c r="M481" s="7"/>
      <c r="N481" s="4"/>
    </row>
    <row r="482" spans="1:14" x14ac:dyDescent="0.3">
      <c r="A482" s="10"/>
      <c r="B482" s="4"/>
      <c r="C482" s="11"/>
      <c r="D482" s="12"/>
      <c r="E482" s="12"/>
      <c r="F482" s="4"/>
      <c r="G482" s="13"/>
      <c r="H482" s="14"/>
      <c r="I482" s="11"/>
      <c r="J482" s="4"/>
      <c r="K482" s="4"/>
      <c r="L482" s="7"/>
      <c r="M482" s="7"/>
      <c r="N482" s="4"/>
    </row>
    <row r="483" spans="1:14" x14ac:dyDescent="0.3">
      <c r="A483" s="10"/>
      <c r="B483" s="4"/>
      <c r="C483" s="11"/>
      <c r="D483" s="12"/>
      <c r="E483" s="12"/>
      <c r="F483" s="4"/>
      <c r="G483" s="13"/>
      <c r="H483" s="14"/>
      <c r="I483" s="11"/>
      <c r="J483" s="4"/>
      <c r="K483" s="4"/>
      <c r="L483" s="7"/>
      <c r="M483" s="7"/>
      <c r="N483" s="4"/>
    </row>
    <row r="484" spans="1:14" x14ac:dyDescent="0.3">
      <c r="A484" s="10"/>
      <c r="B484" s="4"/>
      <c r="C484" s="11"/>
      <c r="D484" s="12"/>
      <c r="E484" s="12"/>
      <c r="F484" s="4"/>
      <c r="G484" s="13"/>
      <c r="H484" s="14"/>
      <c r="I484" s="11"/>
      <c r="J484" s="4"/>
      <c r="K484" s="4"/>
      <c r="L484" s="7"/>
      <c r="M484" s="7"/>
      <c r="N484" s="4"/>
    </row>
    <row r="485" spans="1:14" x14ac:dyDescent="0.3">
      <c r="A485" s="10"/>
      <c r="B485" s="4"/>
      <c r="C485" s="11"/>
      <c r="D485" s="12"/>
      <c r="E485" s="12"/>
      <c r="F485" s="4"/>
      <c r="G485" s="13"/>
      <c r="H485" s="14"/>
      <c r="I485" s="11"/>
      <c r="J485" s="4"/>
      <c r="K485" s="4"/>
      <c r="L485" s="7"/>
      <c r="M485" s="7"/>
      <c r="N485" s="4"/>
    </row>
    <row r="486" spans="1:14" x14ac:dyDescent="0.3">
      <c r="A486" s="10"/>
      <c r="B486" s="4"/>
      <c r="C486" s="11"/>
      <c r="D486" s="12"/>
      <c r="E486" s="12"/>
      <c r="F486" s="4"/>
      <c r="G486" s="13"/>
      <c r="H486" s="14"/>
      <c r="I486" s="11"/>
      <c r="J486" s="4"/>
      <c r="K486" s="4"/>
      <c r="L486" s="7"/>
      <c r="M486" s="7"/>
      <c r="N486" s="4"/>
    </row>
    <row r="487" spans="1:14" x14ac:dyDescent="0.3">
      <c r="A487" s="10"/>
      <c r="B487" s="4"/>
      <c r="C487" s="11"/>
      <c r="D487" s="12"/>
      <c r="E487" s="12"/>
      <c r="F487" s="4"/>
      <c r="G487" s="13"/>
      <c r="H487" s="14"/>
      <c r="I487" s="11"/>
      <c r="J487" s="4"/>
      <c r="K487" s="4"/>
      <c r="L487" s="7"/>
      <c r="M487" s="7"/>
      <c r="N487" s="4"/>
    </row>
    <row r="488" spans="1:14" x14ac:dyDescent="0.3">
      <c r="A488" s="10"/>
      <c r="B488" s="4"/>
      <c r="C488" s="11"/>
      <c r="D488" s="12"/>
      <c r="E488" s="12"/>
      <c r="F488" s="4"/>
      <c r="G488" s="13"/>
      <c r="H488" s="14"/>
      <c r="I488" s="11"/>
      <c r="J488" s="4"/>
      <c r="K488" s="4"/>
      <c r="L488" s="7"/>
      <c r="M488" s="7"/>
      <c r="N488" s="4"/>
    </row>
    <row r="489" spans="1:14" x14ac:dyDescent="0.3">
      <c r="A489" s="10"/>
      <c r="B489" s="4"/>
      <c r="C489" s="11"/>
      <c r="D489" s="12"/>
      <c r="E489" s="12"/>
      <c r="F489" s="4"/>
      <c r="G489" s="13"/>
      <c r="H489" s="14"/>
      <c r="I489" s="11"/>
      <c r="J489" s="4"/>
      <c r="K489" s="4"/>
      <c r="L489" s="7"/>
      <c r="M489" s="7"/>
      <c r="N489" s="4"/>
    </row>
    <row r="490" spans="1:14" x14ac:dyDescent="0.3">
      <c r="A490" s="10"/>
      <c r="B490" s="4"/>
      <c r="C490" s="11"/>
      <c r="D490" s="12"/>
      <c r="E490" s="12"/>
      <c r="F490" s="4"/>
      <c r="G490" s="13"/>
      <c r="H490" s="14"/>
      <c r="I490" s="11"/>
      <c r="J490" s="4"/>
      <c r="K490" s="4"/>
      <c r="L490" s="7"/>
      <c r="M490" s="7"/>
      <c r="N490" s="4"/>
    </row>
    <row r="491" spans="1:14" x14ac:dyDescent="0.3">
      <c r="A491" s="10"/>
      <c r="B491" s="4"/>
      <c r="C491" s="11"/>
      <c r="D491" s="12"/>
      <c r="E491" s="12"/>
      <c r="F491" s="4"/>
      <c r="G491" s="13"/>
      <c r="H491" s="14"/>
      <c r="I491" s="11"/>
      <c r="J491" s="4"/>
      <c r="K491" s="4"/>
      <c r="L491" s="7"/>
      <c r="M491" s="7"/>
      <c r="N491" s="4"/>
    </row>
    <row r="492" spans="1:14" x14ac:dyDescent="0.3">
      <c r="A492" s="10"/>
      <c r="B492" s="4"/>
      <c r="C492" s="11"/>
      <c r="D492" s="12"/>
      <c r="E492" s="12"/>
      <c r="F492" s="4"/>
      <c r="G492" s="13"/>
      <c r="H492" s="14"/>
      <c r="I492" s="11"/>
      <c r="J492" s="4"/>
      <c r="K492" s="4"/>
      <c r="L492" s="7"/>
      <c r="M492" s="7"/>
      <c r="N492" s="4"/>
    </row>
    <row r="493" spans="1:14" x14ac:dyDescent="0.3">
      <c r="A493" s="10"/>
      <c r="B493" s="4"/>
      <c r="C493" s="11"/>
      <c r="D493" s="12"/>
      <c r="E493" s="12"/>
      <c r="F493" s="4"/>
      <c r="G493" s="13"/>
      <c r="H493" s="14"/>
      <c r="I493" s="11"/>
      <c r="J493" s="4"/>
      <c r="K493" s="4"/>
      <c r="L493" s="7"/>
      <c r="M493" s="7"/>
      <c r="N493" s="4"/>
    </row>
    <row r="494" spans="1:14" x14ac:dyDescent="0.3">
      <c r="A494" s="10"/>
      <c r="B494" s="4"/>
      <c r="C494" s="11"/>
      <c r="D494" s="12"/>
      <c r="E494" s="12"/>
      <c r="F494" s="4"/>
      <c r="G494" s="13"/>
      <c r="H494" s="14"/>
      <c r="I494" s="11"/>
      <c r="J494" s="4"/>
      <c r="K494" s="4"/>
      <c r="L494" s="7"/>
      <c r="M494" s="7"/>
      <c r="N494" s="4"/>
    </row>
    <row r="495" spans="1:14" x14ac:dyDescent="0.3">
      <c r="A495" s="10"/>
      <c r="B495" s="4"/>
      <c r="C495" s="11"/>
      <c r="D495" s="12"/>
      <c r="E495" s="12"/>
      <c r="F495" s="4"/>
      <c r="G495" s="13"/>
      <c r="H495" s="14"/>
      <c r="I495" s="11"/>
      <c r="J495" s="4"/>
      <c r="K495" s="4"/>
      <c r="L495" s="7"/>
      <c r="M495" s="7"/>
      <c r="N495" s="4"/>
    </row>
    <row r="497" spans="1:14" ht="43.2" x14ac:dyDescent="0.3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4</v>
      </c>
      <c r="F497" s="1" t="s">
        <v>5</v>
      </c>
      <c r="G497" s="1" t="s">
        <v>6</v>
      </c>
      <c r="H497" s="1" t="s">
        <v>7</v>
      </c>
      <c r="I497" s="1" t="s">
        <v>8</v>
      </c>
      <c r="J497" s="1" t="s">
        <v>9</v>
      </c>
      <c r="K497" s="1" t="s">
        <v>10</v>
      </c>
      <c r="L497" s="2"/>
      <c r="M497" s="2"/>
      <c r="N497" s="2"/>
    </row>
    <row r="498" spans="1:14" x14ac:dyDescent="0.3">
      <c r="A498" s="4" t="s">
        <v>11</v>
      </c>
      <c r="B498" s="3" t="str">
        <f>_xlfn.XLOOKUP($C498,'[1]Basic EMP Data - 2025'!$D$3:$D$216,'[1]Basic EMP Data - 2025'!$C$3:$C$216)</f>
        <v>VB2173</v>
      </c>
      <c r="C498" s="5" t="s">
        <v>46</v>
      </c>
      <c r="D498" s="4" t="str">
        <f>VLOOKUP($B498,'[1]Basic EMP Data - 2025'!$C$3:$F$216,3,0)</f>
        <v>Shashank Yadav</v>
      </c>
      <c r="E498" s="4">
        <f>VLOOKUP($B498,'[1]Basic EMP Data - 2025'!$C$3:$I$216,5,0)</f>
        <v>4</v>
      </c>
      <c r="F498" s="4">
        <f>VLOOKUP($B498,'[1]Basic EMP Data - 2025'!$C$3:$I$216,6,0)</f>
        <v>2</v>
      </c>
      <c r="G498" s="6">
        <f>F498/E498</f>
        <v>0.5</v>
      </c>
      <c r="H498" s="7">
        <f>SUM(L500:L518)</f>
        <v>0</v>
      </c>
      <c r="I498" s="8" cm="1">
        <f t="array" ref="I498">_xlfn.IFS($G498&lt;=34%,0%,$G498&lt;=75%,3%,$G498&lt;=120%,4%,$G498&gt;120%,5%)</f>
        <v>0.03</v>
      </c>
      <c r="J498" s="7" cm="1">
        <f t="array" ref="J498">SUMPRODUCT((C500:C518=2024)*M500:M518) + SUMPRODUCT((C500:C518=2025)*M500:M518*2)</f>
        <v>0</v>
      </c>
      <c r="K498" s="4">
        <f>SUM(N500:N518)</f>
        <v>0</v>
      </c>
      <c r="M498" s="2"/>
      <c r="N498" s="2"/>
    </row>
    <row r="499" spans="1:14" ht="28.8" x14ac:dyDescent="0.3">
      <c r="A499" s="9" t="s">
        <v>2</v>
      </c>
      <c r="B499" s="9" t="s">
        <v>13</v>
      </c>
      <c r="C499" s="9" t="s">
        <v>14</v>
      </c>
      <c r="D499" s="9" t="s">
        <v>15</v>
      </c>
      <c r="E499" s="9" t="s">
        <v>16</v>
      </c>
      <c r="F499" s="9" t="s">
        <v>17</v>
      </c>
      <c r="G499" s="9" t="s">
        <v>18</v>
      </c>
      <c r="H499" s="9" t="s">
        <v>19</v>
      </c>
      <c r="I499" s="9" t="s">
        <v>20</v>
      </c>
      <c r="J499" s="9" t="s">
        <v>21</v>
      </c>
      <c r="K499" s="9" t="s">
        <v>22</v>
      </c>
      <c r="L499" s="9" t="s">
        <v>23</v>
      </c>
      <c r="M499" s="9" t="s">
        <v>24</v>
      </c>
      <c r="N499" s="9" t="s">
        <v>25</v>
      </c>
    </row>
    <row r="500" spans="1:14" x14ac:dyDescent="0.3">
      <c r="A500" s="10" t="str">
        <f>C498</f>
        <v>Sachendra Singh Pal</v>
      </c>
      <c r="B500" s="4" t="e" cm="1" vm="1">
        <f t="array" ref="B500">_xlfn.LET(
  _xlpm.data, _xlfn._xlws.FILTER('[1]Incentive Data'!A:BV, '[1]Incentive Data'!H:H=$C498),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00" s="11"/>
      <c r="D500" s="12"/>
      <c r="E500" s="12"/>
      <c r="F500" s="4"/>
      <c r="G500" s="13"/>
      <c r="H500" s="14"/>
      <c r="I500" s="11"/>
      <c r="J500" s="4"/>
      <c r="K500" s="4"/>
      <c r="L500" s="7"/>
      <c r="M500" s="7"/>
      <c r="N500" s="4"/>
    </row>
    <row r="501" spans="1:14" x14ac:dyDescent="0.3">
      <c r="A501" s="10"/>
      <c r="B501" s="4"/>
      <c r="C501" s="11"/>
      <c r="D501" s="12"/>
      <c r="E501" s="12"/>
      <c r="F501" s="4"/>
      <c r="G501" s="13"/>
      <c r="H501" s="14"/>
      <c r="I501" s="11"/>
      <c r="J501" s="4"/>
      <c r="K501" s="4"/>
      <c r="L501" s="7"/>
      <c r="M501" s="7"/>
      <c r="N501" s="4"/>
    </row>
    <row r="502" spans="1:14" x14ac:dyDescent="0.3">
      <c r="A502" s="10"/>
      <c r="B502" s="4"/>
      <c r="C502" s="11"/>
      <c r="D502" s="12"/>
      <c r="E502" s="12"/>
      <c r="F502" s="4"/>
      <c r="G502" s="13"/>
      <c r="H502" s="14"/>
      <c r="I502" s="11"/>
      <c r="J502" s="4"/>
      <c r="K502" s="4"/>
      <c r="L502" s="7"/>
      <c r="M502" s="7"/>
      <c r="N502" s="4"/>
    </row>
    <row r="503" spans="1:14" x14ac:dyDescent="0.3">
      <c r="A503" s="10"/>
      <c r="B503" s="4"/>
      <c r="C503" s="11"/>
      <c r="D503" s="12"/>
      <c r="E503" s="12"/>
      <c r="F503" s="4"/>
      <c r="G503" s="13"/>
      <c r="H503" s="14"/>
      <c r="I503" s="11"/>
      <c r="J503" s="4"/>
      <c r="K503" s="4"/>
      <c r="L503" s="7"/>
      <c r="M503" s="7"/>
      <c r="N503" s="4"/>
    </row>
    <row r="504" spans="1:14" x14ac:dyDescent="0.3">
      <c r="A504" s="10"/>
      <c r="B504" s="4"/>
      <c r="C504" s="11"/>
      <c r="D504" s="12"/>
      <c r="E504" s="12"/>
      <c r="F504" s="4"/>
      <c r="G504" s="13"/>
      <c r="H504" s="14"/>
      <c r="I504" s="11"/>
      <c r="J504" s="4"/>
      <c r="K504" s="4"/>
      <c r="L504" s="7"/>
      <c r="M504" s="7"/>
      <c r="N504" s="4"/>
    </row>
    <row r="505" spans="1:14" x14ac:dyDescent="0.3">
      <c r="A505" s="10"/>
      <c r="B505" s="4"/>
      <c r="C505" s="11"/>
      <c r="D505" s="12"/>
      <c r="E505" s="12"/>
      <c r="F505" s="4"/>
      <c r="G505" s="13"/>
      <c r="H505" s="14"/>
      <c r="I505" s="11"/>
      <c r="J505" s="4"/>
      <c r="K505" s="4"/>
      <c r="L505" s="7"/>
      <c r="M505" s="7"/>
      <c r="N505" s="4"/>
    </row>
    <row r="506" spans="1:14" x14ac:dyDescent="0.3">
      <c r="A506" s="10"/>
      <c r="B506" s="4"/>
      <c r="C506" s="11"/>
      <c r="D506" s="12"/>
      <c r="E506" s="12"/>
      <c r="F506" s="4"/>
      <c r="G506" s="13"/>
      <c r="H506" s="14"/>
      <c r="I506" s="11"/>
      <c r="J506" s="4"/>
      <c r="K506" s="4"/>
      <c r="L506" s="7"/>
      <c r="M506" s="7"/>
      <c r="N506" s="4"/>
    </row>
    <row r="507" spans="1:14" x14ac:dyDescent="0.3">
      <c r="A507" s="10"/>
      <c r="B507" s="4"/>
      <c r="C507" s="11"/>
      <c r="D507" s="12"/>
      <c r="E507" s="12"/>
      <c r="F507" s="4"/>
      <c r="G507" s="13"/>
      <c r="H507" s="14"/>
      <c r="I507" s="11"/>
      <c r="J507" s="4"/>
      <c r="K507" s="4"/>
      <c r="L507" s="7"/>
      <c r="M507" s="7"/>
      <c r="N507" s="4"/>
    </row>
    <row r="508" spans="1:14" x14ac:dyDescent="0.3">
      <c r="A508" s="10"/>
      <c r="B508" s="4"/>
      <c r="C508" s="11"/>
      <c r="D508" s="12"/>
      <c r="E508" s="12"/>
      <c r="F508" s="4"/>
      <c r="G508" s="13"/>
      <c r="H508" s="14"/>
      <c r="I508" s="11"/>
      <c r="J508" s="4"/>
      <c r="K508" s="4"/>
      <c r="L508" s="7"/>
      <c r="M508" s="7"/>
      <c r="N508" s="4"/>
    </row>
    <row r="509" spans="1:14" x14ac:dyDescent="0.3">
      <c r="A509" s="10"/>
      <c r="B509" s="4"/>
      <c r="C509" s="11"/>
      <c r="D509" s="12"/>
      <c r="E509" s="12"/>
      <c r="F509" s="4"/>
      <c r="G509" s="13"/>
      <c r="H509" s="14"/>
      <c r="I509" s="11"/>
      <c r="J509" s="4"/>
      <c r="K509" s="4"/>
      <c r="L509" s="7"/>
      <c r="M509" s="7"/>
      <c r="N509" s="4"/>
    </row>
    <row r="510" spans="1:14" x14ac:dyDescent="0.3">
      <c r="A510" s="10"/>
      <c r="B510" s="4"/>
      <c r="C510" s="11"/>
      <c r="D510" s="12"/>
      <c r="E510" s="12"/>
      <c r="F510" s="4"/>
      <c r="G510" s="13"/>
      <c r="H510" s="14"/>
      <c r="I510" s="11"/>
      <c r="J510" s="4"/>
      <c r="K510" s="4"/>
      <c r="L510" s="7"/>
      <c r="M510" s="7"/>
      <c r="N510" s="4"/>
    </row>
    <row r="511" spans="1:14" x14ac:dyDescent="0.3">
      <c r="A511" s="10"/>
      <c r="B511" s="4"/>
      <c r="C511" s="11"/>
      <c r="D511" s="12"/>
      <c r="E511" s="12"/>
      <c r="F511" s="4"/>
      <c r="G511" s="13"/>
      <c r="H511" s="14"/>
      <c r="I511" s="11"/>
      <c r="J511" s="4"/>
      <c r="K511" s="4"/>
      <c r="L511" s="7"/>
      <c r="M511" s="7"/>
      <c r="N511" s="4"/>
    </row>
    <row r="512" spans="1:14" x14ac:dyDescent="0.3">
      <c r="A512" s="10"/>
      <c r="B512" s="4"/>
      <c r="C512" s="11"/>
      <c r="D512" s="12"/>
      <c r="E512" s="12"/>
      <c r="F512" s="4"/>
      <c r="G512" s="13"/>
      <c r="H512" s="14"/>
      <c r="I512" s="11"/>
      <c r="J512" s="4"/>
      <c r="K512" s="4"/>
      <c r="L512" s="7"/>
      <c r="M512" s="7"/>
      <c r="N512" s="4"/>
    </row>
    <row r="513" spans="1:14" x14ac:dyDescent="0.3">
      <c r="A513" s="10"/>
      <c r="B513" s="4"/>
      <c r="C513" s="11"/>
      <c r="D513" s="12"/>
      <c r="E513" s="12"/>
      <c r="F513" s="4"/>
      <c r="G513" s="13"/>
      <c r="H513" s="14"/>
      <c r="I513" s="11"/>
      <c r="J513" s="4"/>
      <c r="K513" s="4"/>
      <c r="L513" s="7"/>
      <c r="M513" s="7"/>
      <c r="N513" s="4"/>
    </row>
    <row r="514" spans="1:14" x14ac:dyDescent="0.3">
      <c r="A514" s="10"/>
      <c r="B514" s="4"/>
      <c r="C514" s="11"/>
      <c r="D514" s="12"/>
      <c r="E514" s="12"/>
      <c r="F514" s="4"/>
      <c r="G514" s="13"/>
      <c r="H514" s="14"/>
      <c r="I514" s="11"/>
      <c r="J514" s="4"/>
      <c r="K514" s="4"/>
      <c r="L514" s="7"/>
      <c r="M514" s="7"/>
      <c r="N514" s="4"/>
    </row>
    <row r="515" spans="1:14" x14ac:dyDescent="0.3">
      <c r="A515" s="10"/>
      <c r="B515" s="4"/>
      <c r="C515" s="11"/>
      <c r="D515" s="12"/>
      <c r="E515" s="12"/>
      <c r="F515" s="4"/>
      <c r="G515" s="13"/>
      <c r="H515" s="14"/>
      <c r="I515" s="11"/>
      <c r="J515" s="4"/>
      <c r="K515" s="4"/>
      <c r="L515" s="7"/>
      <c r="M515" s="7"/>
      <c r="N515" s="4"/>
    </row>
    <row r="516" spans="1:14" x14ac:dyDescent="0.3">
      <c r="A516" s="10"/>
      <c r="B516" s="4"/>
      <c r="C516" s="11"/>
      <c r="D516" s="12"/>
      <c r="E516" s="12"/>
      <c r="F516" s="4"/>
      <c r="G516" s="13"/>
      <c r="H516" s="14"/>
      <c r="I516" s="11"/>
      <c r="J516" s="4"/>
      <c r="K516" s="4"/>
      <c r="L516" s="7"/>
      <c r="M516" s="7"/>
      <c r="N516" s="4"/>
    </row>
    <row r="517" spans="1:14" x14ac:dyDescent="0.3">
      <c r="A517" s="10"/>
      <c r="B517" s="4"/>
      <c r="C517" s="11"/>
      <c r="D517" s="12"/>
      <c r="E517" s="12"/>
      <c r="F517" s="4"/>
      <c r="G517" s="13"/>
      <c r="H517" s="14"/>
      <c r="I517" s="11"/>
      <c r="J517" s="4"/>
      <c r="K517" s="4"/>
      <c r="L517" s="7"/>
      <c r="M517" s="7"/>
      <c r="N517" s="4"/>
    </row>
    <row r="518" spans="1:14" x14ac:dyDescent="0.3">
      <c r="A518" s="10"/>
      <c r="B518" s="4"/>
      <c r="C518" s="11"/>
      <c r="D518" s="12"/>
      <c r="E518" s="12"/>
      <c r="F518" s="4"/>
      <c r="G518" s="13"/>
      <c r="H518" s="14"/>
      <c r="I518" s="11"/>
      <c r="J518" s="4"/>
      <c r="K518" s="4"/>
      <c r="L518" s="7"/>
      <c r="M518" s="7"/>
      <c r="N518" s="4"/>
    </row>
    <row r="521" spans="1:14" ht="43.2" x14ac:dyDescent="0.3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  <c r="J521" s="1" t="s">
        <v>9</v>
      </c>
      <c r="K521" s="1" t="s">
        <v>10</v>
      </c>
      <c r="L521" s="2"/>
      <c r="M521" s="2"/>
      <c r="N521" s="2"/>
    </row>
    <row r="522" spans="1:14" x14ac:dyDescent="0.3">
      <c r="A522" s="4" t="s">
        <v>11</v>
      </c>
      <c r="B522" s="3" t="e">
        <f>_xlfn.XLOOKUP($C522,'[1]Basic EMP Data - 2025'!$D$3:$D$216,'[1]Basic EMP Data - 2025'!$C$3:$C$216)</f>
        <v>#N/A</v>
      </c>
      <c r="C522" s="5" t="s">
        <v>47</v>
      </c>
      <c r="D522" s="4" t="e">
        <f>VLOOKUP($B522,'[1]Basic EMP Data - 2025'!$C$3:$F$216,3,0)</f>
        <v>#N/A</v>
      </c>
      <c r="E522" s="4" t="e">
        <f>VLOOKUP($B522,'[1]Basic EMP Data - 2025'!$C$3:$I$216,5,0)</f>
        <v>#N/A</v>
      </c>
      <c r="F522" s="4" t="e">
        <f>VLOOKUP($B522,'[1]Basic EMP Data - 2025'!$C$3:$I$216,6,0)</f>
        <v>#N/A</v>
      </c>
      <c r="G522" s="6" t="e">
        <f>F522/E522</f>
        <v>#N/A</v>
      </c>
      <c r="H522" s="7">
        <f>SUM(L524:L542)</f>
        <v>0</v>
      </c>
      <c r="I522" s="8" t="e" cm="1">
        <f t="array" ref="I522">_xlfn.IFS($G522&lt;=34%,0%,$G522&lt;=75%,3%,$G522&lt;=120%,4%,$G522&gt;120%,5%)</f>
        <v>#N/A</v>
      </c>
      <c r="J522" s="7" cm="1">
        <f t="array" ref="J522">SUMPRODUCT((C524:C542=2024)*M524:M542) + SUMPRODUCT((C524:C542=2025)*M524:M542*2)</f>
        <v>0</v>
      </c>
      <c r="K522" s="4">
        <f>SUM(N524:N542)</f>
        <v>0</v>
      </c>
      <c r="M522" s="2"/>
      <c r="N522" s="2"/>
    </row>
    <row r="523" spans="1:14" ht="28.8" x14ac:dyDescent="0.3">
      <c r="A523" s="9" t="s">
        <v>2</v>
      </c>
      <c r="B523" s="9" t="s">
        <v>13</v>
      </c>
      <c r="C523" s="9" t="s">
        <v>14</v>
      </c>
      <c r="D523" s="9" t="s">
        <v>15</v>
      </c>
      <c r="E523" s="9" t="s">
        <v>16</v>
      </c>
      <c r="F523" s="9" t="s">
        <v>17</v>
      </c>
      <c r="G523" s="9" t="s">
        <v>18</v>
      </c>
      <c r="H523" s="9" t="s">
        <v>19</v>
      </c>
      <c r="I523" s="9" t="s">
        <v>20</v>
      </c>
      <c r="J523" s="9" t="s">
        <v>21</v>
      </c>
      <c r="K523" s="9" t="s">
        <v>22</v>
      </c>
      <c r="L523" s="9" t="s">
        <v>23</v>
      </c>
      <c r="M523" s="9" t="s">
        <v>24</v>
      </c>
      <c r="N523" s="9" t="s">
        <v>25</v>
      </c>
    </row>
    <row r="524" spans="1:14" x14ac:dyDescent="0.3">
      <c r="A524" s="10" t="str">
        <f>C522</f>
        <v>Mohd. Akbar</v>
      </c>
      <c r="B524" s="4" t="e" cm="1" vm="1">
        <f t="array" ref="B524">_xlfn.LET(
  _xlpm.data, _xlfn._xlws.FILTER('[1]Incentive Data'!A:BV, '[1]Incentive Data'!H:H=$C522),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24" s="11"/>
      <c r="D524" s="12"/>
      <c r="E524" s="12"/>
      <c r="F524" s="4"/>
      <c r="G524" s="13"/>
      <c r="H524" s="14"/>
      <c r="I524" s="11"/>
      <c r="J524" s="4"/>
      <c r="K524" s="4"/>
      <c r="L524" s="7"/>
      <c r="M524" s="7"/>
      <c r="N524" s="4"/>
    </row>
    <row r="525" spans="1:14" x14ac:dyDescent="0.3">
      <c r="A525" s="10"/>
      <c r="B525" s="4"/>
      <c r="C525" s="11"/>
      <c r="D525" s="12"/>
      <c r="E525" s="12"/>
      <c r="F525" s="4"/>
      <c r="G525" s="13"/>
      <c r="H525" s="14"/>
      <c r="I525" s="11"/>
      <c r="J525" s="4"/>
      <c r="K525" s="4"/>
      <c r="L525" s="7"/>
      <c r="M525" s="7"/>
      <c r="N525" s="4"/>
    </row>
    <row r="526" spans="1:14" x14ac:dyDescent="0.3">
      <c r="A526" s="10"/>
      <c r="B526" s="4"/>
      <c r="C526" s="11"/>
      <c r="D526" s="12"/>
      <c r="E526" s="12"/>
      <c r="F526" s="4"/>
      <c r="G526" s="13"/>
      <c r="H526" s="14"/>
      <c r="I526" s="11"/>
      <c r="J526" s="4"/>
      <c r="K526" s="4"/>
      <c r="L526" s="7"/>
      <c r="M526" s="7"/>
      <c r="N526" s="4"/>
    </row>
    <row r="527" spans="1:14" x14ac:dyDescent="0.3">
      <c r="A527" s="10"/>
      <c r="B527" s="4"/>
      <c r="C527" s="11"/>
      <c r="D527" s="12"/>
      <c r="E527" s="12"/>
      <c r="F527" s="4"/>
      <c r="G527" s="13"/>
      <c r="H527" s="14"/>
      <c r="I527" s="11"/>
      <c r="J527" s="4"/>
      <c r="K527" s="4"/>
      <c r="L527" s="7"/>
      <c r="M527" s="7"/>
      <c r="N527" s="4"/>
    </row>
    <row r="528" spans="1:14" x14ac:dyDescent="0.3">
      <c r="A528" s="10"/>
      <c r="B528" s="4"/>
      <c r="C528" s="11"/>
      <c r="D528" s="12"/>
      <c r="E528" s="12"/>
      <c r="F528" s="4"/>
      <c r="G528" s="13"/>
      <c r="H528" s="14"/>
      <c r="I528" s="11"/>
      <c r="J528" s="4"/>
      <c r="K528" s="4"/>
      <c r="L528" s="7"/>
      <c r="M528" s="7"/>
      <c r="N528" s="4"/>
    </row>
    <row r="529" spans="1:14" x14ac:dyDescent="0.3">
      <c r="A529" s="10"/>
      <c r="B529" s="4"/>
      <c r="C529" s="11"/>
      <c r="D529" s="12"/>
      <c r="E529" s="12"/>
      <c r="F529" s="4"/>
      <c r="G529" s="13"/>
      <c r="H529" s="14"/>
      <c r="I529" s="11"/>
      <c r="J529" s="4"/>
      <c r="K529" s="4"/>
      <c r="L529" s="7"/>
      <c r="M529" s="7"/>
      <c r="N529" s="4"/>
    </row>
    <row r="530" spans="1:14" x14ac:dyDescent="0.3">
      <c r="A530" s="10"/>
      <c r="B530" s="4"/>
      <c r="C530" s="11"/>
      <c r="D530" s="12"/>
      <c r="E530" s="12"/>
      <c r="F530" s="4"/>
      <c r="G530" s="13"/>
      <c r="H530" s="14"/>
      <c r="I530" s="11"/>
      <c r="J530" s="4"/>
      <c r="K530" s="4"/>
      <c r="L530" s="7"/>
      <c r="M530" s="7"/>
      <c r="N530" s="4"/>
    </row>
    <row r="531" spans="1:14" x14ac:dyDescent="0.3">
      <c r="A531" s="10"/>
      <c r="B531" s="4"/>
      <c r="C531" s="11"/>
      <c r="D531" s="12"/>
      <c r="E531" s="12"/>
      <c r="F531" s="4"/>
      <c r="G531" s="13"/>
      <c r="H531" s="14"/>
      <c r="I531" s="11"/>
      <c r="J531" s="4"/>
      <c r="K531" s="4"/>
      <c r="L531" s="7"/>
      <c r="M531" s="7"/>
      <c r="N531" s="4"/>
    </row>
    <row r="532" spans="1:14" x14ac:dyDescent="0.3">
      <c r="A532" s="10"/>
      <c r="B532" s="4"/>
      <c r="C532" s="11"/>
      <c r="D532" s="12"/>
      <c r="E532" s="12"/>
      <c r="F532" s="4"/>
      <c r="G532" s="13"/>
      <c r="H532" s="14"/>
      <c r="I532" s="11"/>
      <c r="J532" s="4"/>
      <c r="K532" s="4"/>
      <c r="L532" s="7"/>
      <c r="M532" s="7"/>
      <c r="N532" s="4"/>
    </row>
    <row r="533" spans="1:14" x14ac:dyDescent="0.3">
      <c r="A533" s="10"/>
      <c r="B533" s="4"/>
      <c r="C533" s="11"/>
      <c r="D533" s="12"/>
      <c r="E533" s="12"/>
      <c r="F533" s="4"/>
      <c r="G533" s="13"/>
      <c r="H533" s="14"/>
      <c r="I533" s="11"/>
      <c r="J533" s="4"/>
      <c r="K533" s="4"/>
      <c r="L533" s="7"/>
      <c r="M533" s="7"/>
      <c r="N533" s="4"/>
    </row>
    <row r="534" spans="1:14" x14ac:dyDescent="0.3">
      <c r="A534" s="10"/>
      <c r="B534" s="4"/>
      <c r="C534" s="11"/>
      <c r="D534" s="12"/>
      <c r="E534" s="12"/>
      <c r="F534" s="4"/>
      <c r="G534" s="13"/>
      <c r="H534" s="14"/>
      <c r="I534" s="11"/>
      <c r="J534" s="4"/>
      <c r="K534" s="4"/>
      <c r="L534" s="7"/>
      <c r="M534" s="7"/>
      <c r="N534" s="4"/>
    </row>
    <row r="535" spans="1:14" x14ac:dyDescent="0.3">
      <c r="A535" s="10"/>
      <c r="B535" s="4"/>
      <c r="C535" s="11"/>
      <c r="D535" s="12"/>
      <c r="E535" s="12"/>
      <c r="F535" s="4"/>
      <c r="G535" s="13"/>
      <c r="H535" s="14"/>
      <c r="I535" s="11"/>
      <c r="J535" s="4"/>
      <c r="K535" s="4"/>
      <c r="L535" s="7"/>
      <c r="M535" s="7"/>
      <c r="N535" s="4"/>
    </row>
    <row r="536" spans="1:14" x14ac:dyDescent="0.3">
      <c r="A536" s="10"/>
      <c r="B536" s="4"/>
      <c r="C536" s="11"/>
      <c r="D536" s="12"/>
      <c r="E536" s="12"/>
      <c r="F536" s="4"/>
      <c r="G536" s="13"/>
      <c r="H536" s="14"/>
      <c r="I536" s="11"/>
      <c r="J536" s="4"/>
      <c r="K536" s="4"/>
      <c r="L536" s="7"/>
      <c r="M536" s="7"/>
      <c r="N536" s="4"/>
    </row>
    <row r="537" spans="1:14" x14ac:dyDescent="0.3">
      <c r="A537" s="10"/>
      <c r="B537" s="4"/>
      <c r="C537" s="11"/>
      <c r="D537" s="12"/>
      <c r="E537" s="12"/>
      <c r="F537" s="4"/>
      <c r="G537" s="13"/>
      <c r="H537" s="14"/>
      <c r="I537" s="11"/>
      <c r="J537" s="4"/>
      <c r="K537" s="4"/>
      <c r="L537" s="7"/>
      <c r="M537" s="7"/>
      <c r="N537" s="4"/>
    </row>
    <row r="538" spans="1:14" x14ac:dyDescent="0.3">
      <c r="A538" s="10"/>
      <c r="B538" s="4"/>
      <c r="C538" s="11"/>
      <c r="D538" s="12"/>
      <c r="E538" s="12"/>
      <c r="F538" s="4"/>
      <c r="G538" s="13"/>
      <c r="H538" s="14"/>
      <c r="I538" s="11"/>
      <c r="J538" s="4"/>
      <c r="K538" s="4"/>
      <c r="L538" s="7"/>
      <c r="M538" s="7"/>
      <c r="N538" s="4"/>
    </row>
    <row r="539" spans="1:14" x14ac:dyDescent="0.3">
      <c r="A539" s="10"/>
      <c r="B539" s="4"/>
      <c r="C539" s="11"/>
      <c r="D539" s="12"/>
      <c r="E539" s="12"/>
      <c r="F539" s="4"/>
      <c r="G539" s="13"/>
      <c r="H539" s="14"/>
      <c r="I539" s="11"/>
      <c r="J539" s="4"/>
      <c r="K539" s="4"/>
      <c r="L539" s="7"/>
      <c r="M539" s="7"/>
      <c r="N539" s="4"/>
    </row>
    <row r="540" spans="1:14" x14ac:dyDescent="0.3">
      <c r="A540" s="10"/>
      <c r="B540" s="4"/>
      <c r="C540" s="11"/>
      <c r="D540" s="12"/>
      <c r="E540" s="12"/>
      <c r="F540" s="4"/>
      <c r="G540" s="13"/>
      <c r="H540" s="14"/>
      <c r="I540" s="11"/>
      <c r="J540" s="4"/>
      <c r="K540" s="4"/>
      <c r="L540" s="7"/>
      <c r="M540" s="7"/>
      <c r="N540" s="4"/>
    </row>
    <row r="541" spans="1:14" x14ac:dyDescent="0.3">
      <c r="A541" s="10"/>
      <c r="B541" s="4"/>
      <c r="C541" s="11"/>
      <c r="D541" s="12"/>
      <c r="E541" s="12"/>
      <c r="F541" s="4"/>
      <c r="G541" s="13"/>
      <c r="H541" s="14"/>
      <c r="I541" s="11"/>
      <c r="J541" s="4"/>
      <c r="K541" s="4"/>
      <c r="L541" s="7"/>
      <c r="M541" s="7"/>
      <c r="N541" s="4"/>
    </row>
    <row r="542" spans="1:14" x14ac:dyDescent="0.3">
      <c r="A542" s="10"/>
      <c r="B542" s="4"/>
      <c r="C542" s="11"/>
      <c r="D542" s="12"/>
      <c r="E542" s="12"/>
      <c r="F542" s="4"/>
      <c r="G542" s="13"/>
      <c r="H542" s="14"/>
      <c r="I542" s="11"/>
      <c r="J542" s="4"/>
      <c r="K542" s="4"/>
      <c r="L542" s="7"/>
      <c r="M542" s="7"/>
      <c r="N542" s="4"/>
    </row>
    <row r="544" spans="1:14" ht="43.2" x14ac:dyDescent="0.3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1" t="s">
        <v>5</v>
      </c>
      <c r="G544" s="1" t="s">
        <v>6</v>
      </c>
      <c r="H544" s="1" t="s">
        <v>7</v>
      </c>
      <c r="I544" s="1" t="s">
        <v>8</v>
      </c>
      <c r="J544" s="1" t="s">
        <v>9</v>
      </c>
      <c r="K544" s="1" t="s">
        <v>10</v>
      </c>
      <c r="L544" s="2"/>
      <c r="M544" s="2"/>
      <c r="N544" s="2"/>
    </row>
    <row r="545" spans="1:14" x14ac:dyDescent="0.3">
      <c r="A545" s="4" t="s">
        <v>11</v>
      </c>
      <c r="B545" s="3" t="str">
        <f>_xlfn.XLOOKUP($C545,'[1]Basic EMP Data - 2025'!$D$3:$D$216,'[1]Basic EMP Data - 2025'!$C$3:$C$216)</f>
        <v>VB2199</v>
      </c>
      <c r="C545" s="5" t="s">
        <v>48</v>
      </c>
      <c r="D545" s="4" t="str">
        <f>VLOOKUP($B545,'[1]Basic EMP Data - 2025'!$C$3:$F$216,3,0)</f>
        <v>Shashank Yadav</v>
      </c>
      <c r="E545" s="4">
        <f>VLOOKUP($B545,'[1]Basic EMP Data - 2025'!$C$3:$I$216,5,0)</f>
        <v>2</v>
      </c>
      <c r="F545" s="4">
        <f>VLOOKUP($B545,'[1]Basic EMP Data - 2025'!$C$3:$I$216,6,0)</f>
        <v>2</v>
      </c>
      <c r="G545" s="6">
        <f>F545/E545</f>
        <v>1</v>
      </c>
      <c r="H545" s="7">
        <f>SUM(L547:L565)</f>
        <v>0</v>
      </c>
      <c r="I545" s="8" cm="1">
        <f t="array" ref="I545">_xlfn.IFS($G545&lt;=34%,0%,$G545&lt;=75%,3%,$G545&lt;=120%,4%,$G545&gt;120%,5%)</f>
        <v>0.04</v>
      </c>
      <c r="J545" s="7" cm="1">
        <f t="array" ref="J545">SUMPRODUCT((C547:C565=2024)*M547:M565) + SUMPRODUCT((C547:C565=2025)*M547:M565*2)</f>
        <v>0</v>
      </c>
      <c r="K545" s="4">
        <f>SUM(N547:N565)</f>
        <v>0</v>
      </c>
      <c r="M545" s="2"/>
      <c r="N545" s="2"/>
    </row>
    <row r="546" spans="1:14" ht="28.8" x14ac:dyDescent="0.3">
      <c r="A546" s="9" t="s">
        <v>2</v>
      </c>
      <c r="B546" s="9" t="s">
        <v>13</v>
      </c>
      <c r="C546" s="9" t="s">
        <v>14</v>
      </c>
      <c r="D546" s="9" t="s">
        <v>15</v>
      </c>
      <c r="E546" s="9" t="s">
        <v>16</v>
      </c>
      <c r="F546" s="9" t="s">
        <v>17</v>
      </c>
      <c r="G546" s="9" t="s">
        <v>18</v>
      </c>
      <c r="H546" s="9" t="s">
        <v>19</v>
      </c>
      <c r="I546" s="9" t="s">
        <v>20</v>
      </c>
      <c r="J546" s="9" t="s">
        <v>21</v>
      </c>
      <c r="K546" s="9" t="s">
        <v>22</v>
      </c>
      <c r="L546" s="9" t="s">
        <v>23</v>
      </c>
      <c r="M546" s="9" t="s">
        <v>24</v>
      </c>
      <c r="N546" s="9" t="s">
        <v>25</v>
      </c>
    </row>
    <row r="547" spans="1:14" x14ac:dyDescent="0.3">
      <c r="A547" s="10" t="str">
        <f>C545</f>
        <v>Aditi Singh</v>
      </c>
      <c r="B547" s="4" t="e" cm="1" vm="1">
        <f t="array" ref="B547">_xlfn.LET(
  _xlpm.data, _xlfn._xlws.FILTER('[1]Incentive Data'!A:BV, '[1]Incentive Data'!H:H=$C545),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47" s="11"/>
      <c r="D547" s="12"/>
      <c r="E547" s="12"/>
      <c r="F547" s="4"/>
      <c r="G547" s="13"/>
      <c r="H547" s="14"/>
      <c r="I547" s="11"/>
      <c r="J547" s="4"/>
      <c r="K547" s="4"/>
      <c r="L547" s="7"/>
      <c r="M547" s="7"/>
      <c r="N547" s="4"/>
    </row>
    <row r="548" spans="1:14" x14ac:dyDescent="0.3">
      <c r="A548" s="10"/>
      <c r="B548" s="4"/>
      <c r="C548" s="11"/>
      <c r="D548" s="12"/>
      <c r="E548" s="12"/>
      <c r="F548" s="4"/>
      <c r="G548" s="13"/>
      <c r="H548" s="14"/>
      <c r="I548" s="11"/>
      <c r="J548" s="4"/>
      <c r="K548" s="4"/>
      <c r="L548" s="7"/>
      <c r="M548" s="7"/>
      <c r="N548" s="4"/>
    </row>
    <row r="549" spans="1:14" x14ac:dyDescent="0.3">
      <c r="A549" s="10"/>
      <c r="B549" s="4"/>
      <c r="C549" s="11"/>
      <c r="D549" s="12"/>
      <c r="E549" s="12"/>
      <c r="F549" s="4"/>
      <c r="G549" s="13"/>
      <c r="H549" s="14"/>
      <c r="I549" s="11"/>
      <c r="J549" s="4"/>
      <c r="K549" s="4"/>
      <c r="L549" s="7"/>
      <c r="M549" s="7"/>
      <c r="N549" s="4"/>
    </row>
    <row r="550" spans="1:14" x14ac:dyDescent="0.3">
      <c r="A550" s="10"/>
      <c r="B550" s="4"/>
      <c r="C550" s="11"/>
      <c r="D550" s="12"/>
      <c r="E550" s="12"/>
      <c r="F550" s="4"/>
      <c r="G550" s="13"/>
      <c r="H550" s="14"/>
      <c r="I550" s="11"/>
      <c r="J550" s="4"/>
      <c r="K550" s="4"/>
      <c r="L550" s="7"/>
      <c r="M550" s="7"/>
      <c r="N550" s="4"/>
    </row>
    <row r="551" spans="1:14" x14ac:dyDescent="0.3">
      <c r="A551" s="10"/>
      <c r="B551" s="4"/>
      <c r="C551" s="11"/>
      <c r="D551" s="12"/>
      <c r="E551" s="12"/>
      <c r="F551" s="4"/>
      <c r="G551" s="13"/>
      <c r="H551" s="14"/>
      <c r="I551" s="11"/>
      <c r="J551" s="4"/>
      <c r="K551" s="4"/>
      <c r="L551" s="7"/>
      <c r="M551" s="7"/>
      <c r="N551" s="4"/>
    </row>
    <row r="552" spans="1:14" x14ac:dyDescent="0.3">
      <c r="A552" s="10"/>
      <c r="B552" s="4"/>
      <c r="C552" s="11"/>
      <c r="D552" s="12"/>
      <c r="E552" s="12"/>
      <c r="F552" s="4"/>
      <c r="G552" s="13"/>
      <c r="H552" s="14"/>
      <c r="I552" s="11"/>
      <c r="J552" s="4"/>
      <c r="K552" s="4"/>
      <c r="L552" s="7"/>
      <c r="M552" s="7"/>
      <c r="N552" s="4"/>
    </row>
    <row r="553" spans="1:14" x14ac:dyDescent="0.3">
      <c r="A553" s="10"/>
      <c r="B553" s="4"/>
      <c r="C553" s="11"/>
      <c r="D553" s="12"/>
      <c r="E553" s="12"/>
      <c r="F553" s="4"/>
      <c r="G553" s="13"/>
      <c r="H553" s="14"/>
      <c r="I553" s="11"/>
      <c r="J553" s="4"/>
      <c r="K553" s="4"/>
      <c r="L553" s="7"/>
      <c r="M553" s="7"/>
      <c r="N553" s="4"/>
    </row>
    <row r="554" spans="1:14" x14ac:dyDescent="0.3">
      <c r="A554" s="10"/>
      <c r="B554" s="4"/>
      <c r="C554" s="11"/>
      <c r="D554" s="12"/>
      <c r="E554" s="12"/>
      <c r="F554" s="4"/>
      <c r="G554" s="13"/>
      <c r="H554" s="14"/>
      <c r="I554" s="11"/>
      <c r="J554" s="4"/>
      <c r="K554" s="4"/>
      <c r="L554" s="7"/>
      <c r="M554" s="7"/>
      <c r="N554" s="4"/>
    </row>
    <row r="555" spans="1:14" x14ac:dyDescent="0.3">
      <c r="A555" s="10"/>
      <c r="B555" s="4"/>
      <c r="C555" s="11"/>
      <c r="D555" s="12"/>
      <c r="E555" s="12"/>
      <c r="F555" s="4"/>
      <c r="G555" s="13"/>
      <c r="H555" s="14"/>
      <c r="I555" s="11"/>
      <c r="J555" s="4"/>
      <c r="K555" s="4"/>
      <c r="L555" s="7"/>
      <c r="M555" s="7"/>
      <c r="N555" s="4"/>
    </row>
    <row r="556" spans="1:14" x14ac:dyDescent="0.3">
      <c r="A556" s="10"/>
      <c r="B556" s="4"/>
      <c r="C556" s="11"/>
      <c r="D556" s="12"/>
      <c r="E556" s="12"/>
      <c r="F556" s="4"/>
      <c r="G556" s="13"/>
      <c r="H556" s="14"/>
      <c r="I556" s="11"/>
      <c r="J556" s="4"/>
      <c r="K556" s="4"/>
      <c r="L556" s="7"/>
      <c r="M556" s="7"/>
      <c r="N556" s="4"/>
    </row>
    <row r="557" spans="1:14" x14ac:dyDescent="0.3">
      <c r="A557" s="10"/>
      <c r="B557" s="4"/>
      <c r="C557" s="11"/>
      <c r="D557" s="12"/>
      <c r="E557" s="12"/>
      <c r="F557" s="4"/>
      <c r="G557" s="13"/>
      <c r="H557" s="14"/>
      <c r="I557" s="11"/>
      <c r="J557" s="4"/>
      <c r="K557" s="4"/>
      <c r="L557" s="7"/>
      <c r="M557" s="7"/>
      <c r="N557" s="4"/>
    </row>
    <row r="558" spans="1:14" x14ac:dyDescent="0.3">
      <c r="A558" s="10"/>
      <c r="B558" s="4"/>
      <c r="C558" s="11"/>
      <c r="D558" s="12"/>
      <c r="E558" s="12"/>
      <c r="F558" s="4"/>
      <c r="G558" s="13"/>
      <c r="H558" s="14"/>
      <c r="I558" s="11"/>
      <c r="J558" s="4"/>
      <c r="K558" s="4"/>
      <c r="L558" s="7"/>
      <c r="M558" s="7"/>
      <c r="N558" s="4"/>
    </row>
    <row r="559" spans="1:14" x14ac:dyDescent="0.3">
      <c r="A559" s="10"/>
      <c r="B559" s="4"/>
      <c r="C559" s="11"/>
      <c r="D559" s="12"/>
      <c r="E559" s="12"/>
      <c r="F559" s="4"/>
      <c r="G559" s="13"/>
      <c r="H559" s="14"/>
      <c r="I559" s="11"/>
      <c r="J559" s="4"/>
      <c r="K559" s="4"/>
      <c r="L559" s="7"/>
      <c r="M559" s="7"/>
      <c r="N559" s="4"/>
    </row>
    <row r="560" spans="1:14" x14ac:dyDescent="0.3">
      <c r="A560" s="10"/>
      <c r="B560" s="4"/>
      <c r="C560" s="11"/>
      <c r="D560" s="12"/>
      <c r="E560" s="12"/>
      <c r="F560" s="4"/>
      <c r="G560" s="13"/>
      <c r="H560" s="14"/>
      <c r="I560" s="11"/>
      <c r="J560" s="4"/>
      <c r="K560" s="4"/>
      <c r="L560" s="7"/>
      <c r="M560" s="7"/>
      <c r="N560" s="4"/>
    </row>
    <row r="561" spans="1:14" x14ac:dyDescent="0.3">
      <c r="A561" s="10"/>
      <c r="B561" s="4"/>
      <c r="C561" s="11"/>
      <c r="D561" s="12"/>
      <c r="E561" s="12"/>
      <c r="F561" s="4"/>
      <c r="G561" s="13"/>
      <c r="H561" s="14"/>
      <c r="I561" s="11"/>
      <c r="J561" s="4"/>
      <c r="K561" s="4"/>
      <c r="L561" s="7"/>
      <c r="M561" s="7"/>
      <c r="N561" s="4"/>
    </row>
    <row r="562" spans="1:14" x14ac:dyDescent="0.3">
      <c r="A562" s="10"/>
      <c r="B562" s="4"/>
      <c r="C562" s="11"/>
      <c r="D562" s="12"/>
      <c r="E562" s="12"/>
      <c r="F562" s="4"/>
      <c r="G562" s="13"/>
      <c r="H562" s="14"/>
      <c r="I562" s="11"/>
      <c r="J562" s="4"/>
      <c r="K562" s="4"/>
      <c r="L562" s="7"/>
      <c r="M562" s="7"/>
      <c r="N562" s="4"/>
    </row>
    <row r="563" spans="1:14" x14ac:dyDescent="0.3">
      <c r="A563" s="10"/>
      <c r="B563" s="4"/>
      <c r="C563" s="11"/>
      <c r="D563" s="12"/>
      <c r="E563" s="12"/>
      <c r="F563" s="4"/>
      <c r="G563" s="13"/>
      <c r="H563" s="14"/>
      <c r="I563" s="11"/>
      <c r="J563" s="4"/>
      <c r="K563" s="4"/>
      <c r="L563" s="7"/>
      <c r="M563" s="7"/>
      <c r="N563" s="4"/>
    </row>
    <row r="564" spans="1:14" x14ac:dyDescent="0.3">
      <c r="A564" s="10"/>
      <c r="B564" s="4"/>
      <c r="C564" s="11"/>
      <c r="D564" s="12"/>
      <c r="E564" s="12"/>
      <c r="F564" s="4"/>
      <c r="G564" s="13"/>
      <c r="H564" s="14"/>
      <c r="I564" s="11"/>
      <c r="J564" s="4"/>
      <c r="K564" s="4"/>
      <c r="L564" s="7"/>
      <c r="M564" s="7"/>
      <c r="N564" s="4"/>
    </row>
    <row r="565" spans="1:14" x14ac:dyDescent="0.3">
      <c r="A565" s="10"/>
      <c r="B565" s="4"/>
      <c r="C565" s="11"/>
      <c r="D565" s="12"/>
      <c r="E565" s="12"/>
      <c r="F565" s="4"/>
      <c r="G565" s="13"/>
      <c r="H565" s="14"/>
      <c r="I565" s="11"/>
      <c r="J565" s="4"/>
      <c r="K565" s="4"/>
      <c r="L565" s="7"/>
      <c r="M565" s="7"/>
      <c r="N565" s="4"/>
    </row>
    <row r="568" spans="1:14" ht="43.2" x14ac:dyDescent="0.3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1" t="s">
        <v>5</v>
      </c>
      <c r="G568" s="1" t="s">
        <v>6</v>
      </c>
      <c r="H568" s="1" t="s">
        <v>7</v>
      </c>
      <c r="I568" s="1" t="s">
        <v>8</v>
      </c>
      <c r="J568" s="1" t="s">
        <v>9</v>
      </c>
      <c r="K568" s="1" t="s">
        <v>10</v>
      </c>
      <c r="L568" s="2"/>
      <c r="M568" s="2"/>
      <c r="N568" s="2"/>
    </row>
    <row r="569" spans="1:14" x14ac:dyDescent="0.3">
      <c r="A569" s="4" t="s">
        <v>11</v>
      </c>
      <c r="B569" s="3" t="str">
        <f>_xlfn.XLOOKUP($C569,'[1]Basic EMP Data - 2025'!$D$3:$D$216,'[1]Basic EMP Data - 2025'!$C$3:$C$216)</f>
        <v>VB2279</v>
      </c>
      <c r="C569" s="5" t="s">
        <v>49</v>
      </c>
      <c r="D569" s="4" t="str">
        <f>VLOOKUP($B569,'[1]Basic EMP Data - 2025'!$C$3:$F$216,3,0)</f>
        <v>Shashank Yadav</v>
      </c>
      <c r="E569" s="4">
        <f>VLOOKUP($B569,'[1]Basic EMP Data - 2025'!$C$3:$I$216,5,0)</f>
        <v>0</v>
      </c>
      <c r="F569" s="4">
        <f>VLOOKUP($B569,'[1]Basic EMP Data - 2025'!$C$3:$I$216,6,0)</f>
        <v>0</v>
      </c>
      <c r="G569" s="6" t="e">
        <f>F569/E569</f>
        <v>#DIV/0!</v>
      </c>
      <c r="H569" s="7">
        <f>SUM(L571:L589)</f>
        <v>0</v>
      </c>
      <c r="I569" s="8" t="e" cm="1">
        <f t="array" ref="I569">_xlfn.IFS($G569&lt;=34%,0%,$G569&lt;=75%,3%,$G569&lt;=120%,4%,$G569&gt;120%,5%)</f>
        <v>#DIV/0!</v>
      </c>
      <c r="J569" s="7" cm="1">
        <f t="array" ref="J569">SUMPRODUCT((C571:C589=2024)*M571:M589) + SUMPRODUCT((C571:C589=2025)*M571:M589*2)</f>
        <v>0</v>
      </c>
      <c r="K569" s="4">
        <f>SUM(N571:N589)</f>
        <v>0</v>
      </c>
      <c r="M569" s="2"/>
      <c r="N569" s="2"/>
    </row>
    <row r="570" spans="1:14" ht="28.8" x14ac:dyDescent="0.3">
      <c r="A570" s="9" t="s">
        <v>2</v>
      </c>
      <c r="B570" s="9" t="s">
        <v>13</v>
      </c>
      <c r="C570" s="9" t="s">
        <v>14</v>
      </c>
      <c r="D570" s="9" t="s">
        <v>15</v>
      </c>
      <c r="E570" s="9" t="s">
        <v>16</v>
      </c>
      <c r="F570" s="9" t="s">
        <v>17</v>
      </c>
      <c r="G570" s="9" t="s">
        <v>18</v>
      </c>
      <c r="H570" s="9" t="s">
        <v>19</v>
      </c>
      <c r="I570" s="9" t="s">
        <v>20</v>
      </c>
      <c r="J570" s="9" t="s">
        <v>21</v>
      </c>
      <c r="K570" s="9" t="s">
        <v>22</v>
      </c>
      <c r="L570" s="9" t="s">
        <v>23</v>
      </c>
      <c r="M570" s="9" t="s">
        <v>24</v>
      </c>
      <c r="N570" s="9" t="s">
        <v>25</v>
      </c>
    </row>
    <row r="571" spans="1:14" x14ac:dyDescent="0.3">
      <c r="A571" s="10" t="str">
        <f>C569</f>
        <v>Ritika Mishra</v>
      </c>
      <c r="B571" s="4" t="e" cm="1" vm="1">
        <f t="array" ref="B571">_xlfn.LET(
  _xlpm.data, _xlfn._xlws.FILTER('[1]Incentive Data'!A:BV, '[1]Incentive Data'!H:H=$C569),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71" s="11"/>
      <c r="D571" s="12"/>
      <c r="E571" s="12"/>
      <c r="F571" s="4"/>
      <c r="G571" s="13"/>
      <c r="H571" s="14"/>
      <c r="I571" s="11"/>
      <c r="J571" s="4"/>
      <c r="K571" s="4"/>
      <c r="L571" s="7"/>
      <c r="M571" s="7"/>
      <c r="N571" s="4"/>
    </row>
    <row r="572" spans="1:14" x14ac:dyDescent="0.3">
      <c r="A572" s="10"/>
      <c r="B572" s="4"/>
      <c r="C572" s="11"/>
      <c r="D572" s="12"/>
      <c r="E572" s="12"/>
      <c r="F572" s="4"/>
      <c r="G572" s="13"/>
      <c r="H572" s="14"/>
      <c r="I572" s="11"/>
      <c r="J572" s="4"/>
      <c r="K572" s="4"/>
      <c r="L572" s="7"/>
      <c r="M572" s="7"/>
      <c r="N572" s="4"/>
    </row>
    <row r="573" spans="1:14" x14ac:dyDescent="0.3">
      <c r="A573" s="10"/>
      <c r="B573" s="4"/>
      <c r="C573" s="11"/>
      <c r="D573" s="12"/>
      <c r="E573" s="12"/>
      <c r="F573" s="4"/>
      <c r="G573" s="13"/>
      <c r="H573" s="14"/>
      <c r="I573" s="11"/>
      <c r="J573" s="4"/>
      <c r="K573" s="4"/>
      <c r="L573" s="7"/>
      <c r="M573" s="7"/>
      <c r="N573" s="4"/>
    </row>
    <row r="574" spans="1:14" x14ac:dyDescent="0.3">
      <c r="A574" s="10"/>
      <c r="B574" s="4"/>
      <c r="C574" s="11"/>
      <c r="D574" s="12"/>
      <c r="E574" s="12"/>
      <c r="F574" s="4"/>
      <c r="G574" s="13"/>
      <c r="H574" s="14"/>
      <c r="I574" s="11"/>
      <c r="J574" s="4"/>
      <c r="K574" s="4"/>
      <c r="L574" s="7"/>
      <c r="M574" s="7"/>
      <c r="N574" s="4"/>
    </row>
    <row r="575" spans="1:14" x14ac:dyDescent="0.3">
      <c r="A575" s="10"/>
      <c r="B575" s="4"/>
      <c r="C575" s="11"/>
      <c r="D575" s="12"/>
      <c r="E575" s="12"/>
      <c r="F575" s="4"/>
      <c r="G575" s="13"/>
      <c r="H575" s="14"/>
      <c r="I575" s="11"/>
      <c r="J575" s="4"/>
      <c r="K575" s="4"/>
      <c r="L575" s="7"/>
      <c r="M575" s="7"/>
      <c r="N575" s="4"/>
    </row>
    <row r="576" spans="1:14" x14ac:dyDescent="0.3">
      <c r="A576" s="10"/>
      <c r="B576" s="4"/>
      <c r="C576" s="11"/>
      <c r="D576" s="12"/>
      <c r="E576" s="12"/>
      <c r="F576" s="4"/>
      <c r="G576" s="13"/>
      <c r="H576" s="14"/>
      <c r="I576" s="11"/>
      <c r="J576" s="4"/>
      <c r="K576" s="4"/>
      <c r="L576" s="7"/>
      <c r="M576" s="7"/>
      <c r="N576" s="4"/>
    </row>
    <row r="577" spans="1:14" x14ac:dyDescent="0.3">
      <c r="A577" s="10"/>
      <c r="B577" s="4"/>
      <c r="C577" s="11"/>
      <c r="D577" s="12"/>
      <c r="E577" s="12"/>
      <c r="F577" s="4"/>
      <c r="G577" s="13"/>
      <c r="H577" s="14"/>
      <c r="I577" s="11"/>
      <c r="J577" s="4"/>
      <c r="K577" s="4"/>
      <c r="L577" s="7"/>
      <c r="M577" s="7"/>
      <c r="N577" s="4"/>
    </row>
    <row r="578" spans="1:14" x14ac:dyDescent="0.3">
      <c r="A578" s="10"/>
      <c r="B578" s="4"/>
      <c r="C578" s="11"/>
      <c r="D578" s="12"/>
      <c r="E578" s="12"/>
      <c r="F578" s="4"/>
      <c r="G578" s="13"/>
      <c r="H578" s="14"/>
      <c r="I578" s="11"/>
      <c r="J578" s="4"/>
      <c r="K578" s="4"/>
      <c r="L578" s="7"/>
      <c r="M578" s="7"/>
      <c r="N578" s="4"/>
    </row>
    <row r="579" spans="1:14" x14ac:dyDescent="0.3">
      <c r="A579" s="10"/>
      <c r="B579" s="4"/>
      <c r="C579" s="11"/>
      <c r="D579" s="12"/>
      <c r="E579" s="12"/>
      <c r="F579" s="4"/>
      <c r="G579" s="13"/>
      <c r="H579" s="14"/>
      <c r="I579" s="11"/>
      <c r="J579" s="4"/>
      <c r="K579" s="4"/>
      <c r="L579" s="7"/>
      <c r="M579" s="7"/>
      <c r="N579" s="4"/>
    </row>
    <row r="580" spans="1:14" x14ac:dyDescent="0.3">
      <c r="A580" s="10"/>
      <c r="B580" s="4"/>
      <c r="C580" s="11"/>
      <c r="D580" s="12"/>
      <c r="E580" s="12"/>
      <c r="F580" s="4"/>
      <c r="G580" s="13"/>
      <c r="H580" s="14"/>
      <c r="I580" s="11"/>
      <c r="J580" s="4"/>
      <c r="K580" s="4"/>
      <c r="L580" s="7"/>
      <c r="M580" s="7"/>
      <c r="N580" s="4"/>
    </row>
    <row r="581" spans="1:14" x14ac:dyDescent="0.3">
      <c r="A581" s="10"/>
      <c r="B581" s="4"/>
      <c r="C581" s="11"/>
      <c r="D581" s="12"/>
      <c r="E581" s="12"/>
      <c r="F581" s="4"/>
      <c r="G581" s="13"/>
      <c r="H581" s="14"/>
      <c r="I581" s="11"/>
      <c r="J581" s="4"/>
      <c r="K581" s="4"/>
      <c r="L581" s="7"/>
      <c r="M581" s="7"/>
      <c r="N581" s="4"/>
    </row>
    <row r="582" spans="1:14" x14ac:dyDescent="0.3">
      <c r="A582" s="10"/>
      <c r="B582" s="4"/>
      <c r="C582" s="11"/>
      <c r="D582" s="12"/>
      <c r="E582" s="12"/>
      <c r="F582" s="4"/>
      <c r="G582" s="13"/>
      <c r="H582" s="14"/>
      <c r="I582" s="11"/>
      <c r="J582" s="4"/>
      <c r="K582" s="4"/>
      <c r="L582" s="7"/>
      <c r="M582" s="7"/>
      <c r="N582" s="4"/>
    </row>
    <row r="583" spans="1:14" x14ac:dyDescent="0.3">
      <c r="A583" s="10"/>
      <c r="B583" s="4"/>
      <c r="C583" s="11"/>
      <c r="D583" s="12"/>
      <c r="E583" s="12"/>
      <c r="F583" s="4"/>
      <c r="G583" s="13"/>
      <c r="H583" s="14"/>
      <c r="I583" s="11"/>
      <c r="J583" s="4"/>
      <c r="K583" s="4"/>
      <c r="L583" s="7"/>
      <c r="M583" s="7"/>
      <c r="N583" s="4"/>
    </row>
    <row r="584" spans="1:14" x14ac:dyDescent="0.3">
      <c r="A584" s="10"/>
      <c r="B584" s="4"/>
      <c r="C584" s="11"/>
      <c r="D584" s="12"/>
      <c r="E584" s="12"/>
      <c r="F584" s="4"/>
      <c r="G584" s="13"/>
      <c r="H584" s="14"/>
      <c r="I584" s="11"/>
      <c r="J584" s="4"/>
      <c r="K584" s="4"/>
      <c r="L584" s="7"/>
      <c r="M584" s="7"/>
      <c r="N584" s="4"/>
    </row>
    <row r="585" spans="1:14" x14ac:dyDescent="0.3">
      <c r="A585" s="10"/>
      <c r="B585" s="4"/>
      <c r="C585" s="11"/>
      <c r="D585" s="12"/>
      <c r="E585" s="12"/>
      <c r="F585" s="4"/>
      <c r="G585" s="13"/>
      <c r="H585" s="14"/>
      <c r="I585" s="11"/>
      <c r="J585" s="4"/>
      <c r="K585" s="4"/>
      <c r="L585" s="7"/>
      <c r="M585" s="7"/>
      <c r="N585" s="4"/>
    </row>
    <row r="586" spans="1:14" x14ac:dyDescent="0.3">
      <c r="A586" s="10"/>
      <c r="B586" s="4"/>
      <c r="C586" s="11"/>
      <c r="D586" s="12"/>
      <c r="E586" s="12"/>
      <c r="F586" s="4"/>
      <c r="G586" s="13"/>
      <c r="H586" s="14"/>
      <c r="I586" s="11"/>
      <c r="J586" s="4"/>
      <c r="K586" s="4"/>
      <c r="L586" s="7"/>
      <c r="M586" s="7"/>
      <c r="N586" s="4"/>
    </row>
    <row r="587" spans="1:14" x14ac:dyDescent="0.3">
      <c r="A587" s="10"/>
      <c r="B587" s="4"/>
      <c r="C587" s="11"/>
      <c r="D587" s="12"/>
      <c r="E587" s="12"/>
      <c r="F587" s="4"/>
      <c r="G587" s="13"/>
      <c r="H587" s="14"/>
      <c r="I587" s="11"/>
      <c r="J587" s="4"/>
      <c r="K587" s="4"/>
      <c r="L587" s="7"/>
      <c r="M587" s="7"/>
      <c r="N587" s="4"/>
    </row>
    <row r="588" spans="1:14" x14ac:dyDescent="0.3">
      <c r="A588" s="10"/>
      <c r="B588" s="4"/>
      <c r="C588" s="11"/>
      <c r="D588" s="12"/>
      <c r="E588" s="12"/>
      <c r="F588" s="4"/>
      <c r="G588" s="13"/>
      <c r="H588" s="14"/>
      <c r="I588" s="11"/>
      <c r="J588" s="4"/>
      <c r="K588" s="4"/>
      <c r="L588" s="7"/>
      <c r="M588" s="7"/>
      <c r="N588" s="4"/>
    </row>
    <row r="589" spans="1:14" x14ac:dyDescent="0.3">
      <c r="A589" s="10"/>
      <c r="B589" s="4"/>
      <c r="C589" s="11"/>
      <c r="D589" s="12"/>
      <c r="E589" s="12"/>
      <c r="F589" s="4"/>
      <c r="G589" s="13"/>
      <c r="H589" s="14"/>
      <c r="I589" s="11"/>
      <c r="J589" s="4"/>
      <c r="K589" s="4"/>
      <c r="L589" s="7"/>
      <c r="M589" s="7"/>
      <c r="N589" s="4"/>
    </row>
    <row r="592" spans="1:14" ht="43.2" x14ac:dyDescent="0.3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4</v>
      </c>
      <c r="F592" s="1" t="s">
        <v>5</v>
      </c>
      <c r="G592" s="1" t="s">
        <v>6</v>
      </c>
      <c r="H592" s="1" t="s">
        <v>7</v>
      </c>
      <c r="I592" s="1" t="s">
        <v>8</v>
      </c>
      <c r="J592" s="1" t="s">
        <v>9</v>
      </c>
      <c r="K592" s="1" t="s">
        <v>10</v>
      </c>
      <c r="L592" s="2"/>
      <c r="M592" s="2"/>
      <c r="N592" s="2"/>
    </row>
    <row r="593" spans="1:14" x14ac:dyDescent="0.3">
      <c r="A593" s="4" t="s">
        <v>11</v>
      </c>
      <c r="B593" s="3" t="str">
        <f>_xlfn.XLOOKUP($C593,'[1]Basic EMP Data - 2025'!$D$3:$D$216,'[1]Basic EMP Data - 2025'!$C$3:$C$216)</f>
        <v>VB2302</v>
      </c>
      <c r="C593" s="5" t="s">
        <v>50</v>
      </c>
      <c r="D593" s="4" t="str">
        <f>VLOOKUP($B593,'[1]Basic EMP Data - 2025'!$C$3:$F$216,3,0)</f>
        <v>Shashank Yadav</v>
      </c>
      <c r="E593" s="4">
        <f>VLOOKUP($B593,'[1]Basic EMP Data - 2025'!$C$3:$I$216,5,0)</f>
        <v>0</v>
      </c>
      <c r="F593" s="4">
        <f>VLOOKUP($B593,'[1]Basic EMP Data - 2025'!$C$3:$I$216,6,0)</f>
        <v>0</v>
      </c>
      <c r="G593" s="6" t="e">
        <f>F593/E593</f>
        <v>#DIV/0!</v>
      </c>
      <c r="H593" s="7">
        <f>SUM(L595:L613)</f>
        <v>0</v>
      </c>
      <c r="I593" s="8" t="e" cm="1">
        <f t="array" ref="I593">_xlfn.IFS($G593&lt;=34%,0%,$G593&lt;=75%,3%,$G593&lt;=120%,4%,$G593&gt;120%,5%)</f>
        <v>#DIV/0!</v>
      </c>
      <c r="J593" s="7" cm="1">
        <f t="array" ref="J593">SUMPRODUCT((C595:C613=2024)*M595:M613) + SUMPRODUCT((C595:C613=2025)*M595:M613*2)</f>
        <v>0</v>
      </c>
      <c r="K593" s="4">
        <f>SUM(N595:N613)</f>
        <v>0</v>
      </c>
      <c r="M593" s="2"/>
      <c r="N593" s="2"/>
    </row>
    <row r="594" spans="1:14" ht="28.8" x14ac:dyDescent="0.3">
      <c r="A594" s="9" t="s">
        <v>2</v>
      </c>
      <c r="B594" s="9" t="s">
        <v>13</v>
      </c>
      <c r="C594" s="9" t="s">
        <v>14</v>
      </c>
      <c r="D594" s="9" t="s">
        <v>15</v>
      </c>
      <c r="E594" s="9" t="s">
        <v>16</v>
      </c>
      <c r="F594" s="9" t="s">
        <v>17</v>
      </c>
      <c r="G594" s="9" t="s">
        <v>18</v>
      </c>
      <c r="H594" s="9" t="s">
        <v>19</v>
      </c>
      <c r="I594" s="9" t="s">
        <v>20</v>
      </c>
      <c r="J594" s="9" t="s">
        <v>21</v>
      </c>
      <c r="K594" s="9" t="s">
        <v>22</v>
      </c>
      <c r="L594" s="9" t="s">
        <v>23</v>
      </c>
      <c r="M594" s="9" t="s">
        <v>24</v>
      </c>
      <c r="N594" s="9" t="s">
        <v>25</v>
      </c>
    </row>
    <row r="595" spans="1:14" x14ac:dyDescent="0.3">
      <c r="A595" s="10" t="str">
        <f>C593</f>
        <v>Ganesh Pandey</v>
      </c>
      <c r="B595" s="4" t="e" cm="1" vm="1">
        <f t="array" ref="B595">_xlfn.LET(
  _xlpm.data, _xlfn._xlws.FILTER('[1]Incentive Data'!A:BV, '[1]Incentive Data'!H:H=$C593),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95" s="11"/>
      <c r="D595" s="12"/>
      <c r="E595" s="12"/>
      <c r="F595" s="4"/>
      <c r="G595" s="13"/>
      <c r="H595" s="14"/>
      <c r="I595" s="11"/>
      <c r="J595" s="4"/>
      <c r="K595" s="4"/>
      <c r="L595" s="7"/>
      <c r="M595" s="7"/>
      <c r="N595" s="4"/>
    </row>
    <row r="596" spans="1:14" x14ac:dyDescent="0.3">
      <c r="A596" s="10"/>
      <c r="B596" s="4"/>
      <c r="C596" s="11"/>
      <c r="D596" s="12"/>
      <c r="E596" s="12"/>
      <c r="F596" s="4"/>
      <c r="G596" s="13"/>
      <c r="H596" s="14"/>
      <c r="I596" s="11"/>
      <c r="J596" s="4"/>
      <c r="K596" s="4"/>
      <c r="L596" s="7"/>
      <c r="M596" s="7"/>
      <c r="N596" s="4"/>
    </row>
    <row r="597" spans="1:14" x14ac:dyDescent="0.3">
      <c r="A597" s="10"/>
      <c r="B597" s="4"/>
      <c r="C597" s="11"/>
      <c r="D597" s="12"/>
      <c r="E597" s="12"/>
      <c r="F597" s="4"/>
      <c r="G597" s="13"/>
      <c r="H597" s="14"/>
      <c r="I597" s="11"/>
      <c r="J597" s="4"/>
      <c r="K597" s="4"/>
      <c r="L597" s="7"/>
      <c r="M597" s="7"/>
      <c r="N597" s="4"/>
    </row>
    <row r="598" spans="1:14" x14ac:dyDescent="0.3">
      <c r="A598" s="10"/>
      <c r="B598" s="4"/>
      <c r="C598" s="11"/>
      <c r="D598" s="12"/>
      <c r="E598" s="12"/>
      <c r="F598" s="4"/>
      <c r="G598" s="13"/>
      <c r="H598" s="14"/>
      <c r="I598" s="11"/>
      <c r="J598" s="4"/>
      <c r="K598" s="4"/>
      <c r="L598" s="7"/>
      <c r="M598" s="7"/>
      <c r="N598" s="4"/>
    </row>
    <row r="599" spans="1:14" x14ac:dyDescent="0.3">
      <c r="A599" s="10"/>
      <c r="B599" s="4"/>
      <c r="C599" s="11"/>
      <c r="D599" s="12"/>
      <c r="E599" s="12"/>
      <c r="F599" s="4"/>
      <c r="G599" s="13"/>
      <c r="H599" s="14"/>
      <c r="I599" s="11"/>
      <c r="J599" s="4"/>
      <c r="K599" s="4"/>
      <c r="L599" s="7"/>
      <c r="M599" s="7"/>
      <c r="N599" s="4"/>
    </row>
    <row r="600" spans="1:14" x14ac:dyDescent="0.3">
      <c r="A600" s="10"/>
      <c r="B600" s="4"/>
      <c r="C600" s="11"/>
      <c r="D600" s="12"/>
      <c r="E600" s="12"/>
      <c r="F600" s="4"/>
      <c r="G600" s="13"/>
      <c r="H600" s="14"/>
      <c r="I600" s="11"/>
      <c r="J600" s="4"/>
      <c r="K600" s="4"/>
      <c r="L600" s="7"/>
      <c r="M600" s="7"/>
      <c r="N600" s="4"/>
    </row>
    <row r="601" spans="1:14" x14ac:dyDescent="0.3">
      <c r="A601" s="10"/>
      <c r="B601" s="4"/>
      <c r="C601" s="11"/>
      <c r="D601" s="12"/>
      <c r="E601" s="12"/>
      <c r="F601" s="4"/>
      <c r="G601" s="13"/>
      <c r="H601" s="14"/>
      <c r="I601" s="11"/>
      <c r="J601" s="4"/>
      <c r="K601" s="4"/>
      <c r="L601" s="7"/>
      <c r="M601" s="7"/>
      <c r="N601" s="4"/>
    </row>
    <row r="602" spans="1:14" x14ac:dyDescent="0.3">
      <c r="A602" s="10"/>
      <c r="B602" s="4"/>
      <c r="C602" s="11"/>
      <c r="D602" s="12"/>
      <c r="E602" s="12"/>
      <c r="F602" s="4"/>
      <c r="G602" s="13"/>
      <c r="H602" s="14"/>
      <c r="I602" s="11"/>
      <c r="J602" s="4"/>
      <c r="K602" s="4"/>
      <c r="L602" s="7"/>
      <c r="M602" s="7"/>
      <c r="N602" s="4"/>
    </row>
    <row r="603" spans="1:14" x14ac:dyDescent="0.3">
      <c r="A603" s="10"/>
      <c r="B603" s="4"/>
      <c r="C603" s="11"/>
      <c r="D603" s="12"/>
      <c r="E603" s="12"/>
      <c r="F603" s="4"/>
      <c r="G603" s="13"/>
      <c r="H603" s="14"/>
      <c r="I603" s="11"/>
      <c r="J603" s="4"/>
      <c r="K603" s="4"/>
      <c r="L603" s="7"/>
      <c r="M603" s="7"/>
      <c r="N603" s="4"/>
    </row>
    <row r="604" spans="1:14" x14ac:dyDescent="0.3">
      <c r="A604" s="10"/>
      <c r="B604" s="4"/>
      <c r="C604" s="11"/>
      <c r="D604" s="12"/>
      <c r="E604" s="12"/>
      <c r="F604" s="4"/>
      <c r="G604" s="13"/>
      <c r="H604" s="14"/>
      <c r="I604" s="11"/>
      <c r="J604" s="4"/>
      <c r="K604" s="4"/>
      <c r="L604" s="7"/>
      <c r="M604" s="7"/>
      <c r="N604" s="4"/>
    </row>
    <row r="605" spans="1:14" x14ac:dyDescent="0.3">
      <c r="A605" s="10"/>
      <c r="B605" s="4"/>
      <c r="C605" s="11"/>
      <c r="D605" s="12"/>
      <c r="E605" s="12"/>
      <c r="F605" s="4"/>
      <c r="G605" s="13"/>
      <c r="H605" s="14"/>
      <c r="I605" s="11"/>
      <c r="J605" s="4"/>
      <c r="K605" s="4"/>
      <c r="L605" s="7"/>
      <c r="M605" s="7"/>
      <c r="N605" s="4"/>
    </row>
    <row r="606" spans="1:14" x14ac:dyDescent="0.3">
      <c r="A606" s="10"/>
      <c r="B606" s="4"/>
      <c r="C606" s="11"/>
      <c r="D606" s="12"/>
      <c r="E606" s="12"/>
      <c r="F606" s="4"/>
      <c r="G606" s="13"/>
      <c r="H606" s="14"/>
      <c r="I606" s="11"/>
      <c r="J606" s="4"/>
      <c r="K606" s="4"/>
      <c r="L606" s="7"/>
      <c r="M606" s="7"/>
      <c r="N606" s="4"/>
    </row>
    <row r="607" spans="1:14" x14ac:dyDescent="0.3">
      <c r="A607" s="10"/>
      <c r="B607" s="4"/>
      <c r="C607" s="11"/>
      <c r="D607" s="12"/>
      <c r="E607" s="12"/>
      <c r="F607" s="4"/>
      <c r="G607" s="13"/>
      <c r="H607" s="14"/>
      <c r="I607" s="11"/>
      <c r="J607" s="4"/>
      <c r="K607" s="4"/>
      <c r="L607" s="7"/>
      <c r="M607" s="7"/>
      <c r="N607" s="4"/>
    </row>
    <row r="608" spans="1:14" x14ac:dyDescent="0.3">
      <c r="A608" s="10"/>
      <c r="B608" s="4"/>
      <c r="C608" s="11"/>
      <c r="D608" s="12"/>
      <c r="E608" s="12"/>
      <c r="F608" s="4"/>
      <c r="G608" s="13"/>
      <c r="H608" s="14"/>
      <c r="I608" s="11"/>
      <c r="J608" s="4"/>
      <c r="K608" s="4"/>
      <c r="L608" s="7"/>
      <c r="M608" s="7"/>
      <c r="N608" s="4"/>
    </row>
    <row r="609" spans="1:14" x14ac:dyDescent="0.3">
      <c r="A609" s="10"/>
      <c r="B609" s="4"/>
      <c r="C609" s="11"/>
      <c r="D609" s="12"/>
      <c r="E609" s="12"/>
      <c r="F609" s="4"/>
      <c r="G609" s="13"/>
      <c r="H609" s="14"/>
      <c r="I609" s="11"/>
      <c r="J609" s="4"/>
      <c r="K609" s="4"/>
      <c r="L609" s="7"/>
      <c r="M609" s="7"/>
      <c r="N609" s="4"/>
    </row>
    <row r="610" spans="1:14" x14ac:dyDescent="0.3">
      <c r="A610" s="10"/>
      <c r="B610" s="4"/>
      <c r="C610" s="11"/>
      <c r="D610" s="12"/>
      <c r="E610" s="12"/>
      <c r="F610" s="4"/>
      <c r="G610" s="13"/>
      <c r="H610" s="14"/>
      <c r="I610" s="11"/>
      <c r="J610" s="4"/>
      <c r="K610" s="4"/>
      <c r="L610" s="7"/>
      <c r="M610" s="7"/>
      <c r="N610" s="4"/>
    </row>
    <row r="611" spans="1:14" x14ac:dyDescent="0.3">
      <c r="A611" s="10"/>
      <c r="B611" s="4"/>
      <c r="C611" s="11"/>
      <c r="D611" s="12"/>
      <c r="E611" s="12"/>
      <c r="F611" s="4"/>
      <c r="G611" s="13"/>
      <c r="H611" s="14"/>
      <c r="I611" s="11"/>
      <c r="J611" s="4"/>
      <c r="K611" s="4"/>
      <c r="L611" s="7"/>
      <c r="M611" s="7"/>
      <c r="N611" s="4"/>
    </row>
    <row r="612" spans="1:14" x14ac:dyDescent="0.3">
      <c r="A612" s="10"/>
      <c r="B612" s="4"/>
      <c r="C612" s="11"/>
      <c r="D612" s="12"/>
      <c r="E612" s="12"/>
      <c r="F612" s="4"/>
      <c r="G612" s="13"/>
      <c r="H612" s="14"/>
      <c r="I612" s="11"/>
      <c r="J612" s="4"/>
      <c r="K612" s="4"/>
      <c r="L612" s="7"/>
      <c r="M612" s="7"/>
      <c r="N612" s="4"/>
    </row>
    <row r="613" spans="1:14" x14ac:dyDescent="0.3">
      <c r="A613" s="10"/>
      <c r="B613" s="4"/>
      <c r="C613" s="11"/>
      <c r="D613" s="12"/>
      <c r="E613" s="12"/>
      <c r="F613" s="4"/>
      <c r="G613" s="13"/>
      <c r="H613" s="14"/>
      <c r="I613" s="11"/>
      <c r="J613" s="4"/>
      <c r="K613" s="4"/>
      <c r="L613" s="7"/>
      <c r="M613" s="7"/>
      <c r="N613" s="4"/>
    </row>
    <row r="616" spans="1:14" ht="43.2" x14ac:dyDescent="0.3">
      <c r="A616" s="1" t="s">
        <v>0</v>
      </c>
      <c r="B616" s="1" t="s">
        <v>1</v>
      </c>
      <c r="C616" s="1" t="s">
        <v>2</v>
      </c>
      <c r="D616" s="1" t="s">
        <v>3</v>
      </c>
      <c r="E616" s="1" t="s">
        <v>4</v>
      </c>
      <c r="F616" s="1" t="s">
        <v>5</v>
      </c>
      <c r="G616" s="1" t="s">
        <v>6</v>
      </c>
      <c r="H616" s="1" t="s">
        <v>7</v>
      </c>
      <c r="I616" s="1" t="s">
        <v>8</v>
      </c>
      <c r="J616" s="1" t="s">
        <v>9</v>
      </c>
      <c r="K616" s="1" t="s">
        <v>10</v>
      </c>
      <c r="L616" s="2"/>
      <c r="M616" s="2"/>
      <c r="N616" s="2"/>
    </row>
    <row r="617" spans="1:14" x14ac:dyDescent="0.3">
      <c r="A617" s="4" t="s">
        <v>11</v>
      </c>
      <c r="B617" s="3" t="str">
        <f>_xlfn.XLOOKUP($C617,'[1]Basic EMP Data - 2025'!$D$3:$D$216,'[1]Basic EMP Data - 2025'!$C$3:$C$216)</f>
        <v>VB2275</v>
      </c>
      <c r="C617" s="5" t="s">
        <v>51</v>
      </c>
      <c r="D617" s="4" t="str">
        <f>VLOOKUP($B617,'[1]Basic EMP Data - 2025'!$C$3:$F$216,3,0)</f>
        <v>Abhinay Singh</v>
      </c>
      <c r="E617" s="4">
        <f>VLOOKUP($B617,'[1]Basic EMP Data - 2025'!$C$3:$I$216,5,0)</f>
        <v>0</v>
      </c>
      <c r="F617" s="4">
        <f>VLOOKUP($B617,'[1]Basic EMP Data - 2025'!$C$3:$I$216,6,0)</f>
        <v>0</v>
      </c>
      <c r="G617" s="6" t="e">
        <f>F617/E617</f>
        <v>#DIV/0!</v>
      </c>
      <c r="H617" s="7">
        <f>SUM(L619:L637)</f>
        <v>0</v>
      </c>
      <c r="I617" s="8" t="e" cm="1">
        <f t="array" ref="I617">_xlfn.IFS($G617&lt;=34%,0%,$G617&lt;=75%,3%,$G617&lt;=120%,4%,$G617&gt;120%,5%)</f>
        <v>#DIV/0!</v>
      </c>
      <c r="J617" s="7" cm="1">
        <f t="array" ref="J617">SUMPRODUCT((C619:C637=2024)*M619:M637) + SUMPRODUCT((C619:C637=2025)*M619:M637*2)</f>
        <v>0</v>
      </c>
      <c r="K617" s="4">
        <f>SUM(N619:N637)</f>
        <v>0</v>
      </c>
      <c r="M617" s="2"/>
      <c r="N617" s="2"/>
    </row>
    <row r="618" spans="1:14" ht="28.8" x14ac:dyDescent="0.3">
      <c r="A618" s="9" t="s">
        <v>2</v>
      </c>
      <c r="B618" s="9" t="s">
        <v>13</v>
      </c>
      <c r="C618" s="9" t="s">
        <v>14</v>
      </c>
      <c r="D618" s="9" t="s">
        <v>15</v>
      </c>
      <c r="E618" s="9" t="s">
        <v>16</v>
      </c>
      <c r="F618" s="9" t="s">
        <v>17</v>
      </c>
      <c r="G618" s="9" t="s">
        <v>18</v>
      </c>
      <c r="H618" s="9" t="s">
        <v>19</v>
      </c>
      <c r="I618" s="9" t="s">
        <v>20</v>
      </c>
      <c r="J618" s="9" t="s">
        <v>21</v>
      </c>
      <c r="K618" s="9" t="s">
        <v>22</v>
      </c>
      <c r="L618" s="9" t="s">
        <v>23</v>
      </c>
      <c r="M618" s="9" t="s">
        <v>24</v>
      </c>
      <c r="N618" s="9" t="s">
        <v>25</v>
      </c>
    </row>
    <row r="619" spans="1:14" x14ac:dyDescent="0.3">
      <c r="A619" s="10" t="str">
        <f>C617</f>
        <v>Abhinay Singh</v>
      </c>
      <c r="B619" s="4" t="e" cm="1" vm="1">
        <f t="array" ref="B619">_xlfn.LET(
  _xlpm.data, _xlfn._xlws.FILTER('[1]Incentive Data'!A:BV, '[1]Incentive Data'!H:H=$C617),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19" s="11"/>
      <c r="D619" s="12"/>
      <c r="E619" s="12"/>
      <c r="F619" s="4"/>
      <c r="G619" s="13"/>
      <c r="H619" s="14"/>
      <c r="I619" s="11"/>
      <c r="J619" s="4"/>
      <c r="K619" s="4"/>
      <c r="L619" s="7"/>
      <c r="M619" s="7"/>
      <c r="N619" s="4"/>
    </row>
    <row r="620" spans="1:14" x14ac:dyDescent="0.3">
      <c r="A620" s="10"/>
      <c r="B620" s="4"/>
      <c r="C620" s="11"/>
      <c r="D620" s="12"/>
      <c r="E620" s="12"/>
      <c r="F620" s="4"/>
      <c r="G620" s="13"/>
      <c r="H620" s="14"/>
      <c r="I620" s="11"/>
      <c r="J620" s="4"/>
      <c r="K620" s="4"/>
      <c r="L620" s="7"/>
      <c r="M620" s="7"/>
      <c r="N620" s="4"/>
    </row>
    <row r="621" spans="1:14" x14ac:dyDescent="0.3">
      <c r="A621" s="10"/>
      <c r="B621" s="4"/>
      <c r="C621" s="11"/>
      <c r="D621" s="12"/>
      <c r="E621" s="12"/>
      <c r="F621" s="4"/>
      <c r="G621" s="13"/>
      <c r="H621" s="14"/>
      <c r="I621" s="11"/>
      <c r="J621" s="4"/>
      <c r="K621" s="4"/>
      <c r="L621" s="7"/>
      <c r="M621" s="7"/>
      <c r="N621" s="4"/>
    </row>
    <row r="622" spans="1:14" x14ac:dyDescent="0.3">
      <c r="A622" s="10"/>
      <c r="B622" s="4"/>
      <c r="C622" s="11"/>
      <c r="D622" s="12"/>
      <c r="E622" s="12"/>
      <c r="F622" s="4"/>
      <c r="G622" s="13"/>
      <c r="H622" s="14"/>
      <c r="I622" s="11"/>
      <c r="J622" s="4"/>
      <c r="K622" s="4"/>
      <c r="L622" s="7"/>
      <c r="M622" s="7"/>
      <c r="N622" s="4"/>
    </row>
    <row r="623" spans="1:14" x14ac:dyDescent="0.3">
      <c r="A623" s="10"/>
      <c r="B623" s="4"/>
      <c r="C623" s="11"/>
      <c r="D623" s="12"/>
      <c r="E623" s="12"/>
      <c r="F623" s="4"/>
      <c r="G623" s="13"/>
      <c r="H623" s="14"/>
      <c r="I623" s="11"/>
      <c r="J623" s="4"/>
      <c r="K623" s="4"/>
      <c r="L623" s="7"/>
      <c r="M623" s="7"/>
      <c r="N623" s="4"/>
    </row>
    <row r="624" spans="1:14" x14ac:dyDescent="0.3">
      <c r="A624" s="10"/>
      <c r="B624" s="4"/>
      <c r="C624" s="11"/>
      <c r="D624" s="12"/>
      <c r="E624" s="12"/>
      <c r="F624" s="4"/>
      <c r="G624" s="13"/>
      <c r="H624" s="14"/>
      <c r="I624" s="11"/>
      <c r="J624" s="4"/>
      <c r="K624" s="4"/>
      <c r="L624" s="7"/>
      <c r="M624" s="7"/>
      <c r="N624" s="4"/>
    </row>
    <row r="625" spans="1:14" x14ac:dyDescent="0.3">
      <c r="A625" s="10"/>
      <c r="B625" s="4"/>
      <c r="C625" s="11"/>
      <c r="D625" s="12"/>
      <c r="E625" s="12"/>
      <c r="F625" s="4"/>
      <c r="G625" s="13"/>
      <c r="H625" s="14"/>
      <c r="I625" s="11"/>
      <c r="J625" s="4"/>
      <c r="K625" s="4"/>
      <c r="L625" s="7"/>
      <c r="M625" s="7"/>
      <c r="N625" s="4"/>
    </row>
    <row r="626" spans="1:14" x14ac:dyDescent="0.3">
      <c r="A626" s="10"/>
      <c r="B626" s="4"/>
      <c r="C626" s="11"/>
      <c r="D626" s="12"/>
      <c r="E626" s="12"/>
      <c r="F626" s="4"/>
      <c r="G626" s="13"/>
      <c r="H626" s="14"/>
      <c r="I626" s="11"/>
      <c r="J626" s="4"/>
      <c r="K626" s="4"/>
      <c r="L626" s="7"/>
      <c r="M626" s="7"/>
      <c r="N626" s="4"/>
    </row>
    <row r="627" spans="1:14" x14ac:dyDescent="0.3">
      <c r="A627" s="10"/>
      <c r="B627" s="4"/>
      <c r="C627" s="11"/>
      <c r="D627" s="12"/>
      <c r="E627" s="12"/>
      <c r="F627" s="4"/>
      <c r="G627" s="13"/>
      <c r="H627" s="14"/>
      <c r="I627" s="11"/>
      <c r="J627" s="4"/>
      <c r="K627" s="4"/>
      <c r="L627" s="7"/>
      <c r="M627" s="7"/>
      <c r="N627" s="4"/>
    </row>
    <row r="628" spans="1:14" x14ac:dyDescent="0.3">
      <c r="A628" s="10"/>
      <c r="B628" s="4"/>
      <c r="C628" s="11"/>
      <c r="D628" s="12"/>
      <c r="E628" s="12"/>
      <c r="F628" s="4"/>
      <c r="G628" s="13"/>
      <c r="H628" s="14"/>
      <c r="I628" s="11"/>
      <c r="J628" s="4"/>
      <c r="K628" s="4"/>
      <c r="L628" s="7"/>
      <c r="M628" s="7"/>
      <c r="N628" s="4"/>
    </row>
    <row r="629" spans="1:14" x14ac:dyDescent="0.3">
      <c r="A629" s="10"/>
      <c r="B629" s="4"/>
      <c r="C629" s="11"/>
      <c r="D629" s="12"/>
      <c r="E629" s="12"/>
      <c r="F629" s="4"/>
      <c r="G629" s="13"/>
      <c r="H629" s="14"/>
      <c r="I629" s="11"/>
      <c r="J629" s="4"/>
      <c r="K629" s="4"/>
      <c r="L629" s="7"/>
      <c r="M629" s="7"/>
      <c r="N629" s="4"/>
    </row>
    <row r="630" spans="1:14" x14ac:dyDescent="0.3">
      <c r="A630" s="10"/>
      <c r="B630" s="4"/>
      <c r="C630" s="11"/>
      <c r="D630" s="12"/>
      <c r="E630" s="12"/>
      <c r="F630" s="4"/>
      <c r="G630" s="13"/>
      <c r="H630" s="14"/>
      <c r="I630" s="11"/>
      <c r="J630" s="4"/>
      <c r="K630" s="4"/>
      <c r="L630" s="7"/>
      <c r="M630" s="7"/>
      <c r="N630" s="4"/>
    </row>
    <row r="631" spans="1:14" x14ac:dyDescent="0.3">
      <c r="A631" s="10"/>
      <c r="B631" s="4"/>
      <c r="C631" s="11"/>
      <c r="D631" s="12"/>
      <c r="E631" s="12"/>
      <c r="F631" s="4"/>
      <c r="G631" s="13"/>
      <c r="H631" s="14"/>
      <c r="I631" s="11"/>
      <c r="J631" s="4"/>
      <c r="K631" s="4"/>
      <c r="L631" s="7"/>
      <c r="M631" s="7"/>
      <c r="N631" s="4"/>
    </row>
    <row r="632" spans="1:14" x14ac:dyDescent="0.3">
      <c r="A632" s="10"/>
      <c r="B632" s="4"/>
      <c r="C632" s="11"/>
      <c r="D632" s="12"/>
      <c r="E632" s="12"/>
      <c r="F632" s="4"/>
      <c r="G632" s="13"/>
      <c r="H632" s="14"/>
      <c r="I632" s="11"/>
      <c r="J632" s="4"/>
      <c r="K632" s="4"/>
      <c r="L632" s="7"/>
      <c r="M632" s="7"/>
      <c r="N632" s="4"/>
    </row>
    <row r="633" spans="1:14" x14ac:dyDescent="0.3">
      <c r="A633" s="10"/>
      <c r="B633" s="4"/>
      <c r="C633" s="11"/>
      <c r="D633" s="12"/>
      <c r="E633" s="12"/>
      <c r="F633" s="4"/>
      <c r="G633" s="13"/>
      <c r="H633" s="14"/>
      <c r="I633" s="11"/>
      <c r="J633" s="4"/>
      <c r="K633" s="4"/>
      <c r="L633" s="7"/>
      <c r="M633" s="7"/>
      <c r="N633" s="4"/>
    </row>
    <row r="634" spans="1:14" x14ac:dyDescent="0.3">
      <c r="A634" s="10"/>
      <c r="B634" s="4"/>
      <c r="C634" s="11"/>
      <c r="D634" s="12"/>
      <c r="E634" s="12"/>
      <c r="F634" s="4"/>
      <c r="G634" s="13"/>
      <c r="H634" s="14"/>
      <c r="I634" s="11"/>
      <c r="J634" s="4"/>
      <c r="K634" s="4"/>
      <c r="L634" s="7"/>
      <c r="M634" s="7"/>
      <c r="N634" s="4"/>
    </row>
    <row r="635" spans="1:14" x14ac:dyDescent="0.3">
      <c r="A635" s="10"/>
      <c r="B635" s="4"/>
      <c r="C635" s="11"/>
      <c r="D635" s="12"/>
      <c r="E635" s="12"/>
      <c r="F635" s="4"/>
      <c r="G635" s="13"/>
      <c r="H635" s="14"/>
      <c r="I635" s="11"/>
      <c r="J635" s="4"/>
      <c r="K635" s="4"/>
      <c r="L635" s="7"/>
      <c r="M635" s="7"/>
      <c r="N635" s="4"/>
    </row>
    <row r="636" spans="1:14" x14ac:dyDescent="0.3">
      <c r="A636" s="10"/>
      <c r="B636" s="4"/>
      <c r="C636" s="11"/>
      <c r="D636" s="12"/>
      <c r="E636" s="12"/>
      <c r="F636" s="4"/>
      <c r="G636" s="13"/>
      <c r="H636" s="14"/>
      <c r="I636" s="11"/>
      <c r="J636" s="4"/>
      <c r="K636" s="4"/>
      <c r="L636" s="7"/>
      <c r="M636" s="7"/>
      <c r="N636" s="4"/>
    </row>
    <row r="637" spans="1:14" x14ac:dyDescent="0.3">
      <c r="A637" s="10"/>
      <c r="B637" s="4"/>
      <c r="C637" s="11"/>
      <c r="D637" s="12"/>
      <c r="E637" s="12"/>
      <c r="F637" s="4"/>
      <c r="G637" s="13"/>
      <c r="H637" s="14"/>
      <c r="I637" s="11"/>
      <c r="J637" s="4"/>
      <c r="K637" s="4"/>
      <c r="L637" s="7"/>
      <c r="M637" s="7"/>
      <c r="N637" s="4"/>
    </row>
    <row r="640" spans="1:14" ht="43.2" x14ac:dyDescent="0.3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5</v>
      </c>
      <c r="G640" s="1" t="s">
        <v>6</v>
      </c>
      <c r="H640" s="1" t="s">
        <v>7</v>
      </c>
      <c r="I640" s="1" t="s">
        <v>8</v>
      </c>
      <c r="J640" s="1" t="s">
        <v>9</v>
      </c>
      <c r="K640" s="1" t="s">
        <v>10</v>
      </c>
      <c r="L640" s="2"/>
      <c r="M640" s="2"/>
      <c r="N640" s="2"/>
    </row>
    <row r="641" spans="1:14" x14ac:dyDescent="0.3">
      <c r="A641" s="4" t="s">
        <v>11</v>
      </c>
      <c r="B641" s="3" t="str">
        <f>_xlfn.XLOOKUP($C641,'[1]Basic EMP Data - 2025'!$D$3:$D$216,'[1]Basic EMP Data - 2025'!$C$3:$C$216)</f>
        <v>VB2116</v>
      </c>
      <c r="C641" s="5" t="s">
        <v>52</v>
      </c>
      <c r="D641" s="4" t="str">
        <f>VLOOKUP($B641,'[1]Basic EMP Data - 2025'!$C$3:$F$216,3,0)</f>
        <v>Abhinay Singh</v>
      </c>
      <c r="E641" s="4">
        <f>VLOOKUP($B641,'[1]Basic EMP Data - 2025'!$C$3:$I$216,5,0)</f>
        <v>4</v>
      </c>
      <c r="F641" s="4">
        <f>VLOOKUP($B641,'[1]Basic EMP Data - 2025'!$C$3:$I$216,6,0)</f>
        <v>1</v>
      </c>
      <c r="G641" s="6">
        <f>F641/E641</f>
        <v>0.25</v>
      </c>
      <c r="H641" s="7">
        <f>SUM(L643:L661)</f>
        <v>0</v>
      </c>
      <c r="I641" s="8" cm="1">
        <f t="array" ref="I641">_xlfn.IFS($G641&lt;=34%,0%,$G641&lt;=75%,3%,$G641&lt;=120%,4%,$G641&gt;120%,5%)</f>
        <v>0</v>
      </c>
      <c r="J641" s="7" cm="1">
        <f t="array" ref="J641">SUMPRODUCT((C643:C661=2024)*M643:M661) + SUMPRODUCT((C643:C661=2025)*M643:M661*2)</f>
        <v>0</v>
      </c>
      <c r="K641" s="4">
        <f>SUM(N643:N661)</f>
        <v>0</v>
      </c>
      <c r="M641" s="2"/>
      <c r="N641" s="2"/>
    </row>
    <row r="642" spans="1:14" ht="28.8" x14ac:dyDescent="0.3">
      <c r="A642" s="9" t="s">
        <v>2</v>
      </c>
      <c r="B642" s="9" t="s">
        <v>13</v>
      </c>
      <c r="C642" s="9" t="s">
        <v>14</v>
      </c>
      <c r="D642" s="9" t="s">
        <v>15</v>
      </c>
      <c r="E642" s="9" t="s">
        <v>16</v>
      </c>
      <c r="F642" s="9" t="s">
        <v>17</v>
      </c>
      <c r="G642" s="9" t="s">
        <v>18</v>
      </c>
      <c r="H642" s="9" t="s">
        <v>19</v>
      </c>
      <c r="I642" s="9" t="s">
        <v>20</v>
      </c>
      <c r="J642" s="9" t="s">
        <v>21</v>
      </c>
      <c r="K642" s="9" t="s">
        <v>22</v>
      </c>
      <c r="L642" s="9" t="s">
        <v>23</v>
      </c>
      <c r="M642" s="9" t="s">
        <v>24</v>
      </c>
      <c r="N642" s="9" t="s">
        <v>25</v>
      </c>
    </row>
    <row r="643" spans="1:14" x14ac:dyDescent="0.3">
      <c r="A643" s="10" t="str">
        <f>C641</f>
        <v>Shubham Saini</v>
      </c>
      <c r="B643" s="4" t="e" cm="1" vm="1">
        <f t="array" ref="B643">_xlfn.LET(
  _xlpm.data, _xlfn._xlws.FILTER('[1]Incentive Data'!A:BV, '[1]Incentive Data'!H:H=$C641),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43" s="11"/>
      <c r="D643" s="12"/>
      <c r="E643" s="12"/>
      <c r="F643" s="4"/>
      <c r="G643" s="13"/>
      <c r="H643" s="14"/>
      <c r="I643" s="11"/>
      <c r="J643" s="4"/>
      <c r="K643" s="4"/>
      <c r="L643" s="7"/>
      <c r="M643" s="7"/>
      <c r="N643" s="4"/>
    </row>
    <row r="644" spans="1:14" x14ac:dyDescent="0.3">
      <c r="A644" s="10"/>
      <c r="B644" s="4"/>
      <c r="C644" s="11"/>
      <c r="D644" s="12"/>
      <c r="E644" s="12"/>
      <c r="F644" s="4"/>
      <c r="G644" s="13"/>
      <c r="H644" s="14"/>
      <c r="I644" s="11"/>
      <c r="J644" s="4"/>
      <c r="K644" s="4"/>
      <c r="L644" s="7"/>
      <c r="M644" s="7"/>
      <c r="N644" s="4"/>
    </row>
    <row r="645" spans="1:14" x14ac:dyDescent="0.3">
      <c r="A645" s="10"/>
      <c r="B645" s="4"/>
      <c r="C645" s="11"/>
      <c r="D645" s="12"/>
      <c r="E645" s="12"/>
      <c r="F645" s="4"/>
      <c r="G645" s="13"/>
      <c r="H645" s="14"/>
      <c r="I645" s="11"/>
      <c r="J645" s="4"/>
      <c r="K645" s="4"/>
      <c r="L645" s="7"/>
      <c r="M645" s="7"/>
      <c r="N645" s="4"/>
    </row>
    <row r="646" spans="1:14" x14ac:dyDescent="0.3">
      <c r="A646" s="10"/>
      <c r="B646" s="4"/>
      <c r="C646" s="11"/>
      <c r="D646" s="12"/>
      <c r="E646" s="12"/>
      <c r="F646" s="4"/>
      <c r="G646" s="13"/>
      <c r="H646" s="14"/>
      <c r="I646" s="11"/>
      <c r="J646" s="4"/>
      <c r="K646" s="4"/>
      <c r="L646" s="7"/>
      <c r="M646" s="7"/>
      <c r="N646" s="4"/>
    </row>
    <row r="647" spans="1:14" x14ac:dyDescent="0.3">
      <c r="A647" s="10"/>
      <c r="B647" s="4"/>
      <c r="C647" s="11"/>
      <c r="D647" s="12"/>
      <c r="E647" s="12"/>
      <c r="F647" s="4"/>
      <c r="G647" s="13"/>
      <c r="H647" s="14"/>
      <c r="I647" s="11"/>
      <c r="J647" s="4"/>
      <c r="K647" s="4"/>
      <c r="L647" s="7"/>
      <c r="M647" s="7"/>
      <c r="N647" s="4"/>
    </row>
    <row r="648" spans="1:14" x14ac:dyDescent="0.3">
      <c r="A648" s="10"/>
      <c r="B648" s="4"/>
      <c r="C648" s="11"/>
      <c r="D648" s="12"/>
      <c r="E648" s="12"/>
      <c r="F648" s="4"/>
      <c r="G648" s="13"/>
      <c r="H648" s="14"/>
      <c r="I648" s="11"/>
      <c r="J648" s="4"/>
      <c r="K648" s="4"/>
      <c r="L648" s="7"/>
      <c r="M648" s="7"/>
      <c r="N648" s="4"/>
    </row>
    <row r="649" spans="1:14" x14ac:dyDescent="0.3">
      <c r="A649" s="10"/>
      <c r="B649" s="4"/>
      <c r="C649" s="11"/>
      <c r="D649" s="12"/>
      <c r="E649" s="12"/>
      <c r="F649" s="4"/>
      <c r="G649" s="13"/>
      <c r="H649" s="14"/>
      <c r="I649" s="11"/>
      <c r="J649" s="4"/>
      <c r="K649" s="4"/>
      <c r="L649" s="7"/>
      <c r="M649" s="7"/>
      <c r="N649" s="4"/>
    </row>
    <row r="650" spans="1:14" x14ac:dyDescent="0.3">
      <c r="A650" s="10"/>
      <c r="B650" s="4"/>
      <c r="C650" s="11"/>
      <c r="D650" s="12"/>
      <c r="E650" s="12"/>
      <c r="F650" s="4"/>
      <c r="G650" s="13"/>
      <c r="H650" s="14"/>
      <c r="I650" s="11"/>
      <c r="J650" s="4"/>
      <c r="K650" s="4"/>
      <c r="L650" s="7"/>
      <c r="M650" s="7"/>
      <c r="N650" s="4"/>
    </row>
    <row r="651" spans="1:14" x14ac:dyDescent="0.3">
      <c r="A651" s="10"/>
      <c r="B651" s="4"/>
      <c r="C651" s="11"/>
      <c r="D651" s="12"/>
      <c r="E651" s="12"/>
      <c r="F651" s="4"/>
      <c r="G651" s="13"/>
      <c r="H651" s="14"/>
      <c r="I651" s="11"/>
      <c r="J651" s="4"/>
      <c r="K651" s="4"/>
      <c r="L651" s="7"/>
      <c r="M651" s="7"/>
      <c r="N651" s="4"/>
    </row>
    <row r="652" spans="1:14" x14ac:dyDescent="0.3">
      <c r="A652" s="10"/>
      <c r="B652" s="4"/>
      <c r="C652" s="11"/>
      <c r="D652" s="12"/>
      <c r="E652" s="12"/>
      <c r="F652" s="4"/>
      <c r="G652" s="13"/>
      <c r="H652" s="14"/>
      <c r="I652" s="11"/>
      <c r="J652" s="4"/>
      <c r="K652" s="4"/>
      <c r="L652" s="7"/>
      <c r="M652" s="7"/>
      <c r="N652" s="4"/>
    </row>
    <row r="653" spans="1:14" x14ac:dyDescent="0.3">
      <c r="A653" s="10"/>
      <c r="B653" s="4"/>
      <c r="C653" s="11"/>
      <c r="D653" s="12"/>
      <c r="E653" s="12"/>
      <c r="F653" s="4"/>
      <c r="G653" s="13"/>
      <c r="H653" s="14"/>
      <c r="I653" s="11"/>
      <c r="J653" s="4"/>
      <c r="K653" s="4"/>
      <c r="L653" s="7"/>
      <c r="M653" s="7"/>
      <c r="N653" s="4"/>
    </row>
    <row r="654" spans="1:14" x14ac:dyDescent="0.3">
      <c r="A654" s="10"/>
      <c r="B654" s="4"/>
      <c r="C654" s="11"/>
      <c r="D654" s="12"/>
      <c r="E654" s="12"/>
      <c r="F654" s="4"/>
      <c r="G654" s="13"/>
      <c r="H654" s="14"/>
      <c r="I654" s="11"/>
      <c r="J654" s="4"/>
      <c r="K654" s="4"/>
      <c r="L654" s="7"/>
      <c r="M654" s="7"/>
      <c r="N654" s="4"/>
    </row>
    <row r="655" spans="1:14" x14ac:dyDescent="0.3">
      <c r="A655" s="10"/>
      <c r="B655" s="4"/>
      <c r="C655" s="11"/>
      <c r="D655" s="12"/>
      <c r="E655" s="12"/>
      <c r="F655" s="4"/>
      <c r="G655" s="13"/>
      <c r="H655" s="14"/>
      <c r="I655" s="11"/>
      <c r="J655" s="4"/>
      <c r="K655" s="4"/>
      <c r="L655" s="7"/>
      <c r="M655" s="7"/>
      <c r="N655" s="4"/>
    </row>
    <row r="656" spans="1:14" x14ac:dyDescent="0.3">
      <c r="A656" s="10"/>
      <c r="B656" s="4"/>
      <c r="C656" s="11"/>
      <c r="D656" s="12"/>
      <c r="E656" s="12"/>
      <c r="F656" s="4"/>
      <c r="G656" s="13"/>
      <c r="H656" s="14"/>
      <c r="I656" s="11"/>
      <c r="J656" s="4"/>
      <c r="K656" s="4"/>
      <c r="L656" s="7"/>
      <c r="M656" s="7"/>
      <c r="N656" s="4"/>
    </row>
    <row r="657" spans="1:14" x14ac:dyDescent="0.3">
      <c r="A657" s="10"/>
      <c r="B657" s="4"/>
      <c r="C657" s="11"/>
      <c r="D657" s="12"/>
      <c r="E657" s="12"/>
      <c r="F657" s="4"/>
      <c r="G657" s="13"/>
      <c r="H657" s="14"/>
      <c r="I657" s="11"/>
      <c r="J657" s="4"/>
      <c r="K657" s="4"/>
      <c r="L657" s="7"/>
      <c r="M657" s="7"/>
      <c r="N657" s="4"/>
    </row>
    <row r="658" spans="1:14" x14ac:dyDescent="0.3">
      <c r="A658" s="10"/>
      <c r="B658" s="4"/>
      <c r="C658" s="11"/>
      <c r="D658" s="12"/>
      <c r="E658" s="12"/>
      <c r="F658" s="4"/>
      <c r="G658" s="13"/>
      <c r="H658" s="14"/>
      <c r="I658" s="11"/>
      <c r="J658" s="4"/>
      <c r="K658" s="4"/>
      <c r="L658" s="7"/>
      <c r="M658" s="7"/>
      <c r="N658" s="4"/>
    </row>
    <row r="659" spans="1:14" x14ac:dyDescent="0.3">
      <c r="A659" s="10"/>
      <c r="B659" s="4"/>
      <c r="C659" s="11"/>
      <c r="D659" s="12"/>
      <c r="E659" s="12"/>
      <c r="F659" s="4"/>
      <c r="G659" s="13"/>
      <c r="H659" s="14"/>
      <c r="I659" s="11"/>
      <c r="J659" s="4"/>
      <c r="K659" s="4"/>
      <c r="L659" s="7"/>
      <c r="M659" s="7"/>
      <c r="N659" s="4"/>
    </row>
    <row r="660" spans="1:14" x14ac:dyDescent="0.3">
      <c r="A660" s="10"/>
      <c r="B660" s="4"/>
      <c r="C660" s="11"/>
      <c r="D660" s="12"/>
      <c r="E660" s="12"/>
      <c r="F660" s="4"/>
      <c r="G660" s="13"/>
      <c r="H660" s="14"/>
      <c r="I660" s="11"/>
      <c r="J660" s="4"/>
      <c r="K660" s="4"/>
      <c r="L660" s="7"/>
      <c r="M660" s="7"/>
      <c r="N660" s="4"/>
    </row>
    <row r="661" spans="1:14" x14ac:dyDescent="0.3">
      <c r="A661" s="10"/>
      <c r="B661" s="4"/>
      <c r="C661" s="11"/>
      <c r="D661" s="12"/>
      <c r="E661" s="12"/>
      <c r="F661" s="4"/>
      <c r="G661" s="13"/>
      <c r="H661" s="14"/>
      <c r="I661" s="11"/>
      <c r="J661" s="4"/>
      <c r="K661" s="4"/>
      <c r="L661" s="7"/>
      <c r="M661" s="7"/>
      <c r="N661" s="4"/>
    </row>
    <row r="663" spans="1:14" ht="43.2" x14ac:dyDescent="0.3">
      <c r="A663" s="1" t="s">
        <v>0</v>
      </c>
      <c r="B663" s="1" t="s">
        <v>1</v>
      </c>
      <c r="C663" s="1" t="s">
        <v>2</v>
      </c>
      <c r="D663" s="1" t="s">
        <v>3</v>
      </c>
      <c r="E663" s="1" t="s">
        <v>4</v>
      </c>
      <c r="F663" s="1" t="s">
        <v>5</v>
      </c>
      <c r="G663" s="1" t="s">
        <v>6</v>
      </c>
      <c r="H663" s="1" t="s">
        <v>7</v>
      </c>
      <c r="I663" s="1" t="s">
        <v>8</v>
      </c>
      <c r="J663" s="1" t="s">
        <v>9</v>
      </c>
      <c r="K663" s="1" t="s">
        <v>10</v>
      </c>
      <c r="L663" s="2"/>
      <c r="M663" s="2"/>
      <c r="N663" s="2"/>
    </row>
    <row r="664" spans="1:14" x14ac:dyDescent="0.3">
      <c r="A664" s="4" t="s">
        <v>11</v>
      </c>
      <c r="B664" s="3" t="str">
        <f>_xlfn.XLOOKUP($C664,'[1]Basic EMP Data - 2025'!$D$3:$D$216,'[1]Basic EMP Data - 2025'!$C$3:$C$216)</f>
        <v>VB1869</v>
      </c>
      <c r="C664" s="5" t="s">
        <v>53</v>
      </c>
      <c r="D664" s="4" t="str">
        <f>VLOOKUP($B664,'[1]Basic EMP Data - 2025'!$C$3:$F$216,3,0)</f>
        <v>Abhinay Singh</v>
      </c>
      <c r="E664" s="4">
        <f>VLOOKUP($B664,'[1]Basic EMP Data - 2025'!$C$3:$I$216,5,0)</f>
        <v>4</v>
      </c>
      <c r="F664" s="4">
        <f>VLOOKUP($B664,'[1]Basic EMP Data - 2025'!$C$3:$I$216,6,0)</f>
        <v>1</v>
      </c>
      <c r="G664" s="6">
        <f>F664/E664</f>
        <v>0.25</v>
      </c>
      <c r="H664" s="7">
        <f>SUM(L666:L684)</f>
        <v>2634.0999999999981</v>
      </c>
      <c r="I664" s="8" cm="1">
        <f t="array" ref="I664">_xlfn.IFS($G664&lt;=34%,0%,$G664&lt;=75%,3%,$G664&lt;=120%,4%,$G664&gt;120%,5%)</f>
        <v>0</v>
      </c>
      <c r="J664" s="7" cm="1">
        <f t="array" ref="J664">SUMPRODUCT((C666:C684=2024)*M666:M684) + SUMPRODUCT((C666:C684=2025)*M666:M684*2)</f>
        <v>590.71999999999946</v>
      </c>
      <c r="K664" s="4">
        <f>SUM(N666:N684)</f>
        <v>0</v>
      </c>
      <c r="M664" s="2"/>
      <c r="N664" s="2"/>
    </row>
    <row r="665" spans="1:14" ht="28.8" x14ac:dyDescent="0.3">
      <c r="A665" s="9" t="s">
        <v>2</v>
      </c>
      <c r="B665" s="9" t="s">
        <v>13</v>
      </c>
      <c r="C665" s="9" t="s">
        <v>14</v>
      </c>
      <c r="D665" s="9" t="s">
        <v>15</v>
      </c>
      <c r="E665" s="9" t="s">
        <v>16</v>
      </c>
      <c r="F665" s="9" t="s">
        <v>17</v>
      </c>
      <c r="G665" s="9" t="s">
        <v>18</v>
      </c>
      <c r="H665" s="9" t="s">
        <v>19</v>
      </c>
      <c r="I665" s="9" t="s">
        <v>20</v>
      </c>
      <c r="J665" s="9" t="s">
        <v>21</v>
      </c>
      <c r="K665" s="9" t="s">
        <v>22</v>
      </c>
      <c r="L665" s="9" t="s">
        <v>23</v>
      </c>
      <c r="M665" s="9" t="s">
        <v>24</v>
      </c>
      <c r="N665" s="9" t="s">
        <v>25</v>
      </c>
    </row>
    <row r="666" spans="1:14" x14ac:dyDescent="0.3">
      <c r="A666" s="10" t="str">
        <f>C664</f>
        <v>Rahul Srivastava</v>
      </c>
      <c r="B666" s="4" t="str" cm="1">
        <f t="array" ref="B666:M667">_xlfn.LET(
  _xlpm.data, _xlfn._xlws.FILTER('[1]Incentive Data'!A:BV, '[1]Incentive Data'!H:H=$C664),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Ravikant Sharma</v>
      </c>
      <c r="C666" s="11">
        <v>2025</v>
      </c>
      <c r="D666" s="12">
        <v>45694</v>
      </c>
      <c r="E666" s="12" t="str">
        <v>-</v>
      </c>
      <c r="F666" s="4" t="str">
        <v>Government of Alberta</v>
      </c>
      <c r="G666" s="13" t="str">
        <v>PLC-4118</v>
      </c>
      <c r="H666" s="14" t="str">
        <v>C2C</v>
      </c>
      <c r="I666" s="11" t="str">
        <v>Done</v>
      </c>
      <c r="J666" s="4" t="str">
        <v>Y</v>
      </c>
      <c r="K666" s="4">
        <v>319</v>
      </c>
      <c r="L666" s="7">
        <v>2264.8999999999983</v>
      </c>
      <c r="M666" s="7">
        <v>0</v>
      </c>
      <c r="N666" s="4"/>
    </row>
    <row r="667" spans="1:14" x14ac:dyDescent="0.3">
      <c r="A667" s="10"/>
      <c r="B667" s="4" t="str">
        <v>Sukanya Salapu</v>
      </c>
      <c r="C667" s="11">
        <v>2024</v>
      </c>
      <c r="D667" s="12">
        <v>45632</v>
      </c>
      <c r="E667" s="12">
        <v>45680</v>
      </c>
      <c r="F667" s="4" t="str">
        <v>Synechron</v>
      </c>
      <c r="G667" s="13" t="str">
        <v>PLC-4066</v>
      </c>
      <c r="H667" s="14" t="str">
        <v>C2C</v>
      </c>
      <c r="I667" s="11" t="str">
        <v>Done</v>
      </c>
      <c r="J667" s="4" t="str">
        <v>Y</v>
      </c>
      <c r="K667" s="4">
        <v>208</v>
      </c>
      <c r="L667" s="7">
        <v>369.1999999999997</v>
      </c>
      <c r="M667" s="7">
        <v>590.71999999999946</v>
      </c>
      <c r="N667" s="4"/>
    </row>
    <row r="668" spans="1:14" x14ac:dyDescent="0.3">
      <c r="A668" s="10"/>
      <c r="B668" s="4"/>
      <c r="C668" s="11"/>
      <c r="D668" s="12"/>
      <c r="E668" s="12"/>
      <c r="F668" s="4"/>
      <c r="G668" s="13"/>
      <c r="H668" s="14"/>
      <c r="I668" s="11"/>
      <c r="J668" s="4"/>
      <c r="K668" s="4"/>
      <c r="L668" s="7"/>
      <c r="M668" s="7"/>
      <c r="N668" s="4"/>
    </row>
    <row r="669" spans="1:14" x14ac:dyDescent="0.3">
      <c r="A669" s="10"/>
      <c r="B669" s="4"/>
      <c r="C669" s="11"/>
      <c r="D669" s="12"/>
      <c r="E669" s="12"/>
      <c r="F669" s="4"/>
      <c r="G669" s="13"/>
      <c r="H669" s="14"/>
      <c r="I669" s="11"/>
      <c r="J669" s="4"/>
      <c r="K669" s="4"/>
      <c r="L669" s="7"/>
      <c r="M669" s="7"/>
      <c r="N669" s="4"/>
    </row>
    <row r="670" spans="1:14" x14ac:dyDescent="0.3">
      <c r="A670" s="10"/>
      <c r="B670" s="4"/>
      <c r="C670" s="11"/>
      <c r="D670" s="12"/>
      <c r="E670" s="12"/>
      <c r="F670" s="4"/>
      <c r="G670" s="13"/>
      <c r="H670" s="14"/>
      <c r="I670" s="11"/>
      <c r="J670" s="4"/>
      <c r="K670" s="4"/>
      <c r="L670" s="7"/>
      <c r="M670" s="7"/>
      <c r="N670" s="4"/>
    </row>
    <row r="671" spans="1:14" x14ac:dyDescent="0.3">
      <c r="A671" s="10"/>
      <c r="B671" s="4"/>
      <c r="C671" s="11"/>
      <c r="D671" s="12"/>
      <c r="E671" s="12"/>
      <c r="F671" s="4"/>
      <c r="G671" s="13"/>
      <c r="H671" s="14"/>
      <c r="I671" s="11"/>
      <c r="J671" s="4"/>
      <c r="K671" s="4"/>
      <c r="L671" s="7"/>
      <c r="M671" s="7"/>
      <c r="N671" s="4"/>
    </row>
    <row r="672" spans="1:14" x14ac:dyDescent="0.3">
      <c r="A672" s="10"/>
      <c r="B672" s="4"/>
      <c r="C672" s="11"/>
      <c r="D672" s="12"/>
      <c r="E672" s="12"/>
      <c r="F672" s="4"/>
      <c r="G672" s="13"/>
      <c r="H672" s="14"/>
      <c r="I672" s="11"/>
      <c r="J672" s="4"/>
      <c r="K672" s="4"/>
      <c r="L672" s="7"/>
      <c r="M672" s="7"/>
      <c r="N672" s="4"/>
    </row>
    <row r="673" spans="1:14" x14ac:dyDescent="0.3">
      <c r="A673" s="10"/>
      <c r="B673" s="4"/>
      <c r="C673" s="11"/>
      <c r="D673" s="12"/>
      <c r="E673" s="12"/>
      <c r="F673" s="4"/>
      <c r="G673" s="13"/>
      <c r="H673" s="14"/>
      <c r="I673" s="11"/>
      <c r="J673" s="4"/>
      <c r="K673" s="4"/>
      <c r="L673" s="7"/>
      <c r="M673" s="7"/>
      <c r="N673" s="4"/>
    </row>
    <row r="674" spans="1:14" x14ac:dyDescent="0.3">
      <c r="A674" s="10"/>
      <c r="B674" s="4"/>
      <c r="C674" s="11"/>
      <c r="D674" s="12"/>
      <c r="E674" s="12"/>
      <c r="F674" s="4"/>
      <c r="G674" s="13"/>
      <c r="H674" s="14"/>
      <c r="I674" s="11"/>
      <c r="J674" s="4"/>
      <c r="K674" s="4"/>
      <c r="L674" s="7"/>
      <c r="M674" s="7"/>
      <c r="N674" s="4"/>
    </row>
    <row r="675" spans="1:14" x14ac:dyDescent="0.3">
      <c r="A675" s="10"/>
      <c r="B675" s="4"/>
      <c r="C675" s="11"/>
      <c r="D675" s="12"/>
      <c r="E675" s="12"/>
      <c r="F675" s="4"/>
      <c r="G675" s="13"/>
      <c r="H675" s="14"/>
      <c r="I675" s="11"/>
      <c r="J675" s="4"/>
      <c r="K675" s="4"/>
      <c r="L675" s="7"/>
      <c r="M675" s="7"/>
      <c r="N675" s="4"/>
    </row>
    <row r="676" spans="1:14" x14ac:dyDescent="0.3">
      <c r="A676" s="10"/>
      <c r="B676" s="4"/>
      <c r="C676" s="11"/>
      <c r="D676" s="12"/>
      <c r="E676" s="12"/>
      <c r="F676" s="4"/>
      <c r="G676" s="13"/>
      <c r="H676" s="14"/>
      <c r="I676" s="11"/>
      <c r="J676" s="4"/>
      <c r="K676" s="4"/>
      <c r="L676" s="7"/>
      <c r="M676" s="7"/>
      <c r="N676" s="4"/>
    </row>
    <row r="677" spans="1:14" x14ac:dyDescent="0.3">
      <c r="A677" s="10"/>
      <c r="B677" s="4"/>
      <c r="C677" s="11"/>
      <c r="D677" s="12"/>
      <c r="E677" s="12"/>
      <c r="F677" s="4"/>
      <c r="G677" s="13"/>
      <c r="H677" s="14"/>
      <c r="I677" s="11"/>
      <c r="J677" s="4"/>
      <c r="K677" s="4"/>
      <c r="L677" s="7"/>
      <c r="M677" s="7"/>
      <c r="N677" s="4"/>
    </row>
    <row r="678" spans="1:14" x14ac:dyDescent="0.3">
      <c r="A678" s="10"/>
      <c r="B678" s="4"/>
      <c r="C678" s="11"/>
      <c r="D678" s="12"/>
      <c r="E678" s="12"/>
      <c r="F678" s="4"/>
      <c r="G678" s="13"/>
      <c r="H678" s="14"/>
      <c r="I678" s="11"/>
      <c r="J678" s="4"/>
      <c r="K678" s="4"/>
      <c r="L678" s="7"/>
      <c r="M678" s="7"/>
      <c r="N678" s="4"/>
    </row>
    <row r="679" spans="1:14" x14ac:dyDescent="0.3">
      <c r="A679" s="10"/>
      <c r="B679" s="4"/>
      <c r="C679" s="11"/>
      <c r="D679" s="12"/>
      <c r="E679" s="12"/>
      <c r="F679" s="4"/>
      <c r="G679" s="13"/>
      <c r="H679" s="14"/>
      <c r="I679" s="11"/>
      <c r="J679" s="4"/>
      <c r="K679" s="4"/>
      <c r="L679" s="7"/>
      <c r="M679" s="7"/>
      <c r="N679" s="4"/>
    </row>
    <row r="680" spans="1:14" x14ac:dyDescent="0.3">
      <c r="A680" s="10"/>
      <c r="B680" s="4"/>
      <c r="C680" s="11"/>
      <c r="D680" s="12"/>
      <c r="E680" s="12"/>
      <c r="F680" s="4"/>
      <c r="G680" s="13"/>
      <c r="H680" s="14"/>
      <c r="I680" s="11"/>
      <c r="J680" s="4"/>
      <c r="K680" s="4"/>
      <c r="L680" s="7"/>
      <c r="M680" s="7"/>
      <c r="N680" s="4"/>
    </row>
    <row r="681" spans="1:14" x14ac:dyDescent="0.3">
      <c r="A681" s="10"/>
      <c r="B681" s="4"/>
      <c r="C681" s="11"/>
      <c r="D681" s="12"/>
      <c r="E681" s="12"/>
      <c r="F681" s="4"/>
      <c r="G681" s="13"/>
      <c r="H681" s="14"/>
      <c r="I681" s="11"/>
      <c r="J681" s="4"/>
      <c r="K681" s="4"/>
      <c r="L681" s="7"/>
      <c r="M681" s="7"/>
      <c r="N681" s="4"/>
    </row>
    <row r="682" spans="1:14" x14ac:dyDescent="0.3">
      <c r="A682" s="10"/>
      <c r="B682" s="4"/>
      <c r="C682" s="11"/>
      <c r="D682" s="12"/>
      <c r="E682" s="12"/>
      <c r="F682" s="4"/>
      <c r="G682" s="13"/>
      <c r="H682" s="14"/>
      <c r="I682" s="11"/>
      <c r="J682" s="4"/>
      <c r="K682" s="4"/>
      <c r="L682" s="7"/>
      <c r="M682" s="7"/>
      <c r="N682" s="4"/>
    </row>
    <row r="683" spans="1:14" x14ac:dyDescent="0.3">
      <c r="A683" s="10"/>
      <c r="B683" s="4"/>
      <c r="C683" s="11"/>
      <c r="D683" s="12"/>
      <c r="E683" s="12"/>
      <c r="F683" s="4"/>
      <c r="G683" s="13"/>
      <c r="H683" s="14"/>
      <c r="I683" s="11"/>
      <c r="J683" s="4"/>
      <c r="K683" s="4"/>
      <c r="L683" s="7"/>
      <c r="M683" s="7"/>
      <c r="N683" s="4"/>
    </row>
    <row r="684" spans="1:14" x14ac:dyDescent="0.3">
      <c r="A684" s="10"/>
      <c r="B684" s="4"/>
      <c r="C684" s="11"/>
      <c r="D684" s="12"/>
      <c r="E684" s="12"/>
      <c r="F684" s="4"/>
      <c r="G684" s="13"/>
      <c r="H684" s="14"/>
      <c r="I684" s="11"/>
      <c r="J684" s="4"/>
      <c r="K684" s="4"/>
      <c r="L684" s="7"/>
      <c r="M684" s="7"/>
      <c r="N684" s="4"/>
    </row>
    <row r="687" spans="1:14" ht="43.2" x14ac:dyDescent="0.3">
      <c r="A687" s="1" t="s">
        <v>0</v>
      </c>
      <c r="B687" s="1" t="s">
        <v>1</v>
      </c>
      <c r="C687" s="1" t="s">
        <v>2</v>
      </c>
      <c r="D687" s="1" t="s">
        <v>3</v>
      </c>
      <c r="E687" s="1" t="s">
        <v>4</v>
      </c>
      <c r="F687" s="1" t="s">
        <v>5</v>
      </c>
      <c r="G687" s="1" t="s">
        <v>6</v>
      </c>
      <c r="H687" s="1" t="s">
        <v>7</v>
      </c>
      <c r="I687" s="1" t="s">
        <v>8</v>
      </c>
      <c r="J687" s="1" t="s">
        <v>9</v>
      </c>
      <c r="K687" s="1" t="s">
        <v>10</v>
      </c>
      <c r="L687" s="2"/>
      <c r="M687" s="2"/>
      <c r="N687" s="2"/>
    </row>
    <row r="688" spans="1:14" x14ac:dyDescent="0.3">
      <c r="A688" s="4" t="s">
        <v>11</v>
      </c>
      <c r="B688" s="3" t="str">
        <f>_xlfn.XLOOKUP($C688,'[1]Basic EMP Data - 2025'!$D$3:$D$216,'[1]Basic EMP Data - 2025'!$C$3:$C$216)</f>
        <v>VB2280</v>
      </c>
      <c r="C688" s="5" t="s">
        <v>54</v>
      </c>
      <c r="D688" s="4" t="str">
        <f>VLOOKUP($B688,'[1]Basic EMP Data - 2025'!$C$3:$F$216,3,0)</f>
        <v>Abhinay Singh</v>
      </c>
      <c r="E688" s="4">
        <f>VLOOKUP($B688,'[1]Basic EMP Data - 2025'!$C$3:$I$216,5,0)</f>
        <v>0</v>
      </c>
      <c r="F688" s="4">
        <f>VLOOKUP($B688,'[1]Basic EMP Data - 2025'!$C$3:$I$216,6,0)</f>
        <v>0</v>
      </c>
      <c r="G688" s="6" t="e">
        <f>F688/E688</f>
        <v>#DIV/0!</v>
      </c>
      <c r="H688" s="7">
        <f>SUM(L690:L708)</f>
        <v>0</v>
      </c>
      <c r="I688" s="8" t="e" cm="1">
        <f t="array" ref="I688">_xlfn.IFS($G688&lt;=34%,0%,$G688&lt;=75%,3%,$G688&lt;=120%,4%,$G688&gt;120%,5%)</f>
        <v>#DIV/0!</v>
      </c>
      <c r="J688" s="7" cm="1">
        <f t="array" ref="J688">SUMPRODUCT((C690:C708=2024)*M690:M708) + SUMPRODUCT((C690:C708=2025)*M690:M708*2)</f>
        <v>0</v>
      </c>
      <c r="K688" s="4">
        <f>SUM(N690:N708)</f>
        <v>0</v>
      </c>
      <c r="M688" s="2"/>
      <c r="N688" s="2"/>
    </row>
    <row r="689" spans="1:14" ht="28.8" x14ac:dyDescent="0.3">
      <c r="A689" s="9" t="s">
        <v>2</v>
      </c>
      <c r="B689" s="9" t="s">
        <v>13</v>
      </c>
      <c r="C689" s="9" t="s">
        <v>14</v>
      </c>
      <c r="D689" s="9" t="s">
        <v>15</v>
      </c>
      <c r="E689" s="9" t="s">
        <v>16</v>
      </c>
      <c r="F689" s="9" t="s">
        <v>17</v>
      </c>
      <c r="G689" s="9" t="s">
        <v>18</v>
      </c>
      <c r="H689" s="9" t="s">
        <v>19</v>
      </c>
      <c r="I689" s="9" t="s">
        <v>20</v>
      </c>
      <c r="J689" s="9" t="s">
        <v>21</v>
      </c>
      <c r="K689" s="9" t="s">
        <v>22</v>
      </c>
      <c r="L689" s="9" t="s">
        <v>23</v>
      </c>
      <c r="M689" s="9" t="s">
        <v>24</v>
      </c>
      <c r="N689" s="9" t="s">
        <v>25</v>
      </c>
    </row>
    <row r="690" spans="1:14" x14ac:dyDescent="0.3">
      <c r="A690" s="10" t="str">
        <f>C688</f>
        <v>Sameer Dev</v>
      </c>
      <c r="B690" s="4" t="e" cm="1" vm="1">
        <f t="array" ref="B690">_xlfn.LET(
  _xlpm.data, _xlfn._xlws.FILTER('[1]Incentive Data'!A:BV, '[1]Incentive Data'!H:H=$C688),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90" s="11"/>
      <c r="D690" s="12"/>
      <c r="E690" s="12"/>
      <c r="F690" s="4"/>
      <c r="G690" s="13"/>
      <c r="H690" s="14"/>
      <c r="I690" s="11"/>
      <c r="J690" s="4"/>
      <c r="K690" s="4"/>
      <c r="L690" s="7"/>
      <c r="M690" s="7"/>
      <c r="N690" s="4"/>
    </row>
    <row r="691" spans="1:14" x14ac:dyDescent="0.3">
      <c r="A691" s="10"/>
      <c r="B691" s="4"/>
      <c r="C691" s="11"/>
      <c r="D691" s="12"/>
      <c r="E691" s="12"/>
      <c r="F691" s="4"/>
      <c r="G691" s="13"/>
      <c r="H691" s="14"/>
      <c r="I691" s="11"/>
      <c r="J691" s="4"/>
      <c r="K691" s="4"/>
      <c r="L691" s="7"/>
      <c r="M691" s="7"/>
      <c r="N691" s="4"/>
    </row>
    <row r="692" spans="1:14" x14ac:dyDescent="0.3">
      <c r="A692" s="10"/>
      <c r="B692" s="4"/>
      <c r="C692" s="11"/>
      <c r="D692" s="12"/>
      <c r="E692" s="12"/>
      <c r="F692" s="4"/>
      <c r="G692" s="13"/>
      <c r="H692" s="14"/>
      <c r="I692" s="11"/>
      <c r="J692" s="4"/>
      <c r="K692" s="4"/>
      <c r="L692" s="7"/>
      <c r="M692" s="7"/>
      <c r="N692" s="4"/>
    </row>
    <row r="693" spans="1:14" x14ac:dyDescent="0.3">
      <c r="A693" s="10"/>
      <c r="B693" s="4"/>
      <c r="C693" s="11"/>
      <c r="D693" s="12"/>
      <c r="E693" s="12"/>
      <c r="F693" s="4"/>
      <c r="G693" s="13"/>
      <c r="H693" s="14"/>
      <c r="I693" s="11"/>
      <c r="J693" s="4"/>
      <c r="K693" s="4"/>
      <c r="L693" s="7"/>
      <c r="M693" s="7"/>
      <c r="N693" s="4"/>
    </row>
    <row r="694" spans="1:14" x14ac:dyDescent="0.3">
      <c r="A694" s="10"/>
      <c r="B694" s="4"/>
      <c r="C694" s="11"/>
      <c r="D694" s="12"/>
      <c r="E694" s="12"/>
      <c r="F694" s="4"/>
      <c r="G694" s="13"/>
      <c r="H694" s="14"/>
      <c r="I694" s="11"/>
      <c r="J694" s="4"/>
      <c r="K694" s="4"/>
      <c r="L694" s="7"/>
      <c r="M694" s="7"/>
      <c r="N694" s="4"/>
    </row>
    <row r="695" spans="1:14" x14ac:dyDescent="0.3">
      <c r="A695" s="10"/>
      <c r="B695" s="4"/>
      <c r="C695" s="11"/>
      <c r="D695" s="12"/>
      <c r="E695" s="12"/>
      <c r="F695" s="4"/>
      <c r="G695" s="13"/>
      <c r="H695" s="14"/>
      <c r="I695" s="11"/>
      <c r="J695" s="4"/>
      <c r="K695" s="4"/>
      <c r="L695" s="7"/>
      <c r="M695" s="7"/>
      <c r="N695" s="4"/>
    </row>
    <row r="696" spans="1:14" x14ac:dyDescent="0.3">
      <c r="A696" s="10"/>
      <c r="B696" s="4"/>
      <c r="C696" s="11"/>
      <c r="D696" s="12"/>
      <c r="E696" s="12"/>
      <c r="F696" s="4"/>
      <c r="G696" s="13"/>
      <c r="H696" s="14"/>
      <c r="I696" s="11"/>
      <c r="J696" s="4"/>
      <c r="K696" s="4"/>
      <c r="L696" s="7"/>
      <c r="M696" s="7"/>
      <c r="N696" s="4"/>
    </row>
    <row r="697" spans="1:14" x14ac:dyDescent="0.3">
      <c r="A697" s="10"/>
      <c r="B697" s="4"/>
      <c r="C697" s="11"/>
      <c r="D697" s="12"/>
      <c r="E697" s="12"/>
      <c r="F697" s="4"/>
      <c r="G697" s="13"/>
      <c r="H697" s="14"/>
      <c r="I697" s="11"/>
      <c r="J697" s="4"/>
      <c r="K697" s="4"/>
      <c r="L697" s="7"/>
      <c r="M697" s="7"/>
      <c r="N697" s="4"/>
    </row>
    <row r="698" spans="1:14" x14ac:dyDescent="0.3">
      <c r="A698" s="10"/>
      <c r="B698" s="4"/>
      <c r="C698" s="11"/>
      <c r="D698" s="12"/>
      <c r="E698" s="12"/>
      <c r="F698" s="4"/>
      <c r="G698" s="13"/>
      <c r="H698" s="14"/>
      <c r="I698" s="11"/>
      <c r="J698" s="4"/>
      <c r="K698" s="4"/>
      <c r="L698" s="7"/>
      <c r="M698" s="7"/>
      <c r="N698" s="4"/>
    </row>
    <row r="699" spans="1:14" x14ac:dyDescent="0.3">
      <c r="A699" s="10"/>
      <c r="B699" s="4"/>
      <c r="C699" s="11"/>
      <c r="D699" s="12"/>
      <c r="E699" s="12"/>
      <c r="F699" s="4"/>
      <c r="G699" s="13"/>
      <c r="H699" s="14"/>
      <c r="I699" s="11"/>
      <c r="J699" s="4"/>
      <c r="K699" s="4"/>
      <c r="L699" s="7"/>
      <c r="M699" s="7"/>
      <c r="N699" s="4"/>
    </row>
    <row r="700" spans="1:14" x14ac:dyDescent="0.3">
      <c r="A700" s="10"/>
      <c r="B700" s="4"/>
      <c r="C700" s="11"/>
      <c r="D700" s="12"/>
      <c r="E700" s="12"/>
      <c r="F700" s="4"/>
      <c r="G700" s="13"/>
      <c r="H700" s="14"/>
      <c r="I700" s="11"/>
      <c r="J700" s="4"/>
      <c r="K700" s="4"/>
      <c r="L700" s="7"/>
      <c r="M700" s="7"/>
      <c r="N700" s="4"/>
    </row>
    <row r="701" spans="1:14" x14ac:dyDescent="0.3">
      <c r="A701" s="10"/>
      <c r="B701" s="4"/>
      <c r="C701" s="11"/>
      <c r="D701" s="12"/>
      <c r="E701" s="12"/>
      <c r="F701" s="4"/>
      <c r="G701" s="13"/>
      <c r="H701" s="14"/>
      <c r="I701" s="11"/>
      <c r="J701" s="4"/>
      <c r="K701" s="4"/>
      <c r="L701" s="7"/>
      <c r="M701" s="7"/>
      <c r="N701" s="4"/>
    </row>
    <row r="702" spans="1:14" x14ac:dyDescent="0.3">
      <c r="A702" s="10"/>
      <c r="B702" s="4"/>
      <c r="C702" s="11"/>
      <c r="D702" s="12"/>
      <c r="E702" s="12"/>
      <c r="F702" s="4"/>
      <c r="G702" s="13"/>
      <c r="H702" s="14"/>
      <c r="I702" s="11"/>
      <c r="J702" s="4"/>
      <c r="K702" s="4"/>
      <c r="L702" s="7"/>
      <c r="M702" s="7"/>
      <c r="N702" s="4"/>
    </row>
    <row r="703" spans="1:14" x14ac:dyDescent="0.3">
      <c r="A703" s="10"/>
      <c r="B703" s="4"/>
      <c r="C703" s="11"/>
      <c r="D703" s="12"/>
      <c r="E703" s="12"/>
      <c r="F703" s="4"/>
      <c r="G703" s="13"/>
      <c r="H703" s="14"/>
      <c r="I703" s="11"/>
      <c r="J703" s="4"/>
      <c r="K703" s="4"/>
      <c r="L703" s="7"/>
      <c r="M703" s="7"/>
      <c r="N703" s="4"/>
    </row>
    <row r="704" spans="1:14" x14ac:dyDescent="0.3">
      <c r="A704" s="10"/>
      <c r="B704" s="4"/>
      <c r="C704" s="11"/>
      <c r="D704" s="12"/>
      <c r="E704" s="12"/>
      <c r="F704" s="4"/>
      <c r="G704" s="13"/>
      <c r="H704" s="14"/>
      <c r="I704" s="11"/>
      <c r="J704" s="4"/>
      <c r="K704" s="4"/>
      <c r="L704" s="7"/>
      <c r="M704" s="7"/>
      <c r="N704" s="4"/>
    </row>
    <row r="705" spans="1:14" x14ac:dyDescent="0.3">
      <c r="A705" s="10"/>
      <c r="B705" s="4"/>
      <c r="C705" s="11"/>
      <c r="D705" s="12"/>
      <c r="E705" s="12"/>
      <c r="F705" s="4"/>
      <c r="G705" s="13"/>
      <c r="H705" s="14"/>
      <c r="I705" s="11"/>
      <c r="J705" s="4"/>
      <c r="K705" s="4"/>
      <c r="L705" s="7"/>
      <c r="M705" s="7"/>
      <c r="N705" s="4"/>
    </row>
    <row r="706" spans="1:14" x14ac:dyDescent="0.3">
      <c r="A706" s="10"/>
      <c r="B706" s="4"/>
      <c r="C706" s="11"/>
      <c r="D706" s="12"/>
      <c r="E706" s="12"/>
      <c r="F706" s="4"/>
      <c r="G706" s="13"/>
      <c r="H706" s="14"/>
      <c r="I706" s="11"/>
      <c r="J706" s="4"/>
      <c r="K706" s="4"/>
      <c r="L706" s="7"/>
      <c r="M706" s="7"/>
      <c r="N706" s="4"/>
    </row>
    <row r="707" spans="1:14" x14ac:dyDescent="0.3">
      <c r="A707" s="10"/>
      <c r="B707" s="4"/>
      <c r="C707" s="11"/>
      <c r="D707" s="12"/>
      <c r="E707" s="12"/>
      <c r="F707" s="4"/>
      <c r="G707" s="13"/>
      <c r="H707" s="14"/>
      <c r="I707" s="11"/>
      <c r="J707" s="4"/>
      <c r="K707" s="4"/>
      <c r="L707" s="7"/>
      <c r="M707" s="7"/>
      <c r="N707" s="4"/>
    </row>
    <row r="708" spans="1:14" x14ac:dyDescent="0.3">
      <c r="A708" s="10"/>
      <c r="B708" s="4"/>
      <c r="C708" s="11"/>
      <c r="D708" s="12"/>
      <c r="E708" s="12"/>
      <c r="F708" s="4"/>
      <c r="G708" s="13"/>
      <c r="H708" s="14"/>
      <c r="I708" s="11"/>
      <c r="J708" s="4"/>
      <c r="K708" s="4"/>
      <c r="L708" s="7"/>
      <c r="M708" s="7"/>
      <c r="N708" s="4"/>
    </row>
  </sheetData>
  <mergeCells count="30">
    <mergeCell ref="A571:A589"/>
    <mergeCell ref="A595:A613"/>
    <mergeCell ref="A619:A637"/>
    <mergeCell ref="A643:A661"/>
    <mergeCell ref="A666:A684"/>
    <mergeCell ref="A690:A708"/>
    <mergeCell ref="A431:A449"/>
    <mergeCell ref="A454:A472"/>
    <mergeCell ref="A477:A495"/>
    <mergeCell ref="A500:A518"/>
    <mergeCell ref="A524:A542"/>
    <mergeCell ref="A547:A565"/>
    <mergeCell ref="A290:A308"/>
    <mergeCell ref="A314:A332"/>
    <mergeCell ref="A338:A356"/>
    <mergeCell ref="A361:A379"/>
    <mergeCell ref="A384:A402"/>
    <mergeCell ref="A408:A426"/>
    <mergeCell ref="A147:A165"/>
    <mergeCell ref="A171:A189"/>
    <mergeCell ref="A196:A214"/>
    <mergeCell ref="A220:A238"/>
    <mergeCell ref="A244:A262"/>
    <mergeCell ref="A267:A285"/>
    <mergeCell ref="A4:A22"/>
    <mergeCell ref="A27:A45"/>
    <mergeCell ref="A51:A69"/>
    <mergeCell ref="A75:A93"/>
    <mergeCell ref="A99:A117"/>
    <mergeCell ref="A122:A140"/>
  </mergeCells>
  <conditionalFormatting sqref="B4:B22">
    <cfRule type="duplicateValues" dxfId="300" priority="357"/>
  </conditionalFormatting>
  <conditionalFormatting sqref="B23 B46:B47 B70:B71 B94:B95 B118 B141:B143 B166:B167 B190:B192 B215:B216 B239:B240 B263 B286 B309:B310 B333:B334 B357 B380 B403:B404 B427 B450 B473 B496 B519:B520 B543 B566:B567 B590:B591 B614:B615 B638:B639 B662 B685:B686 B709:B1048576">
    <cfRule type="duplicateValues" dxfId="299" priority="361"/>
  </conditionalFormatting>
  <conditionalFormatting sqref="B27:B45">
    <cfRule type="duplicateValues" dxfId="298" priority="345"/>
  </conditionalFormatting>
  <conditionalFormatting sqref="B51:B69">
    <cfRule type="duplicateValues" dxfId="297" priority="333"/>
  </conditionalFormatting>
  <conditionalFormatting sqref="B75:B93">
    <cfRule type="duplicateValues" dxfId="296" priority="321"/>
  </conditionalFormatting>
  <conditionalFormatting sqref="B99:B117">
    <cfRule type="duplicateValues" dxfId="295" priority="309"/>
  </conditionalFormatting>
  <conditionalFormatting sqref="B122:B140">
    <cfRule type="duplicateValues" dxfId="294" priority="297"/>
  </conditionalFormatting>
  <conditionalFormatting sqref="B147:B165">
    <cfRule type="duplicateValues" dxfId="293" priority="285"/>
  </conditionalFormatting>
  <conditionalFormatting sqref="B171:B189">
    <cfRule type="duplicateValues" dxfId="292" priority="273"/>
  </conditionalFormatting>
  <conditionalFormatting sqref="B196:B214">
    <cfRule type="duplicateValues" dxfId="291" priority="261"/>
  </conditionalFormatting>
  <conditionalFormatting sqref="B220:B238">
    <cfRule type="duplicateValues" dxfId="290" priority="249"/>
  </conditionalFormatting>
  <conditionalFormatting sqref="B244:B262">
    <cfRule type="duplicateValues" dxfId="289" priority="237"/>
  </conditionalFormatting>
  <conditionalFormatting sqref="B267:B285">
    <cfRule type="duplicateValues" dxfId="288" priority="225"/>
  </conditionalFormatting>
  <conditionalFormatting sqref="B290:B308">
    <cfRule type="duplicateValues" dxfId="287" priority="213"/>
  </conditionalFormatting>
  <conditionalFormatting sqref="B314:B332">
    <cfRule type="duplicateValues" dxfId="286" priority="201"/>
  </conditionalFormatting>
  <conditionalFormatting sqref="B338:B356">
    <cfRule type="duplicateValues" dxfId="285" priority="189"/>
  </conditionalFormatting>
  <conditionalFormatting sqref="B361:B379">
    <cfRule type="duplicateValues" dxfId="284" priority="177"/>
  </conditionalFormatting>
  <conditionalFormatting sqref="B384:B402">
    <cfRule type="duplicateValues" dxfId="283" priority="165"/>
  </conditionalFormatting>
  <conditionalFormatting sqref="B408:B426">
    <cfRule type="duplicateValues" dxfId="282" priority="153"/>
  </conditionalFormatting>
  <conditionalFormatting sqref="B431:B449">
    <cfRule type="duplicateValues" dxfId="281" priority="141"/>
  </conditionalFormatting>
  <conditionalFormatting sqref="B454:B472">
    <cfRule type="duplicateValues" dxfId="280" priority="129"/>
  </conditionalFormatting>
  <conditionalFormatting sqref="B477:B495">
    <cfRule type="duplicateValues" dxfId="279" priority="117"/>
  </conditionalFormatting>
  <conditionalFormatting sqref="B500:B518">
    <cfRule type="duplicateValues" dxfId="278" priority="105"/>
  </conditionalFormatting>
  <conditionalFormatting sqref="B524:B542">
    <cfRule type="duplicateValues" dxfId="277" priority="93"/>
  </conditionalFormatting>
  <conditionalFormatting sqref="B547:B565">
    <cfRule type="duplicateValues" dxfId="276" priority="81"/>
  </conditionalFormatting>
  <conditionalFormatting sqref="B571:B589">
    <cfRule type="duplicateValues" dxfId="275" priority="69"/>
  </conditionalFormatting>
  <conditionalFormatting sqref="B595:B613">
    <cfRule type="duplicateValues" dxfId="274" priority="57"/>
  </conditionalFormatting>
  <conditionalFormatting sqref="B619:B637">
    <cfRule type="duplicateValues" dxfId="273" priority="45"/>
  </conditionalFormatting>
  <conditionalFormatting sqref="B643:B661">
    <cfRule type="duplicateValues" dxfId="272" priority="33"/>
  </conditionalFormatting>
  <conditionalFormatting sqref="B666:B684">
    <cfRule type="duplicateValues" dxfId="271" priority="21"/>
  </conditionalFormatting>
  <conditionalFormatting sqref="B690:B708">
    <cfRule type="duplicateValues" dxfId="270" priority="9"/>
  </conditionalFormatting>
  <conditionalFormatting sqref="H4:H22">
    <cfRule type="containsText" dxfId="267" priority="353" operator="containsText" text="No Bill No Pay">
      <formula>NOT(ISERROR(SEARCH("No Bill No Pay",H4)))</formula>
    </cfRule>
    <cfRule type="cellIs" priority="354" operator="equal">
      <formula>"No Bill No Pay"</formula>
    </cfRule>
    <cfRule type="containsText" dxfId="269" priority="355" operator="containsText" text="Pending">
      <formula>NOT(ISERROR(SEARCH("Pending",H4)))</formula>
    </cfRule>
    <cfRule type="containsText" dxfId="268" priority="356" operator="containsText" text="Done">
      <formula>NOT(ISERROR(SEARCH("Done",H4)))</formula>
    </cfRule>
  </conditionalFormatting>
  <conditionalFormatting sqref="H27:H45">
    <cfRule type="containsText" dxfId="266" priority="341" operator="containsText" text="No Bill No Pay">
      <formula>NOT(ISERROR(SEARCH("No Bill No Pay",H27)))</formula>
    </cfRule>
    <cfRule type="cellIs" priority="342" operator="equal">
      <formula>"No Bill No Pay"</formula>
    </cfRule>
    <cfRule type="containsText" dxfId="265" priority="343" operator="containsText" text="Pending">
      <formula>NOT(ISERROR(SEARCH("Pending",H27)))</formula>
    </cfRule>
    <cfRule type="containsText" dxfId="264" priority="344" operator="containsText" text="Done">
      <formula>NOT(ISERROR(SEARCH("Done",H27)))</formula>
    </cfRule>
  </conditionalFormatting>
  <conditionalFormatting sqref="H51:H69">
    <cfRule type="containsText" dxfId="261" priority="329" operator="containsText" text="No Bill No Pay">
      <formula>NOT(ISERROR(SEARCH("No Bill No Pay",H51)))</formula>
    </cfRule>
    <cfRule type="cellIs" priority="330" operator="equal">
      <formula>"No Bill No Pay"</formula>
    </cfRule>
    <cfRule type="containsText" dxfId="262" priority="331" operator="containsText" text="Pending">
      <formula>NOT(ISERROR(SEARCH("Pending",H51)))</formula>
    </cfRule>
    <cfRule type="containsText" dxfId="263" priority="332" operator="containsText" text="Done">
      <formula>NOT(ISERROR(SEARCH("Done",H51)))</formula>
    </cfRule>
  </conditionalFormatting>
  <conditionalFormatting sqref="H75:H93">
    <cfRule type="containsText" dxfId="258" priority="317" operator="containsText" text="No Bill No Pay">
      <formula>NOT(ISERROR(SEARCH("No Bill No Pay",H75)))</formula>
    </cfRule>
    <cfRule type="cellIs" priority="318" operator="equal">
      <formula>"No Bill No Pay"</formula>
    </cfRule>
    <cfRule type="containsText" dxfId="260" priority="319" operator="containsText" text="Pending">
      <formula>NOT(ISERROR(SEARCH("Pending",H75)))</formula>
    </cfRule>
    <cfRule type="containsText" dxfId="259" priority="320" operator="containsText" text="Done">
      <formula>NOT(ISERROR(SEARCH("Done",H75)))</formula>
    </cfRule>
  </conditionalFormatting>
  <conditionalFormatting sqref="H99:H117">
    <cfRule type="containsText" dxfId="257" priority="305" operator="containsText" text="No Bill No Pay">
      <formula>NOT(ISERROR(SEARCH("No Bill No Pay",H99)))</formula>
    </cfRule>
    <cfRule type="cellIs" priority="306" operator="equal">
      <formula>"No Bill No Pay"</formula>
    </cfRule>
    <cfRule type="containsText" dxfId="255" priority="307" operator="containsText" text="Pending">
      <formula>NOT(ISERROR(SEARCH("Pending",H99)))</formula>
    </cfRule>
    <cfRule type="containsText" dxfId="256" priority="308" operator="containsText" text="Done">
      <formula>NOT(ISERROR(SEARCH("Done",H99)))</formula>
    </cfRule>
  </conditionalFormatting>
  <conditionalFormatting sqref="H122:H140">
    <cfRule type="containsText" dxfId="252" priority="293" operator="containsText" text="No Bill No Pay">
      <formula>NOT(ISERROR(SEARCH("No Bill No Pay",H122)))</formula>
    </cfRule>
    <cfRule type="cellIs" priority="294" operator="equal">
      <formula>"No Bill No Pay"</formula>
    </cfRule>
    <cfRule type="containsText" dxfId="253" priority="295" operator="containsText" text="Pending">
      <formula>NOT(ISERROR(SEARCH("Pending",H122)))</formula>
    </cfRule>
    <cfRule type="containsText" dxfId="254" priority="296" operator="containsText" text="Done">
      <formula>NOT(ISERROR(SEARCH("Done",H122)))</formula>
    </cfRule>
  </conditionalFormatting>
  <conditionalFormatting sqref="H147:H165">
    <cfRule type="containsText" dxfId="250" priority="281" operator="containsText" text="No Bill No Pay">
      <formula>NOT(ISERROR(SEARCH("No Bill No Pay",H147)))</formula>
    </cfRule>
    <cfRule type="cellIs" priority="282" operator="equal">
      <formula>"No Bill No Pay"</formula>
    </cfRule>
    <cfRule type="containsText" dxfId="249" priority="283" operator="containsText" text="Pending">
      <formula>NOT(ISERROR(SEARCH("Pending",H147)))</formula>
    </cfRule>
    <cfRule type="containsText" dxfId="251" priority="284" operator="containsText" text="Done">
      <formula>NOT(ISERROR(SEARCH("Done",H147)))</formula>
    </cfRule>
  </conditionalFormatting>
  <conditionalFormatting sqref="H171:H189">
    <cfRule type="containsText" dxfId="247" priority="269" operator="containsText" text="No Bill No Pay">
      <formula>NOT(ISERROR(SEARCH("No Bill No Pay",H171)))</formula>
    </cfRule>
    <cfRule type="cellIs" priority="270" operator="equal">
      <formula>"No Bill No Pay"</formula>
    </cfRule>
    <cfRule type="containsText" dxfId="246" priority="271" operator="containsText" text="Pending">
      <formula>NOT(ISERROR(SEARCH("Pending",H171)))</formula>
    </cfRule>
    <cfRule type="containsText" dxfId="248" priority="272" operator="containsText" text="Done">
      <formula>NOT(ISERROR(SEARCH("Done",H171)))</formula>
    </cfRule>
  </conditionalFormatting>
  <conditionalFormatting sqref="H196:H214">
    <cfRule type="containsText" dxfId="243" priority="257" operator="containsText" text="No Bill No Pay">
      <formula>NOT(ISERROR(SEARCH("No Bill No Pay",H196)))</formula>
    </cfRule>
    <cfRule type="cellIs" priority="258" operator="equal">
      <formula>"No Bill No Pay"</formula>
    </cfRule>
    <cfRule type="containsText" dxfId="245" priority="259" operator="containsText" text="Pending">
      <formula>NOT(ISERROR(SEARCH("Pending",H196)))</formula>
    </cfRule>
    <cfRule type="containsText" dxfId="244" priority="260" operator="containsText" text="Done">
      <formula>NOT(ISERROR(SEARCH("Done",H196)))</formula>
    </cfRule>
  </conditionalFormatting>
  <conditionalFormatting sqref="H220:H238">
    <cfRule type="containsText" dxfId="242" priority="245" operator="containsText" text="No Bill No Pay">
      <formula>NOT(ISERROR(SEARCH("No Bill No Pay",H220)))</formula>
    </cfRule>
    <cfRule type="cellIs" priority="246" operator="equal">
      <formula>"No Bill No Pay"</formula>
    </cfRule>
    <cfRule type="containsText" dxfId="240" priority="247" operator="containsText" text="Pending">
      <formula>NOT(ISERROR(SEARCH("Pending",H220)))</formula>
    </cfRule>
    <cfRule type="containsText" dxfId="241" priority="248" operator="containsText" text="Done">
      <formula>NOT(ISERROR(SEARCH("Done",H220)))</formula>
    </cfRule>
  </conditionalFormatting>
  <conditionalFormatting sqref="H244:H262">
    <cfRule type="containsText" dxfId="237" priority="233" operator="containsText" text="No Bill No Pay">
      <formula>NOT(ISERROR(SEARCH("No Bill No Pay",H244)))</formula>
    </cfRule>
    <cfRule type="cellIs" priority="234" operator="equal">
      <formula>"No Bill No Pay"</formula>
    </cfRule>
    <cfRule type="containsText" dxfId="238" priority="235" operator="containsText" text="Pending">
      <formula>NOT(ISERROR(SEARCH("Pending",H244)))</formula>
    </cfRule>
    <cfRule type="containsText" dxfId="239" priority="236" operator="containsText" text="Done">
      <formula>NOT(ISERROR(SEARCH("Done",H244)))</formula>
    </cfRule>
  </conditionalFormatting>
  <conditionalFormatting sqref="H267:H285">
    <cfRule type="containsText" dxfId="236" priority="221" operator="containsText" text="No Bill No Pay">
      <formula>NOT(ISERROR(SEARCH("No Bill No Pay",H267)))</formula>
    </cfRule>
    <cfRule type="cellIs" priority="222" operator="equal">
      <formula>"No Bill No Pay"</formula>
    </cfRule>
    <cfRule type="containsText" dxfId="234" priority="223" operator="containsText" text="Pending">
      <formula>NOT(ISERROR(SEARCH("Pending",H267)))</formula>
    </cfRule>
    <cfRule type="containsText" dxfId="235" priority="224" operator="containsText" text="Done">
      <formula>NOT(ISERROR(SEARCH("Done",H267)))</formula>
    </cfRule>
  </conditionalFormatting>
  <conditionalFormatting sqref="H290:H308">
    <cfRule type="containsText" dxfId="231" priority="209" operator="containsText" text="No Bill No Pay">
      <formula>NOT(ISERROR(SEARCH("No Bill No Pay",H290)))</formula>
    </cfRule>
    <cfRule type="cellIs" priority="210" operator="equal">
      <formula>"No Bill No Pay"</formula>
    </cfRule>
    <cfRule type="containsText" dxfId="233" priority="211" operator="containsText" text="Pending">
      <formula>NOT(ISERROR(SEARCH("Pending",H290)))</formula>
    </cfRule>
    <cfRule type="containsText" dxfId="232" priority="212" operator="containsText" text="Done">
      <formula>NOT(ISERROR(SEARCH("Done",H290)))</formula>
    </cfRule>
  </conditionalFormatting>
  <conditionalFormatting sqref="H314:H332">
    <cfRule type="containsText" dxfId="228" priority="197" operator="containsText" text="No Bill No Pay">
      <formula>NOT(ISERROR(SEARCH("No Bill No Pay",H314)))</formula>
    </cfRule>
    <cfRule type="cellIs" priority="198" operator="equal">
      <formula>"No Bill No Pay"</formula>
    </cfRule>
    <cfRule type="containsText" dxfId="230" priority="199" operator="containsText" text="Pending">
      <formula>NOT(ISERROR(SEARCH("Pending",H314)))</formula>
    </cfRule>
    <cfRule type="containsText" dxfId="229" priority="200" operator="containsText" text="Done">
      <formula>NOT(ISERROR(SEARCH("Done",H314)))</formula>
    </cfRule>
  </conditionalFormatting>
  <conditionalFormatting sqref="H338:H356">
    <cfRule type="containsText" dxfId="227" priority="185" operator="containsText" text="No Bill No Pay">
      <formula>NOT(ISERROR(SEARCH("No Bill No Pay",H338)))</formula>
    </cfRule>
    <cfRule type="cellIs" priority="186" operator="equal">
      <formula>"No Bill No Pay"</formula>
    </cfRule>
    <cfRule type="containsText" dxfId="225" priority="187" operator="containsText" text="Pending">
      <formula>NOT(ISERROR(SEARCH("Pending",H338)))</formula>
    </cfRule>
    <cfRule type="containsText" dxfId="226" priority="188" operator="containsText" text="Done">
      <formula>NOT(ISERROR(SEARCH("Done",H338)))</formula>
    </cfRule>
  </conditionalFormatting>
  <conditionalFormatting sqref="H361:H379">
    <cfRule type="containsText" dxfId="222" priority="173" operator="containsText" text="No Bill No Pay">
      <formula>NOT(ISERROR(SEARCH("No Bill No Pay",H361)))</formula>
    </cfRule>
    <cfRule type="cellIs" priority="174" operator="equal">
      <formula>"No Bill No Pay"</formula>
    </cfRule>
    <cfRule type="containsText" dxfId="224" priority="175" operator="containsText" text="Pending">
      <formula>NOT(ISERROR(SEARCH("Pending",H361)))</formula>
    </cfRule>
    <cfRule type="containsText" dxfId="223" priority="176" operator="containsText" text="Done">
      <formula>NOT(ISERROR(SEARCH("Done",H361)))</formula>
    </cfRule>
  </conditionalFormatting>
  <conditionalFormatting sqref="H384:H402">
    <cfRule type="containsText" dxfId="219" priority="161" operator="containsText" text="No Bill No Pay">
      <formula>NOT(ISERROR(SEARCH("No Bill No Pay",H384)))</formula>
    </cfRule>
    <cfRule type="cellIs" priority="162" operator="equal">
      <formula>"No Bill No Pay"</formula>
    </cfRule>
    <cfRule type="containsText" dxfId="221" priority="163" operator="containsText" text="Pending">
      <formula>NOT(ISERROR(SEARCH("Pending",H384)))</formula>
    </cfRule>
    <cfRule type="containsText" dxfId="220" priority="164" operator="containsText" text="Done">
      <formula>NOT(ISERROR(SEARCH("Done",H384)))</formula>
    </cfRule>
  </conditionalFormatting>
  <conditionalFormatting sqref="H408:H426">
    <cfRule type="containsText" dxfId="216" priority="149" operator="containsText" text="No Bill No Pay">
      <formula>NOT(ISERROR(SEARCH("No Bill No Pay",H408)))</formula>
    </cfRule>
    <cfRule type="cellIs" priority="150" operator="equal">
      <formula>"No Bill No Pay"</formula>
    </cfRule>
    <cfRule type="containsText" dxfId="217" priority="151" operator="containsText" text="Pending">
      <formula>NOT(ISERROR(SEARCH("Pending",H408)))</formula>
    </cfRule>
    <cfRule type="containsText" dxfId="218" priority="152" operator="containsText" text="Done">
      <formula>NOT(ISERROR(SEARCH("Done",H408)))</formula>
    </cfRule>
  </conditionalFormatting>
  <conditionalFormatting sqref="H431:H449">
    <cfRule type="containsText" dxfId="215" priority="137" operator="containsText" text="No Bill No Pay">
      <formula>NOT(ISERROR(SEARCH("No Bill No Pay",H431)))</formula>
    </cfRule>
    <cfRule type="cellIs" priority="138" operator="equal">
      <formula>"No Bill No Pay"</formula>
    </cfRule>
    <cfRule type="containsText" dxfId="214" priority="139" operator="containsText" text="Pending">
      <formula>NOT(ISERROR(SEARCH("Pending",H431)))</formula>
    </cfRule>
    <cfRule type="containsText" dxfId="213" priority="140" operator="containsText" text="Done">
      <formula>NOT(ISERROR(SEARCH("Done",H431)))</formula>
    </cfRule>
  </conditionalFormatting>
  <conditionalFormatting sqref="H454:H472">
    <cfRule type="containsText" dxfId="210" priority="125" operator="containsText" text="No Bill No Pay">
      <formula>NOT(ISERROR(SEARCH("No Bill No Pay",H454)))</formula>
    </cfRule>
    <cfRule type="cellIs" priority="126" operator="equal">
      <formula>"No Bill No Pay"</formula>
    </cfRule>
    <cfRule type="containsText" dxfId="212" priority="127" operator="containsText" text="Pending">
      <formula>NOT(ISERROR(SEARCH("Pending",H454)))</formula>
    </cfRule>
    <cfRule type="containsText" dxfId="211" priority="128" operator="containsText" text="Done">
      <formula>NOT(ISERROR(SEARCH("Done",H454)))</formula>
    </cfRule>
  </conditionalFormatting>
  <conditionalFormatting sqref="H477:H495">
    <cfRule type="containsText" dxfId="209" priority="113" operator="containsText" text="No Bill No Pay">
      <formula>NOT(ISERROR(SEARCH("No Bill No Pay",H477)))</formula>
    </cfRule>
    <cfRule type="cellIs" priority="114" operator="equal">
      <formula>"No Bill No Pay"</formula>
    </cfRule>
    <cfRule type="containsText" dxfId="207" priority="115" operator="containsText" text="Pending">
      <formula>NOT(ISERROR(SEARCH("Pending",H477)))</formula>
    </cfRule>
    <cfRule type="containsText" dxfId="208" priority="116" operator="containsText" text="Done">
      <formula>NOT(ISERROR(SEARCH("Done",H477)))</formula>
    </cfRule>
  </conditionalFormatting>
  <conditionalFormatting sqref="H500:H518">
    <cfRule type="containsText" dxfId="206" priority="101" operator="containsText" text="No Bill No Pay">
      <formula>NOT(ISERROR(SEARCH("No Bill No Pay",H500)))</formula>
    </cfRule>
    <cfRule type="cellIs" priority="102" operator="equal">
      <formula>"No Bill No Pay"</formula>
    </cfRule>
    <cfRule type="containsText" dxfId="205" priority="103" operator="containsText" text="Pending">
      <formula>NOT(ISERROR(SEARCH("Pending",H500)))</formula>
    </cfRule>
    <cfRule type="containsText" dxfId="204" priority="104" operator="containsText" text="Done">
      <formula>NOT(ISERROR(SEARCH("Done",H500)))</formula>
    </cfRule>
  </conditionalFormatting>
  <conditionalFormatting sqref="H524:H542">
    <cfRule type="containsText" dxfId="203" priority="89" operator="containsText" text="No Bill No Pay">
      <formula>NOT(ISERROR(SEARCH("No Bill No Pay",H524)))</formula>
    </cfRule>
    <cfRule type="cellIs" priority="90" operator="equal">
      <formula>"No Bill No Pay"</formula>
    </cfRule>
    <cfRule type="containsText" dxfId="201" priority="91" operator="containsText" text="Pending">
      <formula>NOT(ISERROR(SEARCH("Pending",H524)))</formula>
    </cfRule>
    <cfRule type="containsText" dxfId="202" priority="92" operator="containsText" text="Done">
      <formula>NOT(ISERROR(SEARCH("Done",H524)))</formula>
    </cfRule>
  </conditionalFormatting>
  <conditionalFormatting sqref="H547:H565">
    <cfRule type="containsText" dxfId="200" priority="77" operator="containsText" text="No Bill No Pay">
      <formula>NOT(ISERROR(SEARCH("No Bill No Pay",H547)))</formula>
    </cfRule>
    <cfRule type="cellIs" priority="78" operator="equal">
      <formula>"No Bill No Pay"</formula>
    </cfRule>
    <cfRule type="containsText" dxfId="198" priority="79" operator="containsText" text="Pending">
      <formula>NOT(ISERROR(SEARCH("Pending",H547)))</formula>
    </cfRule>
    <cfRule type="containsText" dxfId="199" priority="80" operator="containsText" text="Done">
      <formula>NOT(ISERROR(SEARCH("Done",H547)))</formula>
    </cfRule>
  </conditionalFormatting>
  <conditionalFormatting sqref="H571:H589">
    <cfRule type="containsText" dxfId="195" priority="65" operator="containsText" text="No Bill No Pay">
      <formula>NOT(ISERROR(SEARCH("No Bill No Pay",H571)))</formula>
    </cfRule>
    <cfRule type="cellIs" priority="66" operator="equal">
      <formula>"No Bill No Pay"</formula>
    </cfRule>
    <cfRule type="containsText" dxfId="197" priority="67" operator="containsText" text="Pending">
      <formula>NOT(ISERROR(SEARCH("Pending",H571)))</formula>
    </cfRule>
    <cfRule type="containsText" dxfId="196" priority="68" operator="containsText" text="Done">
      <formula>NOT(ISERROR(SEARCH("Done",H571)))</formula>
    </cfRule>
  </conditionalFormatting>
  <conditionalFormatting sqref="H595:H613">
    <cfRule type="containsText" dxfId="194" priority="53" operator="containsText" text="No Bill No Pay">
      <formula>NOT(ISERROR(SEARCH("No Bill No Pay",H595)))</formula>
    </cfRule>
    <cfRule type="cellIs" priority="54" operator="equal">
      <formula>"No Bill No Pay"</formula>
    </cfRule>
    <cfRule type="containsText" dxfId="192" priority="55" operator="containsText" text="Pending">
      <formula>NOT(ISERROR(SEARCH("Pending",H595)))</formula>
    </cfRule>
    <cfRule type="containsText" dxfId="193" priority="56" operator="containsText" text="Done">
      <formula>NOT(ISERROR(SEARCH("Done",H595)))</formula>
    </cfRule>
  </conditionalFormatting>
  <conditionalFormatting sqref="H619:H637">
    <cfRule type="containsText" dxfId="189" priority="41" operator="containsText" text="No Bill No Pay">
      <formula>NOT(ISERROR(SEARCH("No Bill No Pay",H619)))</formula>
    </cfRule>
    <cfRule type="cellIs" priority="42" operator="equal">
      <formula>"No Bill No Pay"</formula>
    </cfRule>
    <cfRule type="containsText" dxfId="190" priority="43" operator="containsText" text="Pending">
      <formula>NOT(ISERROR(SEARCH("Pending",H619)))</formula>
    </cfRule>
    <cfRule type="containsText" dxfId="191" priority="44" operator="containsText" text="Done">
      <formula>NOT(ISERROR(SEARCH("Done",H619)))</formula>
    </cfRule>
  </conditionalFormatting>
  <conditionalFormatting sqref="H643:H661">
    <cfRule type="containsText" dxfId="188" priority="29" operator="containsText" text="No Bill No Pay">
      <formula>NOT(ISERROR(SEARCH("No Bill No Pay",H643)))</formula>
    </cfRule>
    <cfRule type="cellIs" priority="30" operator="equal">
      <formula>"No Bill No Pay"</formula>
    </cfRule>
    <cfRule type="containsText" dxfId="186" priority="31" operator="containsText" text="Pending">
      <formula>NOT(ISERROR(SEARCH("Pending",H643)))</formula>
    </cfRule>
    <cfRule type="containsText" dxfId="187" priority="32" operator="containsText" text="Done">
      <formula>NOT(ISERROR(SEARCH("Done",H643)))</formula>
    </cfRule>
  </conditionalFormatting>
  <conditionalFormatting sqref="H666:H684">
    <cfRule type="containsText" dxfId="185" priority="17" operator="containsText" text="No Bill No Pay">
      <formula>NOT(ISERROR(SEARCH("No Bill No Pay",H666)))</formula>
    </cfRule>
    <cfRule type="cellIs" priority="18" operator="equal">
      <formula>"No Bill No Pay"</formula>
    </cfRule>
    <cfRule type="containsText" dxfId="184" priority="19" operator="containsText" text="Pending">
      <formula>NOT(ISERROR(SEARCH("Pending",H666)))</formula>
    </cfRule>
    <cfRule type="containsText" dxfId="183" priority="20" operator="containsText" text="Done">
      <formula>NOT(ISERROR(SEARCH("Done",H666)))</formula>
    </cfRule>
  </conditionalFormatting>
  <conditionalFormatting sqref="H690:H708">
    <cfRule type="containsText" dxfId="182" priority="5" operator="containsText" text="No Bill No Pay">
      <formula>NOT(ISERROR(SEARCH("No Bill No Pay",H690)))</formula>
    </cfRule>
    <cfRule type="cellIs" priority="6" operator="equal">
      <formula>"No Bill No Pay"</formula>
    </cfRule>
    <cfRule type="containsText" dxfId="181" priority="7" operator="containsText" text="Pending">
      <formula>NOT(ISERROR(SEARCH("Pending",H690)))</formula>
    </cfRule>
    <cfRule type="containsText" dxfId="180" priority="8" operator="containsText" text="Done">
      <formula>NOT(ISERROR(SEARCH("Done",H690)))</formula>
    </cfRule>
  </conditionalFormatting>
  <conditionalFormatting sqref="J3:L3">
    <cfRule type="containsText" dxfId="178" priority="358" operator="containsText" text="No Bill No Pay">
      <formula>NOT(ISERROR(SEARCH("No Bill No Pay",J3)))</formula>
    </cfRule>
    <cfRule type="cellIs" priority="359" operator="equal">
      <formula>"No Bill No Pay"</formula>
    </cfRule>
    <cfRule type="containsText" dxfId="179" priority="360" operator="containsText" text="Pending">
      <formula>NOT(ISERROR(SEARCH("Pending",J3)))</formula>
    </cfRule>
  </conditionalFormatting>
  <conditionalFormatting sqref="J26:L26">
    <cfRule type="containsText" dxfId="176" priority="346" operator="containsText" text="No Bill No Pay">
      <formula>NOT(ISERROR(SEARCH("No Bill No Pay",J26)))</formula>
    </cfRule>
    <cfRule type="cellIs" priority="347" operator="equal">
      <formula>"No Bill No Pay"</formula>
    </cfRule>
    <cfRule type="containsText" dxfId="177" priority="348" operator="containsText" text="Pending">
      <formula>NOT(ISERROR(SEARCH("Pending",J26)))</formula>
    </cfRule>
  </conditionalFormatting>
  <conditionalFormatting sqref="J50:L50">
    <cfRule type="containsText" dxfId="174" priority="334" operator="containsText" text="No Bill No Pay">
      <formula>NOT(ISERROR(SEARCH("No Bill No Pay",J50)))</formula>
    </cfRule>
    <cfRule type="cellIs" priority="335" operator="equal">
      <formula>"No Bill No Pay"</formula>
    </cfRule>
    <cfRule type="containsText" dxfId="175" priority="336" operator="containsText" text="Pending">
      <formula>NOT(ISERROR(SEARCH("Pending",J50)))</formula>
    </cfRule>
  </conditionalFormatting>
  <conditionalFormatting sqref="J74:L74">
    <cfRule type="containsText" dxfId="172" priority="322" operator="containsText" text="No Bill No Pay">
      <formula>NOT(ISERROR(SEARCH("No Bill No Pay",J74)))</formula>
    </cfRule>
    <cfRule type="cellIs" priority="323" operator="equal">
      <formula>"No Bill No Pay"</formula>
    </cfRule>
    <cfRule type="containsText" dxfId="173" priority="324" operator="containsText" text="Pending">
      <formula>NOT(ISERROR(SEARCH("Pending",J74)))</formula>
    </cfRule>
  </conditionalFormatting>
  <conditionalFormatting sqref="J98:L98">
    <cfRule type="containsText" dxfId="170" priority="310" operator="containsText" text="No Bill No Pay">
      <formula>NOT(ISERROR(SEARCH("No Bill No Pay",J98)))</formula>
    </cfRule>
    <cfRule type="cellIs" priority="311" operator="equal">
      <formula>"No Bill No Pay"</formula>
    </cfRule>
    <cfRule type="containsText" dxfId="171" priority="312" operator="containsText" text="Pending">
      <formula>NOT(ISERROR(SEARCH("Pending",J98)))</formula>
    </cfRule>
  </conditionalFormatting>
  <conditionalFormatting sqref="J121:L121">
    <cfRule type="containsText" dxfId="168" priority="298" operator="containsText" text="No Bill No Pay">
      <formula>NOT(ISERROR(SEARCH("No Bill No Pay",J121)))</formula>
    </cfRule>
    <cfRule type="cellIs" priority="299" operator="equal">
      <formula>"No Bill No Pay"</formula>
    </cfRule>
    <cfRule type="containsText" dxfId="169" priority="300" operator="containsText" text="Pending">
      <formula>NOT(ISERROR(SEARCH("Pending",J121)))</formula>
    </cfRule>
  </conditionalFormatting>
  <conditionalFormatting sqref="J146:L146">
    <cfRule type="containsText" dxfId="166" priority="286" operator="containsText" text="No Bill No Pay">
      <formula>NOT(ISERROR(SEARCH("No Bill No Pay",J146)))</formula>
    </cfRule>
    <cfRule type="cellIs" priority="287" operator="equal">
      <formula>"No Bill No Pay"</formula>
    </cfRule>
    <cfRule type="containsText" dxfId="167" priority="288" operator="containsText" text="Pending">
      <formula>NOT(ISERROR(SEARCH("Pending",J146)))</formula>
    </cfRule>
  </conditionalFormatting>
  <conditionalFormatting sqref="J170:L170">
    <cfRule type="containsText" dxfId="164" priority="274" operator="containsText" text="No Bill No Pay">
      <formula>NOT(ISERROR(SEARCH("No Bill No Pay",J170)))</formula>
    </cfRule>
    <cfRule type="cellIs" priority="275" operator="equal">
      <formula>"No Bill No Pay"</formula>
    </cfRule>
    <cfRule type="containsText" dxfId="165" priority="276" operator="containsText" text="Pending">
      <formula>NOT(ISERROR(SEARCH("Pending",J170)))</formula>
    </cfRule>
  </conditionalFormatting>
  <conditionalFormatting sqref="J195:L195">
    <cfRule type="containsText" dxfId="163" priority="262" operator="containsText" text="No Bill No Pay">
      <formula>NOT(ISERROR(SEARCH("No Bill No Pay",J195)))</formula>
    </cfRule>
    <cfRule type="cellIs" priority="263" operator="equal">
      <formula>"No Bill No Pay"</formula>
    </cfRule>
    <cfRule type="containsText" dxfId="162" priority="264" operator="containsText" text="Pending">
      <formula>NOT(ISERROR(SEARCH("Pending",J195)))</formula>
    </cfRule>
  </conditionalFormatting>
  <conditionalFormatting sqref="J219:L219">
    <cfRule type="containsText" dxfId="161" priority="250" operator="containsText" text="No Bill No Pay">
      <formula>NOT(ISERROR(SEARCH("No Bill No Pay",J219)))</formula>
    </cfRule>
    <cfRule type="cellIs" priority="251" operator="equal">
      <formula>"No Bill No Pay"</formula>
    </cfRule>
    <cfRule type="containsText" dxfId="160" priority="252" operator="containsText" text="Pending">
      <formula>NOT(ISERROR(SEARCH("Pending",J219)))</formula>
    </cfRule>
  </conditionalFormatting>
  <conditionalFormatting sqref="J243:L243">
    <cfRule type="containsText" dxfId="158" priority="238" operator="containsText" text="No Bill No Pay">
      <formula>NOT(ISERROR(SEARCH("No Bill No Pay",J243)))</formula>
    </cfRule>
    <cfRule type="cellIs" priority="239" operator="equal">
      <formula>"No Bill No Pay"</formula>
    </cfRule>
    <cfRule type="containsText" dxfId="159" priority="240" operator="containsText" text="Pending">
      <formula>NOT(ISERROR(SEARCH("Pending",J243)))</formula>
    </cfRule>
  </conditionalFormatting>
  <conditionalFormatting sqref="J266:L266">
    <cfRule type="containsText" dxfId="156" priority="226" operator="containsText" text="No Bill No Pay">
      <formula>NOT(ISERROR(SEARCH("No Bill No Pay",J266)))</formula>
    </cfRule>
    <cfRule type="cellIs" priority="227" operator="equal">
      <formula>"No Bill No Pay"</formula>
    </cfRule>
    <cfRule type="containsText" dxfId="157" priority="228" operator="containsText" text="Pending">
      <formula>NOT(ISERROR(SEARCH("Pending",J266)))</formula>
    </cfRule>
  </conditionalFormatting>
  <conditionalFormatting sqref="J289:L289">
    <cfRule type="containsText" dxfId="154" priority="214" operator="containsText" text="No Bill No Pay">
      <formula>NOT(ISERROR(SEARCH("No Bill No Pay",J289)))</formula>
    </cfRule>
    <cfRule type="cellIs" priority="215" operator="equal">
      <formula>"No Bill No Pay"</formula>
    </cfRule>
    <cfRule type="containsText" dxfId="155" priority="216" operator="containsText" text="Pending">
      <formula>NOT(ISERROR(SEARCH("Pending",J289)))</formula>
    </cfRule>
  </conditionalFormatting>
  <conditionalFormatting sqref="J313:L313">
    <cfRule type="containsText" dxfId="153" priority="202" operator="containsText" text="No Bill No Pay">
      <formula>NOT(ISERROR(SEARCH("No Bill No Pay",J313)))</formula>
    </cfRule>
    <cfRule type="cellIs" priority="203" operator="equal">
      <formula>"No Bill No Pay"</formula>
    </cfRule>
    <cfRule type="containsText" dxfId="152" priority="204" operator="containsText" text="Pending">
      <formula>NOT(ISERROR(SEARCH("Pending",J313)))</formula>
    </cfRule>
  </conditionalFormatting>
  <conditionalFormatting sqref="J337:L337">
    <cfRule type="containsText" dxfId="151" priority="190" operator="containsText" text="No Bill No Pay">
      <formula>NOT(ISERROR(SEARCH("No Bill No Pay",J337)))</formula>
    </cfRule>
    <cfRule type="cellIs" priority="191" operator="equal">
      <formula>"No Bill No Pay"</formula>
    </cfRule>
    <cfRule type="containsText" dxfId="150" priority="192" operator="containsText" text="Pending">
      <formula>NOT(ISERROR(SEARCH("Pending",J337)))</formula>
    </cfRule>
  </conditionalFormatting>
  <conditionalFormatting sqref="J360:L360">
    <cfRule type="containsText" dxfId="149" priority="178" operator="containsText" text="No Bill No Pay">
      <formula>NOT(ISERROR(SEARCH("No Bill No Pay",J360)))</formula>
    </cfRule>
    <cfRule type="cellIs" priority="179" operator="equal">
      <formula>"No Bill No Pay"</formula>
    </cfRule>
    <cfRule type="containsText" dxfId="148" priority="180" operator="containsText" text="Pending">
      <formula>NOT(ISERROR(SEARCH("Pending",J360)))</formula>
    </cfRule>
  </conditionalFormatting>
  <conditionalFormatting sqref="J383:L383">
    <cfRule type="containsText" dxfId="146" priority="166" operator="containsText" text="No Bill No Pay">
      <formula>NOT(ISERROR(SEARCH("No Bill No Pay",J383)))</formula>
    </cfRule>
    <cfRule type="cellIs" priority="167" operator="equal">
      <formula>"No Bill No Pay"</formula>
    </cfRule>
    <cfRule type="containsText" dxfId="147" priority="168" operator="containsText" text="Pending">
      <formula>NOT(ISERROR(SEARCH("Pending",J383)))</formula>
    </cfRule>
  </conditionalFormatting>
  <conditionalFormatting sqref="J407:L407">
    <cfRule type="containsText" dxfId="145" priority="154" operator="containsText" text="No Bill No Pay">
      <formula>NOT(ISERROR(SEARCH("No Bill No Pay",J407)))</formula>
    </cfRule>
    <cfRule type="cellIs" priority="155" operator="equal">
      <formula>"No Bill No Pay"</formula>
    </cfRule>
    <cfRule type="containsText" dxfId="144" priority="156" operator="containsText" text="Pending">
      <formula>NOT(ISERROR(SEARCH("Pending",J407)))</formula>
    </cfRule>
  </conditionalFormatting>
  <conditionalFormatting sqref="J430:L430">
    <cfRule type="containsText" dxfId="142" priority="142" operator="containsText" text="No Bill No Pay">
      <formula>NOT(ISERROR(SEARCH("No Bill No Pay",J430)))</formula>
    </cfRule>
    <cfRule type="cellIs" priority="143" operator="equal">
      <formula>"No Bill No Pay"</formula>
    </cfRule>
    <cfRule type="containsText" dxfId="143" priority="144" operator="containsText" text="Pending">
      <formula>NOT(ISERROR(SEARCH("Pending",J430)))</formula>
    </cfRule>
  </conditionalFormatting>
  <conditionalFormatting sqref="J453:L453">
    <cfRule type="containsText" dxfId="141" priority="130" operator="containsText" text="No Bill No Pay">
      <formula>NOT(ISERROR(SEARCH("No Bill No Pay",J453)))</formula>
    </cfRule>
    <cfRule type="cellIs" priority="131" operator="equal">
      <formula>"No Bill No Pay"</formula>
    </cfRule>
    <cfRule type="containsText" dxfId="140" priority="132" operator="containsText" text="Pending">
      <formula>NOT(ISERROR(SEARCH("Pending",J453)))</formula>
    </cfRule>
  </conditionalFormatting>
  <conditionalFormatting sqref="J476:L476">
    <cfRule type="containsText" dxfId="139" priority="118" operator="containsText" text="No Bill No Pay">
      <formula>NOT(ISERROR(SEARCH("No Bill No Pay",J476)))</formula>
    </cfRule>
    <cfRule type="cellIs" priority="119" operator="equal">
      <formula>"No Bill No Pay"</formula>
    </cfRule>
    <cfRule type="containsText" dxfId="138" priority="120" operator="containsText" text="Pending">
      <formula>NOT(ISERROR(SEARCH("Pending",J476)))</formula>
    </cfRule>
  </conditionalFormatting>
  <conditionalFormatting sqref="J499:L499">
    <cfRule type="containsText" dxfId="136" priority="106" operator="containsText" text="No Bill No Pay">
      <formula>NOT(ISERROR(SEARCH("No Bill No Pay",J499)))</formula>
    </cfRule>
    <cfRule type="cellIs" priority="107" operator="equal">
      <formula>"No Bill No Pay"</formula>
    </cfRule>
    <cfRule type="containsText" dxfId="137" priority="108" operator="containsText" text="Pending">
      <formula>NOT(ISERROR(SEARCH("Pending",J499)))</formula>
    </cfRule>
  </conditionalFormatting>
  <conditionalFormatting sqref="J523:L523">
    <cfRule type="containsText" dxfId="135" priority="94" operator="containsText" text="No Bill No Pay">
      <formula>NOT(ISERROR(SEARCH("No Bill No Pay",J523)))</formula>
    </cfRule>
    <cfRule type="cellIs" priority="95" operator="equal">
      <formula>"No Bill No Pay"</formula>
    </cfRule>
    <cfRule type="containsText" dxfId="134" priority="96" operator="containsText" text="Pending">
      <formula>NOT(ISERROR(SEARCH("Pending",J523)))</formula>
    </cfRule>
  </conditionalFormatting>
  <conditionalFormatting sqref="J546:L546">
    <cfRule type="containsText" dxfId="132" priority="82" operator="containsText" text="No Bill No Pay">
      <formula>NOT(ISERROR(SEARCH("No Bill No Pay",J546)))</formula>
    </cfRule>
    <cfRule type="cellIs" priority="83" operator="equal">
      <formula>"No Bill No Pay"</formula>
    </cfRule>
    <cfRule type="containsText" dxfId="133" priority="84" operator="containsText" text="Pending">
      <formula>NOT(ISERROR(SEARCH("Pending",J546)))</formula>
    </cfRule>
  </conditionalFormatting>
  <conditionalFormatting sqref="J570:L570">
    <cfRule type="containsText" dxfId="130" priority="70" operator="containsText" text="No Bill No Pay">
      <formula>NOT(ISERROR(SEARCH("No Bill No Pay",J570)))</formula>
    </cfRule>
    <cfRule type="cellIs" priority="71" operator="equal">
      <formula>"No Bill No Pay"</formula>
    </cfRule>
    <cfRule type="containsText" dxfId="131" priority="72" operator="containsText" text="Pending">
      <formula>NOT(ISERROR(SEARCH("Pending",J570)))</formula>
    </cfRule>
  </conditionalFormatting>
  <conditionalFormatting sqref="J594:L594">
    <cfRule type="containsText" dxfId="129" priority="58" operator="containsText" text="No Bill No Pay">
      <formula>NOT(ISERROR(SEARCH("No Bill No Pay",J594)))</formula>
    </cfRule>
    <cfRule type="cellIs" priority="59" operator="equal">
      <formula>"No Bill No Pay"</formula>
    </cfRule>
    <cfRule type="containsText" dxfId="128" priority="60" operator="containsText" text="Pending">
      <formula>NOT(ISERROR(SEARCH("Pending",J594)))</formula>
    </cfRule>
  </conditionalFormatting>
  <conditionalFormatting sqref="J618:L618">
    <cfRule type="containsText" dxfId="126" priority="46" operator="containsText" text="No Bill No Pay">
      <formula>NOT(ISERROR(SEARCH("No Bill No Pay",J618)))</formula>
    </cfRule>
    <cfRule type="cellIs" priority="47" operator="equal">
      <formula>"No Bill No Pay"</formula>
    </cfRule>
    <cfRule type="containsText" dxfId="127" priority="48" operator="containsText" text="Pending">
      <formula>NOT(ISERROR(SEARCH("Pending",J618)))</formula>
    </cfRule>
  </conditionalFormatting>
  <conditionalFormatting sqref="J642:L642">
    <cfRule type="containsText" dxfId="124" priority="34" operator="containsText" text="No Bill No Pay">
      <formula>NOT(ISERROR(SEARCH("No Bill No Pay",J642)))</formula>
    </cfRule>
    <cfRule type="cellIs" priority="35" operator="equal">
      <formula>"No Bill No Pay"</formula>
    </cfRule>
    <cfRule type="containsText" dxfId="125" priority="36" operator="containsText" text="Pending">
      <formula>NOT(ISERROR(SEARCH("Pending",J642)))</formula>
    </cfRule>
  </conditionalFormatting>
  <conditionalFormatting sqref="J665:L665">
    <cfRule type="containsText" dxfId="123" priority="22" operator="containsText" text="No Bill No Pay">
      <formula>NOT(ISERROR(SEARCH("No Bill No Pay",J665)))</formula>
    </cfRule>
    <cfRule type="cellIs" priority="23" operator="equal">
      <formula>"No Bill No Pay"</formula>
    </cfRule>
    <cfRule type="containsText" dxfId="122" priority="24" operator="containsText" text="Pending">
      <formula>NOT(ISERROR(SEARCH("Pending",J665)))</formula>
    </cfRule>
  </conditionalFormatting>
  <conditionalFormatting sqref="J689:L689">
    <cfRule type="containsText" dxfId="121" priority="10" operator="containsText" text="No Bill No Pay">
      <formula>NOT(ISERROR(SEARCH("No Bill No Pay",J689)))</formula>
    </cfRule>
    <cfRule type="cellIs" priority="11" operator="equal">
      <formula>"No Bill No Pay"</formula>
    </cfRule>
    <cfRule type="containsText" dxfId="120" priority="12" operator="containsText" text="Pending">
      <formula>NOT(ISERROR(SEARCH("Pending",J689)))</formula>
    </cfRule>
  </conditionalFormatting>
  <conditionalFormatting sqref="K4:K22">
    <cfRule type="containsText" dxfId="118" priority="351" operator="containsText" text="No">
      <formula>NOT(ISERROR(SEARCH("No",K4)))</formula>
    </cfRule>
    <cfRule type="containsText" dxfId="119" priority="352" operator="containsText" text="Yes">
      <formula>NOT(ISERROR(SEARCH("Yes",K4)))</formula>
    </cfRule>
  </conditionalFormatting>
  <conditionalFormatting sqref="K27:K45">
    <cfRule type="containsText" dxfId="117" priority="339" operator="containsText" text="No">
      <formula>NOT(ISERROR(SEARCH("No",K27)))</formula>
    </cfRule>
    <cfRule type="containsText" dxfId="116" priority="340" operator="containsText" text="Yes">
      <formula>NOT(ISERROR(SEARCH("Yes",K27)))</formula>
    </cfRule>
  </conditionalFormatting>
  <conditionalFormatting sqref="K51:K69">
    <cfRule type="containsText" dxfId="115" priority="327" operator="containsText" text="No">
      <formula>NOT(ISERROR(SEARCH("No",K51)))</formula>
    </cfRule>
    <cfRule type="containsText" dxfId="114" priority="328" operator="containsText" text="Yes">
      <formula>NOT(ISERROR(SEARCH("Yes",K51)))</formula>
    </cfRule>
  </conditionalFormatting>
  <conditionalFormatting sqref="K75:K93">
    <cfRule type="containsText" dxfId="113" priority="315" operator="containsText" text="No">
      <formula>NOT(ISERROR(SEARCH("No",K75)))</formula>
    </cfRule>
    <cfRule type="containsText" dxfId="112" priority="316" operator="containsText" text="Yes">
      <formula>NOT(ISERROR(SEARCH("Yes",K75)))</formula>
    </cfRule>
  </conditionalFormatting>
  <conditionalFormatting sqref="K99:K117">
    <cfRule type="containsText" dxfId="111" priority="303" operator="containsText" text="No">
      <formula>NOT(ISERROR(SEARCH("No",K99)))</formula>
    </cfRule>
    <cfRule type="containsText" dxfId="110" priority="304" operator="containsText" text="Yes">
      <formula>NOT(ISERROR(SEARCH("Yes",K99)))</formula>
    </cfRule>
  </conditionalFormatting>
  <conditionalFormatting sqref="K122:K140">
    <cfRule type="containsText" dxfId="109" priority="291" operator="containsText" text="No">
      <formula>NOT(ISERROR(SEARCH("No",K122)))</formula>
    </cfRule>
    <cfRule type="containsText" dxfId="108" priority="292" operator="containsText" text="Yes">
      <formula>NOT(ISERROR(SEARCH("Yes",K122)))</formula>
    </cfRule>
  </conditionalFormatting>
  <conditionalFormatting sqref="K147:K165">
    <cfRule type="containsText" dxfId="106" priority="279" operator="containsText" text="No">
      <formula>NOT(ISERROR(SEARCH("No",K147)))</formula>
    </cfRule>
    <cfRule type="containsText" dxfId="107" priority="280" operator="containsText" text="Yes">
      <formula>NOT(ISERROR(SEARCH("Yes",K147)))</formula>
    </cfRule>
  </conditionalFormatting>
  <conditionalFormatting sqref="K171:K189">
    <cfRule type="containsText" dxfId="105" priority="267" operator="containsText" text="No">
      <formula>NOT(ISERROR(SEARCH("No",K171)))</formula>
    </cfRule>
    <cfRule type="containsText" dxfId="104" priority="268" operator="containsText" text="Yes">
      <formula>NOT(ISERROR(SEARCH("Yes",K171)))</formula>
    </cfRule>
  </conditionalFormatting>
  <conditionalFormatting sqref="K196:K214">
    <cfRule type="containsText" dxfId="103" priority="255" operator="containsText" text="No">
      <formula>NOT(ISERROR(SEARCH("No",K196)))</formula>
    </cfRule>
    <cfRule type="containsText" dxfId="102" priority="256" operator="containsText" text="Yes">
      <formula>NOT(ISERROR(SEARCH("Yes",K196)))</formula>
    </cfRule>
  </conditionalFormatting>
  <conditionalFormatting sqref="K220:K238">
    <cfRule type="containsText" dxfId="100" priority="243" operator="containsText" text="No">
      <formula>NOT(ISERROR(SEARCH("No",K220)))</formula>
    </cfRule>
    <cfRule type="containsText" dxfId="101" priority="244" operator="containsText" text="Yes">
      <formula>NOT(ISERROR(SEARCH("Yes",K220)))</formula>
    </cfRule>
  </conditionalFormatting>
  <conditionalFormatting sqref="K244:K262">
    <cfRule type="containsText" dxfId="99" priority="231" operator="containsText" text="No">
      <formula>NOT(ISERROR(SEARCH("No",K244)))</formula>
    </cfRule>
    <cfRule type="containsText" dxfId="98" priority="232" operator="containsText" text="Yes">
      <formula>NOT(ISERROR(SEARCH("Yes",K244)))</formula>
    </cfRule>
  </conditionalFormatting>
  <conditionalFormatting sqref="K267:K285">
    <cfRule type="containsText" dxfId="96" priority="219" operator="containsText" text="No">
      <formula>NOT(ISERROR(SEARCH("No",K267)))</formula>
    </cfRule>
    <cfRule type="containsText" dxfId="97" priority="220" operator="containsText" text="Yes">
      <formula>NOT(ISERROR(SEARCH("Yes",K267)))</formula>
    </cfRule>
  </conditionalFormatting>
  <conditionalFormatting sqref="K290:K308">
    <cfRule type="containsText" dxfId="95" priority="207" operator="containsText" text="No">
      <formula>NOT(ISERROR(SEARCH("No",K290)))</formula>
    </cfRule>
    <cfRule type="containsText" dxfId="94" priority="208" operator="containsText" text="Yes">
      <formula>NOT(ISERROR(SEARCH("Yes",K290)))</formula>
    </cfRule>
  </conditionalFormatting>
  <conditionalFormatting sqref="K314:K332">
    <cfRule type="containsText" dxfId="93" priority="195" operator="containsText" text="No">
      <formula>NOT(ISERROR(SEARCH("No",K314)))</formula>
    </cfRule>
    <cfRule type="containsText" dxfId="92" priority="196" operator="containsText" text="Yes">
      <formula>NOT(ISERROR(SEARCH("Yes",K314)))</formula>
    </cfRule>
  </conditionalFormatting>
  <conditionalFormatting sqref="K338:K356">
    <cfRule type="containsText" dxfId="90" priority="183" operator="containsText" text="No">
      <formula>NOT(ISERROR(SEARCH("No",K338)))</formula>
    </cfRule>
    <cfRule type="containsText" dxfId="91" priority="184" operator="containsText" text="Yes">
      <formula>NOT(ISERROR(SEARCH("Yes",K338)))</formula>
    </cfRule>
  </conditionalFormatting>
  <conditionalFormatting sqref="K361:K379">
    <cfRule type="containsText" dxfId="89" priority="171" operator="containsText" text="No">
      <formula>NOT(ISERROR(SEARCH("No",K361)))</formula>
    </cfRule>
    <cfRule type="containsText" dxfId="88" priority="172" operator="containsText" text="Yes">
      <formula>NOT(ISERROR(SEARCH("Yes",K361)))</formula>
    </cfRule>
  </conditionalFormatting>
  <conditionalFormatting sqref="K384:K402">
    <cfRule type="containsText" dxfId="87" priority="159" operator="containsText" text="No">
      <formula>NOT(ISERROR(SEARCH("No",K384)))</formula>
    </cfRule>
    <cfRule type="containsText" dxfId="86" priority="160" operator="containsText" text="Yes">
      <formula>NOT(ISERROR(SEARCH("Yes",K384)))</formula>
    </cfRule>
  </conditionalFormatting>
  <conditionalFormatting sqref="K408:K426">
    <cfRule type="containsText" dxfId="85" priority="147" operator="containsText" text="No">
      <formula>NOT(ISERROR(SEARCH("No",K408)))</formula>
    </cfRule>
    <cfRule type="containsText" dxfId="84" priority="148" operator="containsText" text="Yes">
      <formula>NOT(ISERROR(SEARCH("Yes",K408)))</formula>
    </cfRule>
  </conditionalFormatting>
  <conditionalFormatting sqref="K431:K449">
    <cfRule type="containsText" dxfId="83" priority="135" operator="containsText" text="No">
      <formula>NOT(ISERROR(SEARCH("No",K431)))</formula>
    </cfRule>
    <cfRule type="containsText" dxfId="82" priority="136" operator="containsText" text="Yes">
      <formula>NOT(ISERROR(SEARCH("Yes",K431)))</formula>
    </cfRule>
  </conditionalFormatting>
  <conditionalFormatting sqref="K454:K472">
    <cfRule type="containsText" dxfId="80" priority="123" operator="containsText" text="No">
      <formula>NOT(ISERROR(SEARCH("No",K454)))</formula>
    </cfRule>
    <cfRule type="containsText" dxfId="81" priority="124" operator="containsText" text="Yes">
      <formula>NOT(ISERROR(SEARCH("Yes",K454)))</formula>
    </cfRule>
  </conditionalFormatting>
  <conditionalFormatting sqref="K477:K495">
    <cfRule type="containsText" dxfId="79" priority="111" operator="containsText" text="No">
      <formula>NOT(ISERROR(SEARCH("No",K477)))</formula>
    </cfRule>
    <cfRule type="containsText" dxfId="78" priority="112" operator="containsText" text="Yes">
      <formula>NOT(ISERROR(SEARCH("Yes",K477)))</formula>
    </cfRule>
  </conditionalFormatting>
  <conditionalFormatting sqref="K500:K518">
    <cfRule type="containsText" dxfId="76" priority="99" operator="containsText" text="No">
      <formula>NOT(ISERROR(SEARCH("No",K500)))</formula>
    </cfRule>
    <cfRule type="containsText" dxfId="77" priority="100" operator="containsText" text="Yes">
      <formula>NOT(ISERROR(SEARCH("Yes",K500)))</formula>
    </cfRule>
  </conditionalFormatting>
  <conditionalFormatting sqref="K524:K542">
    <cfRule type="containsText" dxfId="74" priority="87" operator="containsText" text="No">
      <formula>NOT(ISERROR(SEARCH("No",K524)))</formula>
    </cfRule>
    <cfRule type="containsText" dxfId="75" priority="88" operator="containsText" text="Yes">
      <formula>NOT(ISERROR(SEARCH("Yes",K524)))</formula>
    </cfRule>
  </conditionalFormatting>
  <conditionalFormatting sqref="K547:K565">
    <cfRule type="containsText" dxfId="72" priority="75" operator="containsText" text="No">
      <formula>NOT(ISERROR(SEARCH("No",K547)))</formula>
    </cfRule>
    <cfRule type="containsText" dxfId="73" priority="76" operator="containsText" text="Yes">
      <formula>NOT(ISERROR(SEARCH("Yes",K547)))</formula>
    </cfRule>
  </conditionalFormatting>
  <conditionalFormatting sqref="K571:K589">
    <cfRule type="containsText" dxfId="70" priority="63" operator="containsText" text="No">
      <formula>NOT(ISERROR(SEARCH("No",K571)))</formula>
    </cfRule>
    <cfRule type="containsText" dxfId="71" priority="64" operator="containsText" text="Yes">
      <formula>NOT(ISERROR(SEARCH("Yes",K571)))</formula>
    </cfRule>
  </conditionalFormatting>
  <conditionalFormatting sqref="K595:K613">
    <cfRule type="containsText" dxfId="68" priority="51" operator="containsText" text="No">
      <formula>NOT(ISERROR(SEARCH("No",K595)))</formula>
    </cfRule>
    <cfRule type="containsText" dxfId="69" priority="52" operator="containsText" text="Yes">
      <formula>NOT(ISERROR(SEARCH("Yes",K595)))</formula>
    </cfRule>
  </conditionalFormatting>
  <conditionalFormatting sqref="K619:K637">
    <cfRule type="containsText" dxfId="66" priority="39" operator="containsText" text="No">
      <formula>NOT(ISERROR(SEARCH("No",K619)))</formula>
    </cfRule>
    <cfRule type="containsText" dxfId="67" priority="40" operator="containsText" text="Yes">
      <formula>NOT(ISERROR(SEARCH("Yes",K619)))</formula>
    </cfRule>
  </conditionalFormatting>
  <conditionalFormatting sqref="K643:K661">
    <cfRule type="containsText" dxfId="64" priority="27" operator="containsText" text="No">
      <formula>NOT(ISERROR(SEARCH("No",K643)))</formula>
    </cfRule>
    <cfRule type="containsText" dxfId="65" priority="28" operator="containsText" text="Yes">
      <formula>NOT(ISERROR(SEARCH("Yes",K643)))</formula>
    </cfRule>
  </conditionalFormatting>
  <conditionalFormatting sqref="K666:K684">
    <cfRule type="containsText" dxfId="62" priority="15" operator="containsText" text="No">
      <formula>NOT(ISERROR(SEARCH("No",K666)))</formula>
    </cfRule>
    <cfRule type="containsText" dxfId="63" priority="16" operator="containsText" text="Yes">
      <formula>NOT(ISERROR(SEARCH("Yes",K666)))</formula>
    </cfRule>
  </conditionalFormatting>
  <conditionalFormatting sqref="K690:K708">
    <cfRule type="containsText" dxfId="61" priority="3" operator="containsText" text="No">
      <formula>NOT(ISERROR(SEARCH("No",K690)))</formula>
    </cfRule>
    <cfRule type="containsText" dxfId="60" priority="4" operator="containsText" text="Yes">
      <formula>NOT(ISERROR(SEARCH("Yes",K690)))</formula>
    </cfRule>
  </conditionalFormatting>
  <conditionalFormatting sqref="N4:N22">
    <cfRule type="containsText" dxfId="59" priority="349" operator="containsText" text="No">
      <formula>NOT(ISERROR(SEARCH("No",N4)))</formula>
    </cfRule>
    <cfRule type="containsText" dxfId="58" priority="350" operator="containsText" text="Yes">
      <formula>NOT(ISERROR(SEARCH("Yes",N4)))</formula>
    </cfRule>
  </conditionalFormatting>
  <conditionalFormatting sqref="N27:N45">
    <cfRule type="containsText" dxfId="56" priority="337" operator="containsText" text="No">
      <formula>NOT(ISERROR(SEARCH("No",N27)))</formula>
    </cfRule>
    <cfRule type="containsText" dxfId="57" priority="338" operator="containsText" text="Yes">
      <formula>NOT(ISERROR(SEARCH("Yes",N27)))</formula>
    </cfRule>
  </conditionalFormatting>
  <conditionalFormatting sqref="N51:N69">
    <cfRule type="containsText" dxfId="55" priority="325" operator="containsText" text="No">
      <formula>NOT(ISERROR(SEARCH("No",N51)))</formula>
    </cfRule>
    <cfRule type="containsText" dxfId="54" priority="326" operator="containsText" text="Yes">
      <formula>NOT(ISERROR(SEARCH("Yes",N51)))</formula>
    </cfRule>
  </conditionalFormatting>
  <conditionalFormatting sqref="N75:N93">
    <cfRule type="containsText" dxfId="53" priority="313" operator="containsText" text="No">
      <formula>NOT(ISERROR(SEARCH("No",N75)))</formula>
    </cfRule>
    <cfRule type="containsText" dxfId="52" priority="314" operator="containsText" text="Yes">
      <formula>NOT(ISERROR(SEARCH("Yes",N75)))</formula>
    </cfRule>
  </conditionalFormatting>
  <conditionalFormatting sqref="N99:N117">
    <cfRule type="containsText" dxfId="51" priority="301" operator="containsText" text="No">
      <formula>NOT(ISERROR(SEARCH("No",N99)))</formula>
    </cfRule>
    <cfRule type="containsText" dxfId="50" priority="302" operator="containsText" text="Yes">
      <formula>NOT(ISERROR(SEARCH("Yes",N99)))</formula>
    </cfRule>
  </conditionalFormatting>
  <conditionalFormatting sqref="N122:N140">
    <cfRule type="containsText" dxfId="48" priority="289" operator="containsText" text="No">
      <formula>NOT(ISERROR(SEARCH("No",N122)))</formula>
    </cfRule>
    <cfRule type="containsText" dxfId="49" priority="290" operator="containsText" text="Yes">
      <formula>NOT(ISERROR(SEARCH("Yes",N122)))</formula>
    </cfRule>
  </conditionalFormatting>
  <conditionalFormatting sqref="N147:N165">
    <cfRule type="containsText" dxfId="47" priority="277" operator="containsText" text="No">
      <formula>NOT(ISERROR(SEARCH("No",N147)))</formula>
    </cfRule>
    <cfRule type="containsText" dxfId="46" priority="278" operator="containsText" text="Yes">
      <formula>NOT(ISERROR(SEARCH("Yes",N147)))</formula>
    </cfRule>
  </conditionalFormatting>
  <conditionalFormatting sqref="N171:N189">
    <cfRule type="containsText" dxfId="45" priority="265" operator="containsText" text="No">
      <formula>NOT(ISERROR(SEARCH("No",N171)))</formula>
    </cfRule>
    <cfRule type="containsText" dxfId="44" priority="266" operator="containsText" text="Yes">
      <formula>NOT(ISERROR(SEARCH("Yes",N171)))</formula>
    </cfRule>
  </conditionalFormatting>
  <conditionalFormatting sqref="N196:N214">
    <cfRule type="containsText" dxfId="42" priority="253" operator="containsText" text="No">
      <formula>NOT(ISERROR(SEARCH("No",N196)))</formula>
    </cfRule>
    <cfRule type="containsText" dxfId="43" priority="254" operator="containsText" text="Yes">
      <formula>NOT(ISERROR(SEARCH("Yes",N196)))</formula>
    </cfRule>
  </conditionalFormatting>
  <conditionalFormatting sqref="N220:N238">
    <cfRule type="containsText" dxfId="41" priority="241" operator="containsText" text="No">
      <formula>NOT(ISERROR(SEARCH("No",N220)))</formula>
    </cfRule>
    <cfRule type="containsText" dxfId="40" priority="242" operator="containsText" text="Yes">
      <formula>NOT(ISERROR(SEARCH("Yes",N220)))</formula>
    </cfRule>
  </conditionalFormatting>
  <conditionalFormatting sqref="N244:N262">
    <cfRule type="containsText" dxfId="39" priority="229" operator="containsText" text="No">
      <formula>NOT(ISERROR(SEARCH("No",N244)))</formula>
    </cfRule>
    <cfRule type="containsText" dxfId="38" priority="230" operator="containsText" text="Yes">
      <formula>NOT(ISERROR(SEARCH("Yes",N244)))</formula>
    </cfRule>
  </conditionalFormatting>
  <conditionalFormatting sqref="N267:N285">
    <cfRule type="containsText" dxfId="37" priority="217" operator="containsText" text="No">
      <formula>NOT(ISERROR(SEARCH("No",N267)))</formula>
    </cfRule>
    <cfRule type="containsText" dxfId="36" priority="218" operator="containsText" text="Yes">
      <formula>NOT(ISERROR(SEARCH("Yes",N267)))</formula>
    </cfRule>
  </conditionalFormatting>
  <conditionalFormatting sqref="N290:N308">
    <cfRule type="containsText" dxfId="34" priority="205" operator="containsText" text="No">
      <formula>NOT(ISERROR(SEARCH("No",N290)))</formula>
    </cfRule>
    <cfRule type="containsText" dxfId="35" priority="206" operator="containsText" text="Yes">
      <formula>NOT(ISERROR(SEARCH("Yes",N290)))</formula>
    </cfRule>
  </conditionalFormatting>
  <conditionalFormatting sqref="N314:N332">
    <cfRule type="containsText" dxfId="32" priority="193" operator="containsText" text="No">
      <formula>NOT(ISERROR(SEARCH("No",N314)))</formula>
    </cfRule>
    <cfRule type="containsText" dxfId="33" priority="194" operator="containsText" text="Yes">
      <formula>NOT(ISERROR(SEARCH("Yes",N314)))</formula>
    </cfRule>
  </conditionalFormatting>
  <conditionalFormatting sqref="N338:N356">
    <cfRule type="containsText" dxfId="30" priority="181" operator="containsText" text="No">
      <formula>NOT(ISERROR(SEARCH("No",N338)))</formula>
    </cfRule>
    <cfRule type="containsText" dxfId="31" priority="182" operator="containsText" text="Yes">
      <formula>NOT(ISERROR(SEARCH("Yes",N338)))</formula>
    </cfRule>
  </conditionalFormatting>
  <conditionalFormatting sqref="N361:N379">
    <cfRule type="containsText" dxfId="29" priority="169" operator="containsText" text="No">
      <formula>NOT(ISERROR(SEARCH("No",N361)))</formula>
    </cfRule>
    <cfRule type="containsText" dxfId="28" priority="170" operator="containsText" text="Yes">
      <formula>NOT(ISERROR(SEARCH("Yes",N361)))</formula>
    </cfRule>
  </conditionalFormatting>
  <conditionalFormatting sqref="N384:N402">
    <cfRule type="containsText" dxfId="27" priority="157" operator="containsText" text="No">
      <formula>NOT(ISERROR(SEARCH("No",N384)))</formula>
    </cfRule>
    <cfRule type="containsText" dxfId="26" priority="158" operator="containsText" text="Yes">
      <formula>NOT(ISERROR(SEARCH("Yes",N384)))</formula>
    </cfRule>
  </conditionalFormatting>
  <conditionalFormatting sqref="N408:N426">
    <cfRule type="containsText" dxfId="25" priority="145" operator="containsText" text="No">
      <formula>NOT(ISERROR(SEARCH("No",N408)))</formula>
    </cfRule>
    <cfRule type="containsText" dxfId="24" priority="146" operator="containsText" text="Yes">
      <formula>NOT(ISERROR(SEARCH("Yes",N408)))</formula>
    </cfRule>
  </conditionalFormatting>
  <conditionalFormatting sqref="N431:N449">
    <cfRule type="containsText" dxfId="22" priority="133" operator="containsText" text="No">
      <formula>NOT(ISERROR(SEARCH("No",N431)))</formula>
    </cfRule>
    <cfRule type="containsText" dxfId="23" priority="134" operator="containsText" text="Yes">
      <formula>NOT(ISERROR(SEARCH("Yes",N431)))</formula>
    </cfRule>
  </conditionalFormatting>
  <conditionalFormatting sqref="N454:N472">
    <cfRule type="containsText" dxfId="20" priority="121" operator="containsText" text="No">
      <formula>NOT(ISERROR(SEARCH("No",N454)))</formula>
    </cfRule>
    <cfRule type="containsText" dxfId="21" priority="122" operator="containsText" text="Yes">
      <formula>NOT(ISERROR(SEARCH("Yes",N454)))</formula>
    </cfRule>
  </conditionalFormatting>
  <conditionalFormatting sqref="N477:N495">
    <cfRule type="containsText" dxfId="18" priority="109" operator="containsText" text="No">
      <formula>NOT(ISERROR(SEARCH("No",N477)))</formula>
    </cfRule>
    <cfRule type="containsText" dxfId="19" priority="110" operator="containsText" text="Yes">
      <formula>NOT(ISERROR(SEARCH("Yes",N477)))</formula>
    </cfRule>
  </conditionalFormatting>
  <conditionalFormatting sqref="N500:N518">
    <cfRule type="containsText" dxfId="17" priority="97" operator="containsText" text="No">
      <formula>NOT(ISERROR(SEARCH("No",N500)))</formula>
    </cfRule>
    <cfRule type="containsText" dxfId="16" priority="98" operator="containsText" text="Yes">
      <formula>NOT(ISERROR(SEARCH("Yes",N500)))</formula>
    </cfRule>
  </conditionalFormatting>
  <conditionalFormatting sqref="N524:N542">
    <cfRule type="containsText" dxfId="15" priority="85" operator="containsText" text="No">
      <formula>NOT(ISERROR(SEARCH("No",N524)))</formula>
    </cfRule>
    <cfRule type="containsText" dxfId="14" priority="86" operator="containsText" text="Yes">
      <formula>NOT(ISERROR(SEARCH("Yes",N524)))</formula>
    </cfRule>
  </conditionalFormatting>
  <conditionalFormatting sqref="N547:N565">
    <cfRule type="containsText" dxfId="13" priority="73" operator="containsText" text="No">
      <formula>NOT(ISERROR(SEARCH("No",N547)))</formula>
    </cfRule>
    <cfRule type="containsText" dxfId="12" priority="74" operator="containsText" text="Yes">
      <formula>NOT(ISERROR(SEARCH("Yes",N547)))</formula>
    </cfRule>
  </conditionalFormatting>
  <conditionalFormatting sqref="N571:N589">
    <cfRule type="containsText" dxfId="11" priority="61" operator="containsText" text="No">
      <formula>NOT(ISERROR(SEARCH("No",N571)))</formula>
    </cfRule>
    <cfRule type="containsText" dxfId="10" priority="62" operator="containsText" text="Yes">
      <formula>NOT(ISERROR(SEARCH("Yes",N571)))</formula>
    </cfRule>
  </conditionalFormatting>
  <conditionalFormatting sqref="N595:N613">
    <cfRule type="containsText" dxfId="9" priority="49" operator="containsText" text="No">
      <formula>NOT(ISERROR(SEARCH("No",N595)))</formula>
    </cfRule>
    <cfRule type="containsText" dxfId="8" priority="50" operator="containsText" text="Yes">
      <formula>NOT(ISERROR(SEARCH("Yes",N595)))</formula>
    </cfRule>
  </conditionalFormatting>
  <conditionalFormatting sqref="N619:N637">
    <cfRule type="containsText" dxfId="7" priority="37" operator="containsText" text="No">
      <formula>NOT(ISERROR(SEARCH("No",N619)))</formula>
    </cfRule>
    <cfRule type="containsText" dxfId="6" priority="38" operator="containsText" text="Yes">
      <formula>NOT(ISERROR(SEARCH("Yes",N619)))</formula>
    </cfRule>
  </conditionalFormatting>
  <conditionalFormatting sqref="N643:N661">
    <cfRule type="containsText" dxfId="4" priority="25" operator="containsText" text="No">
      <formula>NOT(ISERROR(SEARCH("No",N643)))</formula>
    </cfRule>
    <cfRule type="containsText" dxfId="5" priority="26" operator="containsText" text="Yes">
      <formula>NOT(ISERROR(SEARCH("Yes",N643)))</formula>
    </cfRule>
  </conditionalFormatting>
  <conditionalFormatting sqref="N666:N684">
    <cfRule type="containsText" dxfId="3" priority="13" operator="containsText" text="No">
      <formula>NOT(ISERROR(SEARCH("No",N666)))</formula>
    </cfRule>
    <cfRule type="containsText" dxfId="2" priority="14" operator="containsText" text="Yes">
      <formula>NOT(ISERROR(SEARCH("Yes",N666)))</formula>
    </cfRule>
  </conditionalFormatting>
  <conditionalFormatting sqref="N690:N708">
    <cfRule type="containsText" dxfId="1" priority="1" operator="containsText" text="No">
      <formula>NOT(ISERROR(SEARCH("No",N690)))</formula>
    </cfRule>
    <cfRule type="containsText" dxfId="0" priority="2" operator="containsText" text="Yes">
      <formula>NOT(ISERROR(SEARCH("Yes",N690)))</formula>
    </cfRule>
  </conditionalFormatting>
  <dataValidations count="2">
    <dataValidation type="list" allowBlank="1" showInputMessage="1" showErrorMessage="1" errorTitle="Wrong Team Name" error="Please enter correct name" sqref="A2 A25 A49 A73 A97 A120 A145 A169 A194 A218 A242 A265 A288 A312 A336 A359 A382 A406 A429 A452 A475 A498 A522 A545 A569 A593 A617 A641 A664 A688" xr:uid="{6244EB6F-07F6-4B5D-BA3A-4A1B8D5AD256}">
      <formula1>TeamName</formula1>
    </dataValidation>
    <dataValidation type="list" allowBlank="1" showInputMessage="1" showErrorMessage="1" errorTitle="Recruiter Name not correct" error="Please enter correct recruiter name" sqref="C2 C25 C49 C73 C97 C120 C145 C169 C194 C218 C242 C265 C288 C312 C336 C359 C382 C406 C429 C452 C475 C498 C522 C545 C569 C593 C617 C641 C664 C688" xr:uid="{1A835804-B44A-4C31-9D5C-1930AC8A30B7}">
      <formula1>INDIRECT($A$2)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2026-02-12T11:19:44Z</dcterms:created>
  <dcterms:modified xsi:type="dcterms:W3CDTF">2026-02-12T11:20:24Z</dcterms:modified>
</cp:coreProperties>
</file>