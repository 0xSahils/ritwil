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OneDrive\Desktop\"/>
    </mc:Choice>
  </mc:AlternateContent>
  <xr:revisionPtr revIDLastSave="0" documentId="8_{F99CE525-2395-4425-B800-A42EE64A6728}" xr6:coauthVersionLast="47" xr6:coauthVersionMax="47" xr10:uidLastSave="{00000000-0000-0000-0000-000000000000}"/>
  <bookViews>
    <workbookView xWindow="-108" yWindow="-108" windowWidth="23256" windowHeight="13176" xr2:uid="{E0570928-7B61-4469-8D63-0E012F21403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7" i="1" l="1"/>
  <c r="H287" i="1"/>
  <c r="I286" i="1"/>
  <c r="H286" i="1"/>
  <c r="I285" i="1"/>
  <c r="G281" i="1" s="1"/>
  <c r="H285" i="1"/>
  <c r="I284" i="1"/>
  <c r="H284" i="1"/>
  <c r="I283" i="1"/>
  <c r="H283" i="1"/>
  <c r="B283" i="1" a="1"/>
  <c r="B283" i="1" s="1"/>
  <c r="A283" i="1"/>
  <c r="F281" i="1"/>
  <c r="E281" i="1"/>
  <c r="H281" i="1" s="1" a="1"/>
  <c r="H281" i="1" s="1"/>
  <c r="D281" i="1"/>
  <c r="C281" i="1"/>
  <c r="I278" i="1"/>
  <c r="H278" i="1"/>
  <c r="H277" i="1"/>
  <c r="I277" i="1" s="1"/>
  <c r="B274" i="1" a="1"/>
  <c r="H274" i="1" s="1"/>
  <c r="I274" i="1" s="1"/>
  <c r="A274" i="1"/>
  <c r="F272" i="1"/>
  <c r="E272" i="1"/>
  <c r="H272" i="1" s="1" a="1"/>
  <c r="H272" i="1" s="1"/>
  <c r="D272" i="1"/>
  <c r="C272" i="1"/>
  <c r="I269" i="1"/>
  <c r="H269" i="1"/>
  <c r="I268" i="1"/>
  <c r="H268" i="1"/>
  <c r="I267" i="1"/>
  <c r="H267" i="1"/>
  <c r="I266" i="1"/>
  <c r="H266" i="1"/>
  <c r="B265" i="1" a="1"/>
  <c r="B265" i="1" s="1"/>
  <c r="A265" i="1"/>
  <c r="F263" i="1"/>
  <c r="I263" i="1" s="1"/>
  <c r="J263" i="1" s="1"/>
  <c r="E263" i="1"/>
  <c r="H263" i="1" s="1" a="1"/>
  <c r="H263" i="1" s="1"/>
  <c r="D263" i="1"/>
  <c r="C263" i="1"/>
  <c r="I260" i="1"/>
  <c r="H260" i="1"/>
  <c r="I258" i="1"/>
  <c r="H258" i="1"/>
  <c r="B256" i="1" a="1"/>
  <c r="H259" i="1" s="1"/>
  <c r="I259" i="1" s="1"/>
  <c r="A256" i="1"/>
  <c r="F254" i="1"/>
  <c r="E254" i="1"/>
  <c r="H254" i="1" s="1" a="1"/>
  <c r="H254" i="1" s="1"/>
  <c r="D254" i="1"/>
  <c r="C254" i="1"/>
  <c r="I248" i="1"/>
  <c r="H248" i="1"/>
  <c r="I247" i="1"/>
  <c r="H247" i="1"/>
  <c r="H244" i="1"/>
  <c r="I244" i="1" s="1"/>
  <c r="I243" i="1"/>
  <c r="H243" i="1"/>
  <c r="I242" i="1"/>
  <c r="H242" i="1"/>
  <c r="B242" i="1" a="1"/>
  <c r="B242" i="1" s="1"/>
  <c r="A242" i="1"/>
  <c r="F240" i="1"/>
  <c r="E240" i="1"/>
  <c r="H240" i="1" s="1" a="1"/>
  <c r="H240" i="1" s="1"/>
  <c r="I240" i="1" s="1"/>
  <c r="J240" i="1" s="1"/>
  <c r="D240" i="1"/>
  <c r="C240" i="1"/>
  <c r="I236" i="1"/>
  <c r="H236" i="1"/>
  <c r="I235" i="1"/>
  <c r="H235" i="1"/>
  <c r="I232" i="1"/>
  <c r="H232" i="1"/>
  <c r="I231" i="1"/>
  <c r="H231" i="1"/>
  <c r="I230" i="1"/>
  <c r="G228" i="1" s="1"/>
  <c r="H230" i="1"/>
  <c r="B230" i="1" a="1"/>
  <c r="B230" i="1" s="1"/>
  <c r="A230" i="1"/>
  <c r="F228" i="1"/>
  <c r="E228" i="1"/>
  <c r="H228" i="1" s="1" a="1"/>
  <c r="H228" i="1" s="1"/>
  <c r="I228" i="1" s="1"/>
  <c r="J228" i="1" s="1"/>
  <c r="D228" i="1"/>
  <c r="C228" i="1"/>
  <c r="I222" i="1"/>
  <c r="H222" i="1"/>
  <c r="I221" i="1"/>
  <c r="H221" i="1"/>
  <c r="I218" i="1"/>
  <c r="H218" i="1"/>
  <c r="H217" i="1"/>
  <c r="I217" i="1" s="1"/>
  <c r="I216" i="1"/>
  <c r="G214" i="1" s="1"/>
  <c r="K214" i="1" s="1"/>
  <c r="H216" i="1"/>
  <c r="B216" i="1" a="1"/>
  <c r="B216" i="1" s="1"/>
  <c r="A216" i="1"/>
  <c r="F214" i="1"/>
  <c r="E214" i="1"/>
  <c r="H214" i="1" s="1" a="1"/>
  <c r="H214" i="1" s="1"/>
  <c r="I214" i="1" s="1"/>
  <c r="J214" i="1" s="1"/>
  <c r="D214" i="1"/>
  <c r="C214" i="1"/>
  <c r="I209" i="1"/>
  <c r="H209" i="1"/>
  <c r="I206" i="1"/>
  <c r="H206" i="1"/>
  <c r="I205" i="1"/>
  <c r="H205" i="1"/>
  <c r="I204" i="1"/>
  <c r="H204" i="1"/>
  <c r="I203" i="1"/>
  <c r="G201" i="1" s="1"/>
  <c r="K201" i="1" s="1"/>
  <c r="H203" i="1"/>
  <c r="B203" i="1" a="1"/>
  <c r="B203" i="1" s="1"/>
  <c r="A203" i="1"/>
  <c r="H201" i="1"/>
  <c r="H201" i="1" a="1"/>
  <c r="F201" i="1"/>
  <c r="I201" i="1" s="1"/>
  <c r="J201" i="1" s="1"/>
  <c r="E201" i="1"/>
  <c r="D201" i="1"/>
  <c r="C201" i="1"/>
  <c r="H197" i="1"/>
  <c r="I197" i="1" s="1"/>
  <c r="I194" i="1"/>
  <c r="H194" i="1"/>
  <c r="B191" i="1" a="1"/>
  <c r="H191" i="1" s="1"/>
  <c r="I191" i="1" s="1"/>
  <c r="A191" i="1"/>
  <c r="H189" i="1" a="1"/>
  <c r="H189" i="1" s="1"/>
  <c r="F189" i="1"/>
  <c r="I189" i="1" s="1"/>
  <c r="J189" i="1" s="1"/>
  <c r="E189" i="1"/>
  <c r="D189" i="1"/>
  <c r="C189" i="1"/>
  <c r="I185" i="1"/>
  <c r="H185" i="1"/>
  <c r="I182" i="1"/>
  <c r="H182" i="1"/>
  <c r="B179" i="1" a="1"/>
  <c r="H179" i="1" s="1"/>
  <c r="I179" i="1" s="1"/>
  <c r="A179" i="1"/>
  <c r="E177" i="1"/>
  <c r="H177" i="1" s="1" a="1"/>
  <c r="H177" i="1" s="1"/>
  <c r="D177" i="1"/>
  <c r="C177" i="1"/>
  <c r="I173" i="1"/>
  <c r="H173" i="1"/>
  <c r="H170" i="1"/>
  <c r="I170" i="1" s="1"/>
  <c r="I169" i="1"/>
  <c r="H169" i="1"/>
  <c r="B167" i="1" a="1"/>
  <c r="B167" i="1" s="1"/>
  <c r="A167" i="1"/>
  <c r="F165" i="1"/>
  <c r="I165" i="1" s="1"/>
  <c r="J165" i="1" s="1"/>
  <c r="E165" i="1"/>
  <c r="H165" i="1" s="1" a="1"/>
  <c r="H165" i="1" s="1"/>
  <c r="D165" i="1"/>
  <c r="C165" i="1"/>
  <c r="I162" i="1"/>
  <c r="H162" i="1"/>
  <c r="I161" i="1"/>
  <c r="H161" i="1"/>
  <c r="H158" i="1"/>
  <c r="I158" i="1" s="1"/>
  <c r="I157" i="1"/>
  <c r="H157" i="1"/>
  <c r="B156" i="1" a="1"/>
  <c r="H156" i="1" s="1"/>
  <c r="I156" i="1" s="1"/>
  <c r="G154" i="1" s="1"/>
  <c r="K154" i="1" s="1"/>
  <c r="A156" i="1"/>
  <c r="F154" i="1"/>
  <c r="I154" i="1" s="1"/>
  <c r="J154" i="1" s="1"/>
  <c r="E154" i="1"/>
  <c r="H154" i="1" s="1" a="1"/>
  <c r="H154" i="1" s="1"/>
  <c r="D154" i="1"/>
  <c r="C154" i="1"/>
  <c r="I150" i="1"/>
  <c r="H150" i="1"/>
  <c r="B143" i="1" a="1"/>
  <c r="H145" i="1" s="1"/>
  <c r="I145" i="1" s="1"/>
  <c r="A143" i="1"/>
  <c r="F141" i="1"/>
  <c r="I141" i="1" s="1"/>
  <c r="J141" i="1" s="1"/>
  <c r="E141" i="1"/>
  <c r="H141" i="1" s="1" a="1"/>
  <c r="H141" i="1" s="1"/>
  <c r="D141" i="1"/>
  <c r="C141" i="1"/>
  <c r="I136" i="1"/>
  <c r="H136" i="1"/>
  <c r="I135" i="1"/>
  <c r="H135" i="1"/>
  <c r="I134" i="1"/>
  <c r="H134" i="1"/>
  <c r="H133" i="1"/>
  <c r="I133" i="1" s="1"/>
  <c r="I132" i="1"/>
  <c r="H132" i="1"/>
  <c r="H129" i="1"/>
  <c r="I129" i="1" s="1"/>
  <c r="B129" i="1"/>
  <c r="B129" i="1" a="1"/>
  <c r="H130" i="1" s="1"/>
  <c r="I130" i="1" s="1"/>
  <c r="A129" i="1"/>
  <c r="H127" i="1" a="1"/>
  <c r="H127" i="1" s="1"/>
  <c r="F127" i="1"/>
  <c r="I127" i="1" s="1"/>
  <c r="J127" i="1" s="1"/>
  <c r="E127" i="1"/>
  <c r="D127" i="1"/>
  <c r="C127" i="1"/>
  <c r="B116" i="1" a="1"/>
  <c r="B116" i="1" s="1"/>
  <c r="A116" i="1"/>
  <c r="E114" i="1"/>
  <c r="H114" i="1" s="1" a="1"/>
  <c r="H114" i="1" s="1"/>
  <c r="D114" i="1"/>
  <c r="C114" i="1"/>
  <c r="I105" i="1"/>
  <c r="H105" i="1"/>
  <c r="H104" i="1"/>
  <c r="I104" i="1" s="1"/>
  <c r="B103" i="1" a="1"/>
  <c r="H103" i="1" s="1"/>
  <c r="I103" i="1" s="1"/>
  <c r="G101" i="1" s="1"/>
  <c r="K101" i="1" s="1"/>
  <c r="A103" i="1"/>
  <c r="F101" i="1"/>
  <c r="E101" i="1"/>
  <c r="H101" i="1" s="1" a="1"/>
  <c r="H101" i="1" s="1"/>
  <c r="I101" i="1" s="1"/>
  <c r="J101" i="1" s="1"/>
  <c r="D101" i="1"/>
  <c r="C101" i="1"/>
  <c r="H93" i="1"/>
  <c r="I93" i="1" s="1"/>
  <c r="B91" i="1" a="1"/>
  <c r="B91" i="1" s="1"/>
  <c r="A91" i="1"/>
  <c r="E89" i="1"/>
  <c r="H89" i="1" s="1" a="1"/>
  <c r="H89" i="1" s="1"/>
  <c r="D89" i="1"/>
  <c r="C89" i="1"/>
  <c r="H81" i="1"/>
  <c r="I81" i="1" s="1"/>
  <c r="B79" i="1" a="1"/>
  <c r="H80" i="1" s="1"/>
  <c r="I80" i="1" s="1"/>
  <c r="A79" i="1"/>
  <c r="H77" i="1" a="1"/>
  <c r="H77" i="1" s="1"/>
  <c r="F77" i="1"/>
  <c r="I77" i="1" s="1"/>
  <c r="J77" i="1" s="1"/>
  <c r="E77" i="1"/>
  <c r="D77" i="1"/>
  <c r="C77" i="1"/>
  <c r="H66" i="1"/>
  <c r="I66" i="1" s="1"/>
  <c r="H65" i="1"/>
  <c r="I65" i="1" s="1"/>
  <c r="H64" i="1"/>
  <c r="I64" i="1" s="1"/>
  <c r="G62" i="1" s="1"/>
  <c r="K62" i="1" s="1"/>
  <c r="B64" i="1"/>
  <c r="B64" i="1" a="1"/>
  <c r="A64" i="1"/>
  <c r="H62" i="1" a="1"/>
  <c r="H62" i="1" s="1"/>
  <c r="I62" i="1" s="1"/>
  <c r="J62" i="1" s="1"/>
  <c r="F62" i="1"/>
  <c r="E62" i="1"/>
  <c r="D62" i="1"/>
  <c r="C62" i="1"/>
  <c r="H56" i="1"/>
  <c r="I56" i="1" s="1"/>
  <c r="I55" i="1"/>
  <c r="H55" i="1"/>
  <c r="H54" i="1"/>
  <c r="I54" i="1" s="1"/>
  <c r="B54" i="1" a="1"/>
  <c r="B54" i="1" s="1"/>
  <c r="A54" i="1"/>
  <c r="H52" i="1" a="1"/>
  <c r="H52" i="1" s="1"/>
  <c r="F52" i="1"/>
  <c r="I52" i="1" s="1"/>
  <c r="J52" i="1" s="1"/>
  <c r="E52" i="1"/>
  <c r="D52" i="1"/>
  <c r="C52" i="1"/>
  <c r="K44" i="1"/>
  <c r="H44" i="1"/>
  <c r="I44" i="1" s="1"/>
  <c r="K43" i="1"/>
  <c r="I43" i="1"/>
  <c r="H43" i="1"/>
  <c r="K42" i="1"/>
  <c r="H42" i="1"/>
  <c r="I42" i="1" s="1"/>
  <c r="B42" i="1" a="1"/>
  <c r="B42" i="1" s="1"/>
  <c r="A42" i="1"/>
  <c r="H40" i="1" a="1"/>
  <c r="H40" i="1" s="1"/>
  <c r="G40" i="1"/>
  <c r="K40" i="1" s="1"/>
  <c r="F40" i="1"/>
  <c r="I40" i="1" s="1"/>
  <c r="J40" i="1" s="1"/>
  <c r="E40" i="1"/>
  <c r="D40" i="1"/>
  <c r="C40" i="1"/>
  <c r="H33" i="1"/>
  <c r="I33" i="1" s="1"/>
  <c r="I32" i="1"/>
  <c r="H31" i="1"/>
  <c r="I31" i="1" s="1"/>
  <c r="G29" i="1" s="1"/>
  <c r="B31" i="1"/>
  <c r="B31" i="1" a="1"/>
  <c r="H32" i="1" s="1"/>
  <c r="A31" i="1"/>
  <c r="F29" i="1"/>
  <c r="E29" i="1"/>
  <c r="H29" i="1" s="1" a="1"/>
  <c r="H29" i="1" s="1"/>
  <c r="D29" i="1"/>
  <c r="C29" i="1"/>
  <c r="H24" i="1"/>
  <c r="I24" i="1" s="1"/>
  <c r="J23" i="1"/>
  <c r="K23" i="1" s="1"/>
  <c r="H22" i="1"/>
  <c r="I22" i="1" s="1"/>
  <c r="J21" i="1"/>
  <c r="K21" i="1" s="1"/>
  <c r="H20" i="1"/>
  <c r="I20" i="1" s="1"/>
  <c r="J19" i="1"/>
  <c r="K19" i="1" s="1"/>
  <c r="B19" i="1" a="1"/>
  <c r="B19" i="1" s="1"/>
  <c r="A19" i="1"/>
  <c r="E17" i="1"/>
  <c r="H17" i="1" s="1" a="1"/>
  <c r="H17" i="1" s="1"/>
  <c r="D17" i="1"/>
  <c r="C17" i="1"/>
  <c r="F14" i="1" a="1"/>
  <c r="F14" i="1" s="1"/>
  <c r="H11" i="1"/>
  <c r="I11" i="1" s="1"/>
  <c r="K10" i="1"/>
  <c r="J10" i="1"/>
  <c r="H10" i="1"/>
  <c r="I10" i="1" s="1"/>
  <c r="H9" i="1"/>
  <c r="I9" i="1" s="1"/>
  <c r="J8" i="1"/>
  <c r="K8" i="1" s="1"/>
  <c r="I8" i="1"/>
  <c r="H8" i="1"/>
  <c r="H7" i="1"/>
  <c r="I7" i="1" s="1"/>
  <c r="J6" i="1"/>
  <c r="K6" i="1" s="1"/>
  <c r="H6" i="1"/>
  <c r="I6" i="1" s="1"/>
  <c r="G4" i="1" s="1"/>
  <c r="K4" i="1" s="1"/>
  <c r="B6" i="1"/>
  <c r="B6" i="1" a="1"/>
  <c r="H12" i="1" s="1"/>
  <c r="I12" i="1" s="1"/>
  <c r="A6" i="1"/>
  <c r="J9" i="1" s="1"/>
  <c r="K9" i="1" s="1"/>
  <c r="H4" i="1"/>
  <c r="H4" i="1" a="1"/>
  <c r="F4" i="1"/>
  <c r="E4" i="1"/>
  <c r="D4" i="1"/>
  <c r="C4" i="1"/>
  <c r="K29" i="1" l="1"/>
  <c r="I254" i="1"/>
  <c r="J254" i="1" s="1"/>
  <c r="I272" i="1"/>
  <c r="J272" i="1" s="1"/>
  <c r="I29" i="1"/>
  <c r="J29" i="1" s="1"/>
  <c r="G189" i="1"/>
  <c r="K189" i="1" s="1"/>
  <c r="I281" i="1"/>
  <c r="J281" i="1" s="1"/>
  <c r="K281" i="1"/>
  <c r="J56" i="1"/>
  <c r="K56" i="1" s="1"/>
  <c r="J54" i="1"/>
  <c r="K54" i="1" s="1"/>
  <c r="J55" i="1"/>
  <c r="K55" i="1" s="1"/>
  <c r="J65" i="1"/>
  <c r="K65" i="1" s="1"/>
  <c r="J66" i="1"/>
  <c r="K66" i="1" s="1"/>
  <c r="J64" i="1"/>
  <c r="K64" i="1" s="1"/>
  <c r="I4" i="1"/>
  <c r="J4" i="1" s="1"/>
  <c r="G52" i="1"/>
  <c r="K52" i="1" s="1"/>
  <c r="K228" i="1"/>
  <c r="G240" i="1"/>
  <c r="K240" i="1" s="1"/>
  <c r="J20" i="1"/>
  <c r="K20" i="1" s="1"/>
  <c r="J22" i="1"/>
  <c r="K22" i="1" s="1"/>
  <c r="J24" i="1"/>
  <c r="J31" i="1"/>
  <c r="K31" i="1" s="1"/>
  <c r="J33" i="1"/>
  <c r="K33" i="1" s="1"/>
  <c r="H19" i="1"/>
  <c r="I19" i="1" s="1"/>
  <c r="H21" i="1"/>
  <c r="I21" i="1" s="1"/>
  <c r="H23" i="1"/>
  <c r="I23" i="1" s="1"/>
  <c r="H91" i="1"/>
  <c r="I91" i="1" s="1"/>
  <c r="H117" i="1"/>
  <c r="I117" i="1" s="1"/>
  <c r="H146" i="1"/>
  <c r="I146" i="1" s="1"/>
  <c r="B156" i="1"/>
  <c r="H167" i="1"/>
  <c r="I167" i="1" s="1"/>
  <c r="G165" i="1" s="1"/>
  <c r="K165" i="1" s="1"/>
  <c r="H192" i="1"/>
  <c r="I192" i="1" s="1"/>
  <c r="B256" i="1"/>
  <c r="H265" i="1"/>
  <c r="I265" i="1" s="1"/>
  <c r="G263" i="1" s="1"/>
  <c r="K263" i="1" s="1"/>
  <c r="H131" i="1"/>
  <c r="I131" i="1" s="1"/>
  <c r="G127" i="1" s="1"/>
  <c r="K127" i="1" s="1"/>
  <c r="B143" i="1"/>
  <c r="H180" i="1"/>
  <c r="I180" i="1" s="1"/>
  <c r="G177" i="1" s="1"/>
  <c r="K177" i="1" s="1"/>
  <c r="H256" i="1"/>
  <c r="I256" i="1" s="1"/>
  <c r="G254" i="1" s="1"/>
  <c r="K254" i="1" s="1"/>
  <c r="H275" i="1"/>
  <c r="I275" i="1" s="1"/>
  <c r="G272" i="1" s="1"/>
  <c r="K272" i="1" s="1"/>
  <c r="J32" i="1"/>
  <c r="K32" i="1" s="1"/>
  <c r="H92" i="1"/>
  <c r="I92" i="1" s="1"/>
  <c r="B103" i="1"/>
  <c r="H118" i="1"/>
  <c r="I118" i="1" s="1"/>
  <c r="H143" i="1"/>
  <c r="I143" i="1" s="1"/>
  <c r="G141" i="1" s="1"/>
  <c r="K141" i="1" s="1"/>
  <c r="H168" i="1"/>
  <c r="I168" i="1" s="1"/>
  <c r="H193" i="1"/>
  <c r="I193" i="1" s="1"/>
  <c r="H181" i="1"/>
  <c r="I181" i="1" s="1"/>
  <c r="H257" i="1"/>
  <c r="I257" i="1" s="1"/>
  <c r="H276" i="1"/>
  <c r="I276" i="1" s="1"/>
  <c r="H119" i="1"/>
  <c r="I119" i="1" s="1"/>
  <c r="H144" i="1"/>
  <c r="I144" i="1" s="1"/>
  <c r="B191" i="1"/>
  <c r="H116" i="1"/>
  <c r="I116" i="1" s="1"/>
  <c r="H120" i="1"/>
  <c r="I120" i="1" s="1"/>
  <c r="B179" i="1"/>
  <c r="B274" i="1"/>
  <c r="B79" i="1"/>
  <c r="F114" i="1"/>
  <c r="I114" i="1" s="1"/>
  <c r="J114" i="1" s="1"/>
  <c r="H79" i="1"/>
  <c r="I79" i="1" s="1"/>
  <c r="G77" i="1" s="1"/>
  <c r="K77" i="1" s="1"/>
  <c r="F177" i="1"/>
  <c r="I177" i="1" s="1"/>
  <c r="J177" i="1" s="1"/>
  <c r="F17" i="1"/>
  <c r="I17" i="1" s="1"/>
  <c r="J17" i="1" s="1"/>
  <c r="F89" i="1"/>
  <c r="I89" i="1" s="1"/>
  <c r="J89" i="1" s="1"/>
  <c r="J7" i="1"/>
  <c r="K7" i="1" s="1"/>
  <c r="G114" i="1" l="1"/>
  <c r="K114" i="1" s="1"/>
  <c r="G89" i="1"/>
  <c r="K89" i="1" s="1"/>
  <c r="G17" i="1"/>
  <c r="K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<sst xmlns="http://schemas.openxmlformats.org/spreadsheetml/2006/main" count="548" uniqueCount="51">
  <si>
    <t xml:space="preserve">L4 Level </t>
  </si>
  <si>
    <t>Team</t>
  </si>
  <si>
    <t>Recruiter Name</t>
  </si>
  <si>
    <t>Team Lead</t>
  </si>
  <si>
    <t>Yearly  Revenue Target</t>
  </si>
  <si>
    <t>Target Achieved %</t>
  </si>
  <si>
    <t>Revenue Generated</t>
  </si>
  <si>
    <t>Revenue Billed</t>
  </si>
  <si>
    <t>Slab qualified</t>
  </si>
  <si>
    <t>Total Incentive in USD</t>
  </si>
  <si>
    <t>Total Incentive in INR</t>
  </si>
  <si>
    <t>Incentive Qualified</t>
  </si>
  <si>
    <t>Vantedge</t>
  </si>
  <si>
    <t>Umar Mujahid Husain</t>
  </si>
  <si>
    <t>Candidate Name</t>
  </si>
  <si>
    <t>DOJ</t>
  </si>
  <si>
    <t>Client</t>
  </si>
  <si>
    <t>Total Revenue</t>
  </si>
  <si>
    <t>Billing status</t>
  </si>
  <si>
    <t>DOQ</t>
  </si>
  <si>
    <t>Days Completed</t>
  </si>
  <si>
    <t>Revenue Qualifier</t>
  </si>
  <si>
    <t>Incentive %</t>
  </si>
  <si>
    <t>Incentive amount (INR)</t>
  </si>
  <si>
    <t>Incentive Paid</t>
  </si>
  <si>
    <t>Incentive in USD</t>
  </si>
  <si>
    <t>Syed Ahrar Abbas Zaidi</t>
  </si>
  <si>
    <t>Abhay Pratap Singh</t>
  </si>
  <si>
    <t>Astha Srivastava</t>
  </si>
  <si>
    <t>Ankit Maurya</t>
  </si>
  <si>
    <t>Prithvi Singh</t>
  </si>
  <si>
    <t>Ranjeet Kumar</t>
  </si>
  <si>
    <t>Devansh Mishra</t>
  </si>
  <si>
    <t>Prachi Pandey</t>
  </si>
  <si>
    <t>Pulkit prakash</t>
  </si>
  <si>
    <t>Mayank Saxena</t>
  </si>
  <si>
    <t>Govind Srivastava</t>
  </si>
  <si>
    <t>Umang Srivastava</t>
  </si>
  <si>
    <t>Anshul Kumar</t>
  </si>
  <si>
    <t>Priyansh Khare</t>
  </si>
  <si>
    <t>Shreya Singh</t>
  </si>
  <si>
    <t>Anamika Dwivedi</t>
  </si>
  <si>
    <t>Smriti Jha</t>
  </si>
  <si>
    <t>Abhishek Srivastava</t>
  </si>
  <si>
    <t>Shivanshu Mishra</t>
  </si>
  <si>
    <t>Sourcers</t>
  </si>
  <si>
    <t>Yearly  Placement Target</t>
  </si>
  <si>
    <t>Qausain Abbass</t>
  </si>
  <si>
    <t>Anam Hasan</t>
  </si>
  <si>
    <t>Tanya Mishra</t>
  </si>
  <si>
    <t>Devashish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</si>
</sst>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9" fontId="0" fillId="0" borderId="4" xfId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AppData\Local\Packages\5319275A.WhatsAppDesktop_cv1g1gvanyjgm\LocalState\sessions\068F55705FA871B5DBB9F42EB9C4D97716C66FA9\transfers\2026-03\Data%20Sheet%20Incentive%20Calculator%20(1).xlsx" TargetMode="External"/><Relationship Id="rId1" Type="http://schemas.openxmlformats.org/officeDocument/2006/relationships/externalLinkPath" Target="file:///C:\Users\sahil\AppData\Local\Packages\5319275A.WhatsAppDesktop_cv1g1gvanyjgm\LocalState\sessions\068F55705FA871B5DBB9F42EB9C4D97716C66FA9\transfers\2026-03\Data%20Sheet%20Incentive%20Calculato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</row>
        <row r="2">
          <cell r="B2" t="str">
            <v>Recruiter Name</v>
          </cell>
          <cell r="E2" t="str">
            <v>Placement Name</v>
          </cell>
          <cell r="F2" t="str">
            <v>VB Account Manager</v>
          </cell>
          <cell r="G2" t="str">
            <v>TL</v>
          </cell>
          <cell r="H2" t="str">
            <v>Sales</v>
          </cell>
          <cell r="I2" t="str">
            <v>Sourcer/Researcher</v>
          </cell>
          <cell r="J2" t="str">
            <v>Month</v>
          </cell>
          <cell r="K2" t="str">
            <v>DOJ (MM/DD/YYYY)</v>
          </cell>
          <cell r="L2" t="str">
            <v>DOQ (MM/DD/YYYY)</v>
          </cell>
          <cell r="M2" t="str">
            <v>Client Name</v>
          </cell>
          <cell r="N2" t="str">
            <v>Client Resource Name</v>
          </cell>
          <cell r="O2" t="str">
            <v>Billable Amount</v>
          </cell>
          <cell r="P2" t="str">
            <v>Billed currency</v>
          </cell>
          <cell r="Q2" t="str">
            <v>Drop Revenue loss</v>
          </cell>
          <cell r="R2" t="str">
            <v>Billing status</v>
          </cell>
          <cell r="S2" t="str">
            <v>Date updated</v>
          </cell>
          <cell r="T2" t="str">
            <v>Team</v>
          </cell>
          <cell r="U2" t="str">
            <v>Column1</v>
          </cell>
        </row>
        <row r="3">
          <cell r="B3" t="str">
            <v>Anshul Kumar</v>
          </cell>
          <cell r="E3" t="str">
            <v>David Mussan-Levy</v>
          </cell>
          <cell r="F3" t="str">
            <v>Raunak Tripathi</v>
          </cell>
          <cell r="G3" t="str">
            <v>Anshul Kumar</v>
          </cell>
          <cell r="H3" t="str">
            <v>Rashmi Bhatnagar</v>
          </cell>
          <cell r="I3" t="str">
            <v>Priyansh Khare</v>
          </cell>
          <cell r="J3" t="str">
            <v>January</v>
          </cell>
          <cell r="K3">
            <v>45659</v>
          </cell>
          <cell r="L3" t="str">
            <v>NA</v>
          </cell>
          <cell r="M3" t="str">
            <v>Visionet</v>
          </cell>
          <cell r="N3" t="str">
            <v>Shelza Tiwari</v>
          </cell>
          <cell r="O3">
            <v>30000</v>
          </cell>
          <cell r="P3" t="str">
            <v>USD</v>
          </cell>
          <cell r="R3" t="str">
            <v>Pending</v>
          </cell>
          <cell r="S3">
            <v>45763</v>
          </cell>
          <cell r="T3" t="str">
            <v>Vantedge</v>
          </cell>
          <cell r="U3" t="str">
            <v>Vantedge</v>
          </cell>
        </row>
        <row r="4">
          <cell r="B4" t="str">
            <v>Mayank Saxena</v>
          </cell>
          <cell r="E4" t="str">
            <v>Arbindoo Sood</v>
          </cell>
          <cell r="F4" t="str">
            <v>Mayank Saxena</v>
          </cell>
          <cell r="G4" t="str">
            <v>Mayank Saxena</v>
          </cell>
          <cell r="H4" t="str">
            <v>Rashmi Bhatnagar</v>
          </cell>
          <cell r="I4" t="str">
            <v>Rohini Parihar</v>
          </cell>
          <cell r="J4" t="str">
            <v>January</v>
          </cell>
          <cell r="K4">
            <v>45665</v>
          </cell>
          <cell r="L4" t="str">
            <v>NA</v>
          </cell>
          <cell r="M4" t="str">
            <v>Myridius</v>
          </cell>
          <cell r="N4" t="str">
            <v>Abhinav Kohle</v>
          </cell>
          <cell r="O4">
            <v>27950</v>
          </cell>
          <cell r="P4" t="str">
            <v>USD</v>
          </cell>
          <cell r="R4" t="str">
            <v>Done</v>
          </cell>
          <cell r="S4">
            <v>45763</v>
          </cell>
          <cell r="T4" t="str">
            <v>Vantedge</v>
          </cell>
          <cell r="U4" t="str">
            <v>Vantedge</v>
          </cell>
        </row>
        <row r="5">
          <cell r="B5" t="str">
            <v>Abhay Pratap Singh</v>
          </cell>
          <cell r="E5" t="str">
            <v>Sindhu Venkatesh</v>
          </cell>
          <cell r="F5" t="str">
            <v>Rohini Parihar</v>
          </cell>
          <cell r="G5" t="str">
            <v>Umar Mujahid Husain</v>
          </cell>
          <cell r="H5" t="str">
            <v>Dev Srivastava</v>
          </cell>
          <cell r="I5" t="str">
            <v>Tanya Mishra</v>
          </cell>
          <cell r="J5" t="str">
            <v>February</v>
          </cell>
          <cell r="K5">
            <v>45698</v>
          </cell>
          <cell r="L5" t="str">
            <v>NA</v>
          </cell>
          <cell r="M5" t="str">
            <v>QualiZeal </v>
          </cell>
          <cell r="N5" t="str">
            <v>Guru </v>
          </cell>
          <cell r="O5">
            <v>18750</v>
          </cell>
          <cell r="P5" t="str">
            <v>USD</v>
          </cell>
          <cell r="R5" t="str">
            <v>done</v>
          </cell>
          <cell r="S5">
            <v>45763</v>
          </cell>
          <cell r="T5" t="str">
            <v>Vantedge</v>
          </cell>
          <cell r="U5" t="str">
            <v>Vantedge</v>
          </cell>
        </row>
        <row r="6">
          <cell r="B6" t="str">
            <v>Umar Mujahid Husain</v>
          </cell>
          <cell r="E6" t="str">
            <v>John Donaldson</v>
          </cell>
          <cell r="F6" t="str">
            <v>Anshul Kumar</v>
          </cell>
          <cell r="G6" t="str">
            <v>Umar Mujahid Husain</v>
          </cell>
          <cell r="H6" t="str">
            <v>Dev Srivastava</v>
          </cell>
          <cell r="I6" t="str">
            <v>Anshul Kumar</v>
          </cell>
          <cell r="J6" t="str">
            <v>February</v>
          </cell>
          <cell r="K6">
            <v>45712</v>
          </cell>
          <cell r="L6" t="str">
            <v>NA</v>
          </cell>
          <cell r="M6" t="str">
            <v>WNS</v>
          </cell>
          <cell r="N6" t="str">
            <v>Sarita</v>
          </cell>
          <cell r="O6">
            <v>41250</v>
          </cell>
          <cell r="P6" t="str">
            <v>USD</v>
          </cell>
          <cell r="R6" t="str">
            <v>Done</v>
          </cell>
          <cell r="S6">
            <v>45763</v>
          </cell>
          <cell r="T6" t="str">
            <v>Vantedge</v>
          </cell>
          <cell r="U6" t="str">
            <v>Vantedge</v>
          </cell>
        </row>
        <row r="7">
          <cell r="B7" t="str">
            <v>Shreya Singh</v>
          </cell>
          <cell r="E7" t="str">
            <v>Juan salazar</v>
          </cell>
          <cell r="F7" t="str">
            <v>Anshul Kumar</v>
          </cell>
          <cell r="G7" t="str">
            <v>Anshul Kumar</v>
          </cell>
          <cell r="H7" t="str">
            <v>Rashmi Bhatnagar</v>
          </cell>
          <cell r="I7" t="str">
            <v>Tanya Mishra</v>
          </cell>
          <cell r="J7" t="str">
            <v>February</v>
          </cell>
          <cell r="K7">
            <v>45705</v>
          </cell>
          <cell r="L7" t="str">
            <v>NA</v>
          </cell>
          <cell r="M7" t="str">
            <v>Myridius</v>
          </cell>
          <cell r="O7">
            <v>27300</v>
          </cell>
          <cell r="P7" t="str">
            <v>USD</v>
          </cell>
          <cell r="R7" t="str">
            <v>Done</v>
          </cell>
          <cell r="S7">
            <v>45763</v>
          </cell>
          <cell r="T7" t="str">
            <v>Vantedge</v>
          </cell>
          <cell r="U7" t="str">
            <v>Vantedge</v>
          </cell>
        </row>
        <row r="8">
          <cell r="B8" t="str">
            <v>Abhay Pratap Singh</v>
          </cell>
          <cell r="E8" t="str">
            <v>Pooja Agarwal</v>
          </cell>
          <cell r="F8" t="str">
            <v>Umar Mujahid Husain</v>
          </cell>
          <cell r="G8" t="str">
            <v>Umar Mujahid Husain</v>
          </cell>
          <cell r="H8" t="str">
            <v>Dev Srivastava</v>
          </cell>
          <cell r="I8" t="str">
            <v>Nida Khan</v>
          </cell>
          <cell r="J8" t="str">
            <v>March</v>
          </cell>
          <cell r="K8">
            <v>45733</v>
          </cell>
          <cell r="L8" t="str">
            <v>NA</v>
          </cell>
          <cell r="M8" t="str">
            <v>Qualitest</v>
          </cell>
          <cell r="N8" t="str">
            <v>Ravi</v>
          </cell>
          <cell r="O8">
            <v>28500</v>
          </cell>
          <cell r="P8" t="str">
            <v>USD</v>
          </cell>
          <cell r="R8" t="str">
            <v>Done</v>
          </cell>
          <cell r="S8">
            <v>45763</v>
          </cell>
          <cell r="T8" t="str">
            <v>Vantedge</v>
          </cell>
          <cell r="U8" t="str">
            <v>Vantedge</v>
          </cell>
        </row>
        <row r="9">
          <cell r="B9" t="str">
            <v>Umar Mujahid Husain</v>
          </cell>
          <cell r="E9" t="str">
            <v>David Smith</v>
          </cell>
          <cell r="F9" t="str">
            <v>Umar Mujahid Husain</v>
          </cell>
          <cell r="G9" t="str">
            <v>Umar Mujahid Husain</v>
          </cell>
          <cell r="H9" t="str">
            <v>Dev Srivastava</v>
          </cell>
          <cell r="I9" t="str">
            <v>Nida Khan</v>
          </cell>
          <cell r="J9" t="str">
            <v>March</v>
          </cell>
          <cell r="K9">
            <v>45734</v>
          </cell>
          <cell r="L9" t="str">
            <v>NA</v>
          </cell>
          <cell r="M9" t="str">
            <v>PocketFM</v>
          </cell>
          <cell r="N9" t="str">
            <v>Ashish</v>
          </cell>
          <cell r="O9">
            <v>43200</v>
          </cell>
          <cell r="P9" t="str">
            <v>USD</v>
          </cell>
          <cell r="R9" t="str">
            <v>Done</v>
          </cell>
          <cell r="S9">
            <v>45764</v>
          </cell>
          <cell r="T9" t="str">
            <v>Vantedge</v>
          </cell>
          <cell r="U9" t="str">
            <v>Vantedge</v>
          </cell>
        </row>
        <row r="10">
          <cell r="B10" t="str">
            <v>Shruti Shukla</v>
          </cell>
          <cell r="E10" t="str">
            <v>Kishore Ramakrishnan</v>
          </cell>
          <cell r="F10" t="str">
            <v>Mayank Saxena</v>
          </cell>
          <cell r="G10" t="str">
            <v>Mayank Saxena</v>
          </cell>
          <cell r="H10" t="str">
            <v>Rashmi Bhatnagar</v>
          </cell>
          <cell r="I10" t="str">
            <v>Richa Srivastava</v>
          </cell>
          <cell r="J10" t="str">
            <v>March</v>
          </cell>
          <cell r="K10">
            <v>45726</v>
          </cell>
          <cell r="L10" t="str">
            <v>NA</v>
          </cell>
          <cell r="M10" t="str">
            <v>Tredence</v>
          </cell>
          <cell r="N10" t="str">
            <v>Aamir</v>
          </cell>
          <cell r="O10">
            <v>12320</v>
          </cell>
          <cell r="P10" t="str">
            <v>USD</v>
          </cell>
          <cell r="R10" t="str">
            <v>Done</v>
          </cell>
          <cell r="S10">
            <v>45763</v>
          </cell>
          <cell r="T10" t="str">
            <v>Vantedge</v>
          </cell>
          <cell r="U10" t="str">
            <v>Vantedge</v>
          </cell>
        </row>
        <row r="11">
          <cell r="B11" t="str">
            <v>Priyansh Khare</v>
          </cell>
          <cell r="E11" t="str">
            <v>Brandon Ross</v>
          </cell>
          <cell r="F11" t="str">
            <v>Anshul Kumar</v>
          </cell>
          <cell r="G11" t="str">
            <v>Anshul Kumar</v>
          </cell>
          <cell r="H11" t="str">
            <v>Dev Srivastava</v>
          </cell>
          <cell r="J11" t="str">
            <v>March</v>
          </cell>
          <cell r="K11">
            <v>45733</v>
          </cell>
          <cell r="L11" t="str">
            <v>NA</v>
          </cell>
          <cell r="M11" t="str">
            <v>VXI</v>
          </cell>
          <cell r="N11" t="str">
            <v>Regan</v>
          </cell>
          <cell r="O11">
            <v>20250</v>
          </cell>
          <cell r="P11" t="str">
            <v>USD</v>
          </cell>
          <cell r="R11" t="str">
            <v>Done</v>
          </cell>
          <cell r="S11">
            <v>45763</v>
          </cell>
          <cell r="T11" t="str">
            <v>Vantedge</v>
          </cell>
          <cell r="U11" t="str">
            <v>Vantedge</v>
          </cell>
        </row>
        <row r="12">
          <cell r="B12" t="str">
            <v>Anshul Kumar</v>
          </cell>
          <cell r="E12" t="str">
            <v>David Jaime Illescas</v>
          </cell>
          <cell r="F12" t="str">
            <v>Anshul Kumar</v>
          </cell>
          <cell r="G12" t="str">
            <v>Anshul Kumar</v>
          </cell>
          <cell r="H12" t="str">
            <v>Dev Srivastava</v>
          </cell>
          <cell r="J12" t="str">
            <v>March</v>
          </cell>
          <cell r="K12">
            <v>45740</v>
          </cell>
          <cell r="L12" t="str">
            <v>NA</v>
          </cell>
          <cell r="M12" t="str">
            <v>ACL Digital</v>
          </cell>
          <cell r="N12" t="str">
            <v>Bhavin Shah</v>
          </cell>
          <cell r="O12">
            <v>39600</v>
          </cell>
          <cell r="P12" t="str">
            <v>USD</v>
          </cell>
          <cell r="R12" t="str">
            <v>Done</v>
          </cell>
          <cell r="S12">
            <v>45763</v>
          </cell>
          <cell r="T12" t="str">
            <v>Vantedge</v>
          </cell>
          <cell r="U12" t="str">
            <v>Vantedge</v>
          </cell>
        </row>
        <row r="13">
          <cell r="B13" t="str">
            <v>Devansh Mishra</v>
          </cell>
          <cell r="E13" t="str">
            <v>Alex Dee</v>
          </cell>
          <cell r="F13" t="str">
            <v>Anshul Kumar</v>
          </cell>
          <cell r="G13" t="str">
            <v>Raunak Tripathi</v>
          </cell>
          <cell r="H13" t="str">
            <v>Dev Srivastava</v>
          </cell>
          <cell r="I13" t="str">
            <v>Nida Khan</v>
          </cell>
          <cell r="J13" t="str">
            <v>March</v>
          </cell>
          <cell r="K13">
            <v>45747</v>
          </cell>
          <cell r="L13">
            <v>45762</v>
          </cell>
          <cell r="M13" t="str">
            <v>Waverly</v>
          </cell>
          <cell r="N13" t="str">
            <v>Raj</v>
          </cell>
          <cell r="O13">
            <v>0</v>
          </cell>
          <cell r="P13" t="str">
            <v>USD</v>
          </cell>
          <cell r="Q13">
            <v>35875</v>
          </cell>
          <cell r="R13" t="str">
            <v>No Bill No pay</v>
          </cell>
          <cell r="S13">
            <v>45763</v>
          </cell>
          <cell r="T13" t="str">
            <v>Vantedge</v>
          </cell>
          <cell r="U13" t="str">
            <v>Vantedge</v>
          </cell>
        </row>
        <row r="14">
          <cell r="B14" t="str">
            <v>Govind Srivastava</v>
          </cell>
          <cell r="E14" t="str">
            <v>Satish Manam</v>
          </cell>
          <cell r="F14" t="str">
            <v>Mayank Saxena</v>
          </cell>
          <cell r="G14" t="str">
            <v>Mayank Saxena</v>
          </cell>
          <cell r="H14" t="str">
            <v>Alok Mishra</v>
          </cell>
          <cell r="I14" t="str">
            <v>Tanya Mishra</v>
          </cell>
          <cell r="J14" t="str">
            <v>March</v>
          </cell>
          <cell r="K14">
            <v>45740</v>
          </cell>
          <cell r="L14" t="str">
            <v>NA</v>
          </cell>
          <cell r="M14" t="str">
            <v>Digitide</v>
          </cell>
          <cell r="N14" t="str">
            <v>Saket</v>
          </cell>
          <cell r="O14">
            <v>29900</v>
          </cell>
          <cell r="P14" t="str">
            <v>USD</v>
          </cell>
          <cell r="R14" t="str">
            <v>Pending</v>
          </cell>
          <cell r="S14">
            <v>45806</v>
          </cell>
          <cell r="T14" t="str">
            <v>Vantedge</v>
          </cell>
          <cell r="U14" t="str">
            <v>Vantedge</v>
          </cell>
        </row>
        <row r="15">
          <cell r="B15" t="str">
            <v>Abhay Pratap Singh</v>
          </cell>
          <cell r="E15" t="str">
            <v>Praveen Narayana</v>
          </cell>
          <cell r="F15" t="str">
            <v>Umar Mujahid Husain</v>
          </cell>
          <cell r="G15" t="str">
            <v>Umar Mujahid Husain</v>
          </cell>
          <cell r="H15" t="str">
            <v>Dev Srivastava</v>
          </cell>
          <cell r="J15" t="str">
            <v>April</v>
          </cell>
          <cell r="K15">
            <v>45761</v>
          </cell>
          <cell r="L15" t="str">
            <v>NA</v>
          </cell>
          <cell r="M15" t="str">
            <v>Tech Mahindra</v>
          </cell>
          <cell r="N15" t="str">
            <v>Kunwar</v>
          </cell>
          <cell r="O15">
            <v>20825</v>
          </cell>
          <cell r="P15" t="str">
            <v>USD</v>
          </cell>
          <cell r="R15" t="str">
            <v>Done</v>
          </cell>
          <cell r="S15">
            <v>45763</v>
          </cell>
          <cell r="T15" t="str">
            <v>Vantedge</v>
          </cell>
          <cell r="U15" t="str">
            <v>Vantedge</v>
          </cell>
        </row>
        <row r="16">
          <cell r="B16" t="str">
            <v>Ranjeet Kumar</v>
          </cell>
          <cell r="E16" t="str">
            <v>Helen Kim</v>
          </cell>
          <cell r="F16" t="str">
            <v>Raunak Tripathi</v>
          </cell>
          <cell r="G16" t="str">
            <v>Raunak Tripathi</v>
          </cell>
          <cell r="H16" t="str">
            <v>Alok Mishra</v>
          </cell>
          <cell r="I16" t="str">
            <v>Raunak Tripathi</v>
          </cell>
          <cell r="J16" t="str">
            <v>April</v>
          </cell>
          <cell r="K16">
            <v>45754</v>
          </cell>
          <cell r="L16" t="str">
            <v>NA</v>
          </cell>
          <cell r="M16" t="str">
            <v>Coforge</v>
          </cell>
          <cell r="N16" t="str">
            <v>Athiraj Balasubramanian</v>
          </cell>
          <cell r="O16">
            <v>33000</v>
          </cell>
          <cell r="P16" t="str">
            <v>USD</v>
          </cell>
          <cell r="R16" t="str">
            <v>Done</v>
          </cell>
          <cell r="S16">
            <v>45763</v>
          </cell>
          <cell r="T16" t="str">
            <v>Vantedge</v>
          </cell>
          <cell r="U16" t="str">
            <v>Vantedge</v>
          </cell>
        </row>
        <row r="17">
          <cell r="B17" t="str">
            <v>Alok Mishra</v>
          </cell>
          <cell r="E17" t="str">
            <v>Maria Flock</v>
          </cell>
          <cell r="F17" t="str">
            <v>Alok Mishra</v>
          </cell>
          <cell r="G17" t="str">
            <v>Alok Mishra</v>
          </cell>
          <cell r="H17" t="str">
            <v>Alok Mishra</v>
          </cell>
          <cell r="I17" t="str">
            <v>Rohini Parihar</v>
          </cell>
          <cell r="J17" t="str">
            <v>April</v>
          </cell>
          <cell r="K17">
            <v>45754</v>
          </cell>
          <cell r="L17" t="str">
            <v>NA</v>
          </cell>
          <cell r="M17" t="str">
            <v>Sutherland</v>
          </cell>
          <cell r="N17" t="str">
            <v>Mark Hess</v>
          </cell>
          <cell r="O17">
            <v>65000</v>
          </cell>
          <cell r="P17" t="str">
            <v>USD</v>
          </cell>
          <cell r="R17" t="str">
            <v>Done</v>
          </cell>
          <cell r="S17">
            <v>45763</v>
          </cell>
          <cell r="T17" t="str">
            <v>Vantedge</v>
          </cell>
          <cell r="U17" t="str">
            <v>Vantedge</v>
          </cell>
        </row>
        <row r="18">
          <cell r="B18" t="str">
            <v>Mayank Saxena</v>
          </cell>
          <cell r="E18" t="str">
            <v>Shekhar Patwardhan</v>
          </cell>
          <cell r="F18" t="str">
            <v>Mayank Saxena</v>
          </cell>
          <cell r="G18" t="str">
            <v>Mayank Saxena</v>
          </cell>
          <cell r="H18" t="str">
            <v>Rashmi Bhatnagar</v>
          </cell>
          <cell r="J18" t="str">
            <v>May</v>
          </cell>
          <cell r="K18">
            <v>45782</v>
          </cell>
          <cell r="L18" t="str">
            <v>NA</v>
          </cell>
          <cell r="M18" t="str">
            <v>Sutherland</v>
          </cell>
          <cell r="O18">
            <v>62500</v>
          </cell>
          <cell r="P18" t="str">
            <v>USD</v>
          </cell>
          <cell r="R18" t="str">
            <v>Pending</v>
          </cell>
          <cell r="S18">
            <v>45792</v>
          </cell>
          <cell r="T18" t="str">
            <v>Vantedge</v>
          </cell>
          <cell r="U18" t="str">
            <v>Vantedge</v>
          </cell>
        </row>
        <row r="19">
          <cell r="B19" t="str">
            <v>Govind Srivastava</v>
          </cell>
          <cell r="E19" t="str">
            <v>Donna Hulina</v>
          </cell>
          <cell r="F19" t="str">
            <v>Anshul Kumar</v>
          </cell>
          <cell r="G19" t="str">
            <v>Mayank Saxena</v>
          </cell>
          <cell r="H19" t="str">
            <v>Rashmi Bhatnagar</v>
          </cell>
          <cell r="J19" t="str">
            <v>May</v>
          </cell>
          <cell r="K19">
            <v>45789</v>
          </cell>
          <cell r="L19" t="str">
            <v>NA</v>
          </cell>
          <cell r="M19" t="str">
            <v>Myridius</v>
          </cell>
          <cell r="O19">
            <v>21600</v>
          </cell>
          <cell r="P19" t="str">
            <v>USD</v>
          </cell>
          <cell r="R19" t="str">
            <v>Done</v>
          </cell>
          <cell r="S19">
            <v>45792</v>
          </cell>
          <cell r="T19" t="str">
            <v>Vantedge</v>
          </cell>
          <cell r="U19" t="str">
            <v>Vantedge</v>
          </cell>
        </row>
        <row r="20">
          <cell r="B20" t="str">
            <v>Priyansh Khare</v>
          </cell>
          <cell r="E20" t="str">
            <v>Shawn Elkon</v>
          </cell>
          <cell r="F20" t="str">
            <v>Umar Mujahid Husain</v>
          </cell>
          <cell r="G20" t="str">
            <v>Anshul Kumar</v>
          </cell>
          <cell r="H20" t="str">
            <v>Dev Srivastava</v>
          </cell>
          <cell r="J20" t="str">
            <v>May</v>
          </cell>
          <cell r="K20">
            <v>45782</v>
          </cell>
          <cell r="L20" t="str">
            <v>NA</v>
          </cell>
          <cell r="M20" t="str">
            <v>Tech Mahindra</v>
          </cell>
          <cell r="N20" t="str">
            <v>Rahul KV</v>
          </cell>
          <cell r="O20">
            <v>18326</v>
          </cell>
          <cell r="P20" t="str">
            <v>USD</v>
          </cell>
          <cell r="Q20">
            <v>18326</v>
          </cell>
          <cell r="R20" t="str">
            <v>Done</v>
          </cell>
          <cell r="S20">
            <v>45926</v>
          </cell>
          <cell r="T20" t="str">
            <v>Vantedge</v>
          </cell>
          <cell r="U20" t="str">
            <v>Vantedge</v>
          </cell>
        </row>
        <row r="21">
          <cell r="B21" t="str">
            <v>Pulkit Prakash</v>
          </cell>
          <cell r="E21" t="str">
            <v>Sergei Smirnov</v>
          </cell>
          <cell r="F21" t="str">
            <v>Raunak Tripathi</v>
          </cell>
          <cell r="G21" t="str">
            <v>Raunak Tripathi</v>
          </cell>
          <cell r="H21" t="str">
            <v>Alok Mishra</v>
          </cell>
          <cell r="J21" t="str">
            <v>May</v>
          </cell>
          <cell r="K21">
            <v>45804</v>
          </cell>
          <cell r="L21" t="str">
            <v>NA</v>
          </cell>
          <cell r="M21" t="str">
            <v>Kale Logistics</v>
          </cell>
          <cell r="N21" t="str">
            <v>Chetan Khanna</v>
          </cell>
          <cell r="O21">
            <v>12524.311199999998</v>
          </cell>
          <cell r="P21" t="str">
            <v>USD</v>
          </cell>
          <cell r="R21" t="str">
            <v>Done</v>
          </cell>
          <cell r="S21">
            <v>45810</v>
          </cell>
          <cell r="T21" t="str">
            <v>Vantedge</v>
          </cell>
          <cell r="U21" t="str">
            <v>Vantedge</v>
          </cell>
        </row>
        <row r="22">
          <cell r="B22" t="str">
            <v>Umar Mujahid Husain</v>
          </cell>
          <cell r="E22" t="str">
            <v>Taylor Carlson</v>
          </cell>
          <cell r="F22" t="str">
            <v>Umar Mujahid Husain</v>
          </cell>
          <cell r="G22" t="str">
            <v>Umar Mujahid Husain</v>
          </cell>
          <cell r="H22" t="str">
            <v>Dev Srivastava</v>
          </cell>
          <cell r="I22" t="str">
            <v>Nida Khan</v>
          </cell>
          <cell r="J22" t="str">
            <v>June</v>
          </cell>
          <cell r="K22">
            <v>45811</v>
          </cell>
          <cell r="L22" t="str">
            <v>NA</v>
          </cell>
          <cell r="M22" t="str">
            <v>PocketFM</v>
          </cell>
          <cell r="N22" t="str">
            <v>Ashish</v>
          </cell>
          <cell r="O22">
            <v>37600</v>
          </cell>
          <cell r="P22" t="str">
            <v>USD</v>
          </cell>
          <cell r="R22" t="str">
            <v>Done</v>
          </cell>
          <cell r="S22">
            <v>45824</v>
          </cell>
          <cell r="T22" t="str">
            <v>Vantedge</v>
          </cell>
          <cell r="U22" t="str">
            <v>Vantedge</v>
          </cell>
        </row>
        <row r="23">
          <cell r="B23" t="str">
            <v>Pulkit Prakash</v>
          </cell>
          <cell r="E23" t="str">
            <v>Sandeep Sanon</v>
          </cell>
          <cell r="F23" t="str">
            <v>Raunak Tripathi</v>
          </cell>
          <cell r="G23" t="str">
            <v>Raunak Tripathi</v>
          </cell>
          <cell r="H23" t="str">
            <v>Alok Mishra</v>
          </cell>
          <cell r="J23" t="str">
            <v>June</v>
          </cell>
          <cell r="K23">
            <v>45810</v>
          </cell>
          <cell r="L23" t="str">
            <v>NA</v>
          </cell>
          <cell r="M23" t="str">
            <v>LTIMindtree</v>
          </cell>
          <cell r="N23" t="str">
            <v>Mohd Anas Khan</v>
          </cell>
          <cell r="O23">
            <v>28350</v>
          </cell>
          <cell r="P23" t="str">
            <v>USD</v>
          </cell>
          <cell r="Q23">
            <v>28350</v>
          </cell>
          <cell r="R23" t="str">
            <v>Done</v>
          </cell>
          <cell r="S23">
            <v>45824</v>
          </cell>
          <cell r="T23" t="str">
            <v>Vantedge</v>
          </cell>
          <cell r="U23" t="str">
            <v>Vantedge</v>
          </cell>
        </row>
        <row r="24">
          <cell r="B24" t="str">
            <v>Govind Srivastava</v>
          </cell>
          <cell r="E24" t="str">
            <v>Inderpuneet Sohanpal</v>
          </cell>
          <cell r="F24" t="str">
            <v>Raunak Tripathi</v>
          </cell>
          <cell r="G24" t="str">
            <v>Mayank Saxena</v>
          </cell>
          <cell r="H24" t="str">
            <v>Rashmi Bhatnagar</v>
          </cell>
          <cell r="I24" t="str">
            <v>Nida Khan</v>
          </cell>
          <cell r="J24" t="str">
            <v>July</v>
          </cell>
          <cell r="K24">
            <v>45845</v>
          </cell>
          <cell r="L24" t="str">
            <v>NA</v>
          </cell>
          <cell r="M24" t="str">
            <v>Visionet</v>
          </cell>
          <cell r="N24" t="str">
            <v>Shelza </v>
          </cell>
          <cell r="O24">
            <v>40500</v>
          </cell>
          <cell r="P24" t="str">
            <v>USD</v>
          </cell>
          <cell r="R24" t="str">
            <v>Pending</v>
          </cell>
          <cell r="S24">
            <v>45853</v>
          </cell>
          <cell r="T24" t="str">
            <v>Vantedge</v>
          </cell>
          <cell r="U24" t="str">
            <v>Vantedge</v>
          </cell>
        </row>
        <row r="25">
          <cell r="B25" t="str">
            <v>Umang Srivastava</v>
          </cell>
          <cell r="E25" t="str">
            <v>Ramkishen Kalyana</v>
          </cell>
          <cell r="F25" t="str">
            <v>Mayank Saxena</v>
          </cell>
          <cell r="G25" t="str">
            <v>Mayank Saxena</v>
          </cell>
          <cell r="H25" t="str">
            <v>Rashmi Bhatnagar</v>
          </cell>
          <cell r="J25" t="str">
            <v>July</v>
          </cell>
          <cell r="K25">
            <v>45840</v>
          </cell>
          <cell r="L25" t="str">
            <v>NA</v>
          </cell>
          <cell r="M25" t="str">
            <v>Sutherland</v>
          </cell>
          <cell r="N25" t="str">
            <v> Mark Hess</v>
          </cell>
          <cell r="O25">
            <v>57500</v>
          </cell>
          <cell r="P25" t="str">
            <v>USD</v>
          </cell>
          <cell r="R25" t="str">
            <v>Pending</v>
          </cell>
          <cell r="S25">
            <v>45854</v>
          </cell>
          <cell r="T25" t="str">
            <v>Vantedge</v>
          </cell>
          <cell r="U25" t="str">
            <v>Vantedge</v>
          </cell>
        </row>
        <row r="26">
          <cell r="B26" t="str">
            <v>Govind Srivastava</v>
          </cell>
          <cell r="E26" t="str">
            <v>Satheesh Naik</v>
          </cell>
          <cell r="F26" t="str">
            <v>Mayank Saxena</v>
          </cell>
          <cell r="G26" t="str">
            <v>Mayank Saxena</v>
          </cell>
          <cell r="H26" t="str">
            <v>Rashmi Bhatnagar</v>
          </cell>
          <cell r="J26" t="str">
            <v>July</v>
          </cell>
          <cell r="K26">
            <v>45848</v>
          </cell>
          <cell r="L26" t="str">
            <v>NA</v>
          </cell>
          <cell r="M26" t="str">
            <v>Sutherland</v>
          </cell>
          <cell r="N26" t="str">
            <v> Mark Hess</v>
          </cell>
          <cell r="O26">
            <v>60000</v>
          </cell>
          <cell r="P26" t="str">
            <v>USD</v>
          </cell>
          <cell r="R26" t="str">
            <v>Pending</v>
          </cell>
          <cell r="S26">
            <v>45855</v>
          </cell>
          <cell r="T26" t="str">
            <v>Vantedge</v>
          </cell>
          <cell r="U26" t="str">
            <v>Vantedge</v>
          </cell>
        </row>
        <row r="27">
          <cell r="B27" t="str">
            <v>Pulkit Prakash</v>
          </cell>
          <cell r="E27" t="str">
            <v>Robert Gonzalez</v>
          </cell>
          <cell r="F27" t="str">
            <v>Raunak Tripathi</v>
          </cell>
          <cell r="G27" t="str">
            <v>Raunak Tripathi</v>
          </cell>
          <cell r="H27" t="str">
            <v>Alok Mishra</v>
          </cell>
          <cell r="J27" t="str">
            <v>July</v>
          </cell>
          <cell r="K27">
            <v>45848</v>
          </cell>
          <cell r="L27" t="str">
            <v>NA</v>
          </cell>
          <cell r="M27" t="str">
            <v>Kale Logistics</v>
          </cell>
          <cell r="N27" t="str">
            <v>Sanket Kavi</v>
          </cell>
          <cell r="O27">
            <v>15600</v>
          </cell>
          <cell r="P27" t="str">
            <v>USD</v>
          </cell>
          <cell r="R27" t="str">
            <v>Done</v>
          </cell>
          <cell r="S27">
            <v>45855</v>
          </cell>
          <cell r="T27" t="str">
            <v>Vantedge</v>
          </cell>
          <cell r="U27" t="str">
            <v>Vantedge</v>
          </cell>
        </row>
        <row r="28">
          <cell r="B28" t="str">
            <v>Sagar Chandani</v>
          </cell>
          <cell r="E28" t="str">
            <v>Nestor Miranda</v>
          </cell>
          <cell r="F28" t="str">
            <v>Rashmi Bhatnagar</v>
          </cell>
          <cell r="G28" t="str">
            <v>Ankit Pandey</v>
          </cell>
          <cell r="H28" t="str">
            <v>Rashmi Bhatnagar</v>
          </cell>
          <cell r="J28" t="str">
            <v>July</v>
          </cell>
          <cell r="K28">
            <v>45846</v>
          </cell>
          <cell r="L28" t="str">
            <v>NA</v>
          </cell>
          <cell r="M28" t="str">
            <v>Sutherland</v>
          </cell>
          <cell r="N28" t="str">
            <v>Mark Hess</v>
          </cell>
          <cell r="O28">
            <v>30000</v>
          </cell>
          <cell r="P28" t="str">
            <v>USD</v>
          </cell>
          <cell r="R28" t="str">
            <v>Pending</v>
          </cell>
          <cell r="S28">
            <v>45855</v>
          </cell>
          <cell r="T28" t="str">
            <v>RPO+Vantedge</v>
          </cell>
          <cell r="U28" t="str">
            <v>Vantedge</v>
          </cell>
        </row>
        <row r="29">
          <cell r="B29" t="str">
            <v>Syed Ahrar Abbas Zaidi</v>
          </cell>
          <cell r="E29" t="str">
            <v>Sandeep Padhye</v>
          </cell>
          <cell r="F29" t="str">
            <v>Anshul Kumar</v>
          </cell>
          <cell r="G29" t="str">
            <v>Umar Mujahid Husain</v>
          </cell>
          <cell r="H29" t="str">
            <v>Dev Srivastava</v>
          </cell>
          <cell r="I29" t="str">
            <v>Qausain Abbass</v>
          </cell>
          <cell r="J29" t="str">
            <v>July</v>
          </cell>
          <cell r="K29">
            <v>45859</v>
          </cell>
          <cell r="L29" t="str">
            <v>NA</v>
          </cell>
          <cell r="M29" t="str">
            <v>InfoBeans</v>
          </cell>
          <cell r="N29" t="str">
            <v> Harmeet Bhatia</v>
          </cell>
          <cell r="O29">
            <v>31500</v>
          </cell>
          <cell r="P29" t="str">
            <v>USD</v>
          </cell>
          <cell r="R29" t="str">
            <v>Done</v>
          </cell>
          <cell r="S29">
            <v>45869</v>
          </cell>
          <cell r="T29" t="str">
            <v>Vantedge</v>
          </cell>
          <cell r="U29" t="str">
            <v>Vantedge</v>
          </cell>
        </row>
        <row r="30">
          <cell r="B30" t="str">
            <v>Pulkit Prakash</v>
          </cell>
          <cell r="E30" t="str">
            <v>Travis Leemreis</v>
          </cell>
          <cell r="F30" t="str">
            <v>Raunak Tripathi</v>
          </cell>
          <cell r="G30" t="str">
            <v>Raunak Tripathi</v>
          </cell>
          <cell r="H30" t="str">
            <v>Alok Mishra</v>
          </cell>
          <cell r="J30" t="str">
            <v>July</v>
          </cell>
          <cell r="K30">
            <v>45855</v>
          </cell>
          <cell r="L30" t="str">
            <v>NA</v>
          </cell>
          <cell r="M30" t="str">
            <v>Kale Logistics</v>
          </cell>
          <cell r="N30" t="str">
            <v>Sanket Kavi</v>
          </cell>
          <cell r="O30">
            <v>14400</v>
          </cell>
          <cell r="P30" t="str">
            <v>USD</v>
          </cell>
          <cell r="R30" t="str">
            <v>Done</v>
          </cell>
          <cell r="S30">
            <v>45869</v>
          </cell>
          <cell r="T30" t="str">
            <v>vantedge</v>
          </cell>
          <cell r="U30" t="str">
            <v>Vantedge</v>
          </cell>
        </row>
        <row r="31">
          <cell r="B31" t="str">
            <v>Pulkit Prakash</v>
          </cell>
          <cell r="E31" t="str">
            <v>Leroy Cervantes</v>
          </cell>
          <cell r="F31" t="str">
            <v>Raunak Tripathi</v>
          </cell>
          <cell r="G31" t="str">
            <v>Raunak Tripathi</v>
          </cell>
          <cell r="H31" t="str">
            <v>Alok Mishra</v>
          </cell>
          <cell r="J31" t="str">
            <v>July</v>
          </cell>
          <cell r="K31">
            <v>45859</v>
          </cell>
          <cell r="L31">
            <v>45920</v>
          </cell>
          <cell r="M31" t="str">
            <v>Kale Logistics</v>
          </cell>
          <cell r="N31" t="str">
            <v>Sanket Kavi</v>
          </cell>
          <cell r="O31">
            <v>0</v>
          </cell>
          <cell r="P31" t="str">
            <v>USD</v>
          </cell>
          <cell r="Q31">
            <v>13800</v>
          </cell>
          <cell r="S31">
            <v>45869</v>
          </cell>
          <cell r="T31" t="str">
            <v>Vantedge</v>
          </cell>
          <cell r="U31" t="str">
            <v>Vantedge</v>
          </cell>
        </row>
        <row r="32">
          <cell r="B32" t="str">
            <v>Rashmi Bhatnagar</v>
          </cell>
          <cell r="E32" t="str">
            <v>Manish Hemrajani</v>
          </cell>
          <cell r="F32" t="str">
            <v>Rashmi Bhatnagar</v>
          </cell>
          <cell r="G32" t="str">
            <v>Rashmi Bhatnagar</v>
          </cell>
          <cell r="H32" t="str">
            <v>Rashmi Bhatnagar</v>
          </cell>
          <cell r="J32" t="str">
            <v>July</v>
          </cell>
          <cell r="K32">
            <v>45866</v>
          </cell>
          <cell r="L32" t="str">
            <v>NA</v>
          </cell>
          <cell r="M32" t="str">
            <v>Coforge</v>
          </cell>
          <cell r="N32" t="str">
            <v> Bala Submramanium</v>
          </cell>
          <cell r="O32">
            <v>45000</v>
          </cell>
          <cell r="P32" t="str">
            <v> USD</v>
          </cell>
          <cell r="R32" t="str">
            <v>Pending</v>
          </cell>
          <cell r="S32">
            <v>45870</v>
          </cell>
          <cell r="T32" t="str">
            <v>Vantedge</v>
          </cell>
          <cell r="U32" t="str">
            <v>Vantedge</v>
          </cell>
        </row>
        <row r="33">
          <cell r="B33" t="str">
            <v>Rashmi Bhatnagar</v>
          </cell>
          <cell r="E33" t="str">
            <v>Mary Andrews</v>
          </cell>
          <cell r="F33" t="str">
            <v>Rashmi Bhatnagar</v>
          </cell>
          <cell r="G33" t="str">
            <v>Rashmi Bhatnagar</v>
          </cell>
          <cell r="H33" t="str">
            <v>Rashmi Bhatnagar</v>
          </cell>
          <cell r="J33" t="str">
            <v>March</v>
          </cell>
          <cell r="K33">
            <v>45728</v>
          </cell>
          <cell r="L33" t="str">
            <v>NA</v>
          </cell>
          <cell r="M33" t="str">
            <v>Sutherland</v>
          </cell>
          <cell r="N33" t="str">
            <v> Mark Hess</v>
          </cell>
          <cell r="O33">
            <v>4808</v>
          </cell>
          <cell r="P33" t="str">
            <v>USD</v>
          </cell>
          <cell r="R33" t="str">
            <v>Done</v>
          </cell>
          <cell r="S33">
            <v>45870</v>
          </cell>
          <cell r="T33" t="str">
            <v>Vantedge</v>
          </cell>
          <cell r="U33" t="str">
            <v>Vantedge</v>
          </cell>
        </row>
        <row r="34">
          <cell r="E34" t="str">
            <v>N/A</v>
          </cell>
          <cell r="H34" t="str">
            <v>Alok Mishra</v>
          </cell>
          <cell r="J34" t="str">
            <v>June</v>
          </cell>
          <cell r="K34">
            <v>45822</v>
          </cell>
          <cell r="L34" t="str">
            <v>NA</v>
          </cell>
          <cell r="M34" t="str">
            <v>Friisberg &amp; Partners International</v>
          </cell>
          <cell r="O34">
            <v>1890</v>
          </cell>
          <cell r="S34">
            <v>45870</v>
          </cell>
          <cell r="T34" t="str">
            <v>Vantedge - UK</v>
          </cell>
          <cell r="U34" t="str">
            <v>Vantedge - UK</v>
          </cell>
        </row>
        <row r="35">
          <cell r="E35" t="str">
            <v>N/A</v>
          </cell>
          <cell r="H35" t="str">
            <v>Alok Mishra</v>
          </cell>
          <cell r="J35" t="str">
            <v>April</v>
          </cell>
          <cell r="K35">
            <v>45754</v>
          </cell>
          <cell r="L35" t="str">
            <v>NA</v>
          </cell>
          <cell r="M35" t="str">
            <v>Heads International</v>
          </cell>
          <cell r="O35">
            <v>4362.6239999999998</v>
          </cell>
          <cell r="S35">
            <v>45870</v>
          </cell>
          <cell r="T35" t="str">
            <v>Vantedge - UK</v>
          </cell>
          <cell r="U35" t="str">
            <v>Vantedge - UK</v>
          </cell>
        </row>
        <row r="36">
          <cell r="B36" t="str">
            <v>Syed Ahrar Abbas Zaidi</v>
          </cell>
          <cell r="E36" t="str">
            <v>Devin Currens</v>
          </cell>
          <cell r="F36" t="str">
            <v>Anshul Kumar</v>
          </cell>
          <cell r="G36" t="str">
            <v>Umar Mujahid Husain</v>
          </cell>
          <cell r="H36" t="str">
            <v>Dev Srivastava</v>
          </cell>
          <cell r="I36" t="str">
            <v>Qausain Abbass</v>
          </cell>
          <cell r="J36" t="str">
            <v>August</v>
          </cell>
          <cell r="K36">
            <v>45887</v>
          </cell>
          <cell r="L36" t="str">
            <v>NA</v>
          </cell>
          <cell r="M36" t="str">
            <v>InfoBeans</v>
          </cell>
          <cell r="N36" t="str">
            <v>Harmeet</v>
          </cell>
          <cell r="O36">
            <v>27000</v>
          </cell>
          <cell r="P36" t="str">
            <v>USD</v>
          </cell>
          <cell r="R36" t="str">
            <v>Done</v>
          </cell>
          <cell r="S36">
            <v>45888</v>
          </cell>
          <cell r="T36" t="str">
            <v>Vantedge</v>
          </cell>
          <cell r="U36" t="str">
            <v>Vantedge</v>
          </cell>
        </row>
        <row r="37">
          <cell r="B37" t="str">
            <v>Syed Ahrar Abbas Zaidi</v>
          </cell>
          <cell r="E37" t="str">
            <v>Natasha Allen</v>
          </cell>
          <cell r="F37" t="str">
            <v>Mayank Saxena</v>
          </cell>
          <cell r="G37" t="str">
            <v>Umar Mujahid Husain</v>
          </cell>
          <cell r="H37" t="str">
            <v>Alok Mishra</v>
          </cell>
          <cell r="J37" t="str">
            <v>August</v>
          </cell>
          <cell r="K37">
            <v>45887</v>
          </cell>
          <cell r="L37" t="str">
            <v>NA</v>
          </cell>
          <cell r="M37" t="str">
            <v>Fanatics</v>
          </cell>
          <cell r="N37" t="str">
            <v>Laura</v>
          </cell>
          <cell r="O37">
            <v>27000</v>
          </cell>
          <cell r="P37" t="str">
            <v>USD</v>
          </cell>
          <cell r="R37" t="str">
            <v>Done</v>
          </cell>
          <cell r="S37">
            <v>45888</v>
          </cell>
          <cell r="T37" t="str">
            <v>Vantedge</v>
          </cell>
          <cell r="U37" t="str">
            <v>Vantedge</v>
          </cell>
        </row>
        <row r="38">
          <cell r="B38" t="str">
            <v>Shreya Singh</v>
          </cell>
          <cell r="E38" t="str">
            <v>Brian Taylor</v>
          </cell>
          <cell r="F38" t="str">
            <v>Umar Mujahid Husain</v>
          </cell>
          <cell r="G38" t="str">
            <v>Anshul Kumar</v>
          </cell>
          <cell r="H38" t="str">
            <v>Dev Srivastava</v>
          </cell>
          <cell r="J38" t="str">
            <v>August</v>
          </cell>
          <cell r="K38">
            <v>45870</v>
          </cell>
          <cell r="L38" t="str">
            <v>NA</v>
          </cell>
          <cell r="M38" t="str">
            <v>FPT Software</v>
          </cell>
          <cell r="N38" t="str">
            <v>Pravin Tiwari</v>
          </cell>
          <cell r="O38">
            <v>22750</v>
          </cell>
          <cell r="P38" t="str">
            <v>USD</v>
          </cell>
          <cell r="R38" t="str">
            <v>Pending</v>
          </cell>
          <cell r="S38">
            <v>45888</v>
          </cell>
          <cell r="T38" t="str">
            <v>Vantedge</v>
          </cell>
          <cell r="U38" t="str">
            <v>Vantedge</v>
          </cell>
        </row>
        <row r="39">
          <cell r="B39" t="str">
            <v>Syed Ahrar Abbas Zaidi</v>
          </cell>
          <cell r="E39" t="str">
            <v>Taylor Brandon Grace</v>
          </cell>
          <cell r="F39" t="str">
            <v>Anshul Kumar</v>
          </cell>
          <cell r="G39" t="str">
            <v>Umar Mujahid Husain</v>
          </cell>
          <cell r="H39" t="str">
            <v>Dev Srivastava</v>
          </cell>
          <cell r="I39" t="str">
            <v>Qausain Abbass</v>
          </cell>
          <cell r="J39" t="str">
            <v>August</v>
          </cell>
          <cell r="K39">
            <v>45894</v>
          </cell>
          <cell r="L39" t="str">
            <v>NA</v>
          </cell>
          <cell r="M39" t="str">
            <v>InfoBeans</v>
          </cell>
          <cell r="N39" t="str">
            <v>Harmeet</v>
          </cell>
          <cell r="O39">
            <v>27000</v>
          </cell>
          <cell r="P39" t="str">
            <v>USD</v>
          </cell>
          <cell r="R39" t="str">
            <v>Done</v>
          </cell>
          <cell r="S39">
            <v>45894</v>
          </cell>
          <cell r="T39" t="str">
            <v>Vantedge</v>
          </cell>
          <cell r="U39" t="str">
            <v>Vantedge</v>
          </cell>
        </row>
        <row r="40">
          <cell r="B40" t="str">
            <v>Priyansh Khare</v>
          </cell>
          <cell r="E40" t="str">
            <v>Amrita Singh</v>
          </cell>
          <cell r="F40" t="str">
            <v>Anshul Kumar</v>
          </cell>
          <cell r="G40" t="str">
            <v>Anshul Kumar</v>
          </cell>
          <cell r="H40" t="str">
            <v>Dev Srivastava</v>
          </cell>
          <cell r="J40" t="str">
            <v> September</v>
          </cell>
          <cell r="K40">
            <v>45915</v>
          </cell>
          <cell r="L40" t="str">
            <v>NA</v>
          </cell>
          <cell r="M40" t="str">
            <v>InfoBeans</v>
          </cell>
          <cell r="N40" t="str">
            <v> Harmeet</v>
          </cell>
          <cell r="O40">
            <v>0</v>
          </cell>
          <cell r="P40" t="str">
            <v>USD</v>
          </cell>
          <cell r="Q40">
            <v>18000</v>
          </cell>
          <cell r="R40" t="str">
            <v>Pending</v>
          </cell>
          <cell r="S40">
            <v>45915</v>
          </cell>
          <cell r="T40" t="str">
            <v>Vantedge</v>
          </cell>
          <cell r="U40" t="str">
            <v>Vantedge</v>
          </cell>
        </row>
        <row r="41">
          <cell r="B41" t="str">
            <v>Ankit Maurya</v>
          </cell>
          <cell r="E41" t="str">
            <v>Chandra Bhagi</v>
          </cell>
          <cell r="F41" t="str">
            <v>Raunak Tripathi</v>
          </cell>
          <cell r="G41" t="str">
            <v>Raunak Tripathi</v>
          </cell>
          <cell r="H41" t="str">
            <v>Rashmi Bhatnagar</v>
          </cell>
          <cell r="I41" t="str">
            <v>Nida Khan</v>
          </cell>
          <cell r="J41" t="str">
            <v> September</v>
          </cell>
          <cell r="K41">
            <v>45908</v>
          </cell>
          <cell r="L41" t="str">
            <v>NA</v>
          </cell>
          <cell r="M41" t="str">
            <v>Birlasoft</v>
          </cell>
          <cell r="N41" t="str">
            <v>Vivian</v>
          </cell>
          <cell r="O41">
            <v>28800</v>
          </cell>
          <cell r="P41" t="str">
            <v>USD</v>
          </cell>
          <cell r="R41" t="str">
            <v>Pending</v>
          </cell>
          <cell r="S41">
            <v>45915</v>
          </cell>
          <cell r="T41" t="str">
            <v>Vantedge</v>
          </cell>
          <cell r="U41" t="str">
            <v>Vantedge</v>
          </cell>
        </row>
        <row r="42">
          <cell r="B42" t="str">
            <v>Devansh Mishra</v>
          </cell>
          <cell r="E42" t="str">
            <v>Minoji Thomas</v>
          </cell>
          <cell r="F42" t="str">
            <v>Raunak Tripathi</v>
          </cell>
          <cell r="G42" t="str">
            <v>Raunak Tripathi</v>
          </cell>
          <cell r="H42" t="str">
            <v>Alok Mishra</v>
          </cell>
          <cell r="I42" t="str">
            <v>Anam Hasan</v>
          </cell>
          <cell r="J42" t="str">
            <v> September</v>
          </cell>
          <cell r="K42">
            <v>45910</v>
          </cell>
          <cell r="L42" t="str">
            <v>NA</v>
          </cell>
          <cell r="M42" t="str">
            <v>Infogain</v>
          </cell>
          <cell r="N42" t="str">
            <v>Sreedhar Buddareddy </v>
          </cell>
          <cell r="O42">
            <v>37500</v>
          </cell>
          <cell r="P42" t="str">
            <v>USD</v>
          </cell>
          <cell r="R42" t="str">
            <v>Pending</v>
          </cell>
          <cell r="S42">
            <v>45915</v>
          </cell>
          <cell r="T42" t="str">
            <v>Vantedge</v>
          </cell>
          <cell r="U42" t="str">
            <v>Vantedge</v>
          </cell>
        </row>
        <row r="43">
          <cell r="B43" t="str">
            <v>Anshul Kumar</v>
          </cell>
          <cell r="E43" t="str">
            <v>Sachin Ahuja</v>
          </cell>
          <cell r="F43" t="str">
            <v>Anshul Kumar</v>
          </cell>
          <cell r="G43" t="str">
            <v>Anshul Kumar</v>
          </cell>
          <cell r="H43" t="str">
            <v>Dev Srivastava</v>
          </cell>
          <cell r="J43" t="str">
            <v> September</v>
          </cell>
          <cell r="K43">
            <v>45922</v>
          </cell>
          <cell r="L43" t="str">
            <v>NA</v>
          </cell>
          <cell r="M43" t="str">
            <v>LTTS</v>
          </cell>
          <cell r="N43" t="str">
            <v> Usha</v>
          </cell>
          <cell r="O43">
            <v>26500</v>
          </cell>
          <cell r="P43" t="str">
            <v>USD</v>
          </cell>
          <cell r="R43" t="str">
            <v>Pending</v>
          </cell>
          <cell r="S43">
            <v>45930</v>
          </cell>
          <cell r="T43" t="str">
            <v>Vantedge</v>
          </cell>
          <cell r="U43" t="str">
            <v>Vantedge</v>
          </cell>
        </row>
        <row r="44">
          <cell r="B44" t="str">
            <v>Syed Ahrar Abbas Zaidi</v>
          </cell>
          <cell r="E44" t="str">
            <v>Ehab Abbas</v>
          </cell>
          <cell r="F44" t="str">
            <v>Anshul Kumar</v>
          </cell>
          <cell r="G44" t="str">
            <v>Umar Mujahid Husain</v>
          </cell>
          <cell r="H44" t="str">
            <v>Dev Srivastava</v>
          </cell>
          <cell r="I44" t="str">
            <v>Qausain Abbass</v>
          </cell>
          <cell r="J44" t="str">
            <v> September</v>
          </cell>
          <cell r="K44">
            <v>45929</v>
          </cell>
          <cell r="L44" t="str">
            <v>NA</v>
          </cell>
          <cell r="M44" t="str">
            <v>InfoBeans</v>
          </cell>
          <cell r="N44" t="str">
            <v>Harmeet</v>
          </cell>
          <cell r="O44">
            <v>32400</v>
          </cell>
          <cell r="P44" t="str">
            <v>USD</v>
          </cell>
          <cell r="R44" t="str">
            <v>Pending</v>
          </cell>
          <cell r="S44">
            <v>45930</v>
          </cell>
          <cell r="T44" t="str">
            <v>Vantedge</v>
          </cell>
          <cell r="U44" t="str">
            <v>Vantedge</v>
          </cell>
        </row>
        <row r="45">
          <cell r="B45" t="str">
            <v>Shreya Singh</v>
          </cell>
          <cell r="E45" t="str">
            <v>Pallav Sharma</v>
          </cell>
          <cell r="F45" t="str">
            <v>Umar Mujahid Husain</v>
          </cell>
          <cell r="G45" t="str">
            <v>Anshul Kumar</v>
          </cell>
          <cell r="H45" t="str">
            <v>Dev Srivastava</v>
          </cell>
          <cell r="J45" t="str">
            <v> September</v>
          </cell>
          <cell r="K45">
            <v>45930</v>
          </cell>
          <cell r="L45" t="str">
            <v>NA</v>
          </cell>
          <cell r="M45" t="str">
            <v>BirlaSoft</v>
          </cell>
          <cell r="N45" t="str">
            <v>Saral Bhatnagar</v>
          </cell>
          <cell r="O45">
            <v>36000</v>
          </cell>
          <cell r="P45" t="str">
            <v>USD</v>
          </cell>
          <cell r="R45" t="str">
            <v>Pending</v>
          </cell>
          <cell r="S45">
            <v>45930</v>
          </cell>
          <cell r="T45" t="str">
            <v>Vantedge</v>
          </cell>
          <cell r="U45" t="str">
            <v>Vantedge</v>
          </cell>
        </row>
        <row r="46">
          <cell r="B46" t="str">
            <v>Syed Ahrar Abbas Zaidi</v>
          </cell>
          <cell r="E46" t="str">
            <v>Anoop Nagaraj Sumithra</v>
          </cell>
          <cell r="F46" t="str">
            <v>Mayank Saxena</v>
          </cell>
          <cell r="G46" t="str">
            <v>Umar Mujahid Husain</v>
          </cell>
          <cell r="H46" t="str">
            <v>Alok Mishra</v>
          </cell>
          <cell r="J46" t="str">
            <v>October</v>
          </cell>
          <cell r="K46">
            <v>45943</v>
          </cell>
          <cell r="L46" t="str">
            <v>NA</v>
          </cell>
          <cell r="M46" t="str">
            <v>Fanatics</v>
          </cell>
          <cell r="N46" t="str">
            <v>Laura</v>
          </cell>
          <cell r="O46">
            <v>35250</v>
          </cell>
          <cell r="P46" t="str">
            <v>USD</v>
          </cell>
          <cell r="R46" t="str">
            <v>Pending</v>
          </cell>
          <cell r="S46">
            <v>45944</v>
          </cell>
          <cell r="T46" t="str">
            <v>Vantedge</v>
          </cell>
          <cell r="U46" t="str">
            <v>Vantedge</v>
          </cell>
        </row>
        <row r="47">
          <cell r="B47" t="str">
            <v>Mayank Saxena</v>
          </cell>
          <cell r="E47" t="str">
            <v>Abhishek Pandey</v>
          </cell>
          <cell r="F47" t="str">
            <v>Mayank Saxena</v>
          </cell>
          <cell r="G47" t="str">
            <v>Mayank Saxena</v>
          </cell>
          <cell r="H47" t="str">
            <v>Rashmi Bhatnagar</v>
          </cell>
          <cell r="J47" t="str">
            <v>October</v>
          </cell>
          <cell r="K47">
            <v>45945</v>
          </cell>
          <cell r="L47">
            <v>45960</v>
          </cell>
          <cell r="M47" t="str">
            <v>Coforge</v>
          </cell>
          <cell r="N47" t="str">
            <v>Kirti Agarwal</v>
          </cell>
          <cell r="O47">
            <v>0</v>
          </cell>
          <cell r="P47" t="str">
            <v>USD</v>
          </cell>
          <cell r="Q47">
            <v>48000</v>
          </cell>
          <cell r="R47" t="str">
            <v>Pending</v>
          </cell>
          <cell r="S47">
            <v>45961</v>
          </cell>
          <cell r="T47" t="str">
            <v>Vantedge</v>
          </cell>
          <cell r="U47" t="str">
            <v>Vantedge</v>
          </cell>
        </row>
        <row r="48">
          <cell r="B48" t="str">
            <v>Ranjeet Kumar</v>
          </cell>
          <cell r="E48" t="str">
            <v>John Thornhill Williams</v>
          </cell>
          <cell r="F48" t="str">
            <v>Raunak Tripathi</v>
          </cell>
          <cell r="G48" t="str">
            <v>Raunak Tripathi</v>
          </cell>
          <cell r="H48" t="str">
            <v>Alok Mishra</v>
          </cell>
          <cell r="J48" t="str">
            <v>October</v>
          </cell>
          <cell r="K48">
            <v>45960</v>
          </cell>
          <cell r="L48" t="str">
            <v>NA</v>
          </cell>
          <cell r="M48" t="str">
            <v>LTIMindtree</v>
          </cell>
          <cell r="N48" t="str">
            <v>Anas</v>
          </cell>
          <cell r="O48">
            <v>28350</v>
          </cell>
          <cell r="P48" t="str">
            <v>USD</v>
          </cell>
          <cell r="R48" t="str">
            <v>Pending</v>
          </cell>
          <cell r="S48">
            <v>45961</v>
          </cell>
          <cell r="T48" t="str">
            <v>Vantedge</v>
          </cell>
          <cell r="U48" t="str">
            <v>Vantedge</v>
          </cell>
        </row>
        <row r="49">
          <cell r="B49" t="str">
            <v>Prachi Pandey</v>
          </cell>
          <cell r="E49" t="str">
            <v>Mickael Mounien</v>
          </cell>
          <cell r="F49" t="str">
            <v>Raunak Tripathi</v>
          </cell>
          <cell r="G49" t="str">
            <v>Raunak Tripathi</v>
          </cell>
          <cell r="H49" t="str">
            <v>Alok Mishra</v>
          </cell>
          <cell r="J49" t="str">
            <v>October</v>
          </cell>
          <cell r="K49">
            <v>45936</v>
          </cell>
          <cell r="L49" t="str">
            <v>NA</v>
          </cell>
          <cell r="M49" t="str">
            <v>PocketFM</v>
          </cell>
          <cell r="N49" t="str">
            <v>Riti Jain</v>
          </cell>
          <cell r="O49">
            <v>3450</v>
          </cell>
          <cell r="P49" t="str">
            <v>USD</v>
          </cell>
          <cell r="R49" t="str">
            <v>Pending</v>
          </cell>
          <cell r="S49">
            <v>45961</v>
          </cell>
          <cell r="T49" t="str">
            <v>Vantedge</v>
          </cell>
          <cell r="U49" t="str">
            <v>Vantedge</v>
          </cell>
        </row>
      </sheetData>
      <sheetData sheetId="8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9"/>
      <sheetData sheetId="10">
        <row r="1">
          <cell r="H1" t="str">
            <v>Slab achieved</v>
          </cell>
        </row>
        <row r="2">
          <cell r="B2" t="str">
            <v>Umar Mujahid Husain</v>
          </cell>
          <cell r="E2">
            <v>100000</v>
          </cell>
          <cell r="G2">
            <v>1.2204999999999999</v>
          </cell>
          <cell r="H2">
            <v>0.04</v>
          </cell>
        </row>
        <row r="3">
          <cell r="B3" t="str">
            <v>Syed Ahrar Abbas Zaidi</v>
          </cell>
          <cell r="E3">
            <v>100000</v>
          </cell>
          <cell r="G3">
            <v>1.8015000000000001</v>
          </cell>
          <cell r="H3">
            <v>0.04</v>
          </cell>
        </row>
        <row r="4">
          <cell r="B4" t="str">
            <v>Abhay Pratap Singh</v>
          </cell>
          <cell r="E4">
            <v>75000</v>
          </cell>
          <cell r="G4">
            <v>0.90766666666666662</v>
          </cell>
          <cell r="H4">
            <v>0.04</v>
          </cell>
        </row>
        <row r="5">
          <cell r="B5" t="str">
            <v>Astha Srivastava</v>
          </cell>
          <cell r="E5">
            <v>55000</v>
          </cell>
          <cell r="G5">
            <v>0</v>
          </cell>
          <cell r="H5">
            <v>0</v>
          </cell>
        </row>
        <row r="6">
          <cell r="B6" t="str">
            <v>Raunak Tripathi</v>
          </cell>
          <cell r="E6">
            <v>50000</v>
          </cell>
          <cell r="G6">
            <v>0</v>
          </cell>
          <cell r="H6">
            <v>0</v>
          </cell>
        </row>
        <row r="7">
          <cell r="B7" t="str">
            <v>Ankit Maurya</v>
          </cell>
          <cell r="E7">
            <v>100000</v>
          </cell>
          <cell r="G7">
            <v>0.28799999999999998</v>
          </cell>
          <cell r="H7">
            <v>1.7500000000000002E-2</v>
          </cell>
        </row>
        <row r="8">
          <cell r="B8" t="str">
            <v>Prithvi Singh</v>
          </cell>
          <cell r="E8">
            <v>80000</v>
          </cell>
          <cell r="G8">
            <v>0</v>
          </cell>
          <cell r="H8">
            <v>0</v>
          </cell>
        </row>
        <row r="9">
          <cell r="B9" t="str">
            <v>Ranjeet Kumar</v>
          </cell>
          <cell r="E9">
            <v>80000</v>
          </cell>
          <cell r="G9">
            <v>0.76687499999999997</v>
          </cell>
          <cell r="H9">
            <v>2.75E-2</v>
          </cell>
        </row>
        <row r="10">
          <cell r="B10" t="str">
            <v>Devansh Mishra</v>
          </cell>
          <cell r="E10">
            <v>55000</v>
          </cell>
          <cell r="G10">
            <v>0.68181818181818177</v>
          </cell>
          <cell r="H10">
            <v>2.2499999999999999E-2</v>
          </cell>
        </row>
        <row r="11">
          <cell r="B11" t="str">
            <v>Prachi Pandey</v>
          </cell>
          <cell r="E11">
            <v>80000</v>
          </cell>
          <cell r="G11">
            <v>4.3124999999999997E-2</v>
          </cell>
          <cell r="H11">
            <v>1.7500000000000002E-2</v>
          </cell>
        </row>
        <row r="12">
          <cell r="B12" t="str">
            <v>Pulkit prakash</v>
          </cell>
          <cell r="E12">
            <v>80000</v>
          </cell>
          <cell r="G12">
            <v>0.53180000000000005</v>
          </cell>
          <cell r="H12">
            <v>2.2499999999999999E-2</v>
          </cell>
        </row>
        <row r="13">
          <cell r="B13" t="str">
            <v>Mayank Saxena</v>
          </cell>
          <cell r="E13">
            <v>50000</v>
          </cell>
          <cell r="G13">
            <v>1.8089999999999999</v>
          </cell>
          <cell r="H13">
            <v>0.04</v>
          </cell>
        </row>
        <row r="14">
          <cell r="B14" t="str">
            <v>Govind Srivastava</v>
          </cell>
          <cell r="E14">
            <v>120000</v>
          </cell>
          <cell r="G14">
            <v>1.2666666666666666</v>
          </cell>
          <cell r="H14">
            <v>0.04</v>
          </cell>
        </row>
        <row r="15">
          <cell r="B15" t="str">
            <v>Umang Srivastava</v>
          </cell>
          <cell r="E15">
            <v>55000</v>
          </cell>
          <cell r="G15">
            <v>1.0454545454545454</v>
          </cell>
          <cell r="H15">
            <v>0.04</v>
          </cell>
        </row>
        <row r="16">
          <cell r="B16" t="str">
            <v>Anshul Kumar</v>
          </cell>
          <cell r="E16">
            <v>50000</v>
          </cell>
          <cell r="G16">
            <v>1.9219999999999999</v>
          </cell>
          <cell r="H16">
            <v>0.04</v>
          </cell>
        </row>
        <row r="17">
          <cell r="B17" t="str">
            <v>Priyansh Khare</v>
          </cell>
          <cell r="E17">
            <v>100000</v>
          </cell>
          <cell r="G17">
            <v>0.38250000000000001</v>
          </cell>
          <cell r="H17">
            <v>1.7500000000000002E-2</v>
          </cell>
        </row>
        <row r="18">
          <cell r="B18" t="str">
            <v>Shreya Singh</v>
          </cell>
          <cell r="E18">
            <v>100000</v>
          </cell>
          <cell r="G18">
            <v>0.86050000000000004</v>
          </cell>
          <cell r="H18">
            <v>0.04</v>
          </cell>
        </row>
        <row r="19">
          <cell r="B19" t="str">
            <v>Anamika Dwivedi</v>
          </cell>
          <cell r="E19">
            <v>30000</v>
          </cell>
          <cell r="G19">
            <v>0</v>
          </cell>
          <cell r="H19">
            <v>0</v>
          </cell>
        </row>
        <row r="20">
          <cell r="B20" t="str">
            <v>Smriti Jha</v>
          </cell>
          <cell r="E20">
            <v>30000</v>
          </cell>
          <cell r="G20">
            <v>0</v>
          </cell>
          <cell r="H20">
            <v>0</v>
          </cell>
        </row>
        <row r="21">
          <cell r="B21" t="str">
            <v>Abhishek Srivastava</v>
          </cell>
          <cell r="E21">
            <v>60000</v>
          </cell>
          <cell r="G21">
            <v>0</v>
          </cell>
          <cell r="H21">
            <v>0</v>
          </cell>
        </row>
        <row r="22">
          <cell r="B22" t="str">
            <v>Shivanshu Mishra</v>
          </cell>
          <cell r="E22">
            <v>75000</v>
          </cell>
          <cell r="G22">
            <v>0</v>
          </cell>
          <cell r="H22">
            <v>0</v>
          </cell>
        </row>
        <row r="23">
          <cell r="B23" t="str">
            <v>Rohini Parihar</v>
          </cell>
          <cell r="H23">
            <v>0</v>
          </cell>
        </row>
        <row r="24">
          <cell r="B24" t="str">
            <v>Qausain Abbass</v>
          </cell>
          <cell r="E24">
            <v>5</v>
          </cell>
          <cell r="G24">
            <v>0.8</v>
          </cell>
          <cell r="H24">
            <v>2.75E-2</v>
          </cell>
        </row>
        <row r="25">
          <cell r="B25" t="str">
            <v>Anam Hasan</v>
          </cell>
          <cell r="E25">
            <v>4</v>
          </cell>
          <cell r="G25">
            <v>0.25</v>
          </cell>
          <cell r="H25">
            <v>1.7500000000000002E-2</v>
          </cell>
        </row>
        <row r="26">
          <cell r="B26" t="str">
            <v>Tanya Mishra</v>
          </cell>
          <cell r="E26">
            <v>4</v>
          </cell>
          <cell r="G26">
            <v>0.75</v>
          </cell>
          <cell r="H26">
            <v>2.75E-2</v>
          </cell>
        </row>
        <row r="27">
          <cell r="B27" t="str">
            <v>Devashish Sinha</v>
          </cell>
          <cell r="E27">
            <v>4</v>
          </cell>
          <cell r="G27">
            <v>0</v>
          </cell>
          <cell r="H27">
            <v>0</v>
          </cell>
        </row>
        <row r="28">
          <cell r="B28" t="str">
            <v>Lucky Jain</v>
          </cell>
          <cell r="H28" t="e">
            <v>#VALUE!</v>
          </cell>
        </row>
        <row r="29">
          <cell r="B29" t="str">
            <v>Abhishek Rajpoot</v>
          </cell>
          <cell r="H29">
            <v>2.2499999999999999E-2</v>
          </cell>
        </row>
        <row r="30">
          <cell r="B30" t="str">
            <v>Pragati Mishra</v>
          </cell>
          <cell r="H30">
            <v>1.7500000000000002E-2</v>
          </cell>
        </row>
        <row r="31">
          <cell r="B31" t="str">
            <v>Rishabh Singh</v>
          </cell>
          <cell r="H31">
            <v>1.7500000000000002E-2</v>
          </cell>
        </row>
        <row r="32">
          <cell r="B32" t="str">
            <v>Prachi Verma</v>
          </cell>
          <cell r="H32">
            <v>1.7500000000000002E-2</v>
          </cell>
        </row>
        <row r="33">
          <cell r="B33" t="str">
            <v>Ansh Singh Rathore</v>
          </cell>
          <cell r="H33">
            <v>2.2499999999999999E-2</v>
          </cell>
        </row>
        <row r="34">
          <cell r="B34" t="str">
            <v>Vinay Kumar Pandey</v>
          </cell>
          <cell r="H34">
            <v>0</v>
          </cell>
        </row>
        <row r="35">
          <cell r="B35" t="str">
            <v>Akbar Ibrahim</v>
          </cell>
        </row>
        <row r="36">
          <cell r="B36" t="str">
            <v>Ajith Gunasekar</v>
          </cell>
          <cell r="H36">
            <v>1.7500000000000002E-2</v>
          </cell>
        </row>
        <row r="37">
          <cell r="B37" t="str">
            <v>Kishore Gopi</v>
          </cell>
          <cell r="H37">
            <v>0</v>
          </cell>
        </row>
        <row r="38">
          <cell r="B38" t="str">
            <v>Lokesh R</v>
          </cell>
          <cell r="H38">
            <v>0</v>
          </cell>
        </row>
        <row r="39">
          <cell r="B39" t="str">
            <v>Rubini Mohan</v>
          </cell>
          <cell r="H39">
            <v>1.7500000000000002E-2</v>
          </cell>
        </row>
        <row r="40">
          <cell r="B40" t="str">
            <v>Ramanan K</v>
          </cell>
          <cell r="H40">
            <v>0</v>
          </cell>
        </row>
        <row r="41">
          <cell r="B41" t="str">
            <v>Rohini L</v>
          </cell>
          <cell r="H41">
            <v>0</v>
          </cell>
        </row>
        <row r="42">
          <cell r="B42" t="str">
            <v>Sophia R</v>
          </cell>
          <cell r="H42">
            <v>0</v>
          </cell>
        </row>
        <row r="43">
          <cell r="B43" t="str">
            <v>Jagan Prabhu Vedhagiri</v>
          </cell>
          <cell r="H43">
            <v>1.7500000000000002E-2</v>
          </cell>
        </row>
        <row r="44">
          <cell r="B44" t="str">
            <v>Dasive Prakash S</v>
          </cell>
          <cell r="H44">
            <v>1.7500000000000002E-2</v>
          </cell>
        </row>
        <row r="45">
          <cell r="B45" t="str">
            <v>Dhivakar B</v>
          </cell>
        </row>
        <row r="46">
          <cell r="B46" t="str">
            <v>Vinoth L</v>
          </cell>
        </row>
        <row r="47">
          <cell r="B47" t="str">
            <v>Priyanga Selvarasu</v>
          </cell>
          <cell r="H47">
            <v>0</v>
          </cell>
        </row>
        <row r="48">
          <cell r="B48" t="str">
            <v>M Harinath</v>
          </cell>
          <cell r="H48">
            <v>0.04</v>
          </cell>
        </row>
        <row r="49">
          <cell r="B49" t="str">
            <v>R Richardson Richardson</v>
          </cell>
          <cell r="H49">
            <v>1.7500000000000002E-2</v>
          </cell>
        </row>
        <row r="50">
          <cell r="B50" t="str">
            <v>Dinesh Veluchamy</v>
          </cell>
          <cell r="H50">
            <v>0.04</v>
          </cell>
        </row>
        <row r="51">
          <cell r="B51" t="str">
            <v>J Gayathri</v>
          </cell>
          <cell r="H51">
            <v>2.2499999999999999E-2</v>
          </cell>
        </row>
        <row r="52">
          <cell r="B52" t="str">
            <v>Sriram Arasu</v>
          </cell>
          <cell r="H52">
            <v>1.7500000000000002E-2</v>
          </cell>
        </row>
        <row r="53">
          <cell r="B53" t="str">
            <v>Thomas J</v>
          </cell>
          <cell r="H53">
            <v>0</v>
          </cell>
        </row>
      </sheetData>
      <sheetData sheetId="11"/>
      <sheetData sheetId="12">
        <row r="3">
          <cell r="B3" t="str">
            <v>Recruiters Name</v>
          </cell>
          <cell r="C3" t="str">
            <v>Team Lead</v>
          </cell>
        </row>
        <row r="4">
          <cell r="B4" t="str">
            <v>Umar Mujahid Husain</v>
          </cell>
          <cell r="C4" t="str">
            <v>Umar Mujahid Husain</v>
          </cell>
        </row>
        <row r="5">
          <cell r="B5" t="str">
            <v>Syed Ahrar Abbas Zaidi</v>
          </cell>
          <cell r="C5" t="str">
            <v>Umar Mujahid Husain</v>
          </cell>
        </row>
        <row r="6">
          <cell r="B6" t="str">
            <v>Abhay Pratap Singh</v>
          </cell>
          <cell r="C6" t="str">
            <v>Umar Mujahid Husain</v>
          </cell>
        </row>
        <row r="7">
          <cell r="B7" t="str">
            <v>Astha Srivastava</v>
          </cell>
          <cell r="C7" t="str">
            <v>Umar Mujahid Husain</v>
          </cell>
        </row>
        <row r="8">
          <cell r="B8" t="str">
            <v>Raunak Tripathi</v>
          </cell>
          <cell r="C8" t="str">
            <v>Raunak Tripathi</v>
          </cell>
        </row>
        <row r="9">
          <cell r="B9" t="str">
            <v>Ankit Maurya</v>
          </cell>
          <cell r="C9" t="str">
            <v>Raunak Tripathi</v>
          </cell>
        </row>
        <row r="10">
          <cell r="B10" t="str">
            <v>Prithvi Singh</v>
          </cell>
          <cell r="C10" t="str">
            <v>Raunak Tripathi</v>
          </cell>
        </row>
        <row r="11">
          <cell r="B11" t="str">
            <v>Ranjeet Kumar</v>
          </cell>
          <cell r="C11" t="str">
            <v>Raunak Tripathi</v>
          </cell>
        </row>
        <row r="12">
          <cell r="B12" t="str">
            <v>Devansh Mishra</v>
          </cell>
          <cell r="C12" t="str">
            <v>Raunak Tripathi</v>
          </cell>
        </row>
        <row r="13">
          <cell r="B13" t="str">
            <v>Prachi Pandey</v>
          </cell>
          <cell r="C13" t="str">
            <v>Raunak Tripathi</v>
          </cell>
        </row>
        <row r="14">
          <cell r="B14" t="str">
            <v>Pulkit prakash</v>
          </cell>
          <cell r="C14" t="str">
            <v>Raunak Tripathi</v>
          </cell>
        </row>
        <row r="15">
          <cell r="B15" t="str">
            <v>Mayank Saxena</v>
          </cell>
          <cell r="C15" t="str">
            <v>Mayank Saxena</v>
          </cell>
        </row>
        <row r="16">
          <cell r="B16" t="str">
            <v>Govind Srivastava</v>
          </cell>
          <cell r="C16" t="str">
            <v>Mayank Saxena</v>
          </cell>
        </row>
        <row r="17">
          <cell r="B17" t="str">
            <v>Umang Srivastava</v>
          </cell>
          <cell r="C17" t="str">
            <v>Mayank Saxena</v>
          </cell>
        </row>
        <row r="18">
          <cell r="B18" t="str">
            <v>Anshul Kumar</v>
          </cell>
          <cell r="C18" t="str">
            <v>Anshul Kumar</v>
          </cell>
        </row>
        <row r="19">
          <cell r="B19" t="str">
            <v>Priyansh Khare</v>
          </cell>
          <cell r="C19" t="str">
            <v>Anshul Kumar</v>
          </cell>
        </row>
        <row r="20">
          <cell r="B20" t="str">
            <v>Shreya Singh</v>
          </cell>
          <cell r="C20" t="str">
            <v>Anshul Kumar</v>
          </cell>
        </row>
        <row r="21">
          <cell r="B21" t="str">
            <v>Anamika Dwivedi</v>
          </cell>
          <cell r="C21" t="str">
            <v>Anshul Kumar</v>
          </cell>
        </row>
        <row r="22">
          <cell r="B22" t="str">
            <v>Smriti Jha</v>
          </cell>
          <cell r="C22" t="str">
            <v>Anshul Kumar</v>
          </cell>
        </row>
        <row r="23">
          <cell r="B23" t="str">
            <v>Abhishek Srivastava</v>
          </cell>
          <cell r="C23" t="str">
            <v>Anshul Kumar</v>
          </cell>
        </row>
        <row r="24">
          <cell r="B24" t="str">
            <v>Rashmi Bhatnagar</v>
          </cell>
          <cell r="C24" t="str">
            <v>Rashmi Bhatnagar</v>
          </cell>
        </row>
        <row r="25">
          <cell r="B25" t="str">
            <v>Shivanshu Mishra</v>
          </cell>
          <cell r="C25" t="str">
            <v>Rashmi Bhatnagar</v>
          </cell>
        </row>
        <row r="26">
          <cell r="B26" t="str">
            <v>Rohini Parihar</v>
          </cell>
          <cell r="C26" t="str">
            <v>Rohini Parihar</v>
          </cell>
        </row>
        <row r="27">
          <cell r="B27" t="str">
            <v>Kartikeya Singh</v>
          </cell>
          <cell r="C27" t="str">
            <v>Rohini Parihar</v>
          </cell>
        </row>
        <row r="28">
          <cell r="B28" t="str">
            <v>Qausain Abbass</v>
          </cell>
          <cell r="C28" t="str">
            <v>Rohini Parihar</v>
          </cell>
        </row>
        <row r="29">
          <cell r="B29" t="str">
            <v>Anam Hasan</v>
          </cell>
          <cell r="C29" t="str">
            <v>Rohini Parihar</v>
          </cell>
        </row>
        <row r="30">
          <cell r="B30" t="str">
            <v>Tanya Mishra</v>
          </cell>
          <cell r="C30" t="str">
            <v>Rohini Parihar</v>
          </cell>
        </row>
        <row r="31">
          <cell r="B31" t="str">
            <v>Devashish Sinha</v>
          </cell>
          <cell r="C31" t="str">
            <v>Rohini Parihar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A557-AA62-407F-B43E-506976F718B4}">
  <dimension ref="A1:P287"/>
  <sheetViews>
    <sheetView tabSelected="1" zoomScale="44" workbookViewId="0">
      <selection sqref="A1:XFD1048576"/>
    </sheetView>
  </sheetViews>
  <sheetFormatPr defaultRowHeight="14.4" x14ac:dyDescent="0.3"/>
  <cols>
    <col min="1" max="1" width="21" style="4" bestFit="1" customWidth="1"/>
    <col min="2" max="2" width="22.21875" style="4" bestFit="1" customWidth="1"/>
    <col min="3" max="3" width="19.5546875" style="4" bestFit="1" customWidth="1"/>
    <col min="4" max="4" width="22.6640625" style="4" bestFit="1" customWidth="1"/>
    <col min="5" max="5" width="17.109375" style="4" bestFit="1" customWidth="1"/>
    <col min="6" max="6" width="18.5546875" style="4" bestFit="1" customWidth="1"/>
    <col min="7" max="7" width="14.109375" style="4" bestFit="1" customWidth="1"/>
    <col min="8" max="8" width="15.109375" style="4" bestFit="1" customWidth="1"/>
    <col min="9" max="9" width="20.109375" style="4" bestFit="1" customWidth="1"/>
    <col min="10" max="10" width="19.5546875" style="4" bestFit="1" customWidth="1"/>
    <col min="11" max="11" width="21.33203125" style="4" bestFit="1" customWidth="1"/>
    <col min="12" max="12" width="13.33203125" style="4" bestFit="1" customWidth="1"/>
    <col min="13" max="13" width="10.44140625" style="4" bestFit="1" customWidth="1"/>
    <col min="14" max="16384" width="8.88671875" style="4"/>
  </cols>
  <sheetData>
    <row r="1" spans="1:12" ht="18.60000000000000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 spans="1:12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2" x14ac:dyDescent="0.3">
      <c r="A4" s="7" t="s">
        <v>12</v>
      </c>
      <c r="B4" s="8" t="s">
        <v>13</v>
      </c>
      <c r="C4" s="7" t="str">
        <f>_xlfn.XLOOKUP($B4,'[1]Data Validation (2)'!$B$3:$B$31,'[1]Data Validation (2)'!$C$3:$C$31)</f>
        <v>Umar Mujahid Husain</v>
      </c>
      <c r="D4" s="7">
        <f>_xlfn.XLOOKUP($B4,'[1]Ach % - L4'!$B$2:$B$27,'[1]Ach % - L4'!$E$2:$E$27)</f>
        <v>100000</v>
      </c>
      <c r="E4" s="9">
        <f>_xlfn.XLOOKUP($B4,'[1]Ach % - L4'!$B$2:$B$27,'[1]Ach % - L4'!$G$2:$G$27)</f>
        <v>1.2204999999999999</v>
      </c>
      <c r="F4" s="10">
        <f>SUM(E6:E12)</f>
        <v>207201</v>
      </c>
      <c r="G4" s="10">
        <f ca="1">SUMIFS($E5:$E12,$I5:$I12,"yes",F5:F12,"Done")</f>
        <v>148451</v>
      </c>
      <c r="H4" s="11" cm="1">
        <f t="array" ref="H4">_xlfn.IFS($E4&lt;=1%,0%,$E4&lt;=50%,1.75%,$E4&lt;=70%,2.25%,$E4&lt;=85%,2.75%,$E4&gt;85%,4%)</f>
        <v>0.04</v>
      </c>
      <c r="I4" s="10">
        <f>F4*H4</f>
        <v>8288.0400000000009</v>
      </c>
      <c r="J4" s="12">
        <f>I4*80</f>
        <v>663043.20000000007</v>
      </c>
      <c r="K4" s="13">
        <f ca="1">(G4*H4)*80</f>
        <v>475043.2</v>
      </c>
    </row>
    <row r="5" spans="1:12" x14ac:dyDescent="0.3">
      <c r="A5" s="14" t="s">
        <v>2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</row>
    <row r="6" spans="1:12" x14ac:dyDescent="0.3">
      <c r="A6" s="15" t="str">
        <f>B4</f>
        <v>Umar Mujahid Husain</v>
      </c>
      <c r="B6" s="7" t="str" cm="1">
        <f t="array" ref="B6:G12">IFERROR(_xlfn.CHOOSECOLS(_xlfn._xlws.FILTER('[1]Vantedge - dummy Placement data'!E:U, '[1]Vantedge - dummy Placement data'!F:F=$B4), 1, 7, 9, 11, 14, 8), "")</f>
        <v>Pooja Agarwal</v>
      </c>
      <c r="C6" s="16">
        <v>45733</v>
      </c>
      <c r="D6" s="7" t="str">
        <v>Qualitest</v>
      </c>
      <c r="E6" s="17">
        <v>28500</v>
      </c>
      <c r="F6" s="11" t="str">
        <v>Done</v>
      </c>
      <c r="G6" s="16" t="str">
        <v>NA</v>
      </c>
      <c r="H6" s="7">
        <f ca="1">IF(G6&lt;&gt;"NA", G6 - C6, TODAY() - C6)</f>
        <v>309</v>
      </c>
      <c r="I6" s="7" t="str">
        <f ca="1">IF(H6&gt;=90,"Yes","No")</f>
        <v>Yes</v>
      </c>
      <c r="J6" s="18">
        <f>_xlfn.XLOOKUP($A$6,'[1]Ach % - L4'!$B$1:$B$53,'[1]Ach % - L4'!$H$1:$H$53)</f>
        <v>0.04</v>
      </c>
      <c r="K6" s="7">
        <f>(J6*E6)*80</f>
        <v>91200</v>
      </c>
      <c r="L6" s="7"/>
    </row>
    <row r="7" spans="1:12" x14ac:dyDescent="0.3">
      <c r="A7" s="15"/>
      <c r="B7" s="7" t="str">
        <v>David Smith</v>
      </c>
      <c r="C7" s="16">
        <v>45734</v>
      </c>
      <c r="D7" s="7" t="str">
        <v>PocketFM</v>
      </c>
      <c r="E7" s="17">
        <v>43200</v>
      </c>
      <c r="F7" s="11" t="str">
        <v>Done</v>
      </c>
      <c r="G7" s="16" t="str">
        <v>NA</v>
      </c>
      <c r="H7" s="7">
        <f ca="1">IF(G7&lt;&gt;"NA", G7 - C7, TODAY() - C7)</f>
        <v>308</v>
      </c>
      <c r="I7" s="7" t="str">
        <f ca="1">IF(H7&gt;=90,"Yes","No")</f>
        <v>Yes</v>
      </c>
      <c r="J7" s="18">
        <f>_xlfn.XLOOKUP($A$6,'[1]Ach % - L4'!$B$1:$B$53,'[1]Ach % - L4'!$H$1:$H$53)</f>
        <v>0.04</v>
      </c>
      <c r="K7" s="7">
        <f t="shared" ref="K7:K10" si="0">(J7*E7)*80</f>
        <v>138240</v>
      </c>
      <c r="L7" s="7"/>
    </row>
    <row r="8" spans="1:12" x14ac:dyDescent="0.3">
      <c r="A8" s="15"/>
      <c r="B8" s="7" t="str">
        <v>Praveen Narayana</v>
      </c>
      <c r="C8" s="16">
        <v>45761</v>
      </c>
      <c r="D8" s="7" t="str">
        <v>Tech Mahindra</v>
      </c>
      <c r="E8" s="17">
        <v>20825</v>
      </c>
      <c r="F8" s="11" t="str">
        <v>Done</v>
      </c>
      <c r="G8" s="16" t="str">
        <v>NA</v>
      </c>
      <c r="H8" s="7">
        <f ca="1">IF(G8&lt;&gt;"NA", G8 - C8, TODAY() - C8)</f>
        <v>281</v>
      </c>
      <c r="I8" s="7" t="str">
        <f ca="1">IF(H8&gt;=90,"Yes","No")</f>
        <v>Yes</v>
      </c>
      <c r="J8" s="18">
        <f>_xlfn.XLOOKUP($A$6,'[1]Ach % - L4'!$B$1:$B$53,'[1]Ach % - L4'!$H$1:$H$53)</f>
        <v>0.04</v>
      </c>
      <c r="K8" s="7">
        <f t="shared" si="0"/>
        <v>66640</v>
      </c>
      <c r="L8" s="7"/>
    </row>
    <row r="9" spans="1:12" x14ac:dyDescent="0.3">
      <c r="A9" s="15"/>
      <c r="B9" s="7" t="str">
        <v>Shawn Elkon</v>
      </c>
      <c r="C9" s="16">
        <v>45782</v>
      </c>
      <c r="D9" s="7" t="str">
        <v>Tech Mahindra</v>
      </c>
      <c r="E9" s="17">
        <v>18326</v>
      </c>
      <c r="F9" s="11" t="str">
        <v>Done</v>
      </c>
      <c r="G9" s="16" t="str">
        <v>NA</v>
      </c>
      <c r="H9" s="7">
        <f t="shared" ref="H9:H12" ca="1" si="1">IF(G9&lt;&gt;"NA", G9 - C9, TODAY() - C9)</f>
        <v>260</v>
      </c>
      <c r="I9" s="7" t="str">
        <f t="shared" ref="I9:I12" ca="1" si="2">IF(H9&gt;=90,"Yes","No")</f>
        <v>Yes</v>
      </c>
      <c r="J9" s="18">
        <f>_xlfn.XLOOKUP($A$6,'[1]Ach % - L4'!$B$1:$B$53,'[1]Ach % - L4'!$H$1:$H$53)</f>
        <v>0.04</v>
      </c>
      <c r="K9" s="7">
        <f t="shared" si="0"/>
        <v>58643.199999999997</v>
      </c>
      <c r="L9" s="7"/>
    </row>
    <row r="10" spans="1:12" x14ac:dyDescent="0.3">
      <c r="A10" s="15"/>
      <c r="B10" s="7" t="str">
        <v>Taylor Carlson</v>
      </c>
      <c r="C10" s="16">
        <v>45811</v>
      </c>
      <c r="D10" s="7" t="str">
        <v>PocketFM</v>
      </c>
      <c r="E10" s="17">
        <v>37600</v>
      </c>
      <c r="F10" s="11" t="str">
        <v>Done</v>
      </c>
      <c r="G10" s="16" t="str">
        <v>NA</v>
      </c>
      <c r="H10" s="7">
        <f t="shared" ca="1" si="1"/>
        <v>231</v>
      </c>
      <c r="I10" s="7" t="str">
        <f t="shared" ca="1" si="2"/>
        <v>Yes</v>
      </c>
      <c r="J10" s="18">
        <f>_xlfn.XLOOKUP($A$6,'[1]Ach % - L4'!$B$1:$B$53,'[1]Ach % - L4'!$H$1:$H$53)</f>
        <v>0.04</v>
      </c>
      <c r="K10" s="7">
        <f t="shared" si="0"/>
        <v>120320</v>
      </c>
      <c r="L10" s="7"/>
    </row>
    <row r="11" spans="1:12" x14ac:dyDescent="0.3">
      <c r="A11" s="15"/>
      <c r="B11" s="7" t="str">
        <v>Brian Taylor</v>
      </c>
      <c r="C11" s="16">
        <v>45870</v>
      </c>
      <c r="D11" s="7" t="str">
        <v>FPT Software</v>
      </c>
      <c r="E11" s="17">
        <v>22750</v>
      </c>
      <c r="F11" s="11" t="str">
        <v>Pending</v>
      </c>
      <c r="G11" s="16" t="str">
        <v>NA</v>
      </c>
      <c r="H11" s="7">
        <f t="shared" ca="1" si="1"/>
        <v>172</v>
      </c>
      <c r="I11" s="7" t="str">
        <f t="shared" ca="1" si="2"/>
        <v>Yes</v>
      </c>
      <c r="J11" s="18"/>
      <c r="K11" s="7"/>
      <c r="L11" s="7"/>
    </row>
    <row r="12" spans="1:12" x14ac:dyDescent="0.3">
      <c r="A12" s="15"/>
      <c r="B12" s="7" t="str">
        <v>Pallav Sharma</v>
      </c>
      <c r="C12" s="16">
        <v>45930</v>
      </c>
      <c r="D12" s="7" t="str">
        <v>BirlaSoft</v>
      </c>
      <c r="E12" s="17">
        <v>36000</v>
      </c>
      <c r="F12" s="11" t="str">
        <v>Pending</v>
      </c>
      <c r="G12" s="16" t="str">
        <v>NA</v>
      </c>
      <c r="H12" s="7">
        <f t="shared" ca="1" si="1"/>
        <v>112</v>
      </c>
      <c r="I12" s="7" t="str">
        <f t="shared" ca="1" si="2"/>
        <v>Yes</v>
      </c>
      <c r="J12" s="18"/>
      <c r="K12" s="7"/>
      <c r="L12" s="7"/>
    </row>
    <row r="13" spans="1:12" x14ac:dyDescent="0.3">
      <c r="A13" s="15"/>
      <c r="B13" s="7"/>
      <c r="C13" s="16"/>
      <c r="D13" s="7"/>
      <c r="E13" s="17"/>
      <c r="F13" s="11"/>
      <c r="G13" s="16"/>
      <c r="H13" s="7"/>
      <c r="I13" s="7"/>
      <c r="J13" s="7"/>
      <c r="K13" s="7"/>
      <c r="L13" s="7"/>
    </row>
    <row r="14" spans="1:12" x14ac:dyDescent="0.3">
      <c r="E14" s="19"/>
      <c r="F14" s="4" t="str" cm="1">
        <f t="array" ref="F14">IFERROR(_xlfn.CHOOSECOLS(_xlfn._xlws.FILTER('[1]Vantedge - dummy Placement'!E:S, '[1]Vantedge - dummy Placement'!B:B=$B5), 1, 6, 7, 8, 10), "")</f>
        <v/>
      </c>
    </row>
    <row r="15" spans="1:12" x14ac:dyDescent="0.3">
      <c r="E15" s="19"/>
    </row>
    <row r="16" spans="1:12" x14ac:dyDescent="0.3">
      <c r="A16" s="5" t="s">
        <v>1</v>
      </c>
      <c r="B16" s="5" t="s">
        <v>2</v>
      </c>
      <c r="C16" s="5" t="s">
        <v>3</v>
      </c>
      <c r="D16" s="5" t="s">
        <v>4</v>
      </c>
      <c r="E16" s="5" t="s">
        <v>5</v>
      </c>
      <c r="F16" s="5" t="s">
        <v>6</v>
      </c>
      <c r="G16" s="6" t="s">
        <v>7</v>
      </c>
      <c r="H16" s="5" t="s">
        <v>8</v>
      </c>
      <c r="I16" s="5" t="s">
        <v>25</v>
      </c>
      <c r="J16" s="5" t="s">
        <v>10</v>
      </c>
      <c r="K16" s="5" t="s">
        <v>11</v>
      </c>
    </row>
    <row r="17" spans="1:12" x14ac:dyDescent="0.3">
      <c r="A17" s="7" t="s">
        <v>12</v>
      </c>
      <c r="B17" s="8" t="s">
        <v>26</v>
      </c>
      <c r="C17" s="7" t="str">
        <f>_xlfn.XLOOKUP($B17,'[1]Data Validation (2)'!$B$3:$B$31,'[1]Data Validation (2)'!$C$3:$C$31)</f>
        <v>Umar Mujahid Husain</v>
      </c>
      <c r="D17" s="7">
        <f>_xlfn.XLOOKUP($B17,'[1]Ach % - L4'!$B$2:$B$27,'[1]Ach % - L4'!$E$2:$E$27)</f>
        <v>100000</v>
      </c>
      <c r="E17" s="9">
        <f>_xlfn.XLOOKUP($B17,'[1]Ach % - L4'!$B$2:$B$27,'[1]Ach % - L4'!$G$2:$G$27)</f>
        <v>1.8015000000000001</v>
      </c>
      <c r="F17" s="10">
        <f>SUM(E19:E23)</f>
        <v>144900</v>
      </c>
      <c r="G17" s="10">
        <f ca="1">SUMIFS($E18:$E24,$I18:$I24,"yes",F18:F24,"Done")</f>
        <v>112500</v>
      </c>
      <c r="H17" s="11" cm="1">
        <f t="array" ref="H17">_xlfn.IFS($E17&lt;=1%,0%,$E17&lt;=50%,1.75%,$E17&lt;=70%,2.25%,$E17&lt;=85%,2.75%,$E17&gt;85%,4%)</f>
        <v>0.04</v>
      </c>
      <c r="I17" s="10">
        <f>F17*H17</f>
        <v>5796</v>
      </c>
      <c r="J17" s="7">
        <f>I17*80</f>
        <v>463680</v>
      </c>
      <c r="K17" s="8">
        <f ca="1">(G17*H17)*80</f>
        <v>360000</v>
      </c>
    </row>
    <row r="18" spans="1:12" x14ac:dyDescent="0.3">
      <c r="A18" s="14" t="s">
        <v>2</v>
      </c>
      <c r="B18" s="14" t="s">
        <v>14</v>
      </c>
      <c r="C18" s="14" t="s">
        <v>15</v>
      </c>
      <c r="D18" s="14" t="s">
        <v>16</v>
      </c>
      <c r="E18" s="14" t="s">
        <v>17</v>
      </c>
      <c r="F18" s="14" t="s">
        <v>18</v>
      </c>
      <c r="G18" s="14" t="s">
        <v>19</v>
      </c>
      <c r="H18" s="14" t="s">
        <v>20</v>
      </c>
      <c r="I18" s="14" t="s">
        <v>21</v>
      </c>
      <c r="J18" s="14" t="s">
        <v>22</v>
      </c>
      <c r="K18" s="14" t="s">
        <v>23</v>
      </c>
      <c r="L18" s="14" t="s">
        <v>24</v>
      </c>
    </row>
    <row r="19" spans="1:12" x14ac:dyDescent="0.3">
      <c r="A19" s="15" t="str">
        <f>B17</f>
        <v>Syed Ahrar Abbas Zaidi</v>
      </c>
      <c r="B19" s="7" t="str" cm="1">
        <f t="array" ref="B19:G24">IFERROR(_xlfn.CHOOSECOLS(_xlfn._xlws.FILTER('[1]Vantedge - dummy Placement data'!E:U, '[1]Vantedge - dummy Placement data'!B:B=$B17), 1, 7, 9, 11, 14, 8), "")</f>
        <v>Sandeep Padhye</v>
      </c>
      <c r="C19" s="16">
        <v>45859</v>
      </c>
      <c r="D19" s="7" t="str">
        <v>InfoBeans</v>
      </c>
      <c r="E19" s="17">
        <v>31500</v>
      </c>
      <c r="F19" s="11" t="str">
        <v>Done</v>
      </c>
      <c r="G19" s="16" t="str">
        <v>NA</v>
      </c>
      <c r="H19" s="7">
        <f ca="1">IF(G19&lt;&gt;"NA", G19 - C19, TODAY() - C19)</f>
        <v>183</v>
      </c>
      <c r="I19" s="7" t="str">
        <f ca="1">IF(H19&gt;=90,"Yes","No")</f>
        <v>Yes</v>
      </c>
      <c r="J19" s="18">
        <f>_xlfn.XLOOKUP($A$6,'[1]Ach % - L4'!$B$1:$B$53,'[1]Ach % - L4'!$H$1:$H$53)</f>
        <v>0.04</v>
      </c>
      <c r="K19" s="7">
        <f>(J19*E19)*80</f>
        <v>100800</v>
      </c>
      <c r="L19" s="7"/>
    </row>
    <row r="20" spans="1:12" x14ac:dyDescent="0.3">
      <c r="A20" s="15"/>
      <c r="B20" s="7" t="str">
        <v>Devin Currens</v>
      </c>
      <c r="C20" s="16">
        <v>45887</v>
      </c>
      <c r="D20" s="7" t="str">
        <v>InfoBeans</v>
      </c>
      <c r="E20" s="17">
        <v>27000</v>
      </c>
      <c r="F20" s="11" t="str">
        <v>Done</v>
      </c>
      <c r="G20" s="16" t="str">
        <v>NA</v>
      </c>
      <c r="H20" s="7">
        <f ca="1">IF(G20&lt;&gt;"NA", G20 - C20, TODAY() - C20)</f>
        <v>155</v>
      </c>
      <c r="I20" s="7" t="str">
        <f ca="1">IF(H20&gt;=90,"Yes","No")</f>
        <v>Yes</v>
      </c>
      <c r="J20" s="18">
        <f>_xlfn.XLOOKUP($A$6,'[1]Ach % - L4'!$B$1:$B$53,'[1]Ach % - L4'!$H$1:$H$53)</f>
        <v>0.04</v>
      </c>
      <c r="K20" s="7">
        <f t="shared" ref="K20:K23" si="3">(J20*E20)*80</f>
        <v>86400</v>
      </c>
      <c r="L20" s="7"/>
    </row>
    <row r="21" spans="1:12" x14ac:dyDescent="0.3">
      <c r="A21" s="15"/>
      <c r="B21" s="7" t="str">
        <v>Natasha Allen</v>
      </c>
      <c r="C21" s="16">
        <v>45887</v>
      </c>
      <c r="D21" s="7" t="str">
        <v>Fanatics</v>
      </c>
      <c r="E21" s="17">
        <v>27000</v>
      </c>
      <c r="F21" s="11" t="str">
        <v>Done</v>
      </c>
      <c r="G21" s="16" t="str">
        <v>NA</v>
      </c>
      <c r="H21" s="7">
        <f ca="1">IF(G21&lt;&gt;"NA", G21 - C21, TODAY() - C21)</f>
        <v>155</v>
      </c>
      <c r="I21" s="7" t="str">
        <f ca="1">IF(H21&gt;=90,"Yes","No")</f>
        <v>Yes</v>
      </c>
      <c r="J21" s="18">
        <f>_xlfn.XLOOKUP($A$6,'[1]Ach % - L4'!$B$1:$B$53,'[1]Ach % - L4'!$H$1:$H$53)</f>
        <v>0.04</v>
      </c>
      <c r="K21" s="7">
        <f t="shared" si="3"/>
        <v>86400</v>
      </c>
      <c r="L21" s="7"/>
    </row>
    <row r="22" spans="1:12" x14ac:dyDescent="0.3">
      <c r="A22" s="15"/>
      <c r="B22" s="7" t="str">
        <v>Taylor Brandon Grace</v>
      </c>
      <c r="C22" s="16">
        <v>45894</v>
      </c>
      <c r="D22" s="7" t="str">
        <v>InfoBeans</v>
      </c>
      <c r="E22" s="17">
        <v>27000</v>
      </c>
      <c r="F22" s="11" t="str">
        <v>Done</v>
      </c>
      <c r="G22" s="16" t="str">
        <v>NA</v>
      </c>
      <c r="H22" s="7">
        <f t="shared" ref="H22:H24" ca="1" si="4">IF(G22&lt;&gt;"NA", G22 - C22, TODAY() - C22)</f>
        <v>148</v>
      </c>
      <c r="I22" s="7" t="str">
        <f t="shared" ref="I22:I24" ca="1" si="5">IF(H22&gt;=90,"Yes","No")</f>
        <v>Yes</v>
      </c>
      <c r="J22" s="18">
        <f>_xlfn.XLOOKUP($A$6,'[1]Ach % - L4'!$B$1:$B$53,'[1]Ach % - L4'!$H$1:$H$53)</f>
        <v>0.04</v>
      </c>
      <c r="K22" s="7">
        <f t="shared" si="3"/>
        <v>86400</v>
      </c>
      <c r="L22" s="7"/>
    </row>
    <row r="23" spans="1:12" x14ac:dyDescent="0.3">
      <c r="A23" s="15"/>
      <c r="B23" s="7" t="str">
        <v>Ehab Abbas</v>
      </c>
      <c r="C23" s="16">
        <v>45929</v>
      </c>
      <c r="D23" s="7" t="str">
        <v>InfoBeans</v>
      </c>
      <c r="E23" s="17">
        <v>32400</v>
      </c>
      <c r="F23" s="11" t="str">
        <v>Pending</v>
      </c>
      <c r="G23" s="16" t="str">
        <v>NA</v>
      </c>
      <c r="H23" s="7">
        <f t="shared" ca="1" si="4"/>
        <v>113</v>
      </c>
      <c r="I23" s="7" t="str">
        <f t="shared" ca="1" si="5"/>
        <v>Yes</v>
      </c>
      <c r="J23" s="18">
        <f>_xlfn.XLOOKUP($A$6,'[1]Ach % - L4'!$B$1:$B$53,'[1]Ach % - L4'!$H$1:$H$53)</f>
        <v>0.04</v>
      </c>
      <c r="K23" s="7">
        <f t="shared" si="3"/>
        <v>103680</v>
      </c>
      <c r="L23" s="7"/>
    </row>
    <row r="24" spans="1:12" x14ac:dyDescent="0.3">
      <c r="A24" s="15"/>
      <c r="B24" s="7" t="str">
        <v>Anoop Nagaraj Sumithra</v>
      </c>
      <c r="C24" s="7">
        <v>45943</v>
      </c>
      <c r="D24" s="7" t="str">
        <v>Fanatics</v>
      </c>
      <c r="E24" s="7">
        <v>35250</v>
      </c>
      <c r="F24" s="7" t="str">
        <v>Pending</v>
      </c>
      <c r="G24" s="7" t="str">
        <v>NA</v>
      </c>
      <c r="H24" s="7">
        <f t="shared" ca="1" si="4"/>
        <v>99</v>
      </c>
      <c r="I24" s="7" t="str">
        <f t="shared" ca="1" si="5"/>
        <v>Yes</v>
      </c>
      <c r="J24" s="18">
        <f>_xlfn.XLOOKUP($A$6,'[1]Ach % - L4'!$B$1:$B$53,'[1]Ach % - L4'!$H$1:$H$53)</f>
        <v>0.04</v>
      </c>
      <c r="K24" s="7"/>
      <c r="L24" s="7"/>
    </row>
    <row r="25" spans="1:12" x14ac:dyDescent="0.3">
      <c r="A25" s="15"/>
      <c r="B25" s="7"/>
      <c r="C25" s="7"/>
      <c r="D25" s="7"/>
      <c r="E25" s="7"/>
      <c r="F25" s="7"/>
      <c r="G25" s="7"/>
      <c r="H25" s="7"/>
      <c r="I25" s="7"/>
      <c r="J25" s="18"/>
      <c r="K25" s="7"/>
      <c r="L25" s="7"/>
    </row>
    <row r="26" spans="1:12" x14ac:dyDescent="0.3">
      <c r="J26" s="7"/>
      <c r="K26" s="7"/>
      <c r="L26" s="7"/>
    </row>
    <row r="28" spans="1:12" x14ac:dyDescent="0.3">
      <c r="A28" s="5" t="s">
        <v>1</v>
      </c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6" t="s">
        <v>7</v>
      </c>
      <c r="H28" s="5" t="s">
        <v>8</v>
      </c>
      <c r="I28" s="5" t="s">
        <v>25</v>
      </c>
      <c r="J28" s="5" t="s">
        <v>10</v>
      </c>
      <c r="K28" s="5" t="s">
        <v>11</v>
      </c>
    </row>
    <row r="29" spans="1:12" x14ac:dyDescent="0.3">
      <c r="A29" s="7" t="s">
        <v>12</v>
      </c>
      <c r="B29" s="8" t="s">
        <v>27</v>
      </c>
      <c r="C29" s="7" t="str">
        <f>_xlfn.XLOOKUP($B29,'[1]Data Validation (2)'!$B$3:$B$31,'[1]Data Validation (2)'!$C$3:$C$31)</f>
        <v>Umar Mujahid Husain</v>
      </c>
      <c r="D29" s="7">
        <f>_xlfn.XLOOKUP($B29,'[1]Ach % - L4'!$B$2:$B$27,'[1]Ach % - L4'!$E$2:$E$27)</f>
        <v>75000</v>
      </c>
      <c r="E29" s="9">
        <f>_xlfn.XLOOKUP($B29,'[1]Ach % - L4'!$B$2:$B$27,'[1]Ach % - L4'!$G$2:$G$27)</f>
        <v>0.90766666666666662</v>
      </c>
      <c r="F29" s="10">
        <f>SUM(E31:E36)</f>
        <v>68075</v>
      </c>
      <c r="G29" s="10">
        <f ca="1">SUMIFS($E30:$E37,$I30:$I37,"yes",F30:F37,"Done")</f>
        <v>68075</v>
      </c>
      <c r="H29" s="11" cm="1">
        <f t="array" ref="H29">_xlfn.IFS($E29&lt;=1%,0%,$E29&lt;=50%,1.75%,$E29&lt;=70%,2.25%,$E29&lt;=85%,2.75%,$E29&gt;85%,4%)</f>
        <v>0.04</v>
      </c>
      <c r="I29" s="10">
        <f>F29*H29</f>
        <v>2723</v>
      </c>
      <c r="J29" s="7">
        <f>I29*80</f>
        <v>217840</v>
      </c>
      <c r="K29" s="8">
        <f ca="1">(G29*H29)*80</f>
        <v>217840</v>
      </c>
    </row>
    <row r="30" spans="1:12" x14ac:dyDescent="0.3">
      <c r="A30" s="14" t="s">
        <v>2</v>
      </c>
      <c r="B30" s="14" t="s">
        <v>14</v>
      </c>
      <c r="C30" s="14" t="s">
        <v>15</v>
      </c>
      <c r="D30" s="14" t="s">
        <v>16</v>
      </c>
      <c r="E30" s="14" t="s">
        <v>17</v>
      </c>
      <c r="F30" s="14" t="s">
        <v>18</v>
      </c>
      <c r="G30" s="14" t="s">
        <v>19</v>
      </c>
      <c r="H30" s="14" t="s">
        <v>20</v>
      </c>
      <c r="I30" s="14" t="s">
        <v>21</v>
      </c>
      <c r="J30" s="14" t="s">
        <v>22</v>
      </c>
      <c r="K30" s="14" t="s">
        <v>23</v>
      </c>
      <c r="L30" s="14" t="s">
        <v>24</v>
      </c>
    </row>
    <row r="31" spans="1:12" x14ac:dyDescent="0.3">
      <c r="A31" s="20" t="str">
        <f>B29</f>
        <v>Abhay Pratap Singh</v>
      </c>
      <c r="B31" s="7" t="str" cm="1">
        <f t="array" ref="B31:G33">IFERROR(_xlfn.CHOOSECOLS(_xlfn._xlws.FILTER('[1]Vantedge - dummy Placement data'!E:U, '[1]Vantedge - dummy Placement data'!B:B=$B29), 1, 7, 9, 11, 14, 8), "")</f>
        <v>Sindhu Venkatesh</v>
      </c>
      <c r="C31" s="16">
        <v>45698</v>
      </c>
      <c r="D31" s="7" t="str">
        <v>QualiZeal </v>
      </c>
      <c r="E31" s="17">
        <v>18750</v>
      </c>
      <c r="F31" s="11" t="str">
        <v>done</v>
      </c>
      <c r="G31" s="16" t="str">
        <v>NA</v>
      </c>
      <c r="H31" s="7">
        <f ca="1">IF(G31&lt;&gt;"NA", G31 - C31, TODAY() - C31)</f>
        <v>344</v>
      </c>
      <c r="I31" s="7" t="str">
        <f ca="1">IF(H31&gt;=90,"Yes","No")</f>
        <v>Yes</v>
      </c>
      <c r="J31" s="18">
        <f>_xlfn.XLOOKUP($A$6,'[1]Ach % - L4'!$B$1:$B$53,'[1]Ach % - L4'!$H$1:$H$53)</f>
        <v>0.04</v>
      </c>
      <c r="K31" s="7">
        <f>(J31*E31)*80</f>
        <v>60000</v>
      </c>
      <c r="L31" s="7"/>
    </row>
    <row r="32" spans="1:12" x14ac:dyDescent="0.3">
      <c r="A32" s="21"/>
      <c r="B32" s="7" t="str">
        <v>Pooja Agarwal</v>
      </c>
      <c r="C32" s="16">
        <v>45733</v>
      </c>
      <c r="D32" s="7" t="str">
        <v>Qualitest</v>
      </c>
      <c r="E32" s="17">
        <v>28500</v>
      </c>
      <c r="F32" s="11" t="str">
        <v>Done</v>
      </c>
      <c r="G32" s="16" t="str">
        <v>NA</v>
      </c>
      <c r="H32" s="7">
        <f ca="1">IF(G32&lt;&gt;"NA", G32 - C32, TODAY() - C32)</f>
        <v>309</v>
      </c>
      <c r="I32" s="7" t="str">
        <f ca="1">IF(H32&gt;=90,"Yes","No")</f>
        <v>Yes</v>
      </c>
      <c r="J32" s="18">
        <f>_xlfn.XLOOKUP($A$6,'[1]Ach % - L4'!$B$1:$B$53,'[1]Ach % - L4'!$H$1:$H$53)</f>
        <v>0.04</v>
      </c>
      <c r="K32" s="7">
        <f t="shared" ref="K32:K33" si="6">(J32*E32)*80</f>
        <v>91200</v>
      </c>
      <c r="L32" s="7"/>
    </row>
    <row r="33" spans="1:12" x14ac:dyDescent="0.3">
      <c r="A33" s="21"/>
      <c r="B33" s="7" t="str">
        <v>Praveen Narayana</v>
      </c>
      <c r="C33" s="16">
        <v>45761</v>
      </c>
      <c r="D33" s="7" t="str">
        <v>Tech Mahindra</v>
      </c>
      <c r="E33" s="17">
        <v>20825</v>
      </c>
      <c r="F33" s="11" t="str">
        <v>Done</v>
      </c>
      <c r="G33" s="16" t="str">
        <v>NA</v>
      </c>
      <c r="H33" s="7">
        <f ca="1">IF(G33&lt;&gt;"NA", G33 - C33, TODAY() - C33)</f>
        <v>281</v>
      </c>
      <c r="I33" s="7" t="str">
        <f ca="1">IF(H33&gt;=90,"Yes","No")</f>
        <v>Yes</v>
      </c>
      <c r="J33" s="18">
        <f>_xlfn.XLOOKUP($A$6,'[1]Ach % - L4'!$B$1:$B$53,'[1]Ach % - L4'!$H$1:$H$53)</f>
        <v>0.04</v>
      </c>
      <c r="K33" s="7">
        <f t="shared" si="6"/>
        <v>66640</v>
      </c>
      <c r="L33" s="7"/>
    </row>
    <row r="34" spans="1:12" x14ac:dyDescent="0.3">
      <c r="A34" s="21"/>
      <c r="B34" s="7"/>
      <c r="C34" s="16"/>
      <c r="D34" s="7"/>
      <c r="E34" s="17"/>
      <c r="F34" s="11"/>
      <c r="G34" s="16"/>
      <c r="H34" s="7"/>
      <c r="I34" s="7"/>
      <c r="J34" s="18"/>
      <c r="K34" s="7"/>
      <c r="L34" s="7"/>
    </row>
    <row r="35" spans="1:12" x14ac:dyDescent="0.3">
      <c r="A35" s="21"/>
      <c r="B35" s="7"/>
      <c r="C35" s="16"/>
      <c r="D35" s="7"/>
      <c r="E35" s="17"/>
      <c r="F35" s="11"/>
      <c r="G35" s="16"/>
      <c r="H35" s="7"/>
      <c r="I35" s="7"/>
      <c r="J35" s="18"/>
      <c r="K35" s="7"/>
      <c r="L35" s="7"/>
    </row>
    <row r="36" spans="1:12" x14ac:dyDescent="0.3">
      <c r="A36" s="22"/>
      <c r="B36" s="7"/>
      <c r="C36" s="16"/>
      <c r="D36" s="7"/>
      <c r="E36" s="17"/>
      <c r="F36" s="11"/>
      <c r="G36" s="16"/>
      <c r="H36" s="7"/>
      <c r="I36" s="7"/>
      <c r="J36" s="18"/>
      <c r="K36" s="7"/>
      <c r="L36" s="7"/>
    </row>
    <row r="37" spans="1:12" x14ac:dyDescent="0.3">
      <c r="J37" s="18"/>
      <c r="K37" s="7"/>
      <c r="L37" s="7"/>
    </row>
    <row r="38" spans="1:12" x14ac:dyDescent="0.3">
      <c r="J38" s="7"/>
      <c r="K38" s="7"/>
      <c r="L38" s="7"/>
    </row>
    <row r="39" spans="1:12" x14ac:dyDescent="0.3">
      <c r="A39" s="5" t="s">
        <v>1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6" t="s">
        <v>7</v>
      </c>
      <c r="H39" s="5" t="s">
        <v>8</v>
      </c>
      <c r="I39" s="5" t="s">
        <v>25</v>
      </c>
      <c r="J39" s="5" t="s">
        <v>10</v>
      </c>
      <c r="K39" s="5" t="s">
        <v>11</v>
      </c>
    </row>
    <row r="40" spans="1:12" x14ac:dyDescent="0.3">
      <c r="A40" s="7" t="s">
        <v>12</v>
      </c>
      <c r="B40" s="8" t="s">
        <v>28</v>
      </c>
      <c r="C40" s="7" t="str">
        <f>_xlfn.XLOOKUP($B40,'[1]Data Validation (2)'!$B$3:$B$31,'[1]Data Validation (2)'!$C$3:$C$31)</f>
        <v>Umar Mujahid Husain</v>
      </c>
      <c r="D40" s="7">
        <f>_xlfn.XLOOKUP($B40,'[1]Ach % - L4'!$B$2:$B$27,'[1]Ach % - L4'!$E$2:$E$27)</f>
        <v>55000</v>
      </c>
      <c r="E40" s="9">
        <f>_xlfn.XLOOKUP($B40,'[1]Ach % - L4'!$B$2:$B$27,'[1]Ach % - L4'!$G$2:$G$27)</f>
        <v>0</v>
      </c>
      <c r="F40" s="10">
        <f>SUM(E42:E47)</f>
        <v>0</v>
      </c>
      <c r="G40" s="10">
        <f ca="1">SUMIFS($E41:$E48,$I41:$I48,"yes",F41:F48,"Done")</f>
        <v>0</v>
      </c>
      <c r="H40" s="11" cm="1">
        <f t="array" ref="H40">_xlfn.IFS($E40&lt;=1%,0%,$E40&lt;=50%,1.75%,$E40&lt;=70%,2.25%,$E40&lt;=85%,2.75%,$E40&gt;85%,4%)</f>
        <v>0</v>
      </c>
      <c r="I40" s="10">
        <f>F40*H40</f>
        <v>0</v>
      </c>
      <c r="J40" s="7">
        <f>I40*80</f>
        <v>0</v>
      </c>
      <c r="K40" s="8">
        <f ca="1">(G40*H40)*80</f>
        <v>0</v>
      </c>
    </row>
    <row r="41" spans="1:12" x14ac:dyDescent="0.3">
      <c r="A41" s="14" t="s">
        <v>2</v>
      </c>
      <c r="B41" s="14" t="s">
        <v>14</v>
      </c>
      <c r="C41" s="14" t="s">
        <v>15</v>
      </c>
      <c r="D41" s="14" t="s">
        <v>16</v>
      </c>
      <c r="E41" s="14" t="s">
        <v>17</v>
      </c>
      <c r="F41" s="14" t="s">
        <v>18</v>
      </c>
      <c r="G41" s="14" t="s">
        <v>19</v>
      </c>
      <c r="H41" s="14" t="s">
        <v>20</v>
      </c>
      <c r="I41" s="14" t="s">
        <v>21</v>
      </c>
      <c r="J41" s="14" t="s">
        <v>22</v>
      </c>
      <c r="K41" s="14" t="s">
        <v>23</v>
      </c>
      <c r="L41" s="14" t="s">
        <v>24</v>
      </c>
    </row>
    <row r="42" spans="1:12" x14ac:dyDescent="0.3">
      <c r="A42" s="20" t="str">
        <f>B40</f>
        <v>Astha Srivastava</v>
      </c>
      <c r="B42" s="7" t="str" cm="1">
        <f t="array" ref="B42">IFERROR(_xlfn.CHOOSECOLS(_xlfn._xlws.FILTER('[1]Vantedge - dummy Placement data'!E:U, '[1]Vantedge - dummy Placement data'!B:B=$B40), 1, 7, 9, 11, 14, 8), "")</f>
        <v/>
      </c>
      <c r="C42" s="16"/>
      <c r="D42" s="7"/>
      <c r="E42" s="17"/>
      <c r="F42" s="11"/>
      <c r="G42" s="16"/>
      <c r="H42" s="7">
        <f ca="1">IF(G42&lt;&gt;"NA", G42 - C42, TODAY() - C42)</f>
        <v>0</v>
      </c>
      <c r="I42" s="7" t="str">
        <f ca="1">IF(H42&gt;=90,"Yes","No")</f>
        <v>No</v>
      </c>
      <c r="J42" s="18"/>
      <c r="K42" s="7">
        <f>(J42*E42)*80</f>
        <v>0</v>
      </c>
      <c r="L42" s="7"/>
    </row>
    <row r="43" spans="1:12" x14ac:dyDescent="0.3">
      <c r="A43" s="21"/>
      <c r="B43" s="7"/>
      <c r="C43" s="16"/>
      <c r="D43" s="7"/>
      <c r="E43" s="17"/>
      <c r="F43" s="11"/>
      <c r="G43" s="16"/>
      <c r="H43" s="7">
        <f ca="1">IF(G43&lt;&gt;"NA", G43 - C43, TODAY() - C43)</f>
        <v>0</v>
      </c>
      <c r="I43" s="7" t="str">
        <f ca="1">IF(H43&gt;=90,"Yes","No")</f>
        <v>No</v>
      </c>
      <c r="J43" s="18"/>
      <c r="K43" s="7">
        <f t="shared" ref="K43:K44" si="7">(J43*E43)*80</f>
        <v>0</v>
      </c>
      <c r="L43" s="7"/>
    </row>
    <row r="44" spans="1:12" x14ac:dyDescent="0.3">
      <c r="A44" s="21"/>
      <c r="B44" s="7"/>
      <c r="C44" s="16"/>
      <c r="D44" s="7"/>
      <c r="E44" s="17"/>
      <c r="F44" s="11"/>
      <c r="G44" s="16"/>
      <c r="H44" s="7">
        <f ca="1">IF(G44&lt;&gt;"NA", G44 - C44, TODAY() - C44)</f>
        <v>0</v>
      </c>
      <c r="I44" s="7" t="str">
        <f ca="1">IF(H44&gt;=90,"Yes","No")</f>
        <v>No</v>
      </c>
      <c r="J44" s="18"/>
      <c r="K44" s="7">
        <f t="shared" si="7"/>
        <v>0</v>
      </c>
      <c r="L44" s="7"/>
    </row>
    <row r="45" spans="1:12" x14ac:dyDescent="0.3">
      <c r="A45" s="21"/>
      <c r="B45" s="7"/>
      <c r="C45" s="16"/>
      <c r="D45" s="7"/>
      <c r="E45" s="17"/>
      <c r="F45" s="11"/>
      <c r="G45" s="16"/>
      <c r="H45" s="7"/>
      <c r="I45" s="7"/>
      <c r="J45" s="18"/>
      <c r="K45" s="7"/>
      <c r="L45" s="7"/>
    </row>
    <row r="46" spans="1:12" x14ac:dyDescent="0.3">
      <c r="A46" s="21"/>
      <c r="B46" s="7"/>
      <c r="C46" s="16"/>
      <c r="D46" s="7"/>
      <c r="E46" s="17"/>
      <c r="F46" s="11"/>
      <c r="G46" s="16"/>
      <c r="H46" s="7"/>
      <c r="I46" s="7"/>
      <c r="J46" s="18"/>
      <c r="K46" s="7"/>
      <c r="L46" s="7"/>
    </row>
    <row r="47" spans="1:12" x14ac:dyDescent="0.3">
      <c r="A47" s="22"/>
      <c r="B47" s="7"/>
      <c r="C47" s="16"/>
      <c r="D47" s="7"/>
      <c r="E47" s="17"/>
      <c r="F47" s="11"/>
      <c r="G47" s="16"/>
      <c r="H47" s="7"/>
      <c r="I47" s="7"/>
      <c r="J47" s="18"/>
      <c r="K47" s="7"/>
      <c r="L47" s="7"/>
    </row>
    <row r="51" spans="1:12" x14ac:dyDescent="0.3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6</v>
      </c>
      <c r="G51" s="6" t="s">
        <v>7</v>
      </c>
      <c r="H51" s="5" t="s">
        <v>8</v>
      </c>
      <c r="I51" s="5" t="s">
        <v>25</v>
      </c>
      <c r="J51" s="5" t="s">
        <v>10</v>
      </c>
      <c r="K51" s="5" t="s">
        <v>11</v>
      </c>
    </row>
    <row r="52" spans="1:12" x14ac:dyDescent="0.3">
      <c r="A52" s="7" t="s">
        <v>12</v>
      </c>
      <c r="B52" s="8" t="s">
        <v>29</v>
      </c>
      <c r="C52" s="7" t="str">
        <f>_xlfn.XLOOKUP($B52,'[1]Data Validation (2)'!$B$3:$B$31,'[1]Data Validation (2)'!$C$3:$C$31)</f>
        <v>Raunak Tripathi</v>
      </c>
      <c r="D52" s="7">
        <f>_xlfn.XLOOKUP($B52,'[1]Ach % - L4'!$B$2:$B$27,'[1]Ach % - L4'!$E$2:$E$27)</f>
        <v>100000</v>
      </c>
      <c r="E52" s="9">
        <f>_xlfn.XLOOKUP($B52,'[1]Ach % - L4'!$B$2:$B$27,'[1]Ach % - L4'!$G$2:$G$27)</f>
        <v>0.28799999999999998</v>
      </c>
      <c r="F52" s="10">
        <f>SUM(E54:E59)</f>
        <v>28800</v>
      </c>
      <c r="G52" s="10">
        <f ca="1">SUMIFS($E53:$E60,$I53:$I60,"yes",F53:F60,"Done")</f>
        <v>0</v>
      </c>
      <c r="H52" s="11" cm="1">
        <f t="array" ref="H52">_xlfn.IFS($E52&lt;=1%,0%,$E52&lt;=50%,1.75%,$E52&lt;=70%,2.25%,$E52&lt;=85%,2.75%,$E52&gt;85%,4%)</f>
        <v>1.7500000000000002E-2</v>
      </c>
      <c r="I52" s="10">
        <f>F52*H52</f>
        <v>504.00000000000006</v>
      </c>
      <c r="J52" s="7">
        <f>I52*80</f>
        <v>40320.000000000007</v>
      </c>
      <c r="K52" s="8">
        <f ca="1">(G52*H52)*80</f>
        <v>0</v>
      </c>
    </row>
    <row r="53" spans="1:12" x14ac:dyDescent="0.3">
      <c r="A53" s="14" t="s">
        <v>2</v>
      </c>
      <c r="B53" s="14" t="s">
        <v>14</v>
      </c>
      <c r="C53" s="14" t="s">
        <v>15</v>
      </c>
      <c r="D53" s="14" t="s">
        <v>16</v>
      </c>
      <c r="E53" s="14" t="s">
        <v>17</v>
      </c>
      <c r="F53" s="14" t="s">
        <v>18</v>
      </c>
      <c r="G53" s="14" t="s">
        <v>19</v>
      </c>
      <c r="H53" s="14" t="s">
        <v>20</v>
      </c>
      <c r="I53" s="14" t="s">
        <v>21</v>
      </c>
      <c r="J53" s="14" t="s">
        <v>22</v>
      </c>
      <c r="K53" s="14" t="s">
        <v>23</v>
      </c>
      <c r="L53" s="14" t="s">
        <v>24</v>
      </c>
    </row>
    <row r="54" spans="1:12" x14ac:dyDescent="0.3">
      <c r="A54" s="20" t="str">
        <f>B52</f>
        <v>Ankit Maurya</v>
      </c>
      <c r="B54" s="7" t="str" cm="1">
        <f t="array" ref="B54:G54">IFERROR(_xlfn.CHOOSECOLS(_xlfn._xlws.FILTER('[1]Vantedge - dummy Placement data'!E:U, '[1]Vantedge - dummy Placement data'!B:B=$B52), 1, 7, 9, 11, 14, 8), "")</f>
        <v>Chandra Bhagi</v>
      </c>
      <c r="C54" s="16">
        <v>45908</v>
      </c>
      <c r="D54" s="7" t="str">
        <v>Birlasoft</v>
      </c>
      <c r="E54" s="17">
        <v>28800</v>
      </c>
      <c r="F54" s="11" t="str">
        <v>Pending</v>
      </c>
      <c r="G54" s="16" t="str">
        <v>NA</v>
      </c>
      <c r="H54" s="7">
        <f ca="1">IF(G54&lt;&gt;"NA", G54 - C54, TODAY() - C54)</f>
        <v>134</v>
      </c>
      <c r="I54" s="7" t="str">
        <f ca="1">IF(H54&gt;=90,"Yes","No")</f>
        <v>Yes</v>
      </c>
      <c r="J54" s="18">
        <f>$H$52</f>
        <v>1.7500000000000002E-2</v>
      </c>
      <c r="K54" s="7">
        <f>(J54*E54)*80</f>
        <v>40320.000000000007</v>
      </c>
      <c r="L54" s="7"/>
    </row>
    <row r="55" spans="1:12" x14ac:dyDescent="0.3">
      <c r="A55" s="21"/>
      <c r="B55" s="7"/>
      <c r="C55" s="16"/>
      <c r="D55" s="7"/>
      <c r="E55" s="17"/>
      <c r="F55" s="11"/>
      <c r="G55" s="16"/>
      <c r="H55" s="7">
        <f ca="1">IF(G55&lt;&gt;"NA", G55 - C55, TODAY() - C55)</f>
        <v>0</v>
      </c>
      <c r="I55" s="7" t="str">
        <f ca="1">IF(H55&gt;=90,"Yes","No")</f>
        <v>No</v>
      </c>
      <c r="J55" s="18">
        <f t="shared" ref="J55:J56" si="8">$H$52</f>
        <v>1.7500000000000002E-2</v>
      </c>
      <c r="K55" s="7">
        <f t="shared" ref="K55:K56" si="9">(J55*E55)*80</f>
        <v>0</v>
      </c>
      <c r="L55" s="7"/>
    </row>
    <row r="56" spans="1:12" x14ac:dyDescent="0.3">
      <c r="A56" s="21"/>
      <c r="B56" s="7"/>
      <c r="C56" s="16"/>
      <c r="D56" s="7"/>
      <c r="E56" s="17"/>
      <c r="F56" s="11"/>
      <c r="G56" s="16"/>
      <c r="H56" s="7">
        <f ca="1">IF(G56&lt;&gt;"NA", G56 - C56, TODAY() - C56)</f>
        <v>0</v>
      </c>
      <c r="I56" s="7" t="str">
        <f ca="1">IF(H56&gt;=90,"Yes","No")</f>
        <v>No</v>
      </c>
      <c r="J56" s="18">
        <f t="shared" si="8"/>
        <v>1.7500000000000002E-2</v>
      </c>
      <c r="K56" s="7">
        <f t="shared" si="9"/>
        <v>0</v>
      </c>
      <c r="L56" s="7"/>
    </row>
    <row r="57" spans="1:12" x14ac:dyDescent="0.3">
      <c r="A57" s="21"/>
      <c r="B57" s="7"/>
      <c r="C57" s="16"/>
      <c r="D57" s="7"/>
      <c r="E57" s="17"/>
      <c r="F57" s="11"/>
      <c r="G57" s="16"/>
      <c r="H57" s="7"/>
      <c r="I57" s="7"/>
      <c r="J57" s="18"/>
      <c r="K57" s="7"/>
      <c r="L57" s="7"/>
    </row>
    <row r="58" spans="1:12" x14ac:dyDescent="0.3">
      <c r="A58" s="21"/>
      <c r="B58" s="7"/>
      <c r="C58" s="16"/>
      <c r="D58" s="7"/>
      <c r="E58" s="17"/>
      <c r="F58" s="11"/>
      <c r="G58" s="16"/>
      <c r="H58" s="7"/>
      <c r="I58" s="7"/>
      <c r="J58" s="18"/>
      <c r="K58" s="7"/>
      <c r="L58" s="7"/>
    </row>
    <row r="59" spans="1:12" x14ac:dyDescent="0.3">
      <c r="A59" s="22"/>
      <c r="B59" s="7"/>
      <c r="C59" s="16"/>
      <c r="D59" s="7"/>
      <c r="E59" s="17"/>
      <c r="F59" s="11"/>
      <c r="G59" s="16"/>
      <c r="H59" s="7"/>
      <c r="I59" s="7"/>
      <c r="J59" s="18"/>
      <c r="K59" s="7"/>
      <c r="L59" s="7"/>
    </row>
    <row r="61" spans="1:12" x14ac:dyDescent="0.3">
      <c r="A61" s="5" t="s">
        <v>1</v>
      </c>
      <c r="B61" s="5" t="s">
        <v>2</v>
      </c>
      <c r="C61" s="5" t="s">
        <v>3</v>
      </c>
      <c r="D61" s="5" t="s">
        <v>4</v>
      </c>
      <c r="E61" s="5" t="s">
        <v>5</v>
      </c>
      <c r="F61" s="5" t="s">
        <v>6</v>
      </c>
      <c r="G61" s="6" t="s">
        <v>7</v>
      </c>
      <c r="H61" s="5" t="s">
        <v>8</v>
      </c>
      <c r="I61" s="5" t="s">
        <v>25</v>
      </c>
      <c r="J61" s="5" t="s">
        <v>10</v>
      </c>
      <c r="K61" s="5" t="s">
        <v>11</v>
      </c>
    </row>
    <row r="62" spans="1:12" x14ac:dyDescent="0.3">
      <c r="A62" s="7" t="s">
        <v>12</v>
      </c>
      <c r="B62" s="8" t="s">
        <v>30</v>
      </c>
      <c r="C62" s="7" t="str">
        <f>_xlfn.XLOOKUP($B62,'[1]Data Validation (2)'!$B$3:$B$31,'[1]Data Validation (2)'!$C$3:$C$31)</f>
        <v>Raunak Tripathi</v>
      </c>
      <c r="D62" s="7">
        <f>_xlfn.XLOOKUP($B62,'[1]Ach % - L4'!$B$2:$B$27,'[1]Ach % - L4'!$E$2:$E$27)</f>
        <v>80000</v>
      </c>
      <c r="E62" s="9">
        <f>_xlfn.XLOOKUP($B62,'[1]Ach % - L4'!$B$2:$B$27,'[1]Ach % - L4'!$G$2:$G$27)</f>
        <v>0</v>
      </c>
      <c r="F62" s="10">
        <f>SUM(E64:E70)</f>
        <v>0</v>
      </c>
      <c r="G62" s="10">
        <f ca="1">SUMIFS($E63:$E71,$I63:$I71,"yes",F63:F71,"Done")</f>
        <v>0</v>
      </c>
      <c r="H62" s="11" cm="1">
        <f t="array" ref="H62">_xlfn.IFS($E62&lt;=1%,0%,$E62&lt;=50%,1.75%,$E62&lt;=70%,2.25%,$E62&lt;=85%,2.75%,$E62&gt;85%,4%)</f>
        <v>0</v>
      </c>
      <c r="I62" s="10">
        <f>F62*H62</f>
        <v>0</v>
      </c>
      <c r="J62" s="7">
        <f>I62*80</f>
        <v>0</v>
      </c>
      <c r="K62" s="8">
        <f ca="1">(G62*H62)*80</f>
        <v>0</v>
      </c>
    </row>
    <row r="63" spans="1:12" x14ac:dyDescent="0.3">
      <c r="A63" s="14" t="s">
        <v>2</v>
      </c>
      <c r="B63" s="14" t="s">
        <v>14</v>
      </c>
      <c r="C63" s="14" t="s">
        <v>15</v>
      </c>
      <c r="D63" s="14" t="s">
        <v>16</v>
      </c>
      <c r="E63" s="14" t="s">
        <v>17</v>
      </c>
      <c r="F63" s="14" t="s">
        <v>18</v>
      </c>
      <c r="G63" s="14" t="s">
        <v>19</v>
      </c>
      <c r="H63" s="14" t="s">
        <v>20</v>
      </c>
      <c r="I63" s="14" t="s">
        <v>21</v>
      </c>
      <c r="J63" s="14" t="s">
        <v>22</v>
      </c>
      <c r="K63" s="14" t="s">
        <v>23</v>
      </c>
      <c r="L63" s="14" t="s">
        <v>24</v>
      </c>
    </row>
    <row r="64" spans="1:12" x14ac:dyDescent="0.3">
      <c r="A64" s="20" t="str">
        <f>B62</f>
        <v>Prithvi Singh</v>
      </c>
      <c r="B64" s="7" t="str" cm="1">
        <f t="array" ref="B64">IFERROR(_xlfn.CHOOSECOLS(_xlfn._xlws.FILTER('[1]Vantedge - dummy Placement data'!E:U, '[1]Vantedge - dummy Placement data'!B:B=$B62), 1, 7, 9, 11, 14, 8), "")</f>
        <v/>
      </c>
      <c r="C64" s="16"/>
      <c r="D64" s="7"/>
      <c r="E64" s="17"/>
      <c r="F64" s="11"/>
      <c r="G64" s="16"/>
      <c r="H64" s="7">
        <f ca="1">IF(G64&lt;&gt;"NA", G64 - C64, TODAY() - C64)</f>
        <v>0</v>
      </c>
      <c r="I64" s="7" t="str">
        <f ca="1">IF(H64&gt;=90,"Yes","No")</f>
        <v>No</v>
      </c>
      <c r="J64" s="18">
        <f>$H$4</f>
        <v>0.04</v>
      </c>
      <c r="K64" s="7">
        <f>(J64*E64)*80</f>
        <v>0</v>
      </c>
      <c r="L64" s="7"/>
    </row>
    <row r="65" spans="1:12" x14ac:dyDescent="0.3">
      <c r="A65" s="21"/>
      <c r="B65" s="7"/>
      <c r="C65" s="16"/>
      <c r="D65" s="7"/>
      <c r="E65" s="17"/>
      <c r="F65" s="11"/>
      <c r="G65" s="16"/>
      <c r="H65" s="7">
        <f ca="1">IF(G65&lt;&gt;"NA", G65 - C65, TODAY() - C65)</f>
        <v>0</v>
      </c>
      <c r="I65" s="7" t="str">
        <f ca="1">IF(H65&gt;=90,"Yes","No")</f>
        <v>No</v>
      </c>
      <c r="J65" s="18">
        <f>$H$4</f>
        <v>0.04</v>
      </c>
      <c r="K65" s="7">
        <f t="shared" ref="K65:K66" si="10">(J65*E65)*80</f>
        <v>0</v>
      </c>
      <c r="L65" s="7"/>
    </row>
    <row r="66" spans="1:12" x14ac:dyDescent="0.3">
      <c r="A66" s="21"/>
      <c r="B66" s="7"/>
      <c r="C66" s="16"/>
      <c r="D66" s="7"/>
      <c r="E66" s="17"/>
      <c r="F66" s="11"/>
      <c r="G66" s="16"/>
      <c r="H66" s="7">
        <f ca="1">IF(G66&lt;&gt;"NA", G66 - C66, TODAY() - C66)</f>
        <v>0</v>
      </c>
      <c r="I66" s="7" t="str">
        <f ca="1">IF(H66&gt;=90,"Yes","No")</f>
        <v>No</v>
      </c>
      <c r="J66" s="18">
        <f t="shared" ref="J66" si="11">$H$4</f>
        <v>0.04</v>
      </c>
      <c r="K66" s="7">
        <f t="shared" si="10"/>
        <v>0</v>
      </c>
      <c r="L66" s="7"/>
    </row>
    <row r="67" spans="1:12" x14ac:dyDescent="0.3">
      <c r="A67" s="21"/>
      <c r="B67" s="7"/>
      <c r="C67" s="16"/>
      <c r="D67" s="7"/>
      <c r="E67" s="17"/>
      <c r="F67" s="11"/>
      <c r="G67" s="16"/>
      <c r="H67" s="7"/>
      <c r="I67" s="7"/>
      <c r="J67" s="18"/>
      <c r="K67" s="7"/>
      <c r="L67" s="7"/>
    </row>
    <row r="68" spans="1:12" x14ac:dyDescent="0.3">
      <c r="A68" s="21"/>
      <c r="B68" s="7"/>
      <c r="C68" s="16"/>
      <c r="D68" s="7"/>
      <c r="E68" s="17"/>
      <c r="F68" s="11"/>
      <c r="G68" s="16"/>
      <c r="H68" s="7"/>
      <c r="I68" s="7"/>
      <c r="J68" s="18"/>
      <c r="K68" s="7"/>
      <c r="L68" s="7"/>
    </row>
    <row r="69" spans="1:12" x14ac:dyDescent="0.3">
      <c r="A69" s="21"/>
      <c r="B69" s="7"/>
      <c r="C69" s="16"/>
      <c r="D69" s="7"/>
      <c r="E69" s="17"/>
      <c r="F69" s="11"/>
      <c r="G69" s="16"/>
      <c r="H69" s="7"/>
      <c r="I69" s="7"/>
      <c r="J69" s="18"/>
      <c r="K69" s="7"/>
      <c r="L69" s="7"/>
    </row>
    <row r="70" spans="1:12" x14ac:dyDescent="0.3">
      <c r="A70" s="22"/>
      <c r="B70" s="7"/>
      <c r="C70" s="16"/>
      <c r="D70" s="7"/>
      <c r="E70" s="17"/>
      <c r="F70" s="11"/>
      <c r="G70" s="16"/>
      <c r="H70" s="7"/>
      <c r="I70" s="7"/>
    </row>
    <row r="76" spans="1:12" x14ac:dyDescent="0.3">
      <c r="A76" s="5" t="s">
        <v>1</v>
      </c>
      <c r="B76" s="5" t="s">
        <v>2</v>
      </c>
      <c r="C76" s="5" t="s">
        <v>3</v>
      </c>
      <c r="D76" s="5" t="s">
        <v>4</v>
      </c>
      <c r="E76" s="5" t="s">
        <v>5</v>
      </c>
      <c r="F76" s="5" t="s">
        <v>6</v>
      </c>
      <c r="G76" s="6" t="s">
        <v>7</v>
      </c>
      <c r="H76" s="5" t="s">
        <v>8</v>
      </c>
      <c r="I76" s="5" t="s">
        <v>25</v>
      </c>
      <c r="J76" s="5" t="s">
        <v>10</v>
      </c>
      <c r="K76" s="5" t="s">
        <v>11</v>
      </c>
    </row>
    <row r="77" spans="1:12" x14ac:dyDescent="0.3">
      <c r="A77" s="7" t="s">
        <v>12</v>
      </c>
      <c r="B77" s="8" t="s">
        <v>31</v>
      </c>
      <c r="C77" s="7" t="str">
        <f>_xlfn.XLOOKUP($B77,'[1]Data Validation (2)'!$B$3:$B$31,'[1]Data Validation (2)'!$C$3:$C$31)</f>
        <v>Raunak Tripathi</v>
      </c>
      <c r="D77" s="7">
        <f>_xlfn.XLOOKUP($B77,'[1]Ach % - L4'!$B$2:$B$27,'[1]Ach % - L4'!$E$2:$E$27)</f>
        <v>80000</v>
      </c>
      <c r="E77" s="9">
        <f>_xlfn.XLOOKUP($B77,'[1]Ach % - L4'!$B$2:$B$27,'[1]Ach % - L4'!$G$2:$G$27)</f>
        <v>0.76687499999999997</v>
      </c>
      <c r="F77" s="10">
        <f>SUM(E79:E85)</f>
        <v>61350</v>
      </c>
      <c r="G77" s="10">
        <f ca="1">SUMIFS($E78:$E86,$I78:$I86,"yes",F78:F86,"Done")</f>
        <v>33000</v>
      </c>
      <c r="H77" s="11" cm="1">
        <f t="array" ref="H77">_xlfn.IFS($E77&lt;=1%,0%,$E77&lt;=50%,1.75%,$E77&lt;=70%,2.25%,$E77&lt;=85%,2.75%,$E77&gt;85%,4%)</f>
        <v>2.75E-2</v>
      </c>
      <c r="I77" s="10">
        <f>F77*H77</f>
        <v>1687.125</v>
      </c>
      <c r="J77" s="7">
        <f>I77*80</f>
        <v>134970</v>
      </c>
      <c r="K77" s="8">
        <f ca="1">(G77*H77)*80</f>
        <v>72600</v>
      </c>
    </row>
    <row r="78" spans="1:12" x14ac:dyDescent="0.3">
      <c r="A78" s="14" t="s">
        <v>2</v>
      </c>
      <c r="B78" s="14" t="s">
        <v>14</v>
      </c>
      <c r="C78" s="14" t="s">
        <v>15</v>
      </c>
      <c r="D78" s="14" t="s">
        <v>16</v>
      </c>
      <c r="E78" s="14" t="s">
        <v>17</v>
      </c>
      <c r="F78" s="14" t="s">
        <v>18</v>
      </c>
      <c r="G78" s="14" t="s">
        <v>19</v>
      </c>
      <c r="H78" s="14" t="s">
        <v>20</v>
      </c>
      <c r="I78" s="14" t="s">
        <v>21</v>
      </c>
    </row>
    <row r="79" spans="1:12" x14ac:dyDescent="0.3">
      <c r="A79" s="20" t="str">
        <f>B77</f>
        <v>Ranjeet Kumar</v>
      </c>
      <c r="B79" s="7" t="str" cm="1">
        <f t="array" ref="B79:G80">IFERROR(_xlfn.CHOOSECOLS(_xlfn._xlws.FILTER('[1]Vantedge - dummy Placement data'!E:U, '[1]Vantedge - dummy Placement data'!B:B=$B77), 1, 7, 9, 11, 14, 8), "")</f>
        <v>Helen Kim</v>
      </c>
      <c r="C79" s="16">
        <v>45754</v>
      </c>
      <c r="D79" s="7" t="str">
        <v>Coforge</v>
      </c>
      <c r="E79" s="17">
        <v>33000</v>
      </c>
      <c r="F79" s="11" t="str">
        <v>Done</v>
      </c>
      <c r="G79" s="16" t="str">
        <v>NA</v>
      </c>
      <c r="H79" s="7">
        <f ca="1">IF(G79&lt;&gt;"NA", G79 - C79, TODAY() - C79)</f>
        <v>288</v>
      </c>
      <c r="I79" s="7" t="str">
        <f ca="1">IF(H79&gt;=90,"Yes","No")</f>
        <v>Yes</v>
      </c>
    </row>
    <row r="80" spans="1:12" x14ac:dyDescent="0.3">
      <c r="A80" s="21"/>
      <c r="B80" s="7" t="str">
        <v>John Thornhill Williams</v>
      </c>
      <c r="C80" s="16">
        <v>45960</v>
      </c>
      <c r="D80" s="7" t="str">
        <v>LTIMindtree</v>
      </c>
      <c r="E80" s="17">
        <v>28350</v>
      </c>
      <c r="F80" s="11" t="str">
        <v>Pending</v>
      </c>
      <c r="G80" s="16" t="str">
        <v>NA</v>
      </c>
      <c r="H80" s="7">
        <f ca="1">IF(G80&lt;&gt;"NA", G80 - C80, TODAY() - C80)</f>
        <v>82</v>
      </c>
      <c r="I80" s="7" t="str">
        <f ca="1">IF(H80&gt;=90,"Yes","No")</f>
        <v>No</v>
      </c>
    </row>
    <row r="81" spans="1:11" x14ac:dyDescent="0.3">
      <c r="A81" s="21"/>
      <c r="B81" s="7"/>
      <c r="C81" s="16"/>
      <c r="D81" s="7"/>
      <c r="E81" s="17"/>
      <c r="F81" s="11"/>
      <c r="G81" s="16"/>
      <c r="H81" s="7">
        <f ca="1">IF(G81&lt;&gt;"NA", G81 - C81, TODAY() - C81)</f>
        <v>0</v>
      </c>
      <c r="I81" s="7" t="str">
        <f ca="1">IF(H81&gt;=90,"Yes","No")</f>
        <v>No</v>
      </c>
    </row>
    <row r="82" spans="1:11" x14ac:dyDescent="0.3">
      <c r="A82" s="21"/>
      <c r="B82" s="7"/>
      <c r="C82" s="16"/>
      <c r="D82" s="7"/>
      <c r="E82" s="17"/>
      <c r="F82" s="11"/>
      <c r="G82" s="16"/>
      <c r="H82" s="7"/>
      <c r="I82" s="7"/>
    </row>
    <row r="83" spans="1:11" x14ac:dyDescent="0.3">
      <c r="A83" s="21"/>
      <c r="B83" s="7"/>
      <c r="C83" s="16"/>
      <c r="D83" s="7"/>
      <c r="E83" s="17"/>
      <c r="F83" s="11"/>
      <c r="G83" s="16"/>
      <c r="H83" s="7"/>
      <c r="I83" s="7"/>
    </row>
    <row r="84" spans="1:11" x14ac:dyDescent="0.3">
      <c r="A84" s="21"/>
      <c r="B84" s="7"/>
      <c r="C84" s="16"/>
      <c r="D84" s="7"/>
      <c r="E84" s="17"/>
      <c r="F84" s="11"/>
      <c r="G84" s="16"/>
      <c r="H84" s="7"/>
      <c r="I84" s="7"/>
    </row>
    <row r="85" spans="1:11" x14ac:dyDescent="0.3">
      <c r="A85" s="22"/>
      <c r="B85" s="7"/>
      <c r="C85" s="16"/>
      <c r="D85" s="7"/>
      <c r="E85" s="17"/>
      <c r="F85" s="11"/>
      <c r="G85" s="16"/>
      <c r="H85" s="7"/>
      <c r="I85" s="7"/>
    </row>
    <row r="88" spans="1:11" x14ac:dyDescent="0.3">
      <c r="A88" s="5" t="s">
        <v>1</v>
      </c>
      <c r="B88" s="5" t="s">
        <v>2</v>
      </c>
      <c r="C88" s="5" t="s">
        <v>3</v>
      </c>
      <c r="D88" s="5" t="s">
        <v>4</v>
      </c>
      <c r="E88" s="5" t="s">
        <v>5</v>
      </c>
      <c r="F88" s="5" t="s">
        <v>6</v>
      </c>
      <c r="G88" s="6" t="s">
        <v>7</v>
      </c>
      <c r="H88" s="5" t="s">
        <v>8</v>
      </c>
      <c r="I88" s="5" t="s">
        <v>25</v>
      </c>
      <c r="J88" s="5" t="s">
        <v>10</v>
      </c>
      <c r="K88" s="5" t="s">
        <v>11</v>
      </c>
    </row>
    <row r="89" spans="1:11" x14ac:dyDescent="0.3">
      <c r="A89" s="7" t="s">
        <v>12</v>
      </c>
      <c r="B89" s="8" t="s">
        <v>32</v>
      </c>
      <c r="C89" s="7" t="str">
        <f>_xlfn.XLOOKUP($B89,'[1]Data Validation (2)'!$B$3:$B$31,'[1]Data Validation (2)'!$C$3:$C$31)</f>
        <v>Raunak Tripathi</v>
      </c>
      <c r="D89" s="7">
        <f>_xlfn.XLOOKUP($B89,'[1]Ach % - L4'!$B$2:$B$27,'[1]Ach % - L4'!$E$2:$E$27)</f>
        <v>55000</v>
      </c>
      <c r="E89" s="9">
        <f>_xlfn.XLOOKUP($B89,'[1]Ach % - L4'!$B$2:$B$27,'[1]Ach % - L4'!$G$2:$G$27)</f>
        <v>0.68181818181818177</v>
      </c>
      <c r="F89" s="10">
        <f>SUM(E91:E97)</f>
        <v>37500</v>
      </c>
      <c r="G89" s="10">
        <f ca="1">SUMIFS($E90:$E98,$I90:$I98,"yes",F90:F98,"Done")</f>
        <v>0</v>
      </c>
      <c r="H89" s="11" cm="1">
        <f t="array" ref="H89">_xlfn.IFS($E89&lt;=1%,0%,$E89&lt;=50%,1.75%,$E89&lt;=70%,2.25%,$E89&lt;=85%,2.75%,$E89&gt;85%,4%)</f>
        <v>2.2499999999999999E-2</v>
      </c>
      <c r="I89" s="10">
        <f>F89*H89</f>
        <v>843.75</v>
      </c>
      <c r="J89" s="7">
        <f>I89*80</f>
        <v>67500</v>
      </c>
      <c r="K89" s="8">
        <f ca="1">(G89*H89)*80</f>
        <v>0</v>
      </c>
    </row>
    <row r="90" spans="1:11" x14ac:dyDescent="0.3">
      <c r="A90" s="14" t="s">
        <v>2</v>
      </c>
      <c r="B90" s="14" t="s">
        <v>14</v>
      </c>
      <c r="C90" s="14" t="s">
        <v>15</v>
      </c>
      <c r="D90" s="14" t="s">
        <v>16</v>
      </c>
      <c r="E90" s="14" t="s">
        <v>17</v>
      </c>
      <c r="F90" s="14" t="s">
        <v>18</v>
      </c>
      <c r="G90" s="14" t="s">
        <v>19</v>
      </c>
      <c r="H90" s="14" t="s">
        <v>20</v>
      </c>
      <c r="I90" s="14" t="s">
        <v>21</v>
      </c>
    </row>
    <row r="91" spans="1:11" x14ac:dyDescent="0.3">
      <c r="A91" s="20" t="str">
        <f>B89</f>
        <v>Devansh Mishra</v>
      </c>
      <c r="B91" s="7" t="str" cm="1">
        <f t="array" ref="B91:G92">IFERROR(_xlfn.CHOOSECOLS(_xlfn._xlws.FILTER('[1]Vantedge - dummy Placement data'!E:U, '[1]Vantedge - dummy Placement data'!B:B=$B89), 1, 7, 9, 11, 14, 8), "")</f>
        <v>Alex Dee</v>
      </c>
      <c r="C91" s="16">
        <v>45747</v>
      </c>
      <c r="D91" s="7" t="str">
        <v>Waverly</v>
      </c>
      <c r="E91" s="17">
        <v>0</v>
      </c>
      <c r="F91" s="11" t="str">
        <v>No Bill No pay</v>
      </c>
      <c r="G91" s="16">
        <v>45762</v>
      </c>
      <c r="H91" s="7">
        <f ca="1">IF(G91&lt;&gt;"NA", G91 - C91, TODAY() - C91)</f>
        <v>15</v>
      </c>
      <c r="I91" s="7" t="str">
        <f ca="1">IF(H91&gt;=90,"Yes","No")</f>
        <v>No</v>
      </c>
    </row>
    <row r="92" spans="1:11" x14ac:dyDescent="0.3">
      <c r="A92" s="21"/>
      <c r="B92" s="7" t="str">
        <v>Minoji Thomas</v>
      </c>
      <c r="C92" s="16">
        <v>45910</v>
      </c>
      <c r="D92" s="7" t="str">
        <v>Infogain</v>
      </c>
      <c r="E92" s="17">
        <v>37500</v>
      </c>
      <c r="F92" s="11" t="str">
        <v>Pending</v>
      </c>
      <c r="G92" s="16" t="str">
        <v>NA</v>
      </c>
      <c r="H92" s="7">
        <f ca="1">IF(G92&lt;&gt;"NA", G92 - C92, TODAY() - C92)</f>
        <v>132</v>
      </c>
      <c r="I92" s="7" t="str">
        <f ca="1">IF(H92&gt;=90,"Yes","No")</f>
        <v>Yes</v>
      </c>
    </row>
    <row r="93" spans="1:11" x14ac:dyDescent="0.3">
      <c r="A93" s="21"/>
      <c r="B93" s="7"/>
      <c r="C93" s="16"/>
      <c r="D93" s="7"/>
      <c r="E93" s="17"/>
      <c r="F93" s="11"/>
      <c r="G93" s="16"/>
      <c r="H93" s="7">
        <f ca="1">IF(G93&lt;&gt;"NA", G93 - C93, TODAY() - C93)</f>
        <v>0</v>
      </c>
      <c r="I93" s="7" t="str">
        <f ca="1">IF(H93&gt;=90,"Yes","No")</f>
        <v>No</v>
      </c>
    </row>
    <row r="94" spans="1:11" x14ac:dyDescent="0.3">
      <c r="A94" s="21"/>
      <c r="B94" s="7"/>
      <c r="C94" s="16"/>
      <c r="D94" s="7"/>
      <c r="E94" s="17"/>
      <c r="F94" s="11"/>
      <c r="G94" s="16"/>
      <c r="H94" s="7"/>
      <c r="I94" s="7"/>
    </row>
    <row r="95" spans="1:11" x14ac:dyDescent="0.3">
      <c r="A95" s="21"/>
      <c r="B95" s="7"/>
      <c r="C95" s="16"/>
      <c r="D95" s="7"/>
      <c r="E95" s="17"/>
      <c r="F95" s="11"/>
      <c r="G95" s="16"/>
      <c r="H95" s="7"/>
      <c r="I95" s="7"/>
    </row>
    <row r="96" spans="1:11" x14ac:dyDescent="0.3">
      <c r="A96" s="21"/>
      <c r="B96" s="7"/>
      <c r="C96" s="16"/>
      <c r="D96" s="7"/>
      <c r="E96" s="17"/>
      <c r="F96" s="11"/>
      <c r="G96" s="16"/>
      <c r="H96" s="7"/>
      <c r="I96" s="7"/>
    </row>
    <row r="97" spans="1:11" x14ac:dyDescent="0.3">
      <c r="A97" s="22"/>
      <c r="B97" s="7"/>
      <c r="C97" s="16"/>
      <c r="D97" s="7"/>
      <c r="E97" s="17"/>
      <c r="F97" s="11"/>
      <c r="G97" s="16"/>
      <c r="H97" s="7"/>
      <c r="I97" s="7"/>
    </row>
    <row r="100" spans="1:11" x14ac:dyDescent="0.3">
      <c r="A100" s="5" t="s">
        <v>1</v>
      </c>
      <c r="B100" s="5" t="s">
        <v>2</v>
      </c>
      <c r="C100" s="5" t="s">
        <v>3</v>
      </c>
      <c r="D100" s="5" t="s">
        <v>4</v>
      </c>
      <c r="E100" s="5" t="s">
        <v>5</v>
      </c>
      <c r="F100" s="5" t="s">
        <v>6</v>
      </c>
      <c r="G100" s="6" t="s">
        <v>7</v>
      </c>
      <c r="H100" s="5" t="s">
        <v>8</v>
      </c>
      <c r="I100" s="5" t="s">
        <v>25</v>
      </c>
      <c r="J100" s="5" t="s">
        <v>10</v>
      </c>
      <c r="K100" s="5" t="s">
        <v>11</v>
      </c>
    </row>
    <row r="101" spans="1:11" x14ac:dyDescent="0.3">
      <c r="A101" s="7" t="s">
        <v>12</v>
      </c>
      <c r="B101" s="8" t="s">
        <v>33</v>
      </c>
      <c r="C101" s="7" t="str">
        <f>_xlfn.XLOOKUP($B101,'[1]Data Validation (2)'!$B$3:$B$31,'[1]Data Validation (2)'!$C$3:$C$31)</f>
        <v>Raunak Tripathi</v>
      </c>
      <c r="D101" s="7">
        <f>_xlfn.XLOOKUP($B101,'[1]Ach % - L4'!$B$2:$B$27,'[1]Ach % - L4'!$E$2:$E$27)</f>
        <v>80000</v>
      </c>
      <c r="E101" s="9">
        <f>_xlfn.XLOOKUP($B101,'[1]Ach % - L4'!$B$2:$B$27,'[1]Ach % - L4'!$G$2:$G$27)</f>
        <v>4.3124999999999997E-2</v>
      </c>
      <c r="F101" s="10">
        <f>SUM(E103:E109)</f>
        <v>3450</v>
      </c>
      <c r="G101" s="10">
        <f ca="1">SUMIFS($E102:$E110,$I102:$I110,"yes")</f>
        <v>3450</v>
      </c>
      <c r="H101" s="11" cm="1">
        <f t="array" ref="H101">_xlfn.IFS($E101&lt;=1%,0%,$E101&lt;=50%,1.75%,$E101&lt;=70%,2.25%,$E101&lt;=85%,2.75%,$E101&gt;85%,4%)</f>
        <v>1.7500000000000002E-2</v>
      </c>
      <c r="I101" s="10">
        <f>F101*H101</f>
        <v>60.375000000000007</v>
      </c>
      <c r="J101" s="7">
        <f>I101*80</f>
        <v>4830.0000000000009</v>
      </c>
      <c r="K101" s="8">
        <f ca="1">(G101*H101)*80</f>
        <v>4830.0000000000009</v>
      </c>
    </row>
    <row r="102" spans="1:11" x14ac:dyDescent="0.3">
      <c r="A102" s="14" t="s">
        <v>2</v>
      </c>
      <c r="B102" s="14" t="s">
        <v>14</v>
      </c>
      <c r="C102" s="14" t="s">
        <v>15</v>
      </c>
      <c r="D102" s="14" t="s">
        <v>16</v>
      </c>
      <c r="E102" s="14" t="s">
        <v>17</v>
      </c>
      <c r="F102" s="14" t="s">
        <v>18</v>
      </c>
      <c r="G102" s="14" t="s">
        <v>19</v>
      </c>
      <c r="H102" s="14" t="s">
        <v>20</v>
      </c>
      <c r="I102" s="14" t="s">
        <v>21</v>
      </c>
    </row>
    <row r="103" spans="1:11" x14ac:dyDescent="0.3">
      <c r="A103" s="20" t="str">
        <f>B101</f>
        <v>Prachi Pandey</v>
      </c>
      <c r="B103" s="7" t="str" cm="1">
        <f t="array" ref="B103:G103">IFERROR(_xlfn.CHOOSECOLS(_xlfn._xlws.FILTER('[1]Vantedge - dummy Placement data'!E:U, '[1]Vantedge - dummy Placement data'!B:B=$B101), 1, 7, 9, 11, 14, 8), "")</f>
        <v>Mickael Mounien</v>
      </c>
      <c r="C103" s="16">
        <v>45936</v>
      </c>
      <c r="D103" s="7" t="str">
        <v>PocketFM</v>
      </c>
      <c r="E103" s="17">
        <v>3450</v>
      </c>
      <c r="F103" s="11" t="str">
        <v>Pending</v>
      </c>
      <c r="G103" s="16" t="str">
        <v>NA</v>
      </c>
      <c r="H103" s="7">
        <f ca="1">IF(G103&lt;&gt;"NA", G103 - C103, TODAY() - C103)</f>
        <v>106</v>
      </c>
      <c r="I103" s="7" t="str">
        <f ca="1">IF(H103&gt;=90,"Yes","No")</f>
        <v>Yes</v>
      </c>
    </row>
    <row r="104" spans="1:11" x14ac:dyDescent="0.3">
      <c r="A104" s="21"/>
      <c r="B104" s="7"/>
      <c r="C104" s="16"/>
      <c r="D104" s="7"/>
      <c r="E104" s="17"/>
      <c r="F104" s="11"/>
      <c r="G104" s="16"/>
      <c r="H104" s="7">
        <f ca="1">IF(G104&lt;&gt;"NA", G104 - C104, TODAY() - C104)</f>
        <v>0</v>
      </c>
      <c r="I104" s="7" t="str">
        <f ca="1">IF(H104&gt;=90,"Yes","No")</f>
        <v>No</v>
      </c>
    </row>
    <row r="105" spans="1:11" x14ac:dyDescent="0.3">
      <c r="A105" s="21"/>
      <c r="B105" s="7"/>
      <c r="C105" s="16"/>
      <c r="D105" s="7"/>
      <c r="E105" s="17"/>
      <c r="F105" s="11"/>
      <c r="G105" s="16"/>
      <c r="H105" s="7">
        <f ca="1">IF(G105&lt;&gt;"NA", G105 - C105, TODAY() - C105)</f>
        <v>0</v>
      </c>
      <c r="I105" s="7" t="str">
        <f ca="1">IF(H105&gt;=90,"Yes","No")</f>
        <v>No</v>
      </c>
    </row>
    <row r="106" spans="1:11" x14ac:dyDescent="0.3">
      <c r="A106" s="21"/>
      <c r="B106" s="7"/>
      <c r="C106" s="16"/>
      <c r="D106" s="7"/>
      <c r="E106" s="17"/>
      <c r="F106" s="11"/>
      <c r="G106" s="16"/>
      <c r="H106" s="7"/>
      <c r="I106" s="7"/>
    </row>
    <row r="107" spans="1:11" x14ac:dyDescent="0.3">
      <c r="A107" s="21"/>
      <c r="B107" s="7"/>
      <c r="C107" s="16"/>
      <c r="D107" s="7"/>
      <c r="E107" s="17"/>
      <c r="F107" s="11"/>
      <c r="G107" s="16"/>
      <c r="H107" s="7"/>
      <c r="I107" s="7"/>
    </row>
    <row r="108" spans="1:11" x14ac:dyDescent="0.3">
      <c r="A108" s="21"/>
      <c r="B108" s="7"/>
      <c r="C108" s="16"/>
      <c r="D108" s="7"/>
      <c r="E108" s="17"/>
      <c r="F108" s="11"/>
      <c r="G108" s="16"/>
      <c r="H108" s="7"/>
      <c r="I108" s="7"/>
    </row>
    <row r="109" spans="1:11" x14ac:dyDescent="0.3">
      <c r="A109" s="22"/>
      <c r="B109" s="7"/>
      <c r="C109" s="16"/>
      <c r="D109" s="7"/>
      <c r="E109" s="17"/>
      <c r="F109" s="11"/>
      <c r="G109" s="16"/>
      <c r="H109" s="7"/>
      <c r="I109" s="7"/>
    </row>
    <row r="113" spans="1:11" x14ac:dyDescent="0.3">
      <c r="A113" s="5" t="s">
        <v>1</v>
      </c>
      <c r="B113" s="5" t="s">
        <v>2</v>
      </c>
      <c r="C113" s="5" t="s">
        <v>3</v>
      </c>
      <c r="D113" s="5" t="s">
        <v>4</v>
      </c>
      <c r="E113" s="5" t="s">
        <v>5</v>
      </c>
      <c r="F113" s="5" t="s">
        <v>6</v>
      </c>
      <c r="G113" s="6" t="s">
        <v>7</v>
      </c>
      <c r="H113" s="5" t="s">
        <v>8</v>
      </c>
      <c r="I113" s="5" t="s">
        <v>25</v>
      </c>
      <c r="J113" s="5" t="s">
        <v>10</v>
      </c>
      <c r="K113" s="5" t="s">
        <v>11</v>
      </c>
    </row>
    <row r="114" spans="1:11" x14ac:dyDescent="0.3">
      <c r="A114" s="7" t="s">
        <v>12</v>
      </c>
      <c r="B114" s="8" t="s">
        <v>34</v>
      </c>
      <c r="C114" s="7" t="str">
        <f>_xlfn.XLOOKUP($B114,'[1]Data Validation (2)'!$B$3:$B$31,'[1]Data Validation (2)'!$C$3:$C$31)</f>
        <v>Raunak Tripathi</v>
      </c>
      <c r="D114" s="7">
        <f>_xlfn.XLOOKUP($B114,'[1]Ach % - L4'!$B$2:$B$27,'[1]Ach % - L4'!$E$2:$E$27)</f>
        <v>80000</v>
      </c>
      <c r="E114" s="9">
        <f>_xlfn.XLOOKUP($B114,'[1]Ach % - L4'!$B$2:$B$27,'[1]Ach % - L4'!$G$2:$G$27)</f>
        <v>0.53180000000000005</v>
      </c>
      <c r="F114" s="10">
        <f>SUM(E116:E122)</f>
        <v>70874.311199999996</v>
      </c>
      <c r="G114" s="10">
        <f ca="1">SUMIFS($E115:$E123,$I115:$I123,"yes",F115:F123,"Done")</f>
        <v>70874.311199999996</v>
      </c>
      <c r="H114" s="11" cm="1">
        <f t="array" ref="H114">_xlfn.IFS($E114&lt;=1%,0%,$E114&lt;=50%,1.75%,$E114&lt;=70%,2.25%,$E114&lt;=85%,2.75%,$E114&gt;85%,4%)</f>
        <v>2.2499999999999999E-2</v>
      </c>
      <c r="I114" s="10">
        <f>F114*H114</f>
        <v>1594.6720019999998</v>
      </c>
      <c r="J114" s="10">
        <f>I114*80</f>
        <v>127573.76015999998</v>
      </c>
      <c r="K114" s="8">
        <f ca="1">(G114*H114)*80</f>
        <v>127573.76015999998</v>
      </c>
    </row>
    <row r="115" spans="1:11" x14ac:dyDescent="0.3">
      <c r="A115" s="14" t="s">
        <v>2</v>
      </c>
      <c r="B115" s="14" t="s">
        <v>14</v>
      </c>
      <c r="C115" s="14" t="s">
        <v>15</v>
      </c>
      <c r="D115" s="14" t="s">
        <v>16</v>
      </c>
      <c r="E115" s="14" t="s">
        <v>17</v>
      </c>
      <c r="F115" s="14" t="s">
        <v>18</v>
      </c>
      <c r="G115" s="14" t="s">
        <v>19</v>
      </c>
      <c r="H115" s="14" t="s">
        <v>20</v>
      </c>
      <c r="I115" s="14" t="s">
        <v>21</v>
      </c>
    </row>
    <row r="116" spans="1:11" x14ac:dyDescent="0.3">
      <c r="A116" s="20" t="str">
        <f>B114</f>
        <v>Pulkit prakash</v>
      </c>
      <c r="B116" s="7" t="str" cm="1">
        <f t="array" ref="B116:G120">IFERROR(_xlfn.CHOOSECOLS(_xlfn._xlws.FILTER('[1]Vantedge - dummy Placement data'!E:U, '[1]Vantedge - dummy Placement data'!B:B=$B114), 1, 7, 9, 11, 14, 8), "")</f>
        <v>Sergei Smirnov</v>
      </c>
      <c r="C116" s="16">
        <v>45804</v>
      </c>
      <c r="D116" s="7" t="str">
        <v>Kale Logistics</v>
      </c>
      <c r="E116" s="17">
        <v>12524.311199999998</v>
      </c>
      <c r="F116" s="11" t="str">
        <v>Done</v>
      </c>
      <c r="G116" s="16" t="str">
        <v>NA</v>
      </c>
      <c r="H116" s="7">
        <f ca="1">IF(G116&lt;&gt;"NA", G116 - C116, TODAY() - C116)</f>
        <v>238</v>
      </c>
      <c r="I116" s="7" t="str">
        <f ca="1">IF(H116&gt;=90,"Yes","No")</f>
        <v>Yes</v>
      </c>
    </row>
    <row r="117" spans="1:11" x14ac:dyDescent="0.3">
      <c r="A117" s="21"/>
      <c r="B117" s="7" t="str">
        <v>Sandeep Sanon</v>
      </c>
      <c r="C117" s="16">
        <v>45810</v>
      </c>
      <c r="D117" s="7" t="str">
        <v>LTIMindtree</v>
      </c>
      <c r="E117" s="17">
        <v>28350</v>
      </c>
      <c r="F117" s="11" t="str">
        <v>Done</v>
      </c>
      <c r="G117" s="16" t="str">
        <v>NA</v>
      </c>
      <c r="H117" s="7">
        <f ca="1">IF(G117&lt;&gt;"NA", G117 - C117, TODAY() - C117)</f>
        <v>232</v>
      </c>
      <c r="I117" s="7" t="str">
        <f ca="1">IF(H117&gt;=90,"Yes","No")</f>
        <v>Yes</v>
      </c>
    </row>
    <row r="118" spans="1:11" x14ac:dyDescent="0.3">
      <c r="A118" s="21"/>
      <c r="B118" s="7" t="str">
        <v>Robert Gonzalez</v>
      </c>
      <c r="C118" s="16">
        <v>45848</v>
      </c>
      <c r="D118" s="7" t="str">
        <v>Kale Logistics</v>
      </c>
      <c r="E118" s="17">
        <v>15600</v>
      </c>
      <c r="F118" s="11" t="str">
        <v>Done</v>
      </c>
      <c r="G118" s="16" t="str">
        <v>NA</v>
      </c>
      <c r="H118" s="7">
        <f ca="1">IF(G118&lt;&gt;"NA", G118 - C118, TODAY() - C118)</f>
        <v>194</v>
      </c>
      <c r="I118" s="7" t="str">
        <f ca="1">IF(H118&gt;=90,"Yes","No")</f>
        <v>Yes</v>
      </c>
    </row>
    <row r="119" spans="1:11" x14ac:dyDescent="0.3">
      <c r="A119" s="21"/>
      <c r="B119" s="7" t="str">
        <v>Travis Leemreis</v>
      </c>
      <c r="C119" s="16">
        <v>45855</v>
      </c>
      <c r="D119" s="7" t="str">
        <v>Kale Logistics</v>
      </c>
      <c r="E119" s="17">
        <v>14400</v>
      </c>
      <c r="F119" s="11" t="str">
        <v>Done</v>
      </c>
      <c r="G119" s="16" t="str">
        <v>NA</v>
      </c>
      <c r="H119" s="7">
        <f t="shared" ref="H119:H120" ca="1" si="12">IF(G119&lt;&gt;"NA", G119 - C119, TODAY() - C119)</f>
        <v>187</v>
      </c>
      <c r="I119" s="7" t="str">
        <f t="shared" ref="I119:I120" ca="1" si="13">IF(H119&gt;=90,"Yes","No")</f>
        <v>Yes</v>
      </c>
    </row>
    <row r="120" spans="1:11" x14ac:dyDescent="0.3">
      <c r="A120" s="21"/>
      <c r="B120" s="7" t="str">
        <v>Leroy Cervantes</v>
      </c>
      <c r="C120" s="16">
        <v>45859</v>
      </c>
      <c r="D120" s="7" t="str">
        <v>Kale Logistics</v>
      </c>
      <c r="E120" s="17">
        <v>0</v>
      </c>
      <c r="F120" s="11">
        <v>0</v>
      </c>
      <c r="G120" s="16">
        <v>45920</v>
      </c>
      <c r="H120" s="7">
        <f t="shared" ca="1" si="12"/>
        <v>61</v>
      </c>
      <c r="I120" s="7" t="str">
        <f t="shared" ca="1" si="13"/>
        <v>No</v>
      </c>
    </row>
    <row r="121" spans="1:11" x14ac:dyDescent="0.3">
      <c r="A121" s="21"/>
      <c r="B121" s="7"/>
      <c r="C121" s="16"/>
      <c r="D121" s="7"/>
      <c r="E121" s="17"/>
      <c r="F121" s="11"/>
      <c r="G121" s="16"/>
      <c r="H121" s="7"/>
      <c r="I121" s="7"/>
    </row>
    <row r="122" spans="1:11" x14ac:dyDescent="0.3">
      <c r="A122" s="22"/>
      <c r="B122" s="7"/>
      <c r="C122" s="16"/>
      <c r="D122" s="7"/>
      <c r="E122" s="17"/>
      <c r="F122" s="11"/>
      <c r="G122" s="16"/>
      <c r="H122" s="7"/>
      <c r="I122" s="7"/>
    </row>
    <row r="126" spans="1:11" x14ac:dyDescent="0.3">
      <c r="A126" s="5" t="s">
        <v>1</v>
      </c>
      <c r="B126" s="5" t="s">
        <v>2</v>
      </c>
      <c r="C126" s="5" t="s">
        <v>3</v>
      </c>
      <c r="D126" s="5" t="s">
        <v>4</v>
      </c>
      <c r="E126" s="5" t="s">
        <v>5</v>
      </c>
      <c r="F126" s="5" t="s">
        <v>6</v>
      </c>
      <c r="G126" s="6" t="s">
        <v>7</v>
      </c>
      <c r="H126" s="5" t="s">
        <v>8</v>
      </c>
      <c r="I126" s="5" t="s">
        <v>25</v>
      </c>
      <c r="J126" s="5" t="s">
        <v>10</v>
      </c>
      <c r="K126" s="5" t="s">
        <v>11</v>
      </c>
    </row>
    <row r="127" spans="1:11" x14ac:dyDescent="0.3">
      <c r="A127" s="7" t="s">
        <v>12</v>
      </c>
      <c r="B127" s="8" t="s">
        <v>35</v>
      </c>
      <c r="C127" s="7" t="str">
        <f>_xlfn.XLOOKUP($B127,'[1]Data Validation (2)'!$B$3:$B$31,'[1]Data Validation (2)'!$C$3:$C$31)</f>
        <v>Mayank Saxena</v>
      </c>
      <c r="D127" s="7">
        <f>_xlfn.XLOOKUP($B127,'[1]Ach % - L4'!$B$2:$B$27,'[1]Ach % - L4'!$E$2:$E$27)</f>
        <v>50000</v>
      </c>
      <c r="E127" s="9">
        <f>_xlfn.XLOOKUP($B127,'[1]Ach % - L4'!$B$2:$B$27,'[1]Ach % - L4'!$G$2:$G$27)</f>
        <v>1.8089999999999999</v>
      </c>
      <c r="F127" s="10">
        <f>SUM(E129:E136)</f>
        <v>90450</v>
      </c>
      <c r="G127" s="10">
        <f ca="1">SUMIFS($E128:$E137,$I128:$I137,"yes",F128:F137,"Done")</f>
        <v>27950</v>
      </c>
      <c r="H127" s="11" cm="1">
        <f t="array" ref="H127">_xlfn.IFS($E127&lt;=1%,0%,$E127&lt;=50%,1.75%,$E127&lt;=70%,2.25%,$E127&lt;=85%,2.75%,$E127&gt;85%,4%)</f>
        <v>0.04</v>
      </c>
      <c r="I127" s="10">
        <f>F127*H127</f>
        <v>3618</v>
      </c>
      <c r="J127" s="7">
        <f>I127*80</f>
        <v>289440</v>
      </c>
      <c r="K127" s="8">
        <f ca="1">(G127*H127)*80</f>
        <v>89440</v>
      </c>
    </row>
    <row r="128" spans="1:11" x14ac:dyDescent="0.3">
      <c r="A128" s="14" t="s">
        <v>2</v>
      </c>
      <c r="B128" s="14" t="s">
        <v>14</v>
      </c>
      <c r="C128" s="14" t="s">
        <v>15</v>
      </c>
      <c r="D128" s="14" t="s">
        <v>16</v>
      </c>
      <c r="E128" s="14" t="s">
        <v>17</v>
      </c>
      <c r="F128" s="14" t="s">
        <v>18</v>
      </c>
      <c r="G128" s="14" t="s">
        <v>19</v>
      </c>
      <c r="H128" s="14" t="s">
        <v>20</v>
      </c>
      <c r="I128" s="14" t="s">
        <v>21</v>
      </c>
    </row>
    <row r="129" spans="1:11" x14ac:dyDescent="0.3">
      <c r="A129" s="20" t="str">
        <f>B127</f>
        <v>Mayank Saxena</v>
      </c>
      <c r="B129" s="7" t="str" cm="1">
        <f t="array" ref="B129:G131">IFERROR(_xlfn.CHOOSECOLS(_xlfn._xlws.FILTER('[1]Vantedge - dummy Placement data'!E:U, '[1]Vantedge - dummy Placement data'!B:B=$B127), 1, 7, 9, 11, 14, 8), "")</f>
        <v>Arbindoo Sood</v>
      </c>
      <c r="C129" s="16">
        <v>45665</v>
      </c>
      <c r="D129" s="7" t="str">
        <v>Myridius</v>
      </c>
      <c r="E129" s="17">
        <v>27950</v>
      </c>
      <c r="F129" s="11" t="str">
        <v>Done</v>
      </c>
      <c r="G129" s="16" t="str">
        <v>NA</v>
      </c>
      <c r="H129" s="7">
        <f ca="1">IF(G129&lt;&gt;"NA", G129 - C129, TODAY() - C129)</f>
        <v>377</v>
      </c>
      <c r="I129" s="7" t="str">
        <f ca="1">IF(H129&gt;=90,"Yes","No")</f>
        <v>Yes</v>
      </c>
    </row>
    <row r="130" spans="1:11" x14ac:dyDescent="0.3">
      <c r="A130" s="21"/>
      <c r="B130" s="7" t="str">
        <v>Shekhar Patwardhan</v>
      </c>
      <c r="C130" s="16">
        <v>45782</v>
      </c>
      <c r="D130" s="7" t="str">
        <v>Sutherland</v>
      </c>
      <c r="E130" s="17">
        <v>62500</v>
      </c>
      <c r="F130" s="11" t="str">
        <v>Pending</v>
      </c>
      <c r="G130" s="16" t="str">
        <v>NA</v>
      </c>
      <c r="H130" s="7">
        <f ca="1">IF(G130&lt;&gt;"NA", G130 - C130, TODAY() - C130)</f>
        <v>260</v>
      </c>
      <c r="I130" s="7" t="str">
        <f ca="1">IF(H130&gt;=90,"Yes","No")</f>
        <v>Yes</v>
      </c>
    </row>
    <row r="131" spans="1:11" x14ac:dyDescent="0.3">
      <c r="A131" s="21"/>
      <c r="B131" s="7" t="str">
        <v>Abhishek Pandey</v>
      </c>
      <c r="C131" s="16">
        <v>45945</v>
      </c>
      <c r="D131" s="7" t="str">
        <v>Coforge</v>
      </c>
      <c r="E131" s="17">
        <v>0</v>
      </c>
      <c r="F131" s="11" t="str">
        <v>Pending</v>
      </c>
      <c r="G131" s="16">
        <v>45960</v>
      </c>
      <c r="H131" s="7">
        <f ca="1">IF(G131&lt;&gt;"NA", G131 - C131, TODAY() - C131)</f>
        <v>15</v>
      </c>
      <c r="I131" s="7" t="str">
        <f ca="1">IF(H131&gt;=90,"Yes","No")</f>
        <v>No</v>
      </c>
    </row>
    <row r="132" spans="1:11" x14ac:dyDescent="0.3">
      <c r="A132" s="21"/>
      <c r="B132" s="7"/>
      <c r="C132" s="16"/>
      <c r="D132" s="7"/>
      <c r="E132" s="17"/>
      <c r="F132" s="11"/>
      <c r="G132" s="16"/>
      <c r="H132" s="7">
        <f t="shared" ref="H132:H136" ca="1" si="14">IF(G132&lt;&gt;"NA", G132 - C132, TODAY() - C132)</f>
        <v>0</v>
      </c>
      <c r="I132" s="7" t="str">
        <f t="shared" ref="I132:I136" ca="1" si="15">IF(H132&gt;=90,"Yes","No")</f>
        <v>No</v>
      </c>
    </row>
    <row r="133" spans="1:11" x14ac:dyDescent="0.3">
      <c r="A133" s="21"/>
      <c r="B133" s="7"/>
      <c r="C133" s="16"/>
      <c r="D133" s="7"/>
      <c r="E133" s="17"/>
      <c r="F133" s="11"/>
      <c r="G133" s="16"/>
      <c r="H133" s="7">
        <f t="shared" ca="1" si="14"/>
        <v>0</v>
      </c>
      <c r="I133" s="7" t="str">
        <f t="shared" ca="1" si="15"/>
        <v>No</v>
      </c>
    </row>
    <row r="134" spans="1:11" x14ac:dyDescent="0.3">
      <c r="A134" s="21"/>
      <c r="B134" s="7"/>
      <c r="C134" s="16"/>
      <c r="D134" s="7"/>
      <c r="E134" s="17"/>
      <c r="F134" s="11"/>
      <c r="G134" s="16"/>
      <c r="H134" s="7">
        <f t="shared" ca="1" si="14"/>
        <v>0</v>
      </c>
      <c r="I134" s="7" t="str">
        <f t="shared" ca="1" si="15"/>
        <v>No</v>
      </c>
    </row>
    <row r="135" spans="1:11" x14ac:dyDescent="0.3">
      <c r="A135" s="21"/>
      <c r="B135" s="7"/>
      <c r="C135" s="16"/>
      <c r="D135" s="7"/>
      <c r="E135" s="17"/>
      <c r="F135" s="11"/>
      <c r="G135" s="16"/>
      <c r="H135" s="7">
        <f t="shared" ca="1" si="14"/>
        <v>0</v>
      </c>
      <c r="I135" s="7" t="str">
        <f t="shared" ca="1" si="15"/>
        <v>No</v>
      </c>
    </row>
    <row r="136" spans="1:11" x14ac:dyDescent="0.3">
      <c r="A136" s="22"/>
      <c r="B136" s="7"/>
      <c r="C136" s="16"/>
      <c r="D136" s="7"/>
      <c r="E136" s="17"/>
      <c r="F136" s="11"/>
      <c r="G136" s="16"/>
      <c r="H136" s="7">
        <f t="shared" ca="1" si="14"/>
        <v>0</v>
      </c>
      <c r="I136" s="7" t="str">
        <f t="shared" ca="1" si="15"/>
        <v>No</v>
      </c>
    </row>
    <row r="140" spans="1:11" x14ac:dyDescent="0.3">
      <c r="A140" s="5" t="s">
        <v>1</v>
      </c>
      <c r="B140" s="5" t="s">
        <v>2</v>
      </c>
      <c r="C140" s="5" t="s">
        <v>3</v>
      </c>
      <c r="D140" s="5" t="s">
        <v>4</v>
      </c>
      <c r="E140" s="5" t="s">
        <v>5</v>
      </c>
      <c r="F140" s="5" t="s">
        <v>6</v>
      </c>
      <c r="G140" s="6" t="s">
        <v>7</v>
      </c>
      <c r="H140" s="5" t="s">
        <v>8</v>
      </c>
      <c r="I140" s="5" t="s">
        <v>25</v>
      </c>
      <c r="J140" s="5" t="s">
        <v>10</v>
      </c>
      <c r="K140" s="5" t="s">
        <v>11</v>
      </c>
    </row>
    <row r="141" spans="1:11" x14ac:dyDescent="0.3">
      <c r="A141" s="7" t="s">
        <v>12</v>
      </c>
      <c r="B141" s="8" t="s">
        <v>36</v>
      </c>
      <c r="C141" s="7" t="str">
        <f>_xlfn.XLOOKUP($B141,'[1]Data Validation (2)'!$B$3:$B$31,'[1]Data Validation (2)'!$C$3:$C$31)</f>
        <v>Mayank Saxena</v>
      </c>
      <c r="D141" s="7">
        <f>_xlfn.XLOOKUP($B141,'[1]Ach % - L4'!$B$2:$B$27,'[1]Ach % - L4'!$E$2:$E$27)</f>
        <v>120000</v>
      </c>
      <c r="E141" s="9">
        <f>_xlfn.XLOOKUP($B141,'[1]Ach % - L4'!$B$2:$B$27,'[1]Ach % - L4'!$G$2:$G$27)</f>
        <v>1.2666666666666666</v>
      </c>
      <c r="F141" s="10">
        <f>SUM(E143:E150)</f>
        <v>152000</v>
      </c>
      <c r="G141" s="10">
        <f ca="1">SUMIFS($E142:$E151,$I142:$I151,"yes",F142:F151,"Done")</f>
        <v>21600</v>
      </c>
      <c r="H141" s="11" cm="1">
        <f t="array" ref="H141">_xlfn.IFS($E141&lt;=1%,0%,$E141&lt;=50%,1.75%,$E141&lt;=70%,2.25%,$E141&lt;=85%,2.75%,$E141&gt;85%,4%)</f>
        <v>0.04</v>
      </c>
      <c r="I141" s="10">
        <f>F141*H141</f>
        <v>6080</v>
      </c>
      <c r="J141" s="7">
        <f>I141*80</f>
        <v>486400</v>
      </c>
      <c r="K141" s="8">
        <f ca="1">(G141*H141)*80</f>
        <v>69120</v>
      </c>
    </row>
    <row r="142" spans="1:11" x14ac:dyDescent="0.3">
      <c r="A142" s="14" t="s">
        <v>2</v>
      </c>
      <c r="B142" s="14" t="s">
        <v>14</v>
      </c>
      <c r="C142" s="14" t="s">
        <v>15</v>
      </c>
      <c r="D142" s="14" t="s">
        <v>16</v>
      </c>
      <c r="E142" s="14" t="s">
        <v>17</v>
      </c>
      <c r="F142" s="14" t="s">
        <v>18</v>
      </c>
      <c r="G142" s="14" t="s">
        <v>19</v>
      </c>
      <c r="H142" s="14" t="s">
        <v>20</v>
      </c>
      <c r="I142" s="14" t="s">
        <v>21</v>
      </c>
    </row>
    <row r="143" spans="1:11" x14ac:dyDescent="0.3">
      <c r="A143" s="20" t="str">
        <f>B141</f>
        <v>Govind Srivastava</v>
      </c>
      <c r="B143" s="7" t="str" cm="1">
        <f t="array" ref="B143:G146">IFERROR(_xlfn.CHOOSECOLS(_xlfn._xlws.FILTER('[1]Vantedge - dummy Placement data'!E:U, '[1]Vantedge - dummy Placement data'!B:B=$B141), 1, 7, 9, 11, 14, 8), "")</f>
        <v>Satish Manam</v>
      </c>
      <c r="C143" s="16">
        <v>45740</v>
      </c>
      <c r="D143" s="7" t="str">
        <v>Digitide</v>
      </c>
      <c r="E143" s="17">
        <v>29900</v>
      </c>
      <c r="F143" s="11" t="str">
        <v>Pending</v>
      </c>
      <c r="G143" s="16" t="str">
        <v>NA</v>
      </c>
      <c r="H143" s="7">
        <f ca="1">IF(G143&lt;&gt;"NA", G143 - C143, TODAY() - C143)</f>
        <v>302</v>
      </c>
      <c r="I143" s="7" t="str">
        <f ca="1">IF(H143&gt;=90,"Yes","No")</f>
        <v>Yes</v>
      </c>
    </row>
    <row r="144" spans="1:11" x14ac:dyDescent="0.3">
      <c r="A144" s="21"/>
      <c r="B144" s="7" t="str">
        <v>Donna Hulina</v>
      </c>
      <c r="C144" s="16">
        <v>45789</v>
      </c>
      <c r="D144" s="7" t="str">
        <v>Myridius</v>
      </c>
      <c r="E144" s="17">
        <v>21600</v>
      </c>
      <c r="F144" s="11" t="str">
        <v>Done</v>
      </c>
      <c r="G144" s="16" t="str">
        <v>NA</v>
      </c>
      <c r="H144" s="7">
        <f ca="1">IF(G144&lt;&gt;"NA", G144 - C144, TODAY() - C144)</f>
        <v>253</v>
      </c>
      <c r="I144" s="7" t="str">
        <f ca="1">IF(H144&gt;=90,"Yes","No")</f>
        <v>Yes</v>
      </c>
    </row>
    <row r="145" spans="1:11" x14ac:dyDescent="0.3">
      <c r="A145" s="21"/>
      <c r="B145" s="7" t="str">
        <v>Inderpuneet Sohanpal</v>
      </c>
      <c r="C145" s="16">
        <v>45845</v>
      </c>
      <c r="D145" s="7" t="str">
        <v>Visionet</v>
      </c>
      <c r="E145" s="17">
        <v>40500</v>
      </c>
      <c r="F145" s="11" t="str">
        <v>Pending</v>
      </c>
      <c r="G145" s="16" t="str">
        <v>NA</v>
      </c>
      <c r="H145" s="7">
        <f ca="1">IF(G145&lt;&gt;"NA", G145 - C145, TODAY() - C145)</f>
        <v>197</v>
      </c>
      <c r="I145" s="7" t="str">
        <f ca="1">IF(H145&gt;=90,"Yes","No")</f>
        <v>Yes</v>
      </c>
    </row>
    <row r="146" spans="1:11" x14ac:dyDescent="0.3">
      <c r="A146" s="21"/>
      <c r="B146" s="7" t="str">
        <v>Satheesh Naik</v>
      </c>
      <c r="C146" s="16">
        <v>45848</v>
      </c>
      <c r="D146" s="7" t="str">
        <v>Sutherland</v>
      </c>
      <c r="E146" s="17">
        <v>60000</v>
      </c>
      <c r="F146" s="11" t="str">
        <v>Pending</v>
      </c>
      <c r="G146" s="16" t="str">
        <v>NA</v>
      </c>
      <c r="H146" s="7">
        <f t="shared" ref="H146:H150" ca="1" si="16">IF(G146&lt;&gt;"NA", G146 - C146, TODAY() - C146)</f>
        <v>194</v>
      </c>
      <c r="I146" s="7" t="str">
        <f t="shared" ref="I146:I150" ca="1" si="17">IF(H146&gt;=90,"Yes","No")</f>
        <v>Yes</v>
      </c>
    </row>
    <row r="147" spans="1:11" x14ac:dyDescent="0.3">
      <c r="A147" s="21"/>
      <c r="B147" s="7"/>
      <c r="C147" s="16"/>
      <c r="D147" s="7"/>
      <c r="E147" s="17"/>
      <c r="F147" s="11"/>
      <c r="G147" s="16"/>
      <c r="H147" s="7"/>
      <c r="I147" s="7"/>
    </row>
    <row r="148" spans="1:11" x14ac:dyDescent="0.3">
      <c r="A148" s="21"/>
      <c r="B148" s="7"/>
      <c r="C148" s="16"/>
      <c r="D148" s="7"/>
      <c r="E148" s="17"/>
      <c r="F148" s="11"/>
      <c r="G148" s="16"/>
      <c r="H148" s="7"/>
      <c r="I148" s="7"/>
    </row>
    <row r="149" spans="1:11" x14ac:dyDescent="0.3">
      <c r="A149" s="21"/>
      <c r="B149" s="7"/>
      <c r="C149" s="16"/>
      <c r="D149" s="7"/>
      <c r="E149" s="17"/>
      <c r="F149" s="11"/>
      <c r="G149" s="16"/>
      <c r="H149" s="7"/>
      <c r="I149" s="7"/>
    </row>
    <row r="150" spans="1:11" x14ac:dyDescent="0.3">
      <c r="A150" s="22"/>
      <c r="B150" s="7"/>
      <c r="C150" s="16"/>
      <c r="D150" s="7"/>
      <c r="E150" s="17"/>
      <c r="F150" s="11"/>
      <c r="G150" s="16"/>
      <c r="H150" s="7">
        <f t="shared" ca="1" si="16"/>
        <v>0</v>
      </c>
      <c r="I150" s="7" t="str">
        <f t="shared" ca="1" si="17"/>
        <v>No</v>
      </c>
    </row>
    <row r="153" spans="1:11" x14ac:dyDescent="0.3">
      <c r="A153" s="5" t="s">
        <v>1</v>
      </c>
      <c r="B153" s="5" t="s">
        <v>2</v>
      </c>
      <c r="C153" s="5" t="s">
        <v>3</v>
      </c>
      <c r="D153" s="5" t="s">
        <v>4</v>
      </c>
      <c r="E153" s="5" t="s">
        <v>5</v>
      </c>
      <c r="F153" s="5" t="s">
        <v>6</v>
      </c>
      <c r="G153" s="6" t="s">
        <v>7</v>
      </c>
      <c r="H153" s="5" t="s">
        <v>8</v>
      </c>
      <c r="I153" s="5" t="s">
        <v>25</v>
      </c>
      <c r="J153" s="5" t="s">
        <v>10</v>
      </c>
      <c r="K153" s="5" t="s">
        <v>11</v>
      </c>
    </row>
    <row r="154" spans="1:11" x14ac:dyDescent="0.3">
      <c r="A154" s="7" t="s">
        <v>12</v>
      </c>
      <c r="B154" s="8" t="s">
        <v>37</v>
      </c>
      <c r="C154" s="7" t="str">
        <f>_xlfn.XLOOKUP($B154,'[1]Data Validation (2)'!$B$3:$B$31,'[1]Data Validation (2)'!$C$3:$C$31)</f>
        <v>Mayank Saxena</v>
      </c>
      <c r="D154" s="7">
        <f>_xlfn.XLOOKUP($B154,'[1]Ach % - L4'!$B$2:$B$27,'[1]Ach % - L4'!$E$2:$E$27)</f>
        <v>55000</v>
      </c>
      <c r="E154" s="9">
        <f>_xlfn.XLOOKUP($B154,'[1]Ach % - L4'!$B$2:$B$27,'[1]Ach % - L4'!$G$2:$G$27)</f>
        <v>1.0454545454545454</v>
      </c>
      <c r="F154" s="10">
        <f>SUM(E156:E162)</f>
        <v>57500</v>
      </c>
      <c r="G154" s="10">
        <f ca="1">SUMIFS($E155:$E163,$I155:$I163,"yes",F155:F163,"Done")</f>
        <v>0</v>
      </c>
      <c r="H154" s="11" cm="1">
        <f t="array" ref="H154">_xlfn.IFS($E154&lt;=1%,0%,$E154&lt;=50%,1.75%,$E154&lt;=70%,2.25%,$E154&lt;=85%,2.75%,$E154&gt;85%,4%)</f>
        <v>0.04</v>
      </c>
      <c r="I154" s="10">
        <f>F154*H154</f>
        <v>2300</v>
      </c>
      <c r="J154" s="7">
        <f>I154*80</f>
        <v>184000</v>
      </c>
      <c r="K154" s="8">
        <f ca="1">(G154*H154)*80</f>
        <v>0</v>
      </c>
    </row>
    <row r="155" spans="1:11" x14ac:dyDescent="0.3">
      <c r="A155" s="14" t="s">
        <v>2</v>
      </c>
      <c r="B155" s="14" t="s">
        <v>14</v>
      </c>
      <c r="C155" s="14" t="s">
        <v>15</v>
      </c>
      <c r="D155" s="14" t="s">
        <v>16</v>
      </c>
      <c r="E155" s="14" t="s">
        <v>17</v>
      </c>
      <c r="F155" s="14" t="s">
        <v>18</v>
      </c>
      <c r="G155" s="14" t="s">
        <v>19</v>
      </c>
      <c r="H155" s="14" t="s">
        <v>20</v>
      </c>
      <c r="I155" s="14" t="s">
        <v>21</v>
      </c>
    </row>
    <row r="156" spans="1:11" x14ac:dyDescent="0.3">
      <c r="A156" s="20" t="str">
        <f>B154</f>
        <v>Umang Srivastava</v>
      </c>
      <c r="B156" s="7" t="str" cm="1">
        <f t="array" ref="B156:G156">IFERROR(_xlfn.CHOOSECOLS(_xlfn._xlws.FILTER('[1]Vantedge - dummy Placement data'!E:U, '[1]Vantedge - dummy Placement data'!B:B=$B154), 1, 7, 9, 11, 14, 8), "")</f>
        <v>Ramkishen Kalyana</v>
      </c>
      <c r="C156" s="16">
        <v>45840</v>
      </c>
      <c r="D156" s="7" t="str">
        <v>Sutherland</v>
      </c>
      <c r="E156" s="17">
        <v>57500</v>
      </c>
      <c r="F156" s="11" t="str">
        <v>Pending</v>
      </c>
      <c r="G156" s="16" t="str">
        <v>NA</v>
      </c>
      <c r="H156" s="7">
        <f ca="1">IF(G156&lt;&gt;"NA", G156 - C156, TODAY() - C156)</f>
        <v>202</v>
      </c>
      <c r="I156" s="7" t="str">
        <f ca="1">IF(H156&gt;=90,"Yes","No")</f>
        <v>Yes</v>
      </c>
    </row>
    <row r="157" spans="1:11" x14ac:dyDescent="0.3">
      <c r="A157" s="21"/>
      <c r="B157" s="7"/>
      <c r="C157" s="16"/>
      <c r="D157" s="7"/>
      <c r="E157" s="17"/>
      <c r="F157" s="11"/>
      <c r="G157" s="16"/>
      <c r="H157" s="7">
        <f ca="1">IF(G157&lt;&gt;"NA", G157 - C157, TODAY() - C157)</f>
        <v>0</v>
      </c>
      <c r="I157" s="7" t="str">
        <f ca="1">IF(H157&gt;=90,"Yes","No")</f>
        <v>No</v>
      </c>
    </row>
    <row r="158" spans="1:11" x14ac:dyDescent="0.3">
      <c r="A158" s="21"/>
      <c r="B158" s="7"/>
      <c r="C158" s="16"/>
      <c r="D158" s="7"/>
      <c r="E158" s="17"/>
      <c r="F158" s="11"/>
      <c r="G158" s="16"/>
      <c r="H158" s="7">
        <f ca="1">IF(G158&lt;&gt;"NA", G158 - C158, TODAY() - C158)</f>
        <v>0</v>
      </c>
      <c r="I158" s="7" t="str">
        <f ca="1">IF(H158&gt;=90,"Yes","No")</f>
        <v>No</v>
      </c>
    </row>
    <row r="159" spans="1:11" x14ac:dyDescent="0.3">
      <c r="A159" s="21"/>
      <c r="B159" s="7"/>
      <c r="C159" s="16"/>
      <c r="D159" s="7"/>
      <c r="E159" s="17"/>
      <c r="F159" s="11"/>
      <c r="G159" s="16"/>
      <c r="H159" s="7"/>
      <c r="I159" s="7"/>
    </row>
    <row r="160" spans="1:11" x14ac:dyDescent="0.3">
      <c r="A160" s="21"/>
      <c r="B160" s="7"/>
      <c r="C160" s="16"/>
      <c r="D160" s="7"/>
      <c r="E160" s="17"/>
      <c r="F160" s="11"/>
      <c r="G160" s="16"/>
      <c r="H160" s="7"/>
      <c r="I160" s="7"/>
    </row>
    <row r="161" spans="1:11" x14ac:dyDescent="0.3">
      <c r="A161" s="21"/>
      <c r="B161" s="7"/>
      <c r="C161" s="16"/>
      <c r="D161" s="7"/>
      <c r="E161" s="17"/>
      <c r="F161" s="11"/>
      <c r="G161" s="16"/>
      <c r="H161" s="7">
        <f t="shared" ref="H161:H162" ca="1" si="18">IF(G161&lt;&gt;"NA", G161 - C161, TODAY() - C161)</f>
        <v>0</v>
      </c>
      <c r="I161" s="7" t="str">
        <f t="shared" ref="I161:I162" ca="1" si="19">IF(H161&gt;=90,"Yes","No")</f>
        <v>No</v>
      </c>
    </row>
    <row r="162" spans="1:11" x14ac:dyDescent="0.3">
      <c r="A162" s="22"/>
      <c r="B162" s="7"/>
      <c r="C162" s="16"/>
      <c r="D162" s="7"/>
      <c r="E162" s="17"/>
      <c r="F162" s="11"/>
      <c r="G162" s="16"/>
      <c r="H162" s="7">
        <f t="shared" ca="1" si="18"/>
        <v>0</v>
      </c>
      <c r="I162" s="7" t="str">
        <f t="shared" ca="1" si="19"/>
        <v>No</v>
      </c>
    </row>
    <row r="164" spans="1:11" x14ac:dyDescent="0.3">
      <c r="A164" s="5" t="s">
        <v>1</v>
      </c>
      <c r="B164" s="5" t="s">
        <v>2</v>
      </c>
      <c r="C164" s="5" t="s">
        <v>3</v>
      </c>
      <c r="D164" s="5" t="s">
        <v>4</v>
      </c>
      <c r="E164" s="5" t="s">
        <v>5</v>
      </c>
      <c r="F164" s="5" t="s">
        <v>6</v>
      </c>
      <c r="G164" s="6" t="s">
        <v>7</v>
      </c>
      <c r="H164" s="5" t="s">
        <v>8</v>
      </c>
      <c r="I164" s="5" t="s">
        <v>25</v>
      </c>
      <c r="J164" s="5" t="s">
        <v>10</v>
      </c>
      <c r="K164" s="5" t="s">
        <v>11</v>
      </c>
    </row>
    <row r="165" spans="1:11" x14ac:dyDescent="0.3">
      <c r="A165" s="7" t="s">
        <v>12</v>
      </c>
      <c r="B165" s="8" t="s">
        <v>38</v>
      </c>
      <c r="C165" s="7" t="str">
        <f>_xlfn.XLOOKUP($B165,'[1]Data Validation (2)'!$B$3:$B$31,'[1]Data Validation (2)'!$C$3:$C$31)</f>
        <v>Anshul Kumar</v>
      </c>
      <c r="D165" s="7">
        <f>_xlfn.XLOOKUP($B165,'[1]Ach % - L4'!$B$2:$B$27,'[1]Ach % - L4'!$E$2:$E$27)</f>
        <v>50000</v>
      </c>
      <c r="E165" s="9">
        <f>_xlfn.XLOOKUP($B165,'[1]Ach % - L4'!$B$2:$B$27,'[1]Ach % - L4'!$G$2:$G$27)</f>
        <v>1.9219999999999999</v>
      </c>
      <c r="F165" s="10">
        <f>SUM(E167:E173)</f>
        <v>96100</v>
      </c>
      <c r="G165" s="10">
        <f ca="1">SUMIFS($E166:$E174,$I166:$I174,"yes",F166:F174,"Done")</f>
        <v>39600</v>
      </c>
      <c r="H165" s="11" cm="1">
        <f t="array" ref="H165">_xlfn.IFS($E165&lt;=1%,0%,$E165&lt;=50%,1.75%,$E165&lt;=70%,2.25%,$E165&lt;=85%,2.75%,$E165&gt;85%,4%)</f>
        <v>0.04</v>
      </c>
      <c r="I165" s="10">
        <f>F165*H165</f>
        <v>3844</v>
      </c>
      <c r="J165" s="7">
        <f>I165*80</f>
        <v>307520</v>
      </c>
      <c r="K165" s="8">
        <f ca="1">(G165*H165)*80</f>
        <v>126720</v>
      </c>
    </row>
    <row r="166" spans="1:11" x14ac:dyDescent="0.3">
      <c r="A166" s="14" t="s">
        <v>2</v>
      </c>
      <c r="B166" s="14" t="s">
        <v>14</v>
      </c>
      <c r="C166" s="14" t="s">
        <v>15</v>
      </c>
      <c r="D166" s="14" t="s">
        <v>16</v>
      </c>
      <c r="E166" s="14" t="s">
        <v>17</v>
      </c>
      <c r="F166" s="14" t="s">
        <v>18</v>
      </c>
      <c r="G166" s="14" t="s">
        <v>19</v>
      </c>
      <c r="H166" s="14" t="s">
        <v>20</v>
      </c>
      <c r="I166" s="14" t="s">
        <v>21</v>
      </c>
    </row>
    <row r="167" spans="1:11" x14ac:dyDescent="0.3">
      <c r="A167" s="20" t="str">
        <f>B165</f>
        <v>Anshul Kumar</v>
      </c>
      <c r="B167" s="7" t="str" cm="1">
        <f t="array" ref="B167:G169">IFERROR(_xlfn.CHOOSECOLS(_xlfn._xlws.FILTER('[1]Vantedge - dummy Placement data'!E:U, '[1]Vantedge - dummy Placement data'!B:B=$B165), 1, 7, 9, 11, 14, 8), "")</f>
        <v>David Mussan-Levy</v>
      </c>
      <c r="C167" s="16">
        <v>45659</v>
      </c>
      <c r="D167" s="7" t="str">
        <v>Visionet</v>
      </c>
      <c r="E167" s="17">
        <v>30000</v>
      </c>
      <c r="F167" s="11" t="str">
        <v>Pending</v>
      </c>
      <c r="G167" s="16" t="str">
        <v>NA</v>
      </c>
      <c r="H167" s="7">
        <f ca="1">IF(G167&lt;&gt;"NA", G167 - C167, TODAY() - C167)</f>
        <v>383</v>
      </c>
      <c r="I167" s="7" t="str">
        <f ca="1">IF(H167&gt;=90,"Yes","No")</f>
        <v>Yes</v>
      </c>
    </row>
    <row r="168" spans="1:11" x14ac:dyDescent="0.3">
      <c r="A168" s="21"/>
      <c r="B168" s="7" t="str">
        <v>David Jaime Illescas</v>
      </c>
      <c r="C168" s="16">
        <v>45740</v>
      </c>
      <c r="D168" s="7" t="str">
        <v>ACL Digital</v>
      </c>
      <c r="E168" s="17">
        <v>39600</v>
      </c>
      <c r="F168" s="11" t="str">
        <v>Done</v>
      </c>
      <c r="G168" s="16" t="str">
        <v>NA</v>
      </c>
      <c r="H168" s="7">
        <f ca="1">IF(G168&lt;&gt;"NA", G168 - C168, TODAY() - C168)</f>
        <v>302</v>
      </c>
      <c r="I168" s="7" t="str">
        <f ca="1">IF(H168&gt;=90,"Yes","No")</f>
        <v>Yes</v>
      </c>
    </row>
    <row r="169" spans="1:11" x14ac:dyDescent="0.3">
      <c r="A169" s="21"/>
      <c r="B169" s="7" t="str">
        <v>Sachin Ahuja</v>
      </c>
      <c r="C169" s="16">
        <v>45922</v>
      </c>
      <c r="D169" s="7" t="str">
        <v>LTTS</v>
      </c>
      <c r="E169" s="17">
        <v>26500</v>
      </c>
      <c r="F169" s="11" t="str">
        <v>Pending</v>
      </c>
      <c r="G169" s="16" t="str">
        <v>NA</v>
      </c>
      <c r="H169" s="7">
        <f ca="1">IF(G169&lt;&gt;"NA", G169 - C169, TODAY() - C169)</f>
        <v>120</v>
      </c>
      <c r="I169" s="7" t="str">
        <f ca="1">IF(H169&gt;=90,"Yes","No")</f>
        <v>Yes</v>
      </c>
    </row>
    <row r="170" spans="1:11" x14ac:dyDescent="0.3">
      <c r="A170" s="21"/>
      <c r="B170" s="7"/>
      <c r="C170" s="16"/>
      <c r="D170" s="7"/>
      <c r="E170" s="17"/>
      <c r="F170" s="11"/>
      <c r="G170" s="16"/>
      <c r="H170" s="7">
        <f t="shared" ref="H170:H173" ca="1" si="20">IF(G170&lt;&gt;"NA", G170 - C170, TODAY() - C170)</f>
        <v>0</v>
      </c>
      <c r="I170" s="7" t="str">
        <f t="shared" ref="I170:I173" ca="1" si="21">IF(H170&gt;=90,"Yes","No")</f>
        <v>No</v>
      </c>
    </row>
    <row r="171" spans="1:11" x14ac:dyDescent="0.3">
      <c r="A171" s="21"/>
      <c r="B171" s="7"/>
      <c r="C171" s="16"/>
      <c r="D171" s="7"/>
      <c r="E171" s="17"/>
      <c r="F171" s="11"/>
      <c r="G171" s="16"/>
      <c r="H171" s="7"/>
      <c r="I171" s="7"/>
    </row>
    <row r="172" spans="1:11" x14ac:dyDescent="0.3">
      <c r="A172" s="21"/>
      <c r="B172" s="7"/>
      <c r="C172" s="16"/>
      <c r="D172" s="7"/>
      <c r="E172" s="17"/>
      <c r="F172" s="11"/>
      <c r="G172" s="16"/>
      <c r="H172" s="7"/>
      <c r="I172" s="7"/>
    </row>
    <row r="173" spans="1:11" x14ac:dyDescent="0.3">
      <c r="A173" s="22"/>
      <c r="B173" s="7"/>
      <c r="C173" s="16"/>
      <c r="D173" s="7"/>
      <c r="E173" s="17"/>
      <c r="F173" s="11"/>
      <c r="G173" s="16"/>
      <c r="H173" s="7">
        <f t="shared" ca="1" si="20"/>
        <v>0</v>
      </c>
      <c r="I173" s="7" t="str">
        <f t="shared" ca="1" si="21"/>
        <v>No</v>
      </c>
    </row>
    <row r="176" spans="1:11" x14ac:dyDescent="0.3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5" t="s">
        <v>6</v>
      </c>
      <c r="G176" s="6" t="s">
        <v>7</v>
      </c>
      <c r="H176" s="5" t="s">
        <v>8</v>
      </c>
      <c r="I176" s="5" t="s">
        <v>25</v>
      </c>
      <c r="J176" s="5" t="s">
        <v>10</v>
      </c>
      <c r="K176" s="5" t="s">
        <v>11</v>
      </c>
    </row>
    <row r="177" spans="1:11" x14ac:dyDescent="0.3">
      <c r="A177" s="7" t="s">
        <v>12</v>
      </c>
      <c r="B177" s="8" t="s">
        <v>39</v>
      </c>
      <c r="C177" s="7" t="str">
        <f>_xlfn.XLOOKUP($B177,'[1]Data Validation (2)'!$B$3:$B$31,'[1]Data Validation (2)'!$C$3:$C$31)</f>
        <v>Anshul Kumar</v>
      </c>
      <c r="D177" s="7">
        <f>_xlfn.XLOOKUP($B177,'[1]Ach % - L4'!$B$2:$B$27,'[1]Ach % - L4'!$E$2:$E$27)</f>
        <v>100000</v>
      </c>
      <c r="E177" s="9">
        <f>_xlfn.XLOOKUP($B177,'[1]Ach % - L4'!$B$2:$B$27,'[1]Ach % - L4'!$G$2:$G$27)</f>
        <v>0.38250000000000001</v>
      </c>
      <c r="F177" s="10">
        <f>SUM(E179:E185)</f>
        <v>38576</v>
      </c>
      <c r="G177" s="10">
        <f ca="1">SUMIFS($E178:$E186,$I178:$I186,"yes",F178:F186,"Done")</f>
        <v>38576</v>
      </c>
      <c r="H177" s="11" cm="1">
        <f t="array" ref="H177">_xlfn.IFS($E177&lt;=1%,0%,$E177&lt;=50%,1.75%,$E177&lt;=70%,2.25%,$E177&lt;=85%,2.75%,$E177&gt;85%,4%)</f>
        <v>1.7500000000000002E-2</v>
      </c>
      <c r="I177" s="10">
        <f>F177*H177</f>
        <v>675.08</v>
      </c>
      <c r="J177" s="7">
        <f>I177*80</f>
        <v>54006.400000000001</v>
      </c>
      <c r="K177" s="8">
        <f ca="1">(G177*H177)*80</f>
        <v>54006.400000000001</v>
      </c>
    </row>
    <row r="178" spans="1:11" x14ac:dyDescent="0.3">
      <c r="A178" s="14" t="s">
        <v>2</v>
      </c>
      <c r="B178" s="14" t="s">
        <v>14</v>
      </c>
      <c r="C178" s="14" t="s">
        <v>15</v>
      </c>
      <c r="D178" s="14" t="s">
        <v>16</v>
      </c>
      <c r="E178" s="14" t="s">
        <v>17</v>
      </c>
      <c r="F178" s="14" t="s">
        <v>18</v>
      </c>
      <c r="G178" s="14" t="s">
        <v>19</v>
      </c>
      <c r="H178" s="14" t="s">
        <v>20</v>
      </c>
      <c r="I178" s="14" t="s">
        <v>21</v>
      </c>
    </row>
    <row r="179" spans="1:11" x14ac:dyDescent="0.3">
      <c r="A179" s="20" t="str">
        <f>B177</f>
        <v>Priyansh Khare</v>
      </c>
      <c r="B179" s="7" t="str" cm="1">
        <f t="array" ref="B179:G181">IFERROR(_xlfn.CHOOSECOLS(_xlfn._xlws.FILTER('[1]Vantedge - dummy Placement data'!E:U, '[1]Vantedge - dummy Placement data'!B:B=$B177), 1, 7, 9, 11, 14, 8), "")</f>
        <v>Brandon Ross</v>
      </c>
      <c r="C179" s="16">
        <v>45733</v>
      </c>
      <c r="D179" s="7" t="str">
        <v>VXI</v>
      </c>
      <c r="E179" s="17">
        <v>20250</v>
      </c>
      <c r="F179" s="11" t="str">
        <v>Done</v>
      </c>
      <c r="G179" s="16" t="str">
        <v>NA</v>
      </c>
      <c r="H179" s="7">
        <f ca="1">IF(G179&lt;&gt;"NA", G179 - C179, TODAY() - C179)</f>
        <v>309</v>
      </c>
      <c r="I179" s="7" t="str">
        <f ca="1">IF(H179&gt;=90,"Yes","No")</f>
        <v>Yes</v>
      </c>
    </row>
    <row r="180" spans="1:11" x14ac:dyDescent="0.3">
      <c r="A180" s="21"/>
      <c r="B180" s="7" t="str">
        <v>Shawn Elkon</v>
      </c>
      <c r="C180" s="16">
        <v>45782</v>
      </c>
      <c r="D180" s="7" t="str">
        <v>Tech Mahindra</v>
      </c>
      <c r="E180" s="17">
        <v>18326</v>
      </c>
      <c r="F180" s="11" t="str">
        <v>Done</v>
      </c>
      <c r="G180" s="16" t="str">
        <v>NA</v>
      </c>
      <c r="H180" s="7">
        <f ca="1">IF(G180&lt;&gt;"NA", G180 - C180, TODAY() - C180)</f>
        <v>260</v>
      </c>
      <c r="I180" s="7" t="str">
        <f ca="1">IF(H180&gt;=90,"Yes","No")</f>
        <v>Yes</v>
      </c>
    </row>
    <row r="181" spans="1:11" x14ac:dyDescent="0.3">
      <c r="A181" s="21"/>
      <c r="B181" s="7" t="str">
        <v>Amrita Singh</v>
      </c>
      <c r="C181" s="16">
        <v>45915</v>
      </c>
      <c r="D181" s="7" t="str">
        <v>InfoBeans</v>
      </c>
      <c r="E181" s="17">
        <v>0</v>
      </c>
      <c r="F181" s="11" t="str">
        <v>Pending</v>
      </c>
      <c r="G181" s="16" t="str">
        <v>NA</v>
      </c>
      <c r="H181" s="7">
        <f ca="1">IF(G181&lt;&gt;"NA", G181 - C181, TODAY() - C181)</f>
        <v>127</v>
      </c>
      <c r="I181" s="7" t="str">
        <f ca="1">IF(H181&gt;=90,"Yes","No")</f>
        <v>Yes</v>
      </c>
    </row>
    <row r="182" spans="1:11" x14ac:dyDescent="0.3">
      <c r="A182" s="21"/>
      <c r="B182" s="7"/>
      <c r="C182" s="16"/>
      <c r="D182" s="7"/>
      <c r="E182" s="17"/>
      <c r="F182" s="11"/>
      <c r="G182" s="16"/>
      <c r="H182" s="7">
        <f t="shared" ref="H182:H185" ca="1" si="22">IF(G182&lt;&gt;"NA", G182 - C182, TODAY() - C182)</f>
        <v>0</v>
      </c>
      <c r="I182" s="7" t="str">
        <f t="shared" ref="I182:I185" ca="1" si="23">IF(H182&gt;=90,"Yes","No")</f>
        <v>No</v>
      </c>
    </row>
    <row r="183" spans="1:11" x14ac:dyDescent="0.3">
      <c r="A183" s="21"/>
      <c r="B183" s="7"/>
      <c r="C183" s="16"/>
      <c r="D183" s="7"/>
      <c r="E183" s="17"/>
      <c r="F183" s="11"/>
      <c r="G183" s="16"/>
      <c r="H183" s="7"/>
      <c r="I183" s="7"/>
    </row>
    <row r="184" spans="1:11" x14ac:dyDescent="0.3">
      <c r="A184" s="21"/>
      <c r="B184" s="7"/>
      <c r="C184" s="16"/>
      <c r="D184" s="7"/>
      <c r="E184" s="17"/>
      <c r="F184" s="11"/>
      <c r="G184" s="16"/>
      <c r="H184" s="7"/>
      <c r="I184" s="7"/>
    </row>
    <row r="185" spans="1:11" x14ac:dyDescent="0.3">
      <c r="A185" s="22"/>
      <c r="B185" s="7"/>
      <c r="C185" s="16"/>
      <c r="D185" s="7"/>
      <c r="E185" s="17"/>
      <c r="F185" s="11"/>
      <c r="G185" s="16"/>
      <c r="H185" s="7">
        <f t="shared" ca="1" si="22"/>
        <v>0</v>
      </c>
      <c r="I185" s="7" t="str">
        <f t="shared" ca="1" si="23"/>
        <v>No</v>
      </c>
    </row>
    <row r="188" spans="1:11" x14ac:dyDescent="0.3">
      <c r="A188" s="5" t="s">
        <v>1</v>
      </c>
      <c r="B188" s="5" t="s">
        <v>2</v>
      </c>
      <c r="C188" s="5" t="s">
        <v>3</v>
      </c>
      <c r="D188" s="5" t="s">
        <v>4</v>
      </c>
      <c r="E188" s="5" t="s">
        <v>5</v>
      </c>
      <c r="F188" s="5" t="s">
        <v>6</v>
      </c>
      <c r="G188" s="6" t="s">
        <v>7</v>
      </c>
      <c r="H188" s="5" t="s">
        <v>8</v>
      </c>
      <c r="I188" s="5" t="s">
        <v>25</v>
      </c>
      <c r="J188" s="5" t="s">
        <v>10</v>
      </c>
      <c r="K188" s="5" t="s">
        <v>11</v>
      </c>
    </row>
    <row r="189" spans="1:11" x14ac:dyDescent="0.3">
      <c r="A189" s="7" t="s">
        <v>12</v>
      </c>
      <c r="B189" s="8" t="s">
        <v>40</v>
      </c>
      <c r="C189" s="7" t="str">
        <f>_xlfn.XLOOKUP($B189,'[1]Data Validation (2)'!$B$3:$B$31,'[1]Data Validation (2)'!$C$3:$C$31)</f>
        <v>Anshul Kumar</v>
      </c>
      <c r="D189" s="7">
        <f>_xlfn.XLOOKUP($B189,'[1]Ach % - L4'!$B$2:$B$27,'[1]Ach % - L4'!$E$2:$E$27)</f>
        <v>100000</v>
      </c>
      <c r="E189" s="9">
        <f>_xlfn.XLOOKUP($B189,'[1]Ach % - L4'!$B$2:$B$27,'[1]Ach % - L4'!$G$2:$G$27)</f>
        <v>0.86050000000000004</v>
      </c>
      <c r="F189" s="10">
        <f>SUM(E191:E197)</f>
        <v>86050</v>
      </c>
      <c r="G189" s="10">
        <f ca="1">SUMIFS($E190:$E198,$I190:$I198,"yes",F190:F198,"Done")</f>
        <v>27300</v>
      </c>
      <c r="H189" s="11" cm="1">
        <f t="array" ref="H189">_xlfn.IFS($E189&lt;=1%,0%,$E189&lt;=50%,1.75%,$E189&lt;=70%,2.25%,$E189&lt;=85%,2.75%,$E189&gt;85%,4%)</f>
        <v>0.04</v>
      </c>
      <c r="I189" s="10">
        <f>F189*H189</f>
        <v>3442</v>
      </c>
      <c r="J189" s="7">
        <f>I189*80</f>
        <v>275360</v>
      </c>
      <c r="K189" s="8">
        <f ca="1">(G189*H189)*80</f>
        <v>87360</v>
      </c>
    </row>
    <row r="190" spans="1:11" x14ac:dyDescent="0.3">
      <c r="A190" s="14" t="s">
        <v>2</v>
      </c>
      <c r="B190" s="14" t="s">
        <v>14</v>
      </c>
      <c r="C190" s="14" t="s">
        <v>15</v>
      </c>
      <c r="D190" s="14" t="s">
        <v>16</v>
      </c>
      <c r="E190" s="14" t="s">
        <v>17</v>
      </c>
      <c r="F190" s="14" t="s">
        <v>18</v>
      </c>
      <c r="G190" s="14" t="s">
        <v>19</v>
      </c>
      <c r="H190" s="14" t="s">
        <v>20</v>
      </c>
      <c r="I190" s="14" t="s">
        <v>21</v>
      </c>
    </row>
    <row r="191" spans="1:11" x14ac:dyDescent="0.3">
      <c r="A191" s="20" t="str">
        <f>B189</f>
        <v>Shreya Singh</v>
      </c>
      <c r="B191" s="7" t="str" cm="1">
        <f t="array" ref="B191:G193">IFERROR(_xlfn.CHOOSECOLS(_xlfn._xlws.FILTER('[1]Vantedge - dummy Placement data'!E:U, '[1]Vantedge - dummy Placement data'!B:B=$B189), 1, 7, 9, 11, 14, 8), "")</f>
        <v>Juan salazar</v>
      </c>
      <c r="C191" s="16">
        <v>45705</v>
      </c>
      <c r="D191" s="7" t="str">
        <v>Myridius</v>
      </c>
      <c r="E191" s="17">
        <v>27300</v>
      </c>
      <c r="F191" s="11" t="str">
        <v>Done</v>
      </c>
      <c r="G191" s="16" t="str">
        <v>NA</v>
      </c>
      <c r="H191" s="7">
        <f ca="1">IF(G191&lt;&gt;"NA", G191 - C191, TODAY() - C191)</f>
        <v>337</v>
      </c>
      <c r="I191" s="7" t="str">
        <f ca="1">IF(H191&gt;=90,"Yes","No")</f>
        <v>Yes</v>
      </c>
    </row>
    <row r="192" spans="1:11" x14ac:dyDescent="0.3">
      <c r="A192" s="21"/>
      <c r="B192" s="7" t="str">
        <v>Brian Taylor</v>
      </c>
      <c r="C192" s="16">
        <v>45870</v>
      </c>
      <c r="D192" s="7" t="str">
        <v>FPT Software</v>
      </c>
      <c r="E192" s="17">
        <v>22750</v>
      </c>
      <c r="F192" s="11" t="str">
        <v>Pending</v>
      </c>
      <c r="G192" s="16" t="str">
        <v>NA</v>
      </c>
      <c r="H192" s="7">
        <f ca="1">IF(G192&lt;&gt;"NA", G192 - C192, TODAY() - C192)</f>
        <v>172</v>
      </c>
      <c r="I192" s="7" t="str">
        <f ca="1">IF(H192&gt;=90,"Yes","No")</f>
        <v>Yes</v>
      </c>
    </row>
    <row r="193" spans="1:11" x14ac:dyDescent="0.3">
      <c r="A193" s="21"/>
      <c r="B193" s="7" t="str">
        <v>Pallav Sharma</v>
      </c>
      <c r="C193" s="16">
        <v>45930</v>
      </c>
      <c r="D193" s="7" t="str">
        <v>BirlaSoft</v>
      </c>
      <c r="E193" s="17">
        <v>36000</v>
      </c>
      <c r="F193" s="11" t="str">
        <v>Pending</v>
      </c>
      <c r="G193" s="16" t="str">
        <v>NA</v>
      </c>
      <c r="H193" s="7">
        <f ca="1">IF(G193&lt;&gt;"NA", G193 - C193, TODAY() - C193)</f>
        <v>112</v>
      </c>
      <c r="I193" s="7" t="str">
        <f ca="1">IF(H193&gt;=90,"Yes","No")</f>
        <v>Yes</v>
      </c>
    </row>
    <row r="194" spans="1:11" x14ac:dyDescent="0.3">
      <c r="A194" s="21"/>
      <c r="B194" s="7"/>
      <c r="C194" s="16"/>
      <c r="D194" s="7"/>
      <c r="E194" s="17"/>
      <c r="F194" s="11"/>
      <c r="G194" s="16"/>
      <c r="H194" s="7">
        <f t="shared" ref="H194:H197" ca="1" si="24">IF(G194&lt;&gt;"NA", G194 - C194, TODAY() - C194)</f>
        <v>0</v>
      </c>
      <c r="I194" s="7" t="str">
        <f t="shared" ref="I194:I197" ca="1" si="25">IF(H194&gt;=90,"Yes","No")</f>
        <v>No</v>
      </c>
    </row>
    <row r="195" spans="1:11" x14ac:dyDescent="0.3">
      <c r="A195" s="21"/>
      <c r="B195" s="7"/>
      <c r="C195" s="16"/>
      <c r="D195" s="7"/>
      <c r="E195" s="17"/>
      <c r="F195" s="11"/>
      <c r="G195" s="16"/>
      <c r="H195" s="7"/>
      <c r="I195" s="7"/>
    </row>
    <row r="196" spans="1:11" x14ac:dyDescent="0.3">
      <c r="A196" s="21"/>
      <c r="B196" s="7"/>
      <c r="C196" s="16"/>
      <c r="D196" s="7"/>
      <c r="E196" s="17"/>
      <c r="F196" s="11"/>
      <c r="G196" s="16"/>
      <c r="H196" s="7"/>
      <c r="I196" s="7"/>
    </row>
    <row r="197" spans="1:11" x14ac:dyDescent="0.3">
      <c r="A197" s="22"/>
      <c r="B197" s="7"/>
      <c r="C197" s="16"/>
      <c r="D197" s="7"/>
      <c r="E197" s="17"/>
      <c r="F197" s="11"/>
      <c r="G197" s="16"/>
      <c r="H197" s="7">
        <f t="shared" ca="1" si="24"/>
        <v>0</v>
      </c>
      <c r="I197" s="7" t="str">
        <f t="shared" ca="1" si="25"/>
        <v>No</v>
      </c>
    </row>
    <row r="200" spans="1:11" x14ac:dyDescent="0.3">
      <c r="A200" s="5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6</v>
      </c>
      <c r="G200" s="6" t="s">
        <v>7</v>
      </c>
      <c r="H200" s="5" t="s">
        <v>8</v>
      </c>
      <c r="I200" s="5" t="s">
        <v>25</v>
      </c>
      <c r="J200" s="5" t="s">
        <v>10</v>
      </c>
      <c r="K200" s="5" t="s">
        <v>11</v>
      </c>
    </row>
    <row r="201" spans="1:11" x14ac:dyDescent="0.3">
      <c r="A201" s="7" t="s">
        <v>12</v>
      </c>
      <c r="B201" s="8" t="s">
        <v>41</v>
      </c>
      <c r="C201" s="7" t="str">
        <f>_xlfn.XLOOKUP($B201,'[1]Data Validation (2)'!$B$3:$B$31,'[1]Data Validation (2)'!$C$3:$C$31)</f>
        <v>Anshul Kumar</v>
      </c>
      <c r="D201" s="7">
        <f>_xlfn.XLOOKUP($B201,'[1]Ach % - L4'!$B$2:$B$27,'[1]Ach % - L4'!$E$2:$E$27)</f>
        <v>30000</v>
      </c>
      <c r="E201" s="9">
        <f>_xlfn.XLOOKUP($B201,'[1]Ach % - L4'!$B$2:$B$27,'[1]Ach % - L4'!$G$2:$G$27)</f>
        <v>0</v>
      </c>
      <c r="F201" s="10">
        <f>SUM(E203:E209)</f>
        <v>0</v>
      </c>
      <c r="G201" s="10">
        <f ca="1">SUMIFS($E202:$E212,$I202:$I212,"yes",F202:F212,"Done")</f>
        <v>0</v>
      </c>
      <c r="H201" s="11" cm="1">
        <f t="array" ref="H201">_xlfn.IFS($E201&lt;=1%,0%,$E201&lt;=50%,1.75%,$E201&lt;=70%,2.25%,$E201&lt;=85%,2.75%,$E201&gt;85%,4%)</f>
        <v>0</v>
      </c>
      <c r="I201" s="10">
        <f>F201*H201</f>
        <v>0</v>
      </c>
      <c r="J201" s="7">
        <f>I201*80</f>
        <v>0</v>
      </c>
      <c r="K201" s="8">
        <f ca="1">(G201*H201)*80</f>
        <v>0</v>
      </c>
    </row>
    <row r="202" spans="1:11" x14ac:dyDescent="0.3">
      <c r="A202" s="14" t="s">
        <v>2</v>
      </c>
      <c r="B202" s="14" t="s">
        <v>14</v>
      </c>
      <c r="C202" s="14" t="s">
        <v>15</v>
      </c>
      <c r="D202" s="14" t="s">
        <v>16</v>
      </c>
      <c r="E202" s="14" t="s">
        <v>17</v>
      </c>
      <c r="F202" s="14" t="s">
        <v>18</v>
      </c>
      <c r="G202" s="14" t="s">
        <v>19</v>
      </c>
      <c r="H202" s="14" t="s">
        <v>20</v>
      </c>
      <c r="I202" s="14" t="s">
        <v>21</v>
      </c>
    </row>
    <row r="203" spans="1:11" x14ac:dyDescent="0.3">
      <c r="A203" s="20" t="str">
        <f>B201</f>
        <v>Anamika Dwivedi</v>
      </c>
      <c r="B203" s="7" t="str" cm="1">
        <f t="array" ref="B203">IFERROR(_xlfn.CHOOSECOLS(_xlfn._xlws.FILTER('[1]Vantedge - dummy Placement data'!E:U, '[1]Vantedge - dummy Placement data'!B:B=$B201), 1, 7, 9, 11, 14, 8), "")</f>
        <v/>
      </c>
      <c r="C203" s="16"/>
      <c r="D203" s="7"/>
      <c r="E203" s="17"/>
      <c r="F203" s="11"/>
      <c r="G203" s="16"/>
      <c r="H203" s="7">
        <f ca="1">IF(G203&lt;&gt;"NA", G203 - C203, TODAY() - C203)</f>
        <v>0</v>
      </c>
      <c r="I203" s="7" t="str">
        <f ca="1">IF(H203&gt;=90,"Yes","No")</f>
        <v>No</v>
      </c>
    </row>
    <row r="204" spans="1:11" x14ac:dyDescent="0.3">
      <c r="A204" s="21"/>
      <c r="B204" s="7"/>
      <c r="C204" s="16"/>
      <c r="D204" s="7"/>
      <c r="E204" s="17"/>
      <c r="F204" s="11"/>
      <c r="G204" s="16"/>
      <c r="H204" s="7">
        <f ca="1">IF(G204&lt;&gt;"NA", G204 - C204, TODAY() - C204)</f>
        <v>0</v>
      </c>
      <c r="I204" s="7" t="str">
        <f ca="1">IF(H204&gt;=90,"Yes","No")</f>
        <v>No</v>
      </c>
    </row>
    <row r="205" spans="1:11" x14ac:dyDescent="0.3">
      <c r="A205" s="21"/>
      <c r="B205" s="7"/>
      <c r="C205" s="16"/>
      <c r="D205" s="7"/>
      <c r="E205" s="17"/>
      <c r="F205" s="11"/>
      <c r="G205" s="16"/>
      <c r="H205" s="7">
        <f ca="1">IF(G205&lt;&gt;"NA", G205 - C205, TODAY() - C205)</f>
        <v>0</v>
      </c>
      <c r="I205" s="7" t="str">
        <f ca="1">IF(H205&gt;=90,"Yes","No")</f>
        <v>No</v>
      </c>
    </row>
    <row r="206" spans="1:11" x14ac:dyDescent="0.3">
      <c r="A206" s="21"/>
      <c r="B206" s="7"/>
      <c r="C206" s="16"/>
      <c r="D206" s="7"/>
      <c r="E206" s="17"/>
      <c r="F206" s="11"/>
      <c r="G206" s="16"/>
      <c r="H206" s="7">
        <f t="shared" ref="H206:H209" ca="1" si="26">IF(G206&lt;&gt;"NA", G206 - C206, TODAY() - C206)</f>
        <v>0</v>
      </c>
      <c r="I206" s="7" t="str">
        <f t="shared" ref="I206:I209" ca="1" si="27">IF(H206&gt;=90,"Yes","No")</f>
        <v>No</v>
      </c>
    </row>
    <row r="207" spans="1:11" x14ac:dyDescent="0.3">
      <c r="A207" s="21"/>
      <c r="B207" s="7"/>
      <c r="C207" s="16"/>
      <c r="D207" s="7"/>
      <c r="E207" s="17"/>
      <c r="F207" s="11"/>
      <c r="G207" s="16"/>
      <c r="H207" s="7"/>
      <c r="I207" s="7"/>
    </row>
    <row r="208" spans="1:11" x14ac:dyDescent="0.3">
      <c r="A208" s="21"/>
      <c r="B208" s="7"/>
      <c r="C208" s="16"/>
      <c r="D208" s="7"/>
      <c r="E208" s="17"/>
      <c r="F208" s="11"/>
      <c r="G208" s="16"/>
      <c r="H208" s="7"/>
      <c r="I208" s="7"/>
    </row>
    <row r="209" spans="1:11" x14ac:dyDescent="0.3">
      <c r="A209" s="22"/>
      <c r="B209" s="7"/>
      <c r="C209" s="16"/>
      <c r="D209" s="7"/>
      <c r="E209" s="17"/>
      <c r="F209" s="11"/>
      <c r="G209" s="16"/>
      <c r="H209" s="7">
        <f t="shared" ca="1" si="26"/>
        <v>0</v>
      </c>
      <c r="I209" s="7" t="str">
        <f t="shared" ca="1" si="27"/>
        <v>No</v>
      </c>
    </row>
    <row r="210" spans="1:11" x14ac:dyDescent="0.3">
      <c r="A210" s="23"/>
      <c r="C210" s="24"/>
      <c r="E210" s="25"/>
      <c r="F210" s="26"/>
      <c r="G210" s="24"/>
    </row>
    <row r="211" spans="1:11" x14ac:dyDescent="0.3">
      <c r="A211" s="23"/>
      <c r="C211" s="24"/>
      <c r="E211" s="25"/>
      <c r="F211" s="26"/>
      <c r="G211" s="24"/>
    </row>
    <row r="213" spans="1:11" x14ac:dyDescent="0.3">
      <c r="A213" s="5" t="s">
        <v>1</v>
      </c>
      <c r="B213" s="5" t="s">
        <v>2</v>
      </c>
      <c r="C213" s="5" t="s">
        <v>3</v>
      </c>
      <c r="D213" s="5" t="s">
        <v>4</v>
      </c>
      <c r="E213" s="5" t="s">
        <v>5</v>
      </c>
      <c r="F213" s="5" t="s">
        <v>6</v>
      </c>
      <c r="G213" s="6" t="s">
        <v>7</v>
      </c>
      <c r="H213" s="5" t="s">
        <v>8</v>
      </c>
      <c r="I213" s="5" t="s">
        <v>25</v>
      </c>
      <c r="J213" s="5" t="s">
        <v>10</v>
      </c>
      <c r="K213" s="5" t="s">
        <v>11</v>
      </c>
    </row>
    <row r="214" spans="1:11" x14ac:dyDescent="0.3">
      <c r="A214" s="7" t="s">
        <v>12</v>
      </c>
      <c r="B214" s="8" t="s">
        <v>42</v>
      </c>
      <c r="C214" s="7" t="str">
        <f>_xlfn.XLOOKUP($B214,'[1]Data Validation (2)'!$B$3:$B$31,'[1]Data Validation (2)'!$C$3:$C$31)</f>
        <v>Anshul Kumar</v>
      </c>
      <c r="D214" s="7">
        <f>_xlfn.XLOOKUP($B214,'[1]Ach % - L4'!$B$2:$B$27,'[1]Ach % - L4'!$E$2:$E$27)</f>
        <v>30000</v>
      </c>
      <c r="E214" s="9">
        <f>_xlfn.XLOOKUP($B214,'[1]Ach % - L4'!$B$2:$B$27,'[1]Ach % - L4'!$G$2:$G$27)</f>
        <v>0</v>
      </c>
      <c r="F214" s="10">
        <f>SUM(E216:E222)</f>
        <v>0</v>
      </c>
      <c r="G214" s="10">
        <f ca="1">SUMIFS($E215:$E223,$I215:$I223,"yes")</f>
        <v>0</v>
      </c>
      <c r="H214" s="11" cm="1">
        <f t="array" ref="H214">_xlfn.IFS($E214&lt;=1%,0%,$E214&lt;=50%,1.75%,$E214&lt;=70%,2.25%,$E214&lt;=85%,2.75%,$E214&gt;85%,4%)</f>
        <v>0</v>
      </c>
      <c r="I214" s="10">
        <f>F214*H214</f>
        <v>0</v>
      </c>
      <c r="J214" s="7">
        <f>I214*80</f>
        <v>0</v>
      </c>
      <c r="K214" s="8">
        <f ca="1">(G214*H214)*80</f>
        <v>0</v>
      </c>
    </row>
    <row r="215" spans="1:11" x14ac:dyDescent="0.3">
      <c r="A215" s="14" t="s">
        <v>2</v>
      </c>
      <c r="B215" s="14" t="s">
        <v>14</v>
      </c>
      <c r="C215" s="14" t="s">
        <v>15</v>
      </c>
      <c r="D215" s="14" t="s">
        <v>16</v>
      </c>
      <c r="E215" s="14" t="s">
        <v>17</v>
      </c>
      <c r="F215" s="14" t="s">
        <v>18</v>
      </c>
      <c r="G215" s="14" t="s">
        <v>19</v>
      </c>
      <c r="H215" s="14" t="s">
        <v>20</v>
      </c>
      <c r="I215" s="14" t="s">
        <v>21</v>
      </c>
    </row>
    <row r="216" spans="1:11" x14ac:dyDescent="0.3">
      <c r="A216" s="20" t="str">
        <f>B214</f>
        <v>Smriti Jha</v>
      </c>
      <c r="B216" s="7" t="str" cm="1">
        <f t="array" ref="B216">IFERROR(_xlfn.CHOOSECOLS(_xlfn._xlws.FILTER('[1]Vantedge - dummy Placement data'!E:U, '[1]Vantedge - dummy Placement data'!B:B=$B214), 1, 7, 9, 11, 14, 8), "")</f>
        <v/>
      </c>
      <c r="C216" s="16"/>
      <c r="D216" s="7"/>
      <c r="E216" s="17"/>
      <c r="F216" s="11"/>
      <c r="G216" s="16"/>
      <c r="H216" s="7">
        <f ca="1">IF(G216&lt;&gt;"NA", G216 - C216, TODAY() - C216)</f>
        <v>0</v>
      </c>
      <c r="I216" s="7" t="str">
        <f ca="1">IF(H216&gt;=90,"Yes","No")</f>
        <v>No</v>
      </c>
    </row>
    <row r="217" spans="1:11" x14ac:dyDescent="0.3">
      <c r="A217" s="21"/>
      <c r="B217" s="7"/>
      <c r="C217" s="16"/>
      <c r="D217" s="7"/>
      <c r="E217" s="17"/>
      <c r="F217" s="11"/>
      <c r="G217" s="16"/>
      <c r="H217" s="7">
        <f ca="1">IF(G217&lt;&gt;"NA", G217 - C217, TODAY() - C217)</f>
        <v>0</v>
      </c>
      <c r="I217" s="7" t="str">
        <f ca="1">IF(H217&gt;=90,"Yes","No")</f>
        <v>No</v>
      </c>
    </row>
    <row r="218" spans="1:11" x14ac:dyDescent="0.3">
      <c r="A218" s="21"/>
      <c r="B218" s="7"/>
      <c r="C218" s="16"/>
      <c r="D218" s="7"/>
      <c r="E218" s="17"/>
      <c r="F218" s="11"/>
      <c r="G218" s="16"/>
      <c r="H218" s="7">
        <f ca="1">IF(G218&lt;&gt;"NA", G218 - C218, TODAY() - C218)</f>
        <v>0</v>
      </c>
      <c r="I218" s="7" t="str">
        <f ca="1">IF(H218&gt;=90,"Yes","No")</f>
        <v>No</v>
      </c>
    </row>
    <row r="219" spans="1:11" x14ac:dyDescent="0.3">
      <c r="A219" s="21"/>
      <c r="B219" s="7"/>
      <c r="C219" s="16"/>
      <c r="D219" s="7"/>
      <c r="E219" s="17"/>
      <c r="F219" s="11"/>
      <c r="G219" s="16"/>
      <c r="H219" s="7"/>
      <c r="I219" s="7"/>
    </row>
    <row r="220" spans="1:11" x14ac:dyDescent="0.3">
      <c r="A220" s="21"/>
      <c r="B220" s="7"/>
      <c r="C220" s="16"/>
      <c r="D220" s="7"/>
      <c r="E220" s="17"/>
      <c r="F220" s="11"/>
      <c r="G220" s="16"/>
      <c r="H220" s="7"/>
      <c r="I220" s="7"/>
    </row>
    <row r="221" spans="1:11" x14ac:dyDescent="0.3">
      <c r="A221" s="21"/>
      <c r="B221" s="7"/>
      <c r="C221" s="16"/>
      <c r="D221" s="7"/>
      <c r="E221" s="17"/>
      <c r="F221" s="11"/>
      <c r="G221" s="16"/>
      <c r="H221" s="7">
        <f t="shared" ref="H221:H222" ca="1" si="28">IF(G221&lt;&gt;"NA", G221 - C221, TODAY() - C221)</f>
        <v>0</v>
      </c>
      <c r="I221" s="7" t="str">
        <f t="shared" ref="I221:I222" ca="1" si="29">IF(H221&gt;=90,"Yes","No")</f>
        <v>No</v>
      </c>
    </row>
    <row r="222" spans="1:11" x14ac:dyDescent="0.3">
      <c r="A222" s="22"/>
      <c r="B222" s="7"/>
      <c r="C222" s="16"/>
      <c r="D222" s="7"/>
      <c r="E222" s="17"/>
      <c r="F222" s="11"/>
      <c r="G222" s="16"/>
      <c r="H222" s="7">
        <f t="shared" ca="1" si="28"/>
        <v>0</v>
      </c>
      <c r="I222" s="7" t="str">
        <f t="shared" ca="1" si="29"/>
        <v>No</v>
      </c>
    </row>
    <row r="227" spans="1:11" x14ac:dyDescent="0.3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5" t="s">
        <v>6</v>
      </c>
      <c r="G227" s="6" t="s">
        <v>7</v>
      </c>
      <c r="H227" s="5" t="s">
        <v>8</v>
      </c>
      <c r="I227" s="5" t="s">
        <v>25</v>
      </c>
      <c r="J227" s="5" t="s">
        <v>10</v>
      </c>
      <c r="K227" s="5" t="s">
        <v>11</v>
      </c>
    </row>
    <row r="228" spans="1:11" x14ac:dyDescent="0.3">
      <c r="A228" s="7" t="s">
        <v>12</v>
      </c>
      <c r="B228" s="8" t="s">
        <v>43</v>
      </c>
      <c r="C228" s="7" t="str">
        <f>_xlfn.XLOOKUP($B228,'[1]Data Validation (2)'!$B$3:$B$31,'[1]Data Validation (2)'!$C$3:$C$31)</f>
        <v>Anshul Kumar</v>
      </c>
      <c r="D228" s="7">
        <f>_xlfn.XLOOKUP($B228,'[1]Ach % - L4'!$B$2:$B$27,'[1]Ach % - L4'!$E$2:$E$27)</f>
        <v>60000</v>
      </c>
      <c r="E228" s="9">
        <f>_xlfn.XLOOKUP($B228,'[1]Ach % - L4'!$B$2:$B$27,'[1]Ach % - L4'!$G$2:$G$27)</f>
        <v>0</v>
      </c>
      <c r="F228" s="10">
        <f>SUM(E230:E236)</f>
        <v>0</v>
      </c>
      <c r="G228" s="10">
        <f ca="1">SUMIFS($E229:$E237,$I229:$I237,"yes",F229:F237,"Done")</f>
        <v>0</v>
      </c>
      <c r="H228" s="11" cm="1">
        <f t="array" ref="H228">_xlfn.IFS($E228&lt;=1%,0%,$E228&lt;=50%,1.75%,$E228&lt;=70%,2.25%,$E228&lt;=85%,2.75%,$E228&gt;85%,4%)</f>
        <v>0</v>
      </c>
      <c r="I228" s="10">
        <f>F228*H228</f>
        <v>0</v>
      </c>
      <c r="J228" s="7">
        <f>I228*80</f>
        <v>0</v>
      </c>
      <c r="K228" s="8">
        <f ca="1">(G228*H228)*80</f>
        <v>0</v>
      </c>
    </row>
    <row r="229" spans="1:11" x14ac:dyDescent="0.3">
      <c r="A229" s="14" t="s">
        <v>2</v>
      </c>
      <c r="B229" s="14" t="s">
        <v>14</v>
      </c>
      <c r="C229" s="14" t="s">
        <v>15</v>
      </c>
      <c r="D229" s="14" t="s">
        <v>16</v>
      </c>
      <c r="E229" s="14" t="s">
        <v>17</v>
      </c>
      <c r="F229" s="14" t="s">
        <v>18</v>
      </c>
      <c r="G229" s="14" t="s">
        <v>19</v>
      </c>
      <c r="H229" s="14" t="s">
        <v>20</v>
      </c>
      <c r="I229" s="14" t="s">
        <v>21</v>
      </c>
    </row>
    <row r="230" spans="1:11" x14ac:dyDescent="0.3">
      <c r="A230" s="20" t="str">
        <f>B228</f>
        <v>Abhishek Srivastava</v>
      </c>
      <c r="B230" s="7" t="str" cm="1">
        <f t="array" ref="B230">IFERROR(_xlfn.CHOOSECOLS(_xlfn._xlws.FILTER('[1]Vantedge - dummy Placement data'!E:U, '[1]Vantedge - dummy Placement data'!B:B=$B228), 1, 7, 9, 11, 14, 8), "")</f>
        <v/>
      </c>
      <c r="C230" s="16"/>
      <c r="D230" s="7"/>
      <c r="E230" s="17"/>
      <c r="F230" s="11"/>
      <c r="G230" s="16"/>
      <c r="H230" s="7">
        <f ca="1">IF(G230&lt;&gt;"NA", G230 - C230, TODAY() - C230)</f>
        <v>0</v>
      </c>
      <c r="I230" s="7" t="str">
        <f ca="1">IF(H230&gt;=90,"Yes","No")</f>
        <v>No</v>
      </c>
    </row>
    <row r="231" spans="1:11" x14ac:dyDescent="0.3">
      <c r="A231" s="21"/>
      <c r="B231" s="7"/>
      <c r="C231" s="16"/>
      <c r="D231" s="7"/>
      <c r="E231" s="17"/>
      <c r="F231" s="11"/>
      <c r="G231" s="16"/>
      <c r="H231" s="7">
        <f ca="1">IF(G231&lt;&gt;"NA", G231 - C231, TODAY() - C231)</f>
        <v>0</v>
      </c>
      <c r="I231" s="7" t="str">
        <f ca="1">IF(H231&gt;=90,"Yes","No")</f>
        <v>No</v>
      </c>
    </row>
    <row r="232" spans="1:11" x14ac:dyDescent="0.3">
      <c r="A232" s="21"/>
      <c r="B232" s="7"/>
      <c r="C232" s="16"/>
      <c r="D232" s="7"/>
      <c r="E232" s="17"/>
      <c r="F232" s="11"/>
      <c r="G232" s="16"/>
      <c r="H232" s="7">
        <f ca="1">IF(G232&lt;&gt;"NA", G232 - C232, TODAY() - C232)</f>
        <v>0</v>
      </c>
      <c r="I232" s="7" t="str">
        <f ca="1">IF(H232&gt;=90,"Yes","No")</f>
        <v>No</v>
      </c>
    </row>
    <row r="233" spans="1:11" x14ac:dyDescent="0.3">
      <c r="A233" s="21"/>
      <c r="B233" s="7"/>
      <c r="C233" s="16"/>
      <c r="D233" s="7"/>
      <c r="E233" s="17"/>
      <c r="F233" s="11"/>
      <c r="G233" s="16"/>
      <c r="H233" s="7"/>
      <c r="I233" s="7"/>
    </row>
    <row r="234" spans="1:11" x14ac:dyDescent="0.3">
      <c r="A234" s="21"/>
      <c r="B234" s="7"/>
      <c r="C234" s="16"/>
      <c r="D234" s="7"/>
      <c r="E234" s="17"/>
      <c r="F234" s="11"/>
      <c r="G234" s="16"/>
      <c r="H234" s="7"/>
      <c r="I234" s="7"/>
    </row>
    <row r="235" spans="1:11" x14ac:dyDescent="0.3">
      <c r="A235" s="21"/>
      <c r="B235" s="7"/>
      <c r="C235" s="16"/>
      <c r="D235" s="7"/>
      <c r="E235" s="17"/>
      <c r="F235" s="11"/>
      <c r="G235" s="16"/>
      <c r="H235" s="7">
        <f t="shared" ref="H235:H236" ca="1" si="30">IF(G235&lt;&gt;"NA", G235 - C235, TODAY() - C235)</f>
        <v>0</v>
      </c>
      <c r="I235" s="7" t="str">
        <f t="shared" ref="I235:I236" ca="1" si="31">IF(H235&gt;=90,"Yes","No")</f>
        <v>No</v>
      </c>
    </row>
    <row r="236" spans="1:11" x14ac:dyDescent="0.3">
      <c r="A236" s="22"/>
      <c r="B236" s="7"/>
      <c r="C236" s="16"/>
      <c r="D236" s="7"/>
      <c r="E236" s="17"/>
      <c r="F236" s="11"/>
      <c r="G236" s="16"/>
      <c r="H236" s="7">
        <f t="shared" ca="1" si="30"/>
        <v>0</v>
      </c>
      <c r="I236" s="7" t="str">
        <f t="shared" ca="1" si="31"/>
        <v>No</v>
      </c>
    </row>
    <row r="239" spans="1:11" x14ac:dyDescent="0.3">
      <c r="A239" s="5" t="s">
        <v>1</v>
      </c>
      <c r="B239" s="5" t="s">
        <v>2</v>
      </c>
      <c r="C239" s="5" t="s">
        <v>3</v>
      </c>
      <c r="D239" s="5" t="s">
        <v>4</v>
      </c>
      <c r="E239" s="5" t="s">
        <v>5</v>
      </c>
      <c r="F239" s="5" t="s">
        <v>6</v>
      </c>
      <c r="G239" s="6" t="s">
        <v>7</v>
      </c>
      <c r="H239" s="5" t="s">
        <v>8</v>
      </c>
      <c r="I239" s="5" t="s">
        <v>25</v>
      </c>
      <c r="J239" s="5" t="s">
        <v>10</v>
      </c>
      <c r="K239" s="5" t="s">
        <v>11</v>
      </c>
    </row>
    <row r="240" spans="1:11" x14ac:dyDescent="0.3">
      <c r="A240" s="7" t="s">
        <v>12</v>
      </c>
      <c r="B240" s="8" t="s">
        <v>44</v>
      </c>
      <c r="C240" s="7" t="str">
        <f>_xlfn.XLOOKUP($B240,'[1]Data Validation (2)'!$B$3:$B$31,'[1]Data Validation (2)'!$C$3:$C$31)</f>
        <v>Rashmi Bhatnagar</v>
      </c>
      <c r="D240" s="7">
        <f>_xlfn.XLOOKUP($B240,'[1]Ach % - L4'!$B$2:$B$27,'[1]Ach % - L4'!$E$2:$E$27)</f>
        <v>75000</v>
      </c>
      <c r="E240" s="9">
        <f>_xlfn.XLOOKUP($B240,'[1]Ach % - L4'!$B$2:$B$27,'[1]Ach % - L4'!$G$2:$G$27)</f>
        <v>0</v>
      </c>
      <c r="F240" s="10">
        <f>SUM(E242:E248)</f>
        <v>0</v>
      </c>
      <c r="G240" s="10">
        <f ca="1">SUMIFS($E241:$E249,$I241:$I249,"yes",F241:F249,"Done")</f>
        <v>0</v>
      </c>
      <c r="H240" s="11" cm="1">
        <f t="array" ref="H240">_xlfn.IFS($E240&lt;=1%,0%,$E240&lt;=50%,1.75%,$E240&lt;=70%,2.25%,$E240&lt;=85%,2.75%,$E240&gt;85%,4%)</f>
        <v>0</v>
      </c>
      <c r="I240" s="10">
        <f>F240*H240</f>
        <v>0</v>
      </c>
      <c r="J240" s="7">
        <f>I240*80</f>
        <v>0</v>
      </c>
      <c r="K240" s="8">
        <f ca="1">(G240*H240)*80</f>
        <v>0</v>
      </c>
    </row>
    <row r="241" spans="1:16" x14ac:dyDescent="0.3">
      <c r="A241" s="14" t="s">
        <v>2</v>
      </c>
      <c r="B241" s="14" t="s">
        <v>14</v>
      </c>
      <c r="C241" s="14" t="s">
        <v>15</v>
      </c>
      <c r="D241" s="14" t="s">
        <v>16</v>
      </c>
      <c r="E241" s="14" t="s">
        <v>17</v>
      </c>
      <c r="F241" s="14" t="s">
        <v>18</v>
      </c>
      <c r="G241" s="14" t="s">
        <v>19</v>
      </c>
      <c r="H241" s="14" t="s">
        <v>20</v>
      </c>
      <c r="I241" s="14" t="s">
        <v>21</v>
      </c>
    </row>
    <row r="242" spans="1:16" x14ac:dyDescent="0.3">
      <c r="A242" s="20" t="str">
        <f>B240</f>
        <v>Shivanshu Mishra</v>
      </c>
      <c r="B242" s="7" t="str" cm="1">
        <f t="array" ref="B242">IFERROR(_xlfn.CHOOSECOLS(_xlfn._xlws.FILTER('[1]Vantedge - dummy Placement data'!E:U, '[1]Vantedge - dummy Placement data'!B:B=$B240), 1, 7, 9, 11, 14, 8), "")</f>
        <v/>
      </c>
      <c r="C242" s="16"/>
      <c r="D242" s="7"/>
      <c r="E242" s="17"/>
      <c r="F242" s="11"/>
      <c r="G242" s="16"/>
      <c r="H242" s="7">
        <f ca="1">IF(G242&lt;&gt;"NA", G242 - C242, TODAY() - C242)</f>
        <v>0</v>
      </c>
      <c r="I242" s="7" t="str">
        <f ca="1">IF(H242&gt;=90,"Yes","No")</f>
        <v>No</v>
      </c>
    </row>
    <row r="243" spans="1:16" x14ac:dyDescent="0.3">
      <c r="A243" s="21"/>
      <c r="B243" s="7"/>
      <c r="C243" s="16"/>
      <c r="D243" s="7"/>
      <c r="E243" s="17"/>
      <c r="F243" s="11"/>
      <c r="G243" s="16"/>
      <c r="H243" s="7">
        <f ca="1">IF(G243&lt;&gt;"NA", G243 - C243, TODAY() - C243)</f>
        <v>0</v>
      </c>
      <c r="I243" s="7" t="str">
        <f ca="1">IF(H243&gt;=90,"Yes","No")</f>
        <v>No</v>
      </c>
    </row>
    <row r="244" spans="1:16" x14ac:dyDescent="0.3">
      <c r="A244" s="21"/>
      <c r="B244" s="7"/>
      <c r="C244" s="16"/>
      <c r="D244" s="7"/>
      <c r="E244" s="17"/>
      <c r="F244" s="11"/>
      <c r="G244" s="16"/>
      <c r="H244" s="7">
        <f ca="1">IF(G244&lt;&gt;"NA", G244 - C244, TODAY() - C244)</f>
        <v>0</v>
      </c>
      <c r="I244" s="7" t="str">
        <f ca="1">IF(H244&gt;=90,"Yes","No")</f>
        <v>No</v>
      </c>
    </row>
    <row r="245" spans="1:16" x14ac:dyDescent="0.3">
      <c r="A245" s="21"/>
      <c r="B245" s="7"/>
      <c r="C245" s="16"/>
      <c r="D245" s="7"/>
      <c r="E245" s="17"/>
      <c r="F245" s="11"/>
      <c r="G245" s="16"/>
      <c r="H245" s="7"/>
      <c r="I245" s="7"/>
    </row>
    <row r="246" spans="1:16" x14ac:dyDescent="0.3">
      <c r="A246" s="21"/>
      <c r="B246" s="7"/>
      <c r="C246" s="16"/>
      <c r="D246" s="7"/>
      <c r="E246" s="17"/>
      <c r="F246" s="11"/>
      <c r="G246" s="16"/>
      <c r="H246" s="7"/>
      <c r="I246" s="7"/>
    </row>
    <row r="247" spans="1:16" x14ac:dyDescent="0.3">
      <c r="A247" s="21"/>
      <c r="B247" s="7"/>
      <c r="C247" s="16"/>
      <c r="D247" s="7"/>
      <c r="E247" s="17"/>
      <c r="F247" s="11"/>
      <c r="G247" s="16"/>
      <c r="H247" s="7">
        <f t="shared" ref="H247:H248" ca="1" si="32">IF(G247&lt;&gt;"NA", G247 - C247, TODAY() - C247)</f>
        <v>0</v>
      </c>
      <c r="I247" s="7" t="str">
        <f t="shared" ref="I247:I248" ca="1" si="33">IF(H247&gt;=90,"Yes","No")</f>
        <v>No</v>
      </c>
    </row>
    <row r="248" spans="1:16" x14ac:dyDescent="0.3">
      <c r="A248" s="22"/>
      <c r="B248" s="7"/>
      <c r="C248" s="16"/>
      <c r="D248" s="7"/>
      <c r="E248" s="17"/>
      <c r="F248" s="11"/>
      <c r="G248" s="16"/>
      <c r="H248" s="7">
        <f t="shared" ca="1" si="32"/>
        <v>0</v>
      </c>
      <c r="I248" s="7" t="str">
        <f t="shared" ca="1" si="33"/>
        <v>No</v>
      </c>
    </row>
    <row r="250" spans="1:16" ht="14.4" customHeight="1" x14ac:dyDescent="0.3">
      <c r="A250" s="27" t="s">
        <v>45</v>
      </c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</row>
    <row r="251" spans="1:16" ht="14.4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</row>
    <row r="253" spans="1:16" x14ac:dyDescent="0.3">
      <c r="A253" s="5" t="s">
        <v>1</v>
      </c>
      <c r="B253" s="5" t="s">
        <v>2</v>
      </c>
      <c r="C253" s="5" t="s">
        <v>3</v>
      </c>
      <c r="D253" s="5" t="s">
        <v>46</v>
      </c>
      <c r="E253" s="5" t="s">
        <v>5</v>
      </c>
      <c r="F253" s="5" t="s">
        <v>6</v>
      </c>
      <c r="G253" s="6" t="s">
        <v>7</v>
      </c>
      <c r="H253" s="5" t="s">
        <v>8</v>
      </c>
      <c r="I253" s="5" t="s">
        <v>25</v>
      </c>
      <c r="J253" s="5" t="s">
        <v>10</v>
      </c>
      <c r="K253" s="5" t="s">
        <v>11</v>
      </c>
    </row>
    <row r="254" spans="1:16" x14ac:dyDescent="0.3">
      <c r="A254" s="7" t="s">
        <v>12</v>
      </c>
      <c r="B254" s="8" t="s">
        <v>47</v>
      </c>
      <c r="C254" s="7" t="str">
        <f>_xlfn.XLOOKUP($B254,'[1]Data Validation (2)'!$B$3:$B$31,'[1]Data Validation (2)'!$C$3:$C$31)</f>
        <v>Rohini Parihar</v>
      </c>
      <c r="D254" s="7">
        <f>_xlfn.XLOOKUP($B254,'[1]Ach % - L4'!$B$2:$B$27,'[1]Ach % - L4'!$E$2:$E$27)</f>
        <v>5</v>
      </c>
      <c r="E254" s="9">
        <f>_xlfn.XLOOKUP($B254,'[1]Ach % - L4'!$B$2:$B$27,'[1]Ach % - L4'!$G$2:$G$27)</f>
        <v>0.8</v>
      </c>
      <c r="F254" s="10">
        <f>SUM(E256:E260)</f>
        <v>117900</v>
      </c>
      <c r="G254" s="10">
        <f ca="1">SUMIFS($E255:$E261,$I255:$I261,"yes",F255:F261,"Done")</f>
        <v>85500</v>
      </c>
      <c r="H254" s="11" cm="1">
        <f t="array" ref="H254">_xlfn.IFS($E254&lt;=1%,0%,$E254&lt;=50%,1.75%,$E254&lt;=70%,2.25%,$E254&lt;=85%,2.75%,$E254&gt;85%,4%)</f>
        <v>2.75E-2</v>
      </c>
      <c r="I254" s="10">
        <f>F254*H254</f>
        <v>3242.25</v>
      </c>
      <c r="J254" s="7">
        <f>I254*80</f>
        <v>259380</v>
      </c>
      <c r="K254" s="8">
        <f ca="1">(G254*H254)*80</f>
        <v>188100</v>
      </c>
    </row>
    <row r="255" spans="1:16" x14ac:dyDescent="0.3">
      <c r="A255" s="14" t="s">
        <v>2</v>
      </c>
      <c r="B255" s="14" t="s">
        <v>14</v>
      </c>
      <c r="C255" s="14" t="s">
        <v>15</v>
      </c>
      <c r="D255" s="14" t="s">
        <v>16</v>
      </c>
      <c r="E255" s="14" t="s">
        <v>17</v>
      </c>
      <c r="F255" s="14" t="s">
        <v>18</v>
      </c>
      <c r="G255" s="14" t="s">
        <v>19</v>
      </c>
      <c r="H255" s="14" t="s">
        <v>20</v>
      </c>
      <c r="I255" s="14" t="s">
        <v>21</v>
      </c>
    </row>
    <row r="256" spans="1:16" x14ac:dyDescent="0.3">
      <c r="A256" s="20" t="str">
        <f>B254</f>
        <v>Qausain Abbass</v>
      </c>
      <c r="B256" s="7" t="str" cm="1">
        <f t="array" ref="B256:G259">IFERROR(_xlfn.CHOOSECOLS(_xlfn._xlws.FILTER('[1]Vantedge - dummy Placement data'!E:U, '[1]Vantedge - dummy Placement data'!I:I=$B254), 1, 7, 9, 11, 14, 8), "")</f>
        <v>Sandeep Padhye</v>
      </c>
      <c r="C256" s="16">
        <v>45859</v>
      </c>
      <c r="D256" s="7" t="str">
        <v>InfoBeans</v>
      </c>
      <c r="E256" s="17">
        <v>31500</v>
      </c>
      <c r="F256" s="11" t="str">
        <v>Done</v>
      </c>
      <c r="G256" s="16" t="str">
        <v>NA</v>
      </c>
      <c r="H256" s="7">
        <f ca="1">IF(G256&lt;&gt;"NA", G256 - C256, TODAY() - C256)</f>
        <v>183</v>
      </c>
      <c r="I256" s="7" t="str">
        <f ca="1">IF(H256&gt;=90,"Yes","No")</f>
        <v>Yes</v>
      </c>
    </row>
    <row r="257" spans="1:11" x14ac:dyDescent="0.3">
      <c r="A257" s="21"/>
      <c r="B257" s="7" t="str">
        <v>Devin Currens</v>
      </c>
      <c r="C257" s="16">
        <v>45887</v>
      </c>
      <c r="D257" s="7" t="str">
        <v>InfoBeans</v>
      </c>
      <c r="E257" s="17">
        <v>27000</v>
      </c>
      <c r="F257" s="11" t="str">
        <v>Done</v>
      </c>
      <c r="G257" s="16" t="str">
        <v>NA</v>
      </c>
      <c r="H257" s="7">
        <f ca="1">IF(G257&lt;&gt;"NA", G257 - C257, TODAY() - C257)</f>
        <v>155</v>
      </c>
      <c r="I257" s="7" t="str">
        <f ca="1">IF(H257&gt;=90,"Yes","No")</f>
        <v>Yes</v>
      </c>
    </row>
    <row r="258" spans="1:11" x14ac:dyDescent="0.3">
      <c r="A258" s="21"/>
      <c r="B258" s="7" t="str">
        <v>Taylor Brandon Grace</v>
      </c>
      <c r="C258" s="16">
        <v>45894</v>
      </c>
      <c r="D258" s="7" t="str">
        <v>InfoBeans</v>
      </c>
      <c r="E258" s="17">
        <v>27000</v>
      </c>
      <c r="F258" s="11" t="str">
        <v>Done</v>
      </c>
      <c r="G258" s="16" t="str">
        <v>NA</v>
      </c>
      <c r="H258" s="7">
        <f ca="1">IF(G258&lt;&gt;"NA", G258 - C258, TODAY() - C258)</f>
        <v>148</v>
      </c>
      <c r="I258" s="7" t="str">
        <f ca="1">IF(H258&gt;=90,"Yes","No")</f>
        <v>Yes</v>
      </c>
    </row>
    <row r="259" spans="1:11" x14ac:dyDescent="0.3">
      <c r="A259" s="21"/>
      <c r="B259" s="7" t="str">
        <v>Ehab Abbas</v>
      </c>
      <c r="C259" s="16">
        <v>45929</v>
      </c>
      <c r="D259" s="7" t="str">
        <v>InfoBeans</v>
      </c>
      <c r="E259" s="17">
        <v>32400</v>
      </c>
      <c r="F259" s="11" t="str">
        <v>Pending</v>
      </c>
      <c r="G259" s="16" t="str">
        <v>NA</v>
      </c>
      <c r="H259" s="7">
        <f t="shared" ref="H259:H260" ca="1" si="34">IF(G259&lt;&gt;"NA", G259 - C259, TODAY() - C259)</f>
        <v>113</v>
      </c>
      <c r="I259" s="7" t="str">
        <f t="shared" ref="I259:I260" ca="1" si="35">IF(H259&gt;=90,"Yes","No")</f>
        <v>Yes</v>
      </c>
    </row>
    <row r="260" spans="1:11" x14ac:dyDescent="0.3">
      <c r="A260" s="22"/>
      <c r="B260" s="7"/>
      <c r="C260" s="16"/>
      <c r="D260" s="7"/>
      <c r="E260" s="17"/>
      <c r="F260" s="11"/>
      <c r="G260" s="16"/>
      <c r="H260" s="7">
        <f t="shared" ca="1" si="34"/>
        <v>0</v>
      </c>
      <c r="I260" s="7" t="str">
        <f t="shared" ca="1" si="35"/>
        <v>No</v>
      </c>
    </row>
    <row r="262" spans="1:11" x14ac:dyDescent="0.3">
      <c r="A262" s="5" t="s">
        <v>1</v>
      </c>
      <c r="B262" s="5" t="s">
        <v>2</v>
      </c>
      <c r="C262" s="5" t="s">
        <v>3</v>
      </c>
      <c r="D262" s="5" t="s">
        <v>46</v>
      </c>
      <c r="E262" s="5" t="s">
        <v>5</v>
      </c>
      <c r="F262" s="5" t="s">
        <v>6</v>
      </c>
      <c r="G262" s="6" t="s">
        <v>7</v>
      </c>
      <c r="H262" s="5" t="s">
        <v>8</v>
      </c>
      <c r="I262" s="5" t="s">
        <v>25</v>
      </c>
      <c r="J262" s="5" t="s">
        <v>10</v>
      </c>
      <c r="K262" s="5" t="s">
        <v>11</v>
      </c>
    </row>
    <row r="263" spans="1:11" x14ac:dyDescent="0.3">
      <c r="A263" s="7" t="s">
        <v>12</v>
      </c>
      <c r="B263" s="8" t="s">
        <v>48</v>
      </c>
      <c r="C263" s="7" t="str">
        <f>_xlfn.XLOOKUP($B263,'[1]Data Validation (2)'!$B$3:$B$31,'[1]Data Validation (2)'!$C$3:$C$31)</f>
        <v>Rohini Parihar</v>
      </c>
      <c r="D263" s="7">
        <f>_xlfn.XLOOKUP($B263,'[1]Ach % - L4'!$B$2:$B$27,'[1]Ach % - L4'!$E$2:$E$27)</f>
        <v>4</v>
      </c>
      <c r="E263" s="9">
        <f>_xlfn.XLOOKUP($B263,'[1]Ach % - L4'!$B$2:$B$27,'[1]Ach % - L4'!$G$2:$G$27)</f>
        <v>0.25</v>
      </c>
      <c r="F263" s="10">
        <f>SUM(E265:E269)</f>
        <v>37500</v>
      </c>
      <c r="G263" s="10">
        <f ca="1">SUMIFS($E264:$E270,$I264:$I270,"yes",F264:F270,"Done")</f>
        <v>0</v>
      </c>
      <c r="H263" s="11" cm="1">
        <f t="array" ref="H263">_xlfn.IFS($E263&lt;=1%,0%,$E263&lt;=50%,1.75%,$E263&lt;=70%,2.25%,$E263&lt;=85%,2.75%,$E263&gt;85%,4%)</f>
        <v>1.7500000000000002E-2</v>
      </c>
      <c r="I263" s="10">
        <f>F263*H263</f>
        <v>656.25000000000011</v>
      </c>
      <c r="J263" s="7">
        <f>I263*80</f>
        <v>52500.000000000007</v>
      </c>
      <c r="K263" s="8">
        <f ca="1">(G263*H263)*80</f>
        <v>0</v>
      </c>
    </row>
    <row r="264" spans="1:11" x14ac:dyDescent="0.3">
      <c r="A264" s="14" t="s">
        <v>2</v>
      </c>
      <c r="B264" s="14" t="s">
        <v>14</v>
      </c>
      <c r="C264" s="14" t="s">
        <v>15</v>
      </c>
      <c r="D264" s="14" t="s">
        <v>16</v>
      </c>
      <c r="E264" s="14" t="s">
        <v>17</v>
      </c>
      <c r="F264" s="14" t="s">
        <v>18</v>
      </c>
      <c r="G264" s="14" t="s">
        <v>19</v>
      </c>
      <c r="H264" s="14" t="s">
        <v>20</v>
      </c>
      <c r="I264" s="14" t="s">
        <v>21</v>
      </c>
    </row>
    <row r="265" spans="1:11" x14ac:dyDescent="0.3">
      <c r="A265" s="20" t="str">
        <f>B263</f>
        <v>Anam Hasan</v>
      </c>
      <c r="B265" s="7" t="str" cm="1">
        <f t="array" ref="B265:G265">IFERROR(_xlfn.CHOOSECOLS(_xlfn._xlws.FILTER('[1]Vantedge - dummy Placement data'!E:U, '[1]Vantedge - dummy Placement data'!I:I=$B263), 1, 7, 9, 11, 14, 8), "")</f>
        <v>Minoji Thomas</v>
      </c>
      <c r="C265" s="16">
        <v>45910</v>
      </c>
      <c r="D265" s="7" t="str">
        <v>Infogain</v>
      </c>
      <c r="E265" s="17">
        <v>37500</v>
      </c>
      <c r="F265" s="11" t="str">
        <v>Pending</v>
      </c>
      <c r="G265" s="16" t="str">
        <v>NA</v>
      </c>
      <c r="H265" s="7">
        <f ca="1">IF(G265&lt;&gt;"NA", G265 - C265, TODAY() - C265)</f>
        <v>132</v>
      </c>
      <c r="I265" s="7" t="str">
        <f ca="1">IF(H265&gt;=90,"Yes","No")</f>
        <v>Yes</v>
      </c>
    </row>
    <row r="266" spans="1:11" x14ac:dyDescent="0.3">
      <c r="A266" s="21"/>
      <c r="B266" s="7"/>
      <c r="C266" s="16"/>
      <c r="D266" s="7"/>
      <c r="E266" s="17"/>
      <c r="F266" s="11"/>
      <c r="G266" s="16"/>
      <c r="H266" s="7">
        <f ca="1">IF(G266&lt;&gt;"NA", G266 - C266, TODAY() - C266)</f>
        <v>0</v>
      </c>
      <c r="I266" s="7" t="str">
        <f ca="1">IF(H266&gt;=90,"Yes","No")</f>
        <v>No</v>
      </c>
    </row>
    <row r="267" spans="1:11" x14ac:dyDescent="0.3">
      <c r="A267" s="21"/>
      <c r="B267" s="7"/>
      <c r="C267" s="16"/>
      <c r="D267" s="7"/>
      <c r="E267" s="17"/>
      <c r="F267" s="11"/>
      <c r="G267" s="16"/>
      <c r="H267" s="7">
        <f ca="1">IF(G267&lt;&gt;"NA", G267 - C267, TODAY() - C267)</f>
        <v>0</v>
      </c>
      <c r="I267" s="7" t="str">
        <f ca="1">IF(H267&gt;=90,"Yes","No")</f>
        <v>No</v>
      </c>
    </row>
    <row r="268" spans="1:11" x14ac:dyDescent="0.3">
      <c r="A268" s="21"/>
      <c r="B268" s="7"/>
      <c r="C268" s="16"/>
      <c r="D268" s="7"/>
      <c r="E268" s="17"/>
      <c r="F268" s="11"/>
      <c r="G268" s="16"/>
      <c r="H268" s="7">
        <f t="shared" ref="H268:H269" ca="1" si="36">IF(G268&lt;&gt;"NA", G268 - C268, TODAY() - C268)</f>
        <v>0</v>
      </c>
      <c r="I268" s="7" t="str">
        <f t="shared" ref="I268:I269" ca="1" si="37">IF(H268&gt;=90,"Yes","No")</f>
        <v>No</v>
      </c>
    </row>
    <row r="269" spans="1:11" x14ac:dyDescent="0.3">
      <c r="A269" s="22"/>
      <c r="B269" s="7"/>
      <c r="C269" s="16"/>
      <c r="D269" s="7"/>
      <c r="E269" s="17"/>
      <c r="F269" s="11"/>
      <c r="G269" s="16"/>
      <c r="H269" s="7">
        <f t="shared" ca="1" si="36"/>
        <v>0</v>
      </c>
      <c r="I269" s="7" t="str">
        <f t="shared" ca="1" si="37"/>
        <v>No</v>
      </c>
    </row>
    <row r="271" spans="1:11" x14ac:dyDescent="0.3">
      <c r="A271" s="5" t="s">
        <v>1</v>
      </c>
      <c r="B271" s="5" t="s">
        <v>2</v>
      </c>
      <c r="C271" s="5" t="s">
        <v>3</v>
      </c>
      <c r="D271" s="5" t="s">
        <v>46</v>
      </c>
      <c r="E271" s="5" t="s">
        <v>5</v>
      </c>
      <c r="F271" s="5" t="s">
        <v>6</v>
      </c>
      <c r="G271" s="6" t="s">
        <v>7</v>
      </c>
      <c r="H271" s="5" t="s">
        <v>8</v>
      </c>
      <c r="I271" s="5" t="s">
        <v>25</v>
      </c>
      <c r="J271" s="5" t="s">
        <v>10</v>
      </c>
      <c r="K271" s="6" t="s">
        <v>11</v>
      </c>
    </row>
    <row r="272" spans="1:11" x14ac:dyDescent="0.3">
      <c r="A272" s="7" t="s">
        <v>12</v>
      </c>
      <c r="B272" s="8" t="s">
        <v>49</v>
      </c>
      <c r="C272" s="7" t="str">
        <f>_xlfn.XLOOKUP($B272,'[1]Data Validation (2)'!$B$3:$B$31,'[1]Data Validation (2)'!$C$3:$C$31)</f>
        <v>Rohini Parihar</v>
      </c>
      <c r="D272" s="7">
        <f>_xlfn.XLOOKUP($B272,'[1]Ach % - L4'!$B$2:$B$27,'[1]Ach % - L4'!$E$2:$E$27)</f>
        <v>4</v>
      </c>
      <c r="E272" s="9">
        <f>_xlfn.XLOOKUP($B272,'[1]Ach % - L4'!$B$2:$B$27,'[1]Ach % - L4'!$G$2:$G$27)</f>
        <v>0.75</v>
      </c>
      <c r="F272" s="10">
        <f>SUM(E274:E278)</f>
        <v>75950</v>
      </c>
      <c r="G272" s="10">
        <f ca="1">SUMIFS($E273:$E279,$I273:$I279,"yes",F273:F279,"Done")</f>
        <v>46050</v>
      </c>
      <c r="H272" s="11" cm="1">
        <f t="array" ref="H272">_xlfn.IFS($E272&lt;=1%,0%,$E272&lt;=50%,1.75%,$E272&lt;=70%,2.25%,$E272&lt;=85%,2.75%,$E272&gt;85%,4%)</f>
        <v>2.75E-2</v>
      </c>
      <c r="I272" s="10">
        <f>F272*H272</f>
        <v>2088.625</v>
      </c>
      <c r="J272" s="7">
        <f>I272*80</f>
        <v>167090</v>
      </c>
      <c r="K272" s="8">
        <f ca="1">(G272*H272)*80</f>
        <v>101310</v>
      </c>
    </row>
    <row r="273" spans="1:11" x14ac:dyDescent="0.3">
      <c r="A273" s="14" t="s">
        <v>2</v>
      </c>
      <c r="B273" s="14" t="s">
        <v>14</v>
      </c>
      <c r="C273" s="14" t="s">
        <v>15</v>
      </c>
      <c r="D273" s="14" t="s">
        <v>16</v>
      </c>
      <c r="E273" s="14" t="s">
        <v>17</v>
      </c>
      <c r="F273" s="14" t="s">
        <v>18</v>
      </c>
      <c r="G273" s="14" t="s">
        <v>19</v>
      </c>
      <c r="H273" s="14" t="s">
        <v>20</v>
      </c>
      <c r="I273" s="14" t="s">
        <v>21</v>
      </c>
    </row>
    <row r="274" spans="1:11" x14ac:dyDescent="0.3">
      <c r="A274" s="20" t="str">
        <f>B272</f>
        <v>Tanya Mishra</v>
      </c>
      <c r="B274" s="7" t="str" cm="1">
        <f t="array" ref="B274:G276">IFERROR(_xlfn.CHOOSECOLS(_xlfn._xlws.FILTER('[1]Vantedge - dummy Placement data'!E:U, '[1]Vantedge - dummy Placement data'!I:I=$B272), 1, 7, 9, 11, 14, 8), "")</f>
        <v>Sindhu Venkatesh</v>
      </c>
      <c r="C274" s="16">
        <v>45698</v>
      </c>
      <c r="D274" s="7" t="str">
        <v>QualiZeal </v>
      </c>
      <c r="E274" s="17">
        <v>18750</v>
      </c>
      <c r="F274" s="11" t="str">
        <v>done</v>
      </c>
      <c r="G274" s="16" t="str">
        <v>NA</v>
      </c>
      <c r="H274" s="7">
        <f ca="1">IF(G274&lt;&gt;"NA", G274 - C274, TODAY() - C274)</f>
        <v>344</v>
      </c>
      <c r="I274" s="7" t="str">
        <f ca="1">IF(H274&gt;=90,"Yes","No")</f>
        <v>Yes</v>
      </c>
    </row>
    <row r="275" spans="1:11" x14ac:dyDescent="0.3">
      <c r="A275" s="21"/>
      <c r="B275" s="7" t="str">
        <v>Juan salazar</v>
      </c>
      <c r="C275" s="16">
        <v>45705</v>
      </c>
      <c r="D275" s="7" t="str">
        <v>Myridius</v>
      </c>
      <c r="E275" s="17">
        <v>27300</v>
      </c>
      <c r="F275" s="11" t="str">
        <v>Done</v>
      </c>
      <c r="G275" s="16" t="str">
        <v>NA</v>
      </c>
      <c r="H275" s="7">
        <f ca="1">IF(G275&lt;&gt;"NA", G275 - C275, TODAY() - C275)</f>
        <v>337</v>
      </c>
      <c r="I275" s="7" t="str">
        <f ca="1">IF(H275&gt;=90,"Yes","No")</f>
        <v>Yes</v>
      </c>
    </row>
    <row r="276" spans="1:11" x14ac:dyDescent="0.3">
      <c r="A276" s="21"/>
      <c r="B276" s="7" t="str">
        <v>Satish Manam</v>
      </c>
      <c r="C276" s="16">
        <v>45740</v>
      </c>
      <c r="D276" s="7" t="str">
        <v>Digitide</v>
      </c>
      <c r="E276" s="17">
        <v>29900</v>
      </c>
      <c r="F276" s="11" t="str">
        <v>Pending</v>
      </c>
      <c r="G276" s="16" t="str">
        <v>NA</v>
      </c>
      <c r="H276" s="7">
        <f ca="1">IF(G276&lt;&gt;"NA", G276 - C276, TODAY() - C276)</f>
        <v>302</v>
      </c>
      <c r="I276" s="7" t="str">
        <f ca="1">IF(H276&gt;=90,"Yes","No")</f>
        <v>Yes</v>
      </c>
    </row>
    <row r="277" spans="1:11" x14ac:dyDescent="0.3">
      <c r="A277" s="21"/>
      <c r="B277" s="7"/>
      <c r="C277" s="16"/>
      <c r="D277" s="7"/>
      <c r="E277" s="17"/>
      <c r="F277" s="11"/>
      <c r="G277" s="16"/>
      <c r="H277" s="7">
        <f t="shared" ref="H277:H278" ca="1" si="38">IF(G277&lt;&gt;"NA", G277 - C277, TODAY() - C277)</f>
        <v>0</v>
      </c>
      <c r="I277" s="7" t="str">
        <f t="shared" ref="I277:I278" ca="1" si="39">IF(H277&gt;=90,"Yes","No")</f>
        <v>No</v>
      </c>
    </row>
    <row r="278" spans="1:11" x14ac:dyDescent="0.3">
      <c r="A278" s="22"/>
      <c r="B278" s="7"/>
      <c r="C278" s="16"/>
      <c r="D278" s="7"/>
      <c r="E278" s="17"/>
      <c r="F278" s="11"/>
      <c r="G278" s="16"/>
      <c r="H278" s="7">
        <f t="shared" ca="1" si="38"/>
        <v>0</v>
      </c>
      <c r="I278" s="7" t="str">
        <f t="shared" ca="1" si="39"/>
        <v>No</v>
      </c>
    </row>
    <row r="280" spans="1:11" x14ac:dyDescent="0.3">
      <c r="A280" s="5" t="s">
        <v>1</v>
      </c>
      <c r="B280" s="5" t="s">
        <v>2</v>
      </c>
      <c r="C280" s="5" t="s">
        <v>3</v>
      </c>
      <c r="D280" s="5" t="s">
        <v>46</v>
      </c>
      <c r="E280" s="5" t="s">
        <v>5</v>
      </c>
      <c r="F280" s="5" t="s">
        <v>6</v>
      </c>
      <c r="G280" s="6" t="s">
        <v>7</v>
      </c>
      <c r="H280" s="5" t="s">
        <v>8</v>
      </c>
      <c r="I280" s="5" t="s">
        <v>25</v>
      </c>
      <c r="J280" s="5" t="s">
        <v>10</v>
      </c>
      <c r="K280" s="5" t="s">
        <v>11</v>
      </c>
    </row>
    <row r="281" spans="1:11" x14ac:dyDescent="0.3">
      <c r="A281" s="7" t="s">
        <v>12</v>
      </c>
      <c r="B281" s="8" t="s">
        <v>50</v>
      </c>
      <c r="C281" s="7" t="str">
        <f>_xlfn.XLOOKUP($B281,'[1]Data Validation (2)'!$B$3:$B$31,'[1]Data Validation (2)'!$C$3:$C$31)</f>
        <v>Rohini Parihar</v>
      </c>
      <c r="D281" s="7">
        <f>_xlfn.XLOOKUP($B281,'[1]Ach % - L4'!$B$2:$B$27,'[1]Ach % - L4'!$E$2:$E$27)</f>
        <v>4</v>
      </c>
      <c r="E281" s="9">
        <f>_xlfn.XLOOKUP($B281,'[1]Ach % - L4'!$B$2:$B$27,'[1]Ach % - L4'!$G$2:$G$27)</f>
        <v>0</v>
      </c>
      <c r="F281" s="10">
        <f>SUM(E283:E287)</f>
        <v>0</v>
      </c>
      <c r="G281" s="10">
        <f ca="1">SUMIFS($E282:$E288,$I282:$I288,"yes",F282:F288,"Done")</f>
        <v>0</v>
      </c>
      <c r="H281" s="11" cm="1">
        <f t="array" ref="H281">_xlfn.IFS($E281&lt;=1%,0%,$E281&lt;=50%,1.75%,$E281&lt;=70%,2.25%,$E281&lt;=85%,2.75%,$E281&gt;85%,4%)</f>
        <v>0</v>
      </c>
      <c r="I281" s="10">
        <f>F281*H281</f>
        <v>0</v>
      </c>
      <c r="J281" s="7">
        <f>I281*80</f>
        <v>0</v>
      </c>
      <c r="K281" s="8">
        <f ca="1">(G281*H281)*80</f>
        <v>0</v>
      </c>
    </row>
    <row r="282" spans="1:11" x14ac:dyDescent="0.3">
      <c r="A282" s="14" t="s">
        <v>2</v>
      </c>
      <c r="B282" s="14" t="s">
        <v>14</v>
      </c>
      <c r="C282" s="14" t="s">
        <v>15</v>
      </c>
      <c r="D282" s="14" t="s">
        <v>16</v>
      </c>
      <c r="E282" s="14" t="s">
        <v>17</v>
      </c>
      <c r="F282" s="14" t="s">
        <v>18</v>
      </c>
      <c r="G282" s="14" t="s">
        <v>19</v>
      </c>
      <c r="H282" s="14" t="s">
        <v>20</v>
      </c>
      <c r="I282" s="14" t="s">
        <v>21</v>
      </c>
    </row>
    <row r="283" spans="1:11" x14ac:dyDescent="0.3">
      <c r="A283" s="20" t="str">
        <f>B281</f>
        <v>Devashish Sinha</v>
      </c>
      <c r="B283" s="7" t="str" cm="1">
        <f t="array" ref="B283">IFERROR(_xlfn.CHOOSECOLS(_xlfn._xlws.FILTER('[1]Vantedge - dummy Placement data'!E:U, '[1]Vantedge - dummy Placement data'!I:I=$B281), 1, 7, 9, 11, 14, 8), "")</f>
        <v/>
      </c>
      <c r="C283" s="16"/>
      <c r="D283" s="7"/>
      <c r="E283" s="17"/>
      <c r="F283" s="11"/>
      <c r="G283" s="16"/>
      <c r="H283" s="7">
        <f ca="1">IF(G283&lt;&gt;"NA", G283 - C283, TODAY() - C283)</f>
        <v>0</v>
      </c>
      <c r="I283" s="7" t="str">
        <f ca="1">IF(H283&gt;=90,"Yes","No")</f>
        <v>No</v>
      </c>
    </row>
    <row r="284" spans="1:11" x14ac:dyDescent="0.3">
      <c r="A284" s="21"/>
      <c r="B284" s="7"/>
      <c r="C284" s="16"/>
      <c r="D284" s="7"/>
      <c r="E284" s="17"/>
      <c r="F284" s="11"/>
      <c r="G284" s="16"/>
      <c r="H284" s="7">
        <f ca="1">IF(G284&lt;&gt;"NA", G284 - C284, TODAY() - C284)</f>
        <v>0</v>
      </c>
      <c r="I284" s="7" t="str">
        <f ca="1">IF(H284&gt;=90,"Yes","No")</f>
        <v>No</v>
      </c>
    </row>
    <row r="285" spans="1:11" x14ac:dyDescent="0.3">
      <c r="A285" s="21"/>
      <c r="B285" s="7"/>
      <c r="C285" s="16"/>
      <c r="D285" s="7"/>
      <c r="E285" s="17"/>
      <c r="F285" s="11"/>
      <c r="G285" s="16"/>
      <c r="H285" s="7">
        <f ca="1">IF(G285&lt;&gt;"NA", G285 - C285, TODAY() - C285)</f>
        <v>0</v>
      </c>
      <c r="I285" s="7" t="str">
        <f ca="1">IF(H285&gt;=90,"Yes","No")</f>
        <v>No</v>
      </c>
    </row>
    <row r="286" spans="1:11" x14ac:dyDescent="0.3">
      <c r="A286" s="21"/>
      <c r="B286" s="7"/>
      <c r="C286" s="16"/>
      <c r="D286" s="7"/>
      <c r="E286" s="17"/>
      <c r="F286" s="11"/>
      <c r="G286" s="16"/>
      <c r="H286" s="7">
        <f t="shared" ref="H286:H287" ca="1" si="40">IF(G286&lt;&gt;"NA", G286 - C286, TODAY() - C286)</f>
        <v>0</v>
      </c>
      <c r="I286" s="7" t="str">
        <f t="shared" ref="I286:I287" ca="1" si="41">IF(H286&gt;=90,"Yes","No")</f>
        <v>No</v>
      </c>
    </row>
    <row r="287" spans="1:11" x14ac:dyDescent="0.3">
      <c r="A287" s="22"/>
      <c r="B287" s="7"/>
      <c r="C287" s="16"/>
      <c r="D287" s="7"/>
      <c r="E287" s="17"/>
      <c r="F287" s="11"/>
      <c r="G287" s="16"/>
      <c r="H287" s="7">
        <f t="shared" ca="1" si="40"/>
        <v>0</v>
      </c>
      <c r="I287" s="7" t="str">
        <f t="shared" ca="1" si="41"/>
        <v>No</v>
      </c>
    </row>
  </sheetData>
  <mergeCells count="26">
    <mergeCell ref="A274:A278"/>
    <mergeCell ref="A283:A287"/>
    <mergeCell ref="A216:A222"/>
    <mergeCell ref="A230:A236"/>
    <mergeCell ref="A242:A248"/>
    <mergeCell ref="A250:P251"/>
    <mergeCell ref="A256:A260"/>
    <mergeCell ref="A265:A269"/>
    <mergeCell ref="A143:A150"/>
    <mergeCell ref="A156:A162"/>
    <mergeCell ref="A167:A173"/>
    <mergeCell ref="A179:A185"/>
    <mergeCell ref="A191:A197"/>
    <mergeCell ref="A203:A209"/>
    <mergeCell ref="A64:A70"/>
    <mergeCell ref="A79:A85"/>
    <mergeCell ref="A91:A97"/>
    <mergeCell ref="A103:A109"/>
    <mergeCell ref="A116:A122"/>
    <mergeCell ref="A129:A136"/>
    <mergeCell ref="A1:L1"/>
    <mergeCell ref="A6:A13"/>
    <mergeCell ref="A19:A25"/>
    <mergeCell ref="A31:A36"/>
    <mergeCell ref="A42:A47"/>
    <mergeCell ref="A54:A59"/>
  </mergeCells>
  <conditionalFormatting sqref="F6:F13">
    <cfRule type="containsText" dxfId="237" priority="282" operator="containsText" text="No Bill No Pay">
      <formula>NOT(ISERROR(SEARCH("No Bill No Pay",F6)))</formula>
    </cfRule>
    <cfRule type="cellIs" priority="283" operator="equal">
      <formula>"No Bill No Pay"</formula>
    </cfRule>
    <cfRule type="containsText" dxfId="238" priority="284" operator="containsText" text="Pending">
      <formula>NOT(ISERROR(SEARCH("Pending",F6)))</formula>
    </cfRule>
    <cfRule type="containsText" dxfId="239" priority="285" operator="containsText" text="Done">
      <formula>NOT(ISERROR(SEARCH("Done",F6)))</formula>
    </cfRule>
  </conditionalFormatting>
  <conditionalFormatting sqref="F19:F23">
    <cfRule type="containsText" dxfId="234" priority="276" operator="containsText" text="No Bill No Pay">
      <formula>NOT(ISERROR(SEARCH("No Bill No Pay",F19)))</formula>
    </cfRule>
    <cfRule type="cellIs" priority="277" operator="equal">
      <formula>"No Bill No Pay"</formula>
    </cfRule>
    <cfRule type="containsText" dxfId="235" priority="278" operator="containsText" text="Pending">
      <formula>NOT(ISERROR(SEARCH("Pending",F19)))</formula>
    </cfRule>
    <cfRule type="containsText" dxfId="236" priority="279" operator="containsText" text="Done">
      <formula>NOT(ISERROR(SEARCH("Done",F19)))</formula>
    </cfRule>
  </conditionalFormatting>
  <conditionalFormatting sqref="F31:F36">
    <cfRule type="containsText" dxfId="231" priority="270" operator="containsText" text="No Bill No Pay">
      <formula>NOT(ISERROR(SEARCH("No Bill No Pay",F31)))</formula>
    </cfRule>
    <cfRule type="cellIs" priority="271" operator="equal">
      <formula>"No Bill No Pay"</formula>
    </cfRule>
    <cfRule type="containsText" dxfId="232" priority="272" operator="containsText" text="Pending">
      <formula>NOT(ISERROR(SEARCH("Pending",F31)))</formula>
    </cfRule>
    <cfRule type="containsText" dxfId="233" priority="273" operator="containsText" text="Done">
      <formula>NOT(ISERROR(SEARCH("Done",F31)))</formula>
    </cfRule>
  </conditionalFormatting>
  <conditionalFormatting sqref="F42:F47">
    <cfRule type="containsText" dxfId="228" priority="264" operator="containsText" text="No Bill No Pay">
      <formula>NOT(ISERROR(SEARCH("No Bill No Pay",F42)))</formula>
    </cfRule>
    <cfRule type="cellIs" priority="265" operator="equal">
      <formula>"No Bill No Pay"</formula>
    </cfRule>
    <cfRule type="containsText" dxfId="229" priority="266" operator="containsText" text="Pending">
      <formula>NOT(ISERROR(SEARCH("Pending",F42)))</formula>
    </cfRule>
    <cfRule type="containsText" dxfId="230" priority="267" operator="containsText" text="Done">
      <formula>NOT(ISERROR(SEARCH("Done",F42)))</formula>
    </cfRule>
  </conditionalFormatting>
  <conditionalFormatting sqref="F54:F59">
    <cfRule type="containsText" dxfId="225" priority="258" operator="containsText" text="No Bill No Pay">
      <formula>NOT(ISERROR(SEARCH("No Bill No Pay",F54)))</formula>
    </cfRule>
    <cfRule type="cellIs" priority="259" operator="equal">
      <formula>"No Bill No Pay"</formula>
    </cfRule>
    <cfRule type="containsText" dxfId="226" priority="260" operator="containsText" text="Pending">
      <formula>NOT(ISERROR(SEARCH("Pending",F54)))</formula>
    </cfRule>
    <cfRule type="containsText" dxfId="227" priority="261" operator="containsText" text="Done">
      <formula>NOT(ISERROR(SEARCH("Done",F54)))</formula>
    </cfRule>
  </conditionalFormatting>
  <conditionalFormatting sqref="F64:F70">
    <cfRule type="containsText" dxfId="222" priority="252" operator="containsText" text="No Bill No Pay">
      <formula>NOT(ISERROR(SEARCH("No Bill No Pay",F64)))</formula>
    </cfRule>
    <cfRule type="cellIs" priority="253" operator="equal">
      <formula>"No Bill No Pay"</formula>
    </cfRule>
    <cfRule type="containsText" dxfId="223" priority="254" operator="containsText" text="Pending">
      <formula>NOT(ISERROR(SEARCH("Pending",F64)))</formula>
    </cfRule>
    <cfRule type="containsText" dxfId="224" priority="255" operator="containsText" text="Done">
      <formula>NOT(ISERROR(SEARCH("Done",F64)))</formula>
    </cfRule>
  </conditionalFormatting>
  <conditionalFormatting sqref="F79:F85">
    <cfRule type="containsText" dxfId="220" priority="243" operator="containsText" text="No Bill No Pay">
      <formula>NOT(ISERROR(SEARCH("No Bill No Pay",F79)))</formula>
    </cfRule>
    <cfRule type="cellIs" priority="244" operator="equal">
      <formula>"No Bill No Pay"</formula>
    </cfRule>
    <cfRule type="containsText" dxfId="221" priority="245" operator="containsText" text="Pending">
      <formula>NOT(ISERROR(SEARCH("Pending",F79)))</formula>
    </cfRule>
    <cfRule type="containsText" dxfId="219" priority="246" operator="containsText" text="Done">
      <formula>NOT(ISERROR(SEARCH("Done",F79)))</formula>
    </cfRule>
  </conditionalFormatting>
  <conditionalFormatting sqref="F91:F97">
    <cfRule type="containsText" dxfId="216" priority="234" operator="containsText" text="No Bill No Pay">
      <formula>NOT(ISERROR(SEARCH("No Bill No Pay",F91)))</formula>
    </cfRule>
    <cfRule type="cellIs" priority="235" operator="equal">
      <formula>"No Bill No Pay"</formula>
    </cfRule>
    <cfRule type="containsText" dxfId="217" priority="236" operator="containsText" text="Pending">
      <formula>NOT(ISERROR(SEARCH("Pending",F91)))</formula>
    </cfRule>
    <cfRule type="containsText" dxfId="218" priority="237" operator="containsText" text="Done">
      <formula>NOT(ISERROR(SEARCH("Done",F91)))</formula>
    </cfRule>
  </conditionalFormatting>
  <conditionalFormatting sqref="F103:F109">
    <cfRule type="containsText" dxfId="213" priority="225" operator="containsText" text="No Bill No Pay">
      <formula>NOT(ISERROR(SEARCH("No Bill No Pay",F103)))</formula>
    </cfRule>
    <cfRule type="cellIs" priority="226" operator="equal">
      <formula>"No Bill No Pay"</formula>
    </cfRule>
    <cfRule type="containsText" dxfId="214" priority="227" operator="containsText" text="Pending">
      <formula>NOT(ISERROR(SEARCH("Pending",F103)))</formula>
    </cfRule>
    <cfRule type="containsText" dxfId="215" priority="228" operator="containsText" text="Done">
      <formula>NOT(ISERROR(SEARCH("Done",F103)))</formula>
    </cfRule>
  </conditionalFormatting>
  <conditionalFormatting sqref="F116:F122">
    <cfRule type="containsText" dxfId="211" priority="216" operator="containsText" text="No Bill No Pay">
      <formula>NOT(ISERROR(SEARCH("No Bill No Pay",F116)))</formula>
    </cfRule>
    <cfRule type="cellIs" priority="217" operator="equal">
      <formula>"No Bill No Pay"</formula>
    </cfRule>
    <cfRule type="containsText" dxfId="212" priority="218" operator="containsText" text="Pending">
      <formula>NOT(ISERROR(SEARCH("Pending",F116)))</formula>
    </cfRule>
    <cfRule type="containsText" dxfId="210" priority="219" operator="containsText" text="Done">
      <formula>NOT(ISERROR(SEARCH("Done",F116)))</formula>
    </cfRule>
  </conditionalFormatting>
  <conditionalFormatting sqref="F129:F136">
    <cfRule type="containsText" dxfId="209" priority="207" operator="containsText" text="No Bill No Pay">
      <formula>NOT(ISERROR(SEARCH("No Bill No Pay",F129)))</formula>
    </cfRule>
    <cfRule type="cellIs" priority="208" operator="equal">
      <formula>"No Bill No Pay"</formula>
    </cfRule>
    <cfRule type="containsText" dxfId="208" priority="209" operator="containsText" text="Pending">
      <formula>NOT(ISERROR(SEARCH("Pending",F129)))</formula>
    </cfRule>
    <cfRule type="containsText" dxfId="207" priority="210" operator="containsText" text="Done">
      <formula>NOT(ISERROR(SEARCH("Done",F129)))</formula>
    </cfRule>
  </conditionalFormatting>
  <conditionalFormatting sqref="F143:F150">
    <cfRule type="containsText" dxfId="204" priority="198" operator="containsText" text="No Bill No Pay">
      <formula>NOT(ISERROR(SEARCH("No Bill No Pay",F143)))</formula>
    </cfRule>
    <cfRule type="cellIs" priority="199" operator="equal">
      <formula>"No Bill No Pay"</formula>
    </cfRule>
    <cfRule type="containsText" dxfId="205" priority="200" operator="containsText" text="Pending">
      <formula>NOT(ISERROR(SEARCH("Pending",F143)))</formula>
    </cfRule>
    <cfRule type="containsText" dxfId="206" priority="201" operator="containsText" text="Done">
      <formula>NOT(ISERROR(SEARCH("Done",F143)))</formula>
    </cfRule>
  </conditionalFormatting>
  <conditionalFormatting sqref="F156:F162">
    <cfRule type="containsText" dxfId="201" priority="189" operator="containsText" text="No Bill No Pay">
      <formula>NOT(ISERROR(SEARCH("No Bill No Pay",F156)))</formula>
    </cfRule>
    <cfRule type="cellIs" priority="190" operator="equal">
      <formula>"No Bill No Pay"</formula>
    </cfRule>
    <cfRule type="containsText" dxfId="202" priority="191" operator="containsText" text="Pending">
      <formula>NOT(ISERROR(SEARCH("Pending",F156)))</formula>
    </cfRule>
    <cfRule type="containsText" dxfId="203" priority="192" operator="containsText" text="Done">
      <formula>NOT(ISERROR(SEARCH("Done",F156)))</formula>
    </cfRule>
  </conditionalFormatting>
  <conditionalFormatting sqref="F167:F173">
    <cfRule type="containsText" dxfId="198" priority="180" operator="containsText" text="No Bill No Pay">
      <formula>NOT(ISERROR(SEARCH("No Bill No Pay",F167)))</formula>
    </cfRule>
    <cfRule type="cellIs" priority="181" operator="equal">
      <formula>"No Bill No Pay"</formula>
    </cfRule>
    <cfRule type="containsText" dxfId="199" priority="182" operator="containsText" text="Pending">
      <formula>NOT(ISERROR(SEARCH("Pending",F167)))</formula>
    </cfRule>
    <cfRule type="containsText" dxfId="200" priority="183" operator="containsText" text="Done">
      <formula>NOT(ISERROR(SEARCH("Done",F167)))</formula>
    </cfRule>
  </conditionalFormatting>
  <conditionalFormatting sqref="F179:F185">
    <cfRule type="containsText" dxfId="197" priority="171" operator="containsText" text="No Bill No Pay">
      <formula>NOT(ISERROR(SEARCH("No Bill No Pay",F179)))</formula>
    </cfRule>
    <cfRule type="cellIs" priority="172" operator="equal">
      <formula>"No Bill No Pay"</formula>
    </cfRule>
    <cfRule type="containsText" dxfId="195" priority="173" operator="containsText" text="Pending">
      <formula>NOT(ISERROR(SEARCH("Pending",F179)))</formula>
    </cfRule>
    <cfRule type="containsText" dxfId="196" priority="174" operator="containsText" text="Done">
      <formula>NOT(ISERROR(SEARCH("Done",F179)))</formula>
    </cfRule>
  </conditionalFormatting>
  <conditionalFormatting sqref="F191:F197">
    <cfRule type="containsText" dxfId="193" priority="162" operator="containsText" text="No Bill No Pay">
      <formula>NOT(ISERROR(SEARCH("No Bill No Pay",F191)))</formula>
    </cfRule>
    <cfRule type="cellIs" priority="163" operator="equal">
      <formula>"No Bill No Pay"</formula>
    </cfRule>
    <cfRule type="containsText" dxfId="194" priority="164" operator="containsText" text="Pending">
      <formula>NOT(ISERROR(SEARCH("Pending",F191)))</formula>
    </cfRule>
    <cfRule type="containsText" dxfId="192" priority="165" operator="containsText" text="Done">
      <formula>NOT(ISERROR(SEARCH("Done",F191)))</formula>
    </cfRule>
  </conditionalFormatting>
  <conditionalFormatting sqref="F203:F211">
    <cfRule type="containsText" dxfId="190" priority="153" operator="containsText" text="No Bill No Pay">
      <formula>NOT(ISERROR(SEARCH("No Bill No Pay",F203)))</formula>
    </cfRule>
    <cfRule type="cellIs" priority="154" operator="equal">
      <formula>"No Bill No Pay"</formula>
    </cfRule>
    <cfRule type="containsText" dxfId="189" priority="155" operator="containsText" text="Pending">
      <formula>NOT(ISERROR(SEARCH("Pending",F203)))</formula>
    </cfRule>
    <cfRule type="containsText" dxfId="191" priority="156" operator="containsText" text="Done">
      <formula>NOT(ISERROR(SEARCH("Done",F203)))</formula>
    </cfRule>
  </conditionalFormatting>
  <conditionalFormatting sqref="F216:F222">
    <cfRule type="containsText" dxfId="186" priority="144" operator="containsText" text="No Bill No Pay">
      <formula>NOT(ISERROR(SEARCH("No Bill No Pay",F216)))</formula>
    </cfRule>
    <cfRule type="cellIs" priority="145" operator="equal">
      <formula>"No Bill No Pay"</formula>
    </cfRule>
    <cfRule type="containsText" dxfId="188" priority="146" operator="containsText" text="Pending">
      <formula>NOT(ISERROR(SEARCH("Pending",F216)))</formula>
    </cfRule>
    <cfRule type="containsText" dxfId="187" priority="147" operator="containsText" text="Done">
      <formula>NOT(ISERROR(SEARCH("Done",F216)))</formula>
    </cfRule>
  </conditionalFormatting>
  <conditionalFormatting sqref="F230:F236">
    <cfRule type="containsText" dxfId="183" priority="135" operator="containsText" text="No Bill No Pay">
      <formula>NOT(ISERROR(SEARCH("No Bill No Pay",F230)))</formula>
    </cfRule>
    <cfRule type="cellIs" priority="136" operator="equal">
      <formula>"No Bill No Pay"</formula>
    </cfRule>
    <cfRule type="containsText" dxfId="184" priority="137" operator="containsText" text="Pending">
      <formula>NOT(ISERROR(SEARCH("Pending",F230)))</formula>
    </cfRule>
    <cfRule type="containsText" dxfId="185" priority="138" operator="containsText" text="Done">
      <formula>NOT(ISERROR(SEARCH("Done",F230)))</formula>
    </cfRule>
  </conditionalFormatting>
  <conditionalFormatting sqref="F242:F248">
    <cfRule type="containsText" dxfId="182" priority="126" operator="containsText" text="No Bill No Pay">
      <formula>NOT(ISERROR(SEARCH("No Bill No Pay",F242)))</formula>
    </cfRule>
    <cfRule type="cellIs" priority="127" operator="equal">
      <formula>"No Bill No Pay"</formula>
    </cfRule>
    <cfRule type="containsText" dxfId="180" priority="128" operator="containsText" text="Pending">
      <formula>NOT(ISERROR(SEARCH("Pending",F242)))</formula>
    </cfRule>
    <cfRule type="containsText" dxfId="181" priority="129" operator="containsText" text="Done">
      <formula>NOT(ISERROR(SEARCH("Done",F242)))</formula>
    </cfRule>
  </conditionalFormatting>
  <conditionalFormatting sqref="F256:F260">
    <cfRule type="containsText" dxfId="177" priority="117" operator="containsText" text="No Bill No Pay">
      <formula>NOT(ISERROR(SEARCH("No Bill No Pay",F256)))</formula>
    </cfRule>
    <cfRule type="cellIs" priority="118" operator="equal">
      <formula>"No Bill No Pay"</formula>
    </cfRule>
    <cfRule type="containsText" dxfId="179" priority="119" operator="containsText" text="Pending">
      <formula>NOT(ISERROR(SEARCH("Pending",F256)))</formula>
    </cfRule>
    <cfRule type="containsText" dxfId="178" priority="120" operator="containsText" text="Done">
      <formula>NOT(ISERROR(SEARCH("Done",F256)))</formula>
    </cfRule>
  </conditionalFormatting>
  <conditionalFormatting sqref="F265:F269">
    <cfRule type="containsText" dxfId="174" priority="108" operator="containsText" text="No Bill No Pay">
      <formula>NOT(ISERROR(SEARCH("No Bill No Pay",F265)))</formula>
    </cfRule>
    <cfRule type="cellIs" priority="109" operator="equal">
      <formula>"No Bill No Pay"</formula>
    </cfRule>
    <cfRule type="containsText" dxfId="175" priority="110" operator="containsText" text="Pending">
      <formula>NOT(ISERROR(SEARCH("Pending",F265)))</formula>
    </cfRule>
    <cfRule type="containsText" dxfId="176" priority="111" operator="containsText" text="Done">
      <formula>NOT(ISERROR(SEARCH("Done",F265)))</formula>
    </cfRule>
  </conditionalFormatting>
  <conditionalFormatting sqref="F274:F278">
    <cfRule type="containsText" dxfId="172" priority="99" operator="containsText" text="No Bill No Pay">
      <formula>NOT(ISERROR(SEARCH("No Bill No Pay",F274)))</formula>
    </cfRule>
    <cfRule type="cellIs" priority="100" operator="equal">
      <formula>"No Bill No Pay"</formula>
    </cfRule>
    <cfRule type="containsText" dxfId="173" priority="101" operator="containsText" text="Pending">
      <formula>NOT(ISERROR(SEARCH("Pending",F274)))</formula>
    </cfRule>
    <cfRule type="containsText" dxfId="171" priority="102" operator="containsText" text="Done">
      <formula>NOT(ISERROR(SEARCH("Done",F274)))</formula>
    </cfRule>
  </conditionalFormatting>
  <conditionalFormatting sqref="F283:F287">
    <cfRule type="containsText" dxfId="168" priority="90" operator="containsText" text="No Bill No Pay">
      <formula>NOT(ISERROR(SEARCH("No Bill No Pay",F283)))</formula>
    </cfRule>
    <cfRule type="cellIs" priority="91" operator="equal">
      <formula>"No Bill No Pay"</formula>
    </cfRule>
    <cfRule type="containsText" dxfId="170" priority="92" operator="containsText" text="Pending">
      <formula>NOT(ISERROR(SEARCH("Pending",F283)))</formula>
    </cfRule>
    <cfRule type="containsText" dxfId="169" priority="93" operator="containsText" text="Done">
      <formula>NOT(ISERROR(SEARCH("Done",F283)))</formula>
    </cfRule>
  </conditionalFormatting>
  <conditionalFormatting sqref="F78:I78">
    <cfRule type="containsText" dxfId="167" priority="247" operator="containsText" text="No Bill No Pay">
      <formula>NOT(ISERROR(SEARCH("No Bill No Pay",F78)))</formula>
    </cfRule>
    <cfRule type="cellIs" priority="248" operator="equal">
      <formula>"No Bill No Pay"</formula>
    </cfRule>
    <cfRule type="containsText" dxfId="166" priority="249" operator="containsText" text="Pending">
      <formula>NOT(ISERROR(SEARCH("Pending",F78)))</formula>
    </cfRule>
  </conditionalFormatting>
  <conditionalFormatting sqref="F90:I90">
    <cfRule type="containsText" dxfId="165" priority="238" operator="containsText" text="No Bill No Pay">
      <formula>NOT(ISERROR(SEARCH("No Bill No Pay",F90)))</formula>
    </cfRule>
    <cfRule type="cellIs" priority="239" operator="equal">
      <formula>"No Bill No Pay"</formula>
    </cfRule>
    <cfRule type="containsText" dxfId="164" priority="240" operator="containsText" text="Pending">
      <formula>NOT(ISERROR(SEARCH("Pending",F90)))</formula>
    </cfRule>
  </conditionalFormatting>
  <conditionalFormatting sqref="F102:I102">
    <cfRule type="containsText" dxfId="162" priority="229" operator="containsText" text="No Bill No Pay">
      <formula>NOT(ISERROR(SEARCH("No Bill No Pay",F102)))</formula>
    </cfRule>
    <cfRule type="cellIs" priority="230" operator="equal">
      <formula>"No Bill No Pay"</formula>
    </cfRule>
    <cfRule type="containsText" dxfId="163" priority="231" operator="containsText" text="Pending">
      <formula>NOT(ISERROR(SEARCH("Pending",F102)))</formula>
    </cfRule>
  </conditionalFormatting>
  <conditionalFormatting sqref="F115:I115">
    <cfRule type="containsText" dxfId="160" priority="220" operator="containsText" text="No Bill No Pay">
      <formula>NOT(ISERROR(SEARCH("No Bill No Pay",F115)))</formula>
    </cfRule>
    <cfRule type="cellIs" priority="221" operator="equal">
      <formula>"No Bill No Pay"</formula>
    </cfRule>
    <cfRule type="containsText" dxfId="161" priority="222" operator="containsText" text="Pending">
      <formula>NOT(ISERROR(SEARCH("Pending",F115)))</formula>
    </cfRule>
  </conditionalFormatting>
  <conditionalFormatting sqref="F128:I128">
    <cfRule type="containsText" dxfId="159" priority="211" operator="containsText" text="No Bill No Pay">
      <formula>NOT(ISERROR(SEARCH("No Bill No Pay",F128)))</formula>
    </cfRule>
    <cfRule type="cellIs" priority="212" operator="equal">
      <formula>"No Bill No Pay"</formula>
    </cfRule>
    <cfRule type="containsText" dxfId="158" priority="213" operator="containsText" text="Pending">
      <formula>NOT(ISERROR(SEARCH("Pending",F128)))</formula>
    </cfRule>
  </conditionalFormatting>
  <conditionalFormatting sqref="F142:I142">
    <cfRule type="containsText" dxfId="157" priority="202" operator="containsText" text="No Bill No Pay">
      <formula>NOT(ISERROR(SEARCH("No Bill No Pay",F142)))</formula>
    </cfRule>
    <cfRule type="cellIs" priority="203" operator="equal">
      <formula>"No Bill No Pay"</formula>
    </cfRule>
    <cfRule type="containsText" dxfId="156" priority="204" operator="containsText" text="Pending">
      <formula>NOT(ISERROR(SEARCH("Pending",F142)))</formula>
    </cfRule>
  </conditionalFormatting>
  <conditionalFormatting sqref="F155:I155">
    <cfRule type="containsText" dxfId="155" priority="193" operator="containsText" text="No Bill No Pay">
      <formula>NOT(ISERROR(SEARCH("No Bill No Pay",F155)))</formula>
    </cfRule>
    <cfRule type="cellIs" priority="194" operator="equal">
      <formula>"No Bill No Pay"</formula>
    </cfRule>
    <cfRule type="containsText" dxfId="154" priority="195" operator="containsText" text="Pending">
      <formula>NOT(ISERROR(SEARCH("Pending",F155)))</formula>
    </cfRule>
  </conditionalFormatting>
  <conditionalFormatting sqref="F166:I166">
    <cfRule type="containsText" dxfId="153" priority="184" operator="containsText" text="No Bill No Pay">
      <formula>NOT(ISERROR(SEARCH("No Bill No Pay",F166)))</formula>
    </cfRule>
    <cfRule type="cellIs" priority="185" operator="equal">
      <formula>"No Bill No Pay"</formula>
    </cfRule>
    <cfRule type="containsText" dxfId="152" priority="186" operator="containsText" text="Pending">
      <formula>NOT(ISERROR(SEARCH("Pending",F166)))</formula>
    </cfRule>
  </conditionalFormatting>
  <conditionalFormatting sqref="F178:I178">
    <cfRule type="containsText" dxfId="150" priority="175" operator="containsText" text="No Bill No Pay">
      <formula>NOT(ISERROR(SEARCH("No Bill No Pay",F178)))</formula>
    </cfRule>
    <cfRule type="cellIs" priority="176" operator="equal">
      <formula>"No Bill No Pay"</formula>
    </cfRule>
    <cfRule type="containsText" dxfId="151" priority="177" operator="containsText" text="Pending">
      <formula>NOT(ISERROR(SEARCH("Pending",F178)))</formula>
    </cfRule>
  </conditionalFormatting>
  <conditionalFormatting sqref="F190:I190">
    <cfRule type="containsText" dxfId="149" priority="166" operator="containsText" text="No Bill No Pay">
      <formula>NOT(ISERROR(SEARCH("No Bill No Pay",F190)))</formula>
    </cfRule>
    <cfRule type="cellIs" priority="167" operator="equal">
      <formula>"No Bill No Pay"</formula>
    </cfRule>
    <cfRule type="containsText" dxfId="148" priority="168" operator="containsText" text="Pending">
      <formula>NOT(ISERROR(SEARCH("Pending",F190)))</formula>
    </cfRule>
  </conditionalFormatting>
  <conditionalFormatting sqref="F202:I202">
    <cfRule type="containsText" dxfId="147" priority="157" operator="containsText" text="No Bill No Pay">
      <formula>NOT(ISERROR(SEARCH("No Bill No Pay",F202)))</formula>
    </cfRule>
    <cfRule type="cellIs" priority="158" operator="equal">
      <formula>"No Bill No Pay"</formula>
    </cfRule>
    <cfRule type="containsText" dxfId="146" priority="159" operator="containsText" text="Pending">
      <formula>NOT(ISERROR(SEARCH("Pending",F202)))</formula>
    </cfRule>
  </conditionalFormatting>
  <conditionalFormatting sqref="F215:I215">
    <cfRule type="containsText" dxfId="144" priority="148" operator="containsText" text="No Bill No Pay">
      <formula>NOT(ISERROR(SEARCH("No Bill No Pay",F215)))</formula>
    </cfRule>
    <cfRule type="cellIs" priority="149" operator="equal">
      <formula>"No Bill No Pay"</formula>
    </cfRule>
    <cfRule type="containsText" dxfId="145" priority="150" operator="containsText" text="Pending">
      <formula>NOT(ISERROR(SEARCH("Pending",F215)))</formula>
    </cfRule>
  </conditionalFormatting>
  <conditionalFormatting sqref="F229:I229">
    <cfRule type="containsText" dxfId="143" priority="139" operator="containsText" text="No Bill No Pay">
      <formula>NOT(ISERROR(SEARCH("No Bill No Pay",F229)))</formula>
    </cfRule>
    <cfRule type="cellIs" priority="140" operator="equal">
      <formula>"No Bill No Pay"</formula>
    </cfRule>
    <cfRule type="containsText" dxfId="142" priority="141" operator="containsText" text="Pending">
      <formula>NOT(ISERROR(SEARCH("Pending",F229)))</formula>
    </cfRule>
  </conditionalFormatting>
  <conditionalFormatting sqref="F241:I241">
    <cfRule type="containsText" dxfId="141" priority="130" operator="containsText" text="No Bill No Pay">
      <formula>NOT(ISERROR(SEARCH("No Bill No Pay",F241)))</formula>
    </cfRule>
    <cfRule type="cellIs" priority="131" operator="equal">
      <formula>"No Bill No Pay"</formula>
    </cfRule>
    <cfRule type="containsText" dxfId="140" priority="132" operator="containsText" text="Pending">
      <formula>NOT(ISERROR(SEARCH("Pending",F241)))</formula>
    </cfRule>
  </conditionalFormatting>
  <conditionalFormatting sqref="F255:I255">
    <cfRule type="containsText" dxfId="138" priority="121" operator="containsText" text="No Bill No Pay">
      <formula>NOT(ISERROR(SEARCH("No Bill No Pay",F255)))</formula>
    </cfRule>
    <cfRule type="cellIs" priority="122" operator="equal">
      <formula>"No Bill No Pay"</formula>
    </cfRule>
    <cfRule type="containsText" dxfId="139" priority="123" operator="containsText" text="Pending">
      <formula>NOT(ISERROR(SEARCH("Pending",F255)))</formula>
    </cfRule>
  </conditionalFormatting>
  <conditionalFormatting sqref="F264:I264">
    <cfRule type="containsText" dxfId="136" priority="112" operator="containsText" text="No Bill No Pay">
      <formula>NOT(ISERROR(SEARCH("No Bill No Pay",F264)))</formula>
    </cfRule>
    <cfRule type="cellIs" priority="113" operator="equal">
      <formula>"No Bill No Pay"</formula>
    </cfRule>
    <cfRule type="containsText" dxfId="137" priority="114" operator="containsText" text="Pending">
      <formula>NOT(ISERROR(SEARCH("Pending",F264)))</formula>
    </cfRule>
  </conditionalFormatting>
  <conditionalFormatting sqref="F273:I273">
    <cfRule type="containsText" dxfId="134" priority="103" operator="containsText" text="No Bill No Pay">
      <formula>NOT(ISERROR(SEARCH("No Bill No Pay",F273)))</formula>
    </cfRule>
    <cfRule type="cellIs" priority="104" operator="equal">
      <formula>"No Bill No Pay"</formula>
    </cfRule>
    <cfRule type="containsText" dxfId="135" priority="105" operator="containsText" text="Pending">
      <formula>NOT(ISERROR(SEARCH("Pending",F273)))</formula>
    </cfRule>
  </conditionalFormatting>
  <conditionalFormatting sqref="F282:I282">
    <cfRule type="containsText" dxfId="133" priority="94" operator="containsText" text="No Bill No Pay">
      <formula>NOT(ISERROR(SEARCH("No Bill No Pay",F282)))</formula>
    </cfRule>
    <cfRule type="cellIs" priority="95" operator="equal">
      <formula>"No Bill No Pay"</formula>
    </cfRule>
    <cfRule type="containsText" dxfId="132" priority="96" operator="containsText" text="Pending">
      <formula>NOT(ISERROR(SEARCH("Pending",F282)))</formula>
    </cfRule>
  </conditionalFormatting>
  <conditionalFormatting sqref="F5:L5">
    <cfRule type="containsText" dxfId="130" priority="286" operator="containsText" text="No Bill No Pay">
      <formula>NOT(ISERROR(SEARCH("No Bill No Pay",F5)))</formula>
    </cfRule>
    <cfRule type="cellIs" priority="287" operator="equal">
      <formula>"No Bill No Pay"</formula>
    </cfRule>
    <cfRule type="containsText" dxfId="131" priority="288" operator="containsText" text="Pending">
      <formula>NOT(ISERROR(SEARCH("Pending",F5)))</formula>
    </cfRule>
  </conditionalFormatting>
  <conditionalFormatting sqref="F18:L18">
    <cfRule type="containsText" dxfId="128" priority="13" operator="containsText" text="No Bill No Pay">
      <formula>NOT(ISERROR(SEARCH("No Bill No Pay",F18)))</formula>
    </cfRule>
    <cfRule type="cellIs" priority="14" operator="equal">
      <formula>"No Bill No Pay"</formula>
    </cfRule>
    <cfRule type="containsText" dxfId="129" priority="15" operator="containsText" text="Pending">
      <formula>NOT(ISERROR(SEARCH("Pending",F18)))</formula>
    </cfRule>
  </conditionalFormatting>
  <conditionalFormatting sqref="F30:L30">
    <cfRule type="containsText" dxfId="127" priority="10" operator="containsText" text="No Bill No Pay">
      <formula>NOT(ISERROR(SEARCH("No Bill No Pay",F30)))</formula>
    </cfRule>
    <cfRule type="cellIs" priority="11" operator="equal">
      <formula>"No Bill No Pay"</formula>
    </cfRule>
    <cfRule type="containsText" dxfId="126" priority="12" operator="containsText" text="Pending">
      <formula>NOT(ISERROR(SEARCH("Pending",F30)))</formula>
    </cfRule>
  </conditionalFormatting>
  <conditionalFormatting sqref="F41:L41">
    <cfRule type="containsText" dxfId="125" priority="7" operator="containsText" text="No Bill No Pay">
      <formula>NOT(ISERROR(SEARCH("No Bill No Pay",F41)))</formula>
    </cfRule>
    <cfRule type="cellIs" priority="8" operator="equal">
      <formula>"No Bill No Pay"</formula>
    </cfRule>
    <cfRule type="containsText" dxfId="124" priority="9" operator="containsText" text="Pending">
      <formula>NOT(ISERROR(SEARCH("Pending",F41)))</formula>
    </cfRule>
  </conditionalFormatting>
  <conditionalFormatting sqref="F53:L53">
    <cfRule type="containsText" dxfId="123" priority="4" operator="containsText" text="No Bill No Pay">
      <formula>NOT(ISERROR(SEARCH("No Bill No Pay",F53)))</formula>
    </cfRule>
    <cfRule type="cellIs" priority="5" operator="equal">
      <formula>"No Bill No Pay"</formula>
    </cfRule>
    <cfRule type="containsText" dxfId="122" priority="6" operator="containsText" text="Pending">
      <formula>NOT(ISERROR(SEARCH("Pending",F53)))</formula>
    </cfRule>
  </conditionalFormatting>
  <conditionalFormatting sqref="F63:L63">
    <cfRule type="containsText" dxfId="120" priority="1" operator="containsText" text="No Bill No Pay">
      <formula>NOT(ISERROR(SEARCH("No Bill No Pay",F63)))</formula>
    </cfRule>
    <cfRule type="cellIs" priority="2" operator="equal">
      <formula>"No Bill No Pay"</formula>
    </cfRule>
    <cfRule type="containsText" dxfId="121" priority="3" operator="containsText" text="Pending">
      <formula>NOT(ISERROR(SEARCH("Pending",F63)))</formula>
    </cfRule>
  </conditionalFormatting>
  <conditionalFormatting sqref="I6:I13">
    <cfRule type="containsText" dxfId="119" priority="280" operator="containsText" text="No">
      <formula>NOT(ISERROR(SEARCH("No",I6)))</formula>
    </cfRule>
    <cfRule type="containsText" dxfId="118" priority="281" operator="containsText" text="Yes">
      <formula>NOT(ISERROR(SEARCH("Yes",I6)))</formula>
    </cfRule>
  </conditionalFormatting>
  <conditionalFormatting sqref="I19:I24">
    <cfRule type="containsText" dxfId="116" priority="274" operator="containsText" text="No">
      <formula>NOT(ISERROR(SEARCH("No",I19)))</formula>
    </cfRule>
    <cfRule type="containsText" dxfId="117" priority="275" operator="containsText" text="Yes">
      <formula>NOT(ISERROR(SEARCH("Yes",I19)))</formula>
    </cfRule>
  </conditionalFormatting>
  <conditionalFormatting sqref="I31:I36">
    <cfRule type="containsText" dxfId="115" priority="268" operator="containsText" text="No">
      <formula>NOT(ISERROR(SEARCH("No",I31)))</formula>
    </cfRule>
    <cfRule type="containsText" dxfId="114" priority="269" operator="containsText" text="Yes">
      <formula>NOT(ISERROR(SEARCH("Yes",I31)))</formula>
    </cfRule>
  </conditionalFormatting>
  <conditionalFormatting sqref="I42:I47">
    <cfRule type="containsText" dxfId="113" priority="262" operator="containsText" text="No">
      <formula>NOT(ISERROR(SEARCH("No",I42)))</formula>
    </cfRule>
    <cfRule type="containsText" dxfId="112" priority="263" operator="containsText" text="Yes">
      <formula>NOT(ISERROR(SEARCH("Yes",I42)))</formula>
    </cfRule>
  </conditionalFormatting>
  <conditionalFormatting sqref="I54:I59">
    <cfRule type="containsText" dxfId="111" priority="256" operator="containsText" text="No">
      <formula>NOT(ISERROR(SEARCH("No",I54)))</formula>
    </cfRule>
    <cfRule type="containsText" dxfId="110" priority="257" operator="containsText" text="Yes">
      <formula>NOT(ISERROR(SEARCH("Yes",I54)))</formula>
    </cfRule>
  </conditionalFormatting>
  <conditionalFormatting sqref="I64:I70">
    <cfRule type="containsText" dxfId="108" priority="250" operator="containsText" text="No">
      <formula>NOT(ISERROR(SEARCH("No",I64)))</formula>
    </cfRule>
    <cfRule type="containsText" dxfId="109" priority="251" operator="containsText" text="Yes">
      <formula>NOT(ISERROR(SEARCH("Yes",I64)))</formula>
    </cfRule>
  </conditionalFormatting>
  <conditionalFormatting sqref="I79:I85">
    <cfRule type="containsText" dxfId="106" priority="241" operator="containsText" text="No">
      <formula>NOT(ISERROR(SEARCH("No",I79)))</formula>
    </cfRule>
    <cfRule type="containsText" dxfId="107" priority="242" operator="containsText" text="Yes">
      <formula>NOT(ISERROR(SEARCH("Yes",I79)))</formula>
    </cfRule>
  </conditionalFormatting>
  <conditionalFormatting sqref="I91:I97">
    <cfRule type="containsText" dxfId="105" priority="232" operator="containsText" text="No">
      <formula>NOT(ISERROR(SEARCH("No",I91)))</formula>
    </cfRule>
    <cfRule type="containsText" dxfId="104" priority="233" operator="containsText" text="Yes">
      <formula>NOT(ISERROR(SEARCH("Yes",I91)))</formula>
    </cfRule>
  </conditionalFormatting>
  <conditionalFormatting sqref="I103:I109">
    <cfRule type="containsText" dxfId="103" priority="223" operator="containsText" text="No">
      <formula>NOT(ISERROR(SEARCH("No",I103)))</formula>
    </cfRule>
    <cfRule type="containsText" dxfId="102" priority="224" operator="containsText" text="Yes">
      <formula>NOT(ISERROR(SEARCH("Yes",I103)))</formula>
    </cfRule>
  </conditionalFormatting>
  <conditionalFormatting sqref="I116:I122">
    <cfRule type="containsText" dxfId="100" priority="214" operator="containsText" text="No">
      <formula>NOT(ISERROR(SEARCH("No",I116)))</formula>
    </cfRule>
    <cfRule type="containsText" dxfId="101" priority="215" operator="containsText" text="Yes">
      <formula>NOT(ISERROR(SEARCH("Yes",I116)))</formula>
    </cfRule>
  </conditionalFormatting>
  <conditionalFormatting sqref="I129:I136">
    <cfRule type="containsText" dxfId="99" priority="205" operator="containsText" text="No">
      <formula>NOT(ISERROR(SEARCH("No",I129)))</formula>
    </cfRule>
    <cfRule type="containsText" dxfId="98" priority="206" operator="containsText" text="Yes">
      <formula>NOT(ISERROR(SEARCH("Yes",I129)))</formula>
    </cfRule>
  </conditionalFormatting>
  <conditionalFormatting sqref="I143:I150">
    <cfRule type="containsText" dxfId="96" priority="196" operator="containsText" text="No">
      <formula>NOT(ISERROR(SEARCH("No",I143)))</formula>
    </cfRule>
    <cfRule type="containsText" dxfId="97" priority="197" operator="containsText" text="Yes">
      <formula>NOT(ISERROR(SEARCH("Yes",I143)))</formula>
    </cfRule>
  </conditionalFormatting>
  <conditionalFormatting sqref="I156:I162">
    <cfRule type="containsText" dxfId="95" priority="187" operator="containsText" text="No">
      <formula>NOT(ISERROR(SEARCH("No",I156)))</formula>
    </cfRule>
    <cfRule type="containsText" dxfId="94" priority="188" operator="containsText" text="Yes">
      <formula>NOT(ISERROR(SEARCH("Yes",I156)))</formula>
    </cfRule>
  </conditionalFormatting>
  <conditionalFormatting sqref="I167:I173">
    <cfRule type="containsText" dxfId="93" priority="178" operator="containsText" text="No">
      <formula>NOT(ISERROR(SEARCH("No",I167)))</formula>
    </cfRule>
    <cfRule type="containsText" dxfId="92" priority="179" operator="containsText" text="Yes">
      <formula>NOT(ISERROR(SEARCH("Yes",I167)))</formula>
    </cfRule>
  </conditionalFormatting>
  <conditionalFormatting sqref="I179:I185">
    <cfRule type="containsText" dxfId="90" priority="169" operator="containsText" text="No">
      <formula>NOT(ISERROR(SEARCH("No",I179)))</formula>
    </cfRule>
    <cfRule type="containsText" dxfId="91" priority="170" operator="containsText" text="Yes">
      <formula>NOT(ISERROR(SEARCH("Yes",I179)))</formula>
    </cfRule>
  </conditionalFormatting>
  <conditionalFormatting sqref="I191:I197">
    <cfRule type="containsText" dxfId="88" priority="160" operator="containsText" text="No">
      <formula>NOT(ISERROR(SEARCH("No",I191)))</formula>
    </cfRule>
    <cfRule type="containsText" dxfId="89" priority="161" operator="containsText" text="Yes">
      <formula>NOT(ISERROR(SEARCH("Yes",I191)))</formula>
    </cfRule>
  </conditionalFormatting>
  <conditionalFormatting sqref="I203:I211">
    <cfRule type="containsText" dxfId="86" priority="151" operator="containsText" text="No">
      <formula>NOT(ISERROR(SEARCH("No",I203)))</formula>
    </cfRule>
    <cfRule type="containsText" dxfId="87" priority="152" operator="containsText" text="Yes">
      <formula>NOT(ISERROR(SEARCH("Yes",I203)))</formula>
    </cfRule>
  </conditionalFormatting>
  <conditionalFormatting sqref="I216:I222">
    <cfRule type="containsText" dxfId="84" priority="142" operator="containsText" text="No">
      <formula>NOT(ISERROR(SEARCH("No",I216)))</formula>
    </cfRule>
    <cfRule type="containsText" dxfId="85" priority="143" operator="containsText" text="Yes">
      <formula>NOT(ISERROR(SEARCH("Yes",I216)))</formula>
    </cfRule>
  </conditionalFormatting>
  <conditionalFormatting sqref="I230:I236">
    <cfRule type="containsText" dxfId="83" priority="133" operator="containsText" text="No">
      <formula>NOT(ISERROR(SEARCH("No",I230)))</formula>
    </cfRule>
    <cfRule type="containsText" dxfId="82" priority="134" operator="containsText" text="Yes">
      <formula>NOT(ISERROR(SEARCH("Yes",I230)))</formula>
    </cfRule>
  </conditionalFormatting>
  <conditionalFormatting sqref="I242:I248">
    <cfRule type="containsText" dxfId="80" priority="124" operator="containsText" text="No">
      <formula>NOT(ISERROR(SEARCH("No",I242)))</formula>
    </cfRule>
    <cfRule type="containsText" dxfId="81" priority="125" operator="containsText" text="Yes">
      <formula>NOT(ISERROR(SEARCH("Yes",I242)))</formula>
    </cfRule>
  </conditionalFormatting>
  <conditionalFormatting sqref="I256:I260">
    <cfRule type="containsText" dxfId="78" priority="115" operator="containsText" text="No">
      <formula>NOT(ISERROR(SEARCH("No",I256)))</formula>
    </cfRule>
    <cfRule type="containsText" dxfId="79" priority="116" operator="containsText" text="Yes">
      <formula>NOT(ISERROR(SEARCH("Yes",I256)))</formula>
    </cfRule>
  </conditionalFormatting>
  <conditionalFormatting sqref="I265:I269">
    <cfRule type="containsText" dxfId="76" priority="106" operator="containsText" text="No">
      <formula>NOT(ISERROR(SEARCH("No",I265)))</formula>
    </cfRule>
    <cfRule type="containsText" dxfId="77" priority="107" operator="containsText" text="Yes">
      <formula>NOT(ISERROR(SEARCH("Yes",I265)))</formula>
    </cfRule>
  </conditionalFormatting>
  <conditionalFormatting sqref="I274:I278">
    <cfRule type="containsText" dxfId="75" priority="97" operator="containsText" text="No">
      <formula>NOT(ISERROR(SEARCH("No",I274)))</formula>
    </cfRule>
    <cfRule type="containsText" dxfId="74" priority="98" operator="containsText" text="Yes">
      <formula>NOT(ISERROR(SEARCH("Yes",I274)))</formula>
    </cfRule>
  </conditionalFormatting>
  <conditionalFormatting sqref="I283:I287">
    <cfRule type="containsText" dxfId="73" priority="88" operator="containsText" text="No">
      <formula>NOT(ISERROR(SEARCH("No",I283)))</formula>
    </cfRule>
    <cfRule type="containsText" dxfId="72" priority="89" operator="containsText" text="Yes">
      <formula>NOT(ISERROR(SEARCH("Yes",I283)))</formula>
    </cfRule>
  </conditionalFormatting>
  <conditionalFormatting sqref="K4">
    <cfRule type="cellIs" dxfId="71" priority="85" operator="lessThan">
      <formula>1</formula>
    </cfRule>
    <cfRule type="cellIs" dxfId="69" priority="86" operator="lessThan">
      <formula>0</formula>
    </cfRule>
    <cfRule type="cellIs" dxfId="70" priority="87" operator="greaterThan">
      <formula>0</formula>
    </cfRule>
  </conditionalFormatting>
  <conditionalFormatting sqref="K17">
    <cfRule type="cellIs" dxfId="67" priority="82" operator="lessThan">
      <formula>1</formula>
    </cfRule>
    <cfRule type="cellIs" dxfId="66" priority="83" operator="lessThan">
      <formula>0</formula>
    </cfRule>
    <cfRule type="cellIs" dxfId="68" priority="84" operator="greaterThan">
      <formula>0</formula>
    </cfRule>
  </conditionalFormatting>
  <conditionalFormatting sqref="K29">
    <cfRule type="cellIs" dxfId="64" priority="79" operator="lessThan">
      <formula>1</formula>
    </cfRule>
    <cfRule type="cellIs" dxfId="63" priority="80" operator="lessThan">
      <formula>0</formula>
    </cfRule>
    <cfRule type="cellIs" dxfId="65" priority="81" operator="greaterThan">
      <formula>0</formula>
    </cfRule>
  </conditionalFormatting>
  <conditionalFormatting sqref="K40">
    <cfRule type="cellIs" dxfId="62" priority="76" operator="lessThan">
      <formula>1</formula>
    </cfRule>
    <cfRule type="cellIs" dxfId="61" priority="77" operator="lessThan">
      <formula>0</formula>
    </cfRule>
    <cfRule type="cellIs" dxfId="60" priority="78" operator="greaterThan">
      <formula>0</formula>
    </cfRule>
  </conditionalFormatting>
  <conditionalFormatting sqref="K52">
    <cfRule type="cellIs" dxfId="57" priority="73" operator="lessThan">
      <formula>1</formula>
    </cfRule>
    <cfRule type="cellIs" dxfId="58" priority="74" operator="lessThan">
      <formula>0</formula>
    </cfRule>
    <cfRule type="cellIs" dxfId="59" priority="75" operator="greaterThan">
      <formula>0</formula>
    </cfRule>
  </conditionalFormatting>
  <conditionalFormatting sqref="K62">
    <cfRule type="cellIs" dxfId="54" priority="70" operator="lessThan">
      <formula>1</formula>
    </cfRule>
    <cfRule type="cellIs" dxfId="55" priority="71" operator="lessThan">
      <formula>0</formula>
    </cfRule>
    <cfRule type="cellIs" dxfId="56" priority="72" operator="greaterThan">
      <formula>0</formula>
    </cfRule>
  </conditionalFormatting>
  <conditionalFormatting sqref="K77">
    <cfRule type="cellIs" dxfId="51" priority="67" operator="lessThan">
      <formula>1</formula>
    </cfRule>
    <cfRule type="cellIs" dxfId="53" priority="68" operator="lessThan">
      <formula>0</formula>
    </cfRule>
    <cfRule type="cellIs" dxfId="52" priority="69" operator="greaterThan">
      <formula>0</formula>
    </cfRule>
  </conditionalFormatting>
  <conditionalFormatting sqref="K89">
    <cfRule type="cellIs" dxfId="49" priority="64" operator="lessThan">
      <formula>1</formula>
    </cfRule>
    <cfRule type="cellIs" dxfId="50" priority="65" operator="lessThan">
      <formula>0</formula>
    </cfRule>
    <cfRule type="cellIs" dxfId="48" priority="66" operator="greaterThan">
      <formula>0</formula>
    </cfRule>
  </conditionalFormatting>
  <conditionalFormatting sqref="K101">
    <cfRule type="cellIs" dxfId="47" priority="61" operator="lessThan">
      <formula>1</formula>
    </cfRule>
    <cfRule type="cellIs" dxfId="46" priority="62" operator="lessThan">
      <formula>0</formula>
    </cfRule>
    <cfRule type="cellIs" dxfId="45" priority="63" operator="greaterThan">
      <formula>0</formula>
    </cfRule>
  </conditionalFormatting>
  <conditionalFormatting sqref="K114">
    <cfRule type="cellIs" dxfId="44" priority="58" operator="lessThan">
      <formula>1</formula>
    </cfRule>
    <cfRule type="cellIs" dxfId="42" priority="59" operator="lessThan">
      <formula>0</formula>
    </cfRule>
    <cfRule type="cellIs" dxfId="43" priority="60" operator="greaterThan">
      <formula>0</formula>
    </cfRule>
  </conditionalFormatting>
  <conditionalFormatting sqref="K127">
    <cfRule type="cellIs" dxfId="41" priority="55" operator="lessThan">
      <formula>1</formula>
    </cfRule>
    <cfRule type="cellIs" dxfId="39" priority="56" operator="lessThan">
      <formula>0</formula>
    </cfRule>
    <cfRule type="cellIs" dxfId="40" priority="57" operator="greaterThan">
      <formula>0</formula>
    </cfRule>
  </conditionalFormatting>
  <conditionalFormatting sqref="K141">
    <cfRule type="cellIs" dxfId="36" priority="52" operator="lessThan">
      <formula>1</formula>
    </cfRule>
    <cfRule type="cellIs" dxfId="37" priority="53" operator="lessThan">
      <formula>0</formula>
    </cfRule>
    <cfRule type="cellIs" dxfId="38" priority="54" operator="greaterThan">
      <formula>0</formula>
    </cfRule>
  </conditionalFormatting>
  <conditionalFormatting sqref="K154">
    <cfRule type="cellIs" dxfId="35" priority="49" operator="lessThan">
      <formula>1</formula>
    </cfRule>
    <cfRule type="cellIs" dxfId="33" priority="50" operator="lessThan">
      <formula>0</formula>
    </cfRule>
    <cfRule type="cellIs" dxfId="34" priority="51" operator="greaterThan">
      <formula>0</formula>
    </cfRule>
  </conditionalFormatting>
  <conditionalFormatting sqref="K165">
    <cfRule type="cellIs" dxfId="32" priority="46" operator="lessThan">
      <formula>1</formula>
    </cfRule>
    <cfRule type="cellIs" dxfId="30" priority="47" operator="lessThan">
      <formula>0</formula>
    </cfRule>
    <cfRule type="cellIs" dxfId="31" priority="48" operator="greaterThan">
      <formula>0</formula>
    </cfRule>
  </conditionalFormatting>
  <conditionalFormatting sqref="K177">
    <cfRule type="cellIs" dxfId="29" priority="43" operator="lessThan">
      <formula>1</formula>
    </cfRule>
    <cfRule type="cellIs" dxfId="27" priority="44" operator="lessThan">
      <formula>0</formula>
    </cfRule>
    <cfRule type="cellIs" dxfId="28" priority="45" operator="greaterThan">
      <formula>0</formula>
    </cfRule>
  </conditionalFormatting>
  <conditionalFormatting sqref="K189">
    <cfRule type="cellIs" dxfId="26" priority="40" operator="lessThan">
      <formula>1</formula>
    </cfRule>
    <cfRule type="cellIs" dxfId="25" priority="41" operator="lessThan">
      <formula>0</formula>
    </cfRule>
    <cfRule type="cellIs" dxfId="24" priority="42" operator="greaterThan">
      <formula>0</formula>
    </cfRule>
  </conditionalFormatting>
  <conditionalFormatting sqref="K201">
    <cfRule type="cellIs" dxfId="21" priority="37" operator="lessThan">
      <formula>1</formula>
    </cfRule>
    <cfRule type="cellIs" dxfId="23" priority="38" operator="lessThan">
      <formula>0</formula>
    </cfRule>
    <cfRule type="cellIs" dxfId="22" priority="39" operator="greaterThan">
      <formula>0</formula>
    </cfRule>
  </conditionalFormatting>
  <conditionalFormatting sqref="K214">
    <cfRule type="cellIs" dxfId="20" priority="34" operator="lessThan">
      <formula>1</formula>
    </cfRule>
    <cfRule type="cellIs" dxfId="18" priority="35" operator="lessThan">
      <formula>0</formula>
    </cfRule>
    <cfRule type="cellIs" dxfId="19" priority="36" operator="greaterThan">
      <formula>0</formula>
    </cfRule>
  </conditionalFormatting>
  <conditionalFormatting sqref="K228">
    <cfRule type="cellIs" dxfId="17" priority="31" operator="lessThan">
      <formula>1</formula>
    </cfRule>
    <cfRule type="cellIs" dxfId="16" priority="32" operator="lessThan">
      <formula>0</formula>
    </cfRule>
    <cfRule type="cellIs" dxfId="15" priority="33" operator="greaterThan">
      <formula>0</formula>
    </cfRule>
  </conditionalFormatting>
  <conditionalFormatting sqref="K240">
    <cfRule type="cellIs" dxfId="13" priority="28" operator="lessThan">
      <formula>1</formula>
    </cfRule>
    <cfRule type="cellIs" dxfId="12" priority="29" operator="lessThan">
      <formula>0</formula>
    </cfRule>
    <cfRule type="cellIs" dxfId="14" priority="30" operator="greaterThan">
      <formula>0</formula>
    </cfRule>
  </conditionalFormatting>
  <conditionalFormatting sqref="K254">
    <cfRule type="cellIs" dxfId="10" priority="25" operator="lessThan">
      <formula>1</formula>
    </cfRule>
    <cfRule type="cellIs" dxfId="11" priority="26" operator="lessThan">
      <formula>0</formula>
    </cfRule>
    <cfRule type="cellIs" dxfId="9" priority="27" operator="greaterThan">
      <formula>0</formula>
    </cfRule>
  </conditionalFormatting>
  <conditionalFormatting sqref="K263">
    <cfRule type="cellIs" dxfId="6" priority="22" operator="lessThan">
      <formula>1</formula>
    </cfRule>
    <cfRule type="cellIs" dxfId="8" priority="23" operator="lessThan">
      <formula>0</formula>
    </cfRule>
    <cfRule type="cellIs" dxfId="7" priority="24" operator="greaterThan">
      <formula>0</formula>
    </cfRule>
  </conditionalFormatting>
  <conditionalFormatting sqref="K272">
    <cfRule type="cellIs" dxfId="3" priority="19" operator="lessThan">
      <formula>1</formula>
    </cfRule>
    <cfRule type="cellIs" dxfId="4" priority="20" operator="lessThan">
      <formula>0</formula>
    </cfRule>
    <cfRule type="cellIs" dxfId="5" priority="21" operator="greaterThan">
      <formula>0</formula>
    </cfRule>
  </conditionalFormatting>
  <conditionalFormatting sqref="K281">
    <cfRule type="cellIs" dxfId="2" priority="16" operator="lessThan">
      <formula>1</formula>
    </cfRule>
    <cfRule type="cellIs" dxfId="1" priority="17" operator="lessThan">
      <formula>0</formula>
    </cfRule>
    <cfRule type="cellIs" dxfId="0" priority="18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2026-01-20T11:24:53Z</dcterms:created>
  <dcterms:modified xsi:type="dcterms:W3CDTF">2026-01-20T11:25:22Z</dcterms:modified>
</cp:coreProperties>
</file>