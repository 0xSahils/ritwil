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F0AD7B67-EC5E-43B2-81B8-EF516B919724}" xr6:coauthVersionLast="47" xr6:coauthVersionMax="47" xr10:uidLastSave="{00000000-0000-0000-0000-000000000000}"/>
  <bookViews>
    <workbookView xWindow="-108" yWindow="-108" windowWidth="23256" windowHeight="13176" xr2:uid="{CE633451-F9A4-43AE-A3B5-8BCE9BC842D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8" i="1" l="1"/>
  <c r="K278" i="1"/>
  <c r="K277" i="1"/>
  <c r="L277" i="1" s="1"/>
  <c r="K276" i="1"/>
  <c r="L276" i="1" s="1"/>
  <c r="K275" i="1"/>
  <c r="L275" i="1" s="1"/>
  <c r="L274" i="1"/>
  <c r="K274" i="1"/>
  <c r="B274" i="1" a="1"/>
  <c r="B274" i="1" s="1"/>
  <c r="A274" i="1"/>
  <c r="G272" i="1"/>
  <c r="F272" i="1"/>
  <c r="I272" i="1" s="1" a="1"/>
  <c r="I272" i="1" s="1"/>
  <c r="E272" i="1"/>
  <c r="D272" i="1"/>
  <c r="B272" i="1"/>
  <c r="L269" i="1"/>
  <c r="K269" i="1"/>
  <c r="K268" i="1"/>
  <c r="L268" i="1" s="1"/>
  <c r="B265" i="1" a="1"/>
  <c r="K265" i="1" s="1"/>
  <c r="L265" i="1" s="1"/>
  <c r="A265" i="1"/>
  <c r="G263" i="1"/>
  <c r="F263" i="1"/>
  <c r="I263" i="1" s="1" a="1"/>
  <c r="I263" i="1" s="1"/>
  <c r="E263" i="1"/>
  <c r="D263" i="1"/>
  <c r="B263" i="1"/>
  <c r="L260" i="1"/>
  <c r="K260" i="1"/>
  <c r="K259" i="1"/>
  <c r="L259" i="1" s="1"/>
  <c r="K258" i="1"/>
  <c r="L258" i="1" s="1"/>
  <c r="L257" i="1"/>
  <c r="K257" i="1"/>
  <c r="B256" i="1" a="1"/>
  <c r="K256" i="1" s="1"/>
  <c r="L256" i="1" s="1"/>
  <c r="A256" i="1"/>
  <c r="F254" i="1"/>
  <c r="I254" i="1" s="1" a="1"/>
  <c r="I254" i="1" s="1"/>
  <c r="E254" i="1"/>
  <c r="D254" i="1"/>
  <c r="B254" i="1"/>
  <c r="L251" i="1"/>
  <c r="K251" i="1"/>
  <c r="B247" i="1" a="1"/>
  <c r="K247" i="1" s="1"/>
  <c r="L247" i="1" s="1"/>
  <c r="A247" i="1"/>
  <c r="F245" i="1"/>
  <c r="I245" i="1" s="1" a="1"/>
  <c r="I245" i="1" s="1"/>
  <c r="E245" i="1"/>
  <c r="D245" i="1"/>
  <c r="B245" i="1"/>
  <c r="L239" i="1"/>
  <c r="K239" i="1"/>
  <c r="K238" i="1"/>
  <c r="L238" i="1" s="1"/>
  <c r="K235" i="1"/>
  <c r="L235" i="1" s="1"/>
  <c r="L234" i="1"/>
  <c r="K234" i="1"/>
  <c r="L233" i="1"/>
  <c r="K233" i="1"/>
  <c r="B233" i="1" a="1"/>
  <c r="B233" i="1" s="1"/>
  <c r="A233" i="1"/>
  <c r="G231" i="1"/>
  <c r="J231" i="1" s="1"/>
  <c r="K231" i="1" s="1"/>
  <c r="F231" i="1"/>
  <c r="I231" i="1" s="1" a="1"/>
  <c r="I231" i="1" s="1"/>
  <c r="E231" i="1"/>
  <c r="D231" i="1"/>
  <c r="B231" i="1"/>
  <c r="L227" i="1"/>
  <c r="K227" i="1"/>
  <c r="K226" i="1"/>
  <c r="L226" i="1" s="1"/>
  <c r="K223" i="1"/>
  <c r="L223" i="1" s="1"/>
  <c r="L222" i="1"/>
  <c r="K222" i="1"/>
  <c r="L221" i="1"/>
  <c r="K221" i="1"/>
  <c r="B221" i="1" a="1"/>
  <c r="B221" i="1" s="1"/>
  <c r="A221" i="1"/>
  <c r="G219" i="1"/>
  <c r="J219" i="1" s="1"/>
  <c r="K219" i="1" s="1"/>
  <c r="F219" i="1"/>
  <c r="I219" i="1" s="1" a="1"/>
  <c r="I219" i="1" s="1"/>
  <c r="E219" i="1"/>
  <c r="D219" i="1"/>
  <c r="B219" i="1"/>
  <c r="L213" i="1"/>
  <c r="K213" i="1"/>
  <c r="K212" i="1"/>
  <c r="L212" i="1" s="1"/>
  <c r="K209" i="1"/>
  <c r="L209" i="1" s="1"/>
  <c r="L208" i="1"/>
  <c r="K208" i="1"/>
  <c r="L207" i="1"/>
  <c r="K207" i="1"/>
  <c r="B207" i="1" a="1"/>
  <c r="B207" i="1" s="1"/>
  <c r="A207" i="1"/>
  <c r="G205" i="1"/>
  <c r="F205" i="1"/>
  <c r="I205" i="1" s="1" a="1"/>
  <c r="I205" i="1" s="1"/>
  <c r="E205" i="1"/>
  <c r="D205" i="1"/>
  <c r="B205" i="1"/>
  <c r="L200" i="1"/>
  <c r="K200" i="1"/>
  <c r="K197" i="1"/>
  <c r="L197" i="1" s="1"/>
  <c r="K196" i="1"/>
  <c r="L196" i="1" s="1"/>
  <c r="L195" i="1"/>
  <c r="H192" i="1" s="1"/>
  <c r="L192" i="1" s="1"/>
  <c r="K195" i="1"/>
  <c r="L194" i="1"/>
  <c r="K194" i="1"/>
  <c r="B194" i="1" a="1"/>
  <c r="B194" i="1" s="1"/>
  <c r="A194" i="1"/>
  <c r="G192" i="1"/>
  <c r="F192" i="1"/>
  <c r="I192" i="1" s="1" a="1"/>
  <c r="I192" i="1" s="1"/>
  <c r="E192" i="1"/>
  <c r="D192" i="1"/>
  <c r="B192" i="1"/>
  <c r="L188" i="1"/>
  <c r="K188" i="1"/>
  <c r="K185" i="1"/>
  <c r="L185" i="1" s="1"/>
  <c r="B182" i="1" a="1"/>
  <c r="K182" i="1" s="1"/>
  <c r="L182" i="1" s="1"/>
  <c r="A182" i="1"/>
  <c r="F180" i="1"/>
  <c r="I180" i="1" s="1" a="1"/>
  <c r="I180" i="1" s="1"/>
  <c r="E180" i="1"/>
  <c r="D180" i="1"/>
  <c r="B180" i="1"/>
  <c r="L176" i="1"/>
  <c r="K176" i="1"/>
  <c r="K173" i="1"/>
  <c r="L173" i="1" s="1"/>
  <c r="B170" i="1" a="1"/>
  <c r="K170" i="1" s="1"/>
  <c r="L170" i="1" s="1"/>
  <c r="A170" i="1"/>
  <c r="F168" i="1"/>
  <c r="I168" i="1" s="1" a="1"/>
  <c r="I168" i="1" s="1"/>
  <c r="E168" i="1"/>
  <c r="D168" i="1"/>
  <c r="B168" i="1"/>
  <c r="L164" i="1"/>
  <c r="K164" i="1"/>
  <c r="K161" i="1"/>
  <c r="L161" i="1" s="1"/>
  <c r="B158" i="1" a="1"/>
  <c r="K158" i="1" s="1"/>
  <c r="L158" i="1" s="1"/>
  <c r="A158" i="1"/>
  <c r="F156" i="1"/>
  <c r="I156" i="1" s="1" a="1"/>
  <c r="I156" i="1" s="1"/>
  <c r="E156" i="1"/>
  <c r="D156" i="1"/>
  <c r="B156" i="1"/>
  <c r="L153" i="1"/>
  <c r="K153" i="1"/>
  <c r="K152" i="1"/>
  <c r="L152" i="1" s="1"/>
  <c r="K149" i="1"/>
  <c r="L149" i="1" s="1"/>
  <c r="L148" i="1"/>
  <c r="K148" i="1"/>
  <c r="B147" i="1" a="1"/>
  <c r="K147" i="1" s="1"/>
  <c r="L147" i="1" s="1"/>
  <c r="A147" i="1"/>
  <c r="F145" i="1"/>
  <c r="I145" i="1" s="1" a="1"/>
  <c r="I145" i="1" s="1"/>
  <c r="E145" i="1"/>
  <c r="D145" i="1"/>
  <c r="B145" i="1"/>
  <c r="L141" i="1"/>
  <c r="K141" i="1"/>
  <c r="B134" i="1" a="1"/>
  <c r="G132" i="1" s="1"/>
  <c r="A134" i="1"/>
  <c r="F132" i="1"/>
  <c r="I132" i="1" s="1" a="1"/>
  <c r="I132" i="1" s="1"/>
  <c r="E132" i="1"/>
  <c r="D132" i="1"/>
  <c r="B132" i="1"/>
  <c r="L127" i="1"/>
  <c r="K127" i="1"/>
  <c r="K126" i="1"/>
  <c r="L126" i="1" s="1"/>
  <c r="K125" i="1"/>
  <c r="L125" i="1" s="1"/>
  <c r="L124" i="1"/>
  <c r="K124" i="1"/>
  <c r="L123" i="1"/>
  <c r="K123" i="1"/>
  <c r="K122" i="1"/>
  <c r="L122" i="1" s="1"/>
  <c r="B120" i="1" a="1"/>
  <c r="B120" i="1" s="1"/>
  <c r="A120" i="1"/>
  <c r="I118" i="1" a="1"/>
  <c r="I118" i="1" s="1"/>
  <c r="G118" i="1"/>
  <c r="J118" i="1" s="1"/>
  <c r="K118" i="1" s="1"/>
  <c r="F118" i="1"/>
  <c r="E118" i="1"/>
  <c r="D118" i="1"/>
  <c r="B118" i="1"/>
  <c r="K109" i="1"/>
  <c r="L109" i="1" s="1"/>
  <c r="B107" i="1" a="1"/>
  <c r="B107" i="1" s="1"/>
  <c r="A107" i="1"/>
  <c r="I105" i="1" a="1"/>
  <c r="I105" i="1" s="1"/>
  <c r="F105" i="1"/>
  <c r="E105" i="1"/>
  <c r="D105" i="1"/>
  <c r="B105" i="1"/>
  <c r="K96" i="1"/>
  <c r="L96" i="1" s="1"/>
  <c r="K95" i="1"/>
  <c r="L95" i="1" s="1"/>
  <c r="K94" i="1"/>
  <c r="L94" i="1" s="1"/>
  <c r="B94" i="1" a="1"/>
  <c r="B94" i="1" s="1"/>
  <c r="A94" i="1"/>
  <c r="I92" i="1" a="1"/>
  <c r="I92" i="1" s="1"/>
  <c r="G92" i="1"/>
  <c r="F92" i="1"/>
  <c r="E92" i="1"/>
  <c r="D92" i="1"/>
  <c r="B92" i="1"/>
  <c r="K84" i="1"/>
  <c r="L84" i="1" s="1"/>
  <c r="B82" i="1" a="1"/>
  <c r="B82" i="1" s="1"/>
  <c r="A82" i="1"/>
  <c r="I80" i="1" a="1"/>
  <c r="I80" i="1" s="1"/>
  <c r="F80" i="1"/>
  <c r="E80" i="1"/>
  <c r="D80" i="1"/>
  <c r="B80" i="1"/>
  <c r="K72" i="1"/>
  <c r="L72" i="1" s="1"/>
  <c r="K70" i="1"/>
  <c r="L70" i="1" s="1"/>
  <c r="B70" i="1" a="1"/>
  <c r="B70" i="1" s="1"/>
  <c r="A70" i="1"/>
  <c r="I68" i="1" a="1"/>
  <c r="I68" i="1" s="1"/>
  <c r="F68" i="1"/>
  <c r="E68" i="1"/>
  <c r="D68" i="1"/>
  <c r="B68" i="1"/>
  <c r="K57" i="1"/>
  <c r="L57" i="1" s="1"/>
  <c r="K56" i="1"/>
  <c r="L56" i="1" s="1"/>
  <c r="K55" i="1"/>
  <c r="L55" i="1" s="1"/>
  <c r="B55" i="1" a="1"/>
  <c r="B55" i="1" s="1"/>
  <c r="A55" i="1"/>
  <c r="I53" i="1" a="1"/>
  <c r="I53" i="1" s="1"/>
  <c r="J53" i="1" s="1"/>
  <c r="K53" i="1" s="1"/>
  <c r="G53" i="1"/>
  <c r="F53" i="1"/>
  <c r="E53" i="1"/>
  <c r="D53" i="1"/>
  <c r="B53" i="1"/>
  <c r="N44" i="1"/>
  <c r="L44" i="1"/>
  <c r="K44" i="1"/>
  <c r="N43" i="1"/>
  <c r="K43" i="1"/>
  <c r="L43" i="1" s="1"/>
  <c r="N42" i="1"/>
  <c r="L42" i="1"/>
  <c r="H40" i="1" s="1"/>
  <c r="L40" i="1" s="1"/>
  <c r="K42" i="1"/>
  <c r="B42" i="1"/>
  <c r="B42" i="1" a="1"/>
  <c r="A42" i="1"/>
  <c r="G40" i="1"/>
  <c r="F40" i="1"/>
  <c r="I40" i="1" s="1" a="1"/>
  <c r="I40" i="1" s="1"/>
  <c r="E40" i="1"/>
  <c r="D40" i="1"/>
  <c r="B40" i="1"/>
  <c r="L33" i="1"/>
  <c r="K33" i="1"/>
  <c r="L31" i="1"/>
  <c r="K31" i="1"/>
  <c r="B31" i="1"/>
  <c r="B31" i="1" a="1"/>
  <c r="K32" i="1" s="1"/>
  <c r="L32" i="1" s="1"/>
  <c r="A31" i="1"/>
  <c r="I29" i="1"/>
  <c r="I29" i="1" a="1"/>
  <c r="G29" i="1"/>
  <c r="J29" i="1" s="1"/>
  <c r="K29" i="1" s="1"/>
  <c r="F29" i="1"/>
  <c r="E29" i="1"/>
  <c r="D29" i="1"/>
  <c r="B29" i="1"/>
  <c r="M24" i="1"/>
  <c r="M22" i="1"/>
  <c r="M20" i="1"/>
  <c r="B19" i="1" a="1"/>
  <c r="K24" i="1" s="1"/>
  <c r="L24" i="1" s="1"/>
  <c r="A19" i="1"/>
  <c r="F17" i="1"/>
  <c r="I17" i="1" s="1" a="1"/>
  <c r="I17" i="1" s="1"/>
  <c r="E17" i="1"/>
  <c r="D17" i="1"/>
  <c r="B17" i="1"/>
  <c r="F14" i="1"/>
  <c r="F14" i="1" a="1"/>
  <c r="K12" i="1"/>
  <c r="L12" i="1" s="1"/>
  <c r="L11" i="1"/>
  <c r="K11" i="1"/>
  <c r="L10" i="1"/>
  <c r="K10" i="1"/>
  <c r="M9" i="1"/>
  <c r="N9" i="1" s="1"/>
  <c r="L9" i="1"/>
  <c r="K9" i="1"/>
  <c r="M7" i="1"/>
  <c r="N7" i="1" s="1"/>
  <c r="B6" i="1" a="1"/>
  <c r="K7" i="1" s="1"/>
  <c r="L7" i="1" s="1"/>
  <c r="A6" i="1"/>
  <c r="M32" i="1" s="1"/>
  <c r="N32" i="1" s="1"/>
  <c r="I4" i="1"/>
  <c r="M57" i="1" s="1"/>
  <c r="N57" i="1" s="1"/>
  <c r="I4" i="1" a="1"/>
  <c r="G4" i="1"/>
  <c r="J4" i="1" s="1"/>
  <c r="K4" i="1" s="1"/>
  <c r="F4" i="1"/>
  <c r="E4" i="1"/>
  <c r="D4" i="1"/>
  <c r="B4" i="1"/>
  <c r="J192" i="1" l="1"/>
  <c r="K192" i="1" s="1"/>
  <c r="J263" i="1"/>
  <c r="K263" i="1" s="1"/>
  <c r="H53" i="1"/>
  <c r="L53" i="1" s="1"/>
  <c r="J92" i="1"/>
  <c r="K92" i="1" s="1"/>
  <c r="H205" i="1"/>
  <c r="L205" i="1" s="1"/>
  <c r="H254" i="1"/>
  <c r="L254" i="1" s="1"/>
  <c r="J205" i="1"/>
  <c r="K205" i="1" s="1"/>
  <c r="J40" i="1"/>
  <c r="K40" i="1" s="1"/>
  <c r="H92" i="1"/>
  <c r="L92" i="1" s="1"/>
  <c r="H231" i="1"/>
  <c r="L231" i="1" s="1"/>
  <c r="H272" i="1"/>
  <c r="L272" i="1" s="1"/>
  <c r="H29" i="1"/>
  <c r="L29" i="1" s="1"/>
  <c r="J132" i="1"/>
  <c r="K132" i="1" s="1"/>
  <c r="H145" i="1"/>
  <c r="L145" i="1" s="1"/>
  <c r="H219" i="1"/>
  <c r="L219" i="1" s="1"/>
  <c r="J272" i="1"/>
  <c r="K272" i="1" s="1"/>
  <c r="K250" i="1"/>
  <c r="L250" i="1" s="1"/>
  <c r="G254" i="1"/>
  <c r="J254" i="1" s="1"/>
  <c r="K254" i="1" s="1"/>
  <c r="K71" i="1"/>
  <c r="L71" i="1" s="1"/>
  <c r="H68" i="1" s="1"/>
  <c r="L68" i="1" s="1"/>
  <c r="G80" i="1"/>
  <c r="J80" i="1" s="1"/>
  <c r="K80" i="1" s="1"/>
  <c r="M56" i="1"/>
  <c r="N56" i="1" s="1"/>
  <c r="K82" i="1"/>
  <c r="L82" i="1" s="1"/>
  <c r="K107" i="1"/>
  <c r="L107" i="1" s="1"/>
  <c r="K111" i="1"/>
  <c r="L111" i="1" s="1"/>
  <c r="K120" i="1"/>
  <c r="L120" i="1" s="1"/>
  <c r="H118" i="1" s="1"/>
  <c r="L118" i="1" s="1"/>
  <c r="K135" i="1"/>
  <c r="L135" i="1" s="1"/>
  <c r="K159" i="1"/>
  <c r="L159" i="1" s="1"/>
  <c r="H156" i="1" s="1"/>
  <c r="L156" i="1" s="1"/>
  <c r="K171" i="1"/>
  <c r="L171" i="1" s="1"/>
  <c r="K183" i="1"/>
  <c r="L183" i="1" s="1"/>
  <c r="H180" i="1" s="1"/>
  <c r="L180" i="1" s="1"/>
  <c r="K248" i="1"/>
  <c r="L248" i="1" s="1"/>
  <c r="H245" i="1" s="1"/>
  <c r="L245" i="1" s="1"/>
  <c r="K266" i="1"/>
  <c r="L266" i="1" s="1"/>
  <c r="H263" i="1" s="1"/>
  <c r="L263" i="1" s="1"/>
  <c r="G168" i="1"/>
  <c r="J168" i="1" s="1"/>
  <c r="K168" i="1" s="1"/>
  <c r="G156" i="1"/>
  <c r="J156" i="1" s="1"/>
  <c r="K156" i="1" s="1"/>
  <c r="G180" i="1"/>
  <c r="J180" i="1" s="1"/>
  <c r="K180" i="1" s="1"/>
  <c r="K83" i="1"/>
  <c r="L83" i="1" s="1"/>
  <c r="K108" i="1"/>
  <c r="L108" i="1" s="1"/>
  <c r="K121" i="1"/>
  <c r="L121" i="1" s="1"/>
  <c r="K136" i="1"/>
  <c r="L136" i="1" s="1"/>
  <c r="K160" i="1"/>
  <c r="L160" i="1" s="1"/>
  <c r="K172" i="1"/>
  <c r="L172" i="1" s="1"/>
  <c r="H168" i="1" s="1"/>
  <c r="L168" i="1" s="1"/>
  <c r="K184" i="1"/>
  <c r="L184" i="1" s="1"/>
  <c r="K249" i="1"/>
  <c r="L249" i="1" s="1"/>
  <c r="K267" i="1"/>
  <c r="L267" i="1" s="1"/>
  <c r="K137" i="1"/>
  <c r="L137" i="1" s="1"/>
  <c r="G145" i="1"/>
  <c r="J145" i="1" s="1"/>
  <c r="K145" i="1" s="1"/>
  <c r="G17" i="1"/>
  <c r="J17" i="1" s="1"/>
  <c r="K17" i="1" s="1"/>
  <c r="B6" i="1"/>
  <c r="B19" i="1"/>
  <c r="N20" i="1"/>
  <c r="N22" i="1"/>
  <c r="N24" i="1"/>
  <c r="G68" i="1"/>
  <c r="J68" i="1" s="1"/>
  <c r="K68" i="1" s="1"/>
  <c r="K6" i="1"/>
  <c r="L6" i="1" s="1"/>
  <c r="H4" i="1" s="1"/>
  <c r="L4" i="1" s="1"/>
  <c r="K8" i="1"/>
  <c r="L8" i="1" s="1"/>
  <c r="K19" i="1"/>
  <c r="L19" i="1" s="1"/>
  <c r="K21" i="1"/>
  <c r="L21" i="1" s="1"/>
  <c r="K23" i="1"/>
  <c r="L23" i="1" s="1"/>
  <c r="M31" i="1"/>
  <c r="N31" i="1" s="1"/>
  <c r="M33" i="1"/>
  <c r="N33" i="1" s="1"/>
  <c r="G245" i="1"/>
  <c r="J245" i="1" s="1"/>
  <c r="K245" i="1" s="1"/>
  <c r="M6" i="1"/>
  <c r="N6" i="1" s="1"/>
  <c r="M8" i="1"/>
  <c r="N8" i="1" s="1"/>
  <c r="M10" i="1"/>
  <c r="N10" i="1" s="1"/>
  <c r="M19" i="1"/>
  <c r="N19" i="1" s="1"/>
  <c r="M21" i="1"/>
  <c r="N21" i="1" s="1"/>
  <c r="M23" i="1"/>
  <c r="N23" i="1" s="1"/>
  <c r="B134" i="1"/>
  <c r="B147" i="1"/>
  <c r="B158" i="1"/>
  <c r="B170" i="1"/>
  <c r="B182" i="1"/>
  <c r="B247" i="1"/>
  <c r="B256" i="1"/>
  <c r="B265" i="1"/>
  <c r="K110" i="1"/>
  <c r="L110" i="1" s="1"/>
  <c r="K134" i="1"/>
  <c r="L134" i="1" s="1"/>
  <c r="H132" i="1" s="1"/>
  <c r="L132" i="1" s="1"/>
  <c r="M55" i="1"/>
  <c r="N55" i="1" s="1"/>
  <c r="G105" i="1"/>
  <c r="J105" i="1" s="1"/>
  <c r="K105" i="1" s="1"/>
  <c r="K20" i="1"/>
  <c r="L20" i="1" s="1"/>
  <c r="K22" i="1"/>
  <c r="L22" i="1" s="1"/>
  <c r="H17" i="1" l="1"/>
  <c r="L17" i="1" s="1"/>
  <c r="H105" i="1"/>
  <c r="L105" i="1" s="1"/>
  <c r="H80" i="1"/>
  <c r="L8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<sst xmlns="http://schemas.openxmlformats.org/spreadsheetml/2006/main" count="603" uniqueCount="54">
  <si>
    <t xml:space="preserve">L4 Level </t>
  </si>
  <si>
    <t>Team</t>
  </si>
  <si>
    <t>VB Code</t>
  </si>
  <si>
    <t>Recruiter Name</t>
  </si>
  <si>
    <t>Team Lead</t>
  </si>
  <si>
    <t>Yearly  Revenue Target</t>
  </si>
  <si>
    <t>Target Achieved %</t>
  </si>
  <si>
    <t>Revenue Generated</t>
  </si>
  <si>
    <t>Revenue Billed</t>
  </si>
  <si>
    <t>Slab qualified</t>
  </si>
  <si>
    <t>Total Incentive in USD</t>
  </si>
  <si>
    <t>Total Incentive in INR</t>
  </si>
  <si>
    <t>Incentive Qualified</t>
  </si>
  <si>
    <t>Vantedge</t>
  </si>
  <si>
    <t>Umar Mujahid Husain</t>
  </si>
  <si>
    <t>Candidate Name</t>
  </si>
  <si>
    <t>DOJ</t>
  </si>
  <si>
    <t>Client</t>
  </si>
  <si>
    <t>Total Revenue</t>
  </si>
  <si>
    <t>Billing status</t>
  </si>
  <si>
    <t>DOQ</t>
  </si>
  <si>
    <t>Client ID</t>
  </si>
  <si>
    <t>JPC ID</t>
  </si>
  <si>
    <t>Placement Type</t>
  </si>
  <si>
    <t>Days Completed</t>
  </si>
  <si>
    <t>Revenue Qualifier</t>
  </si>
  <si>
    <t>Incentive %</t>
  </si>
  <si>
    <t>Incentive amount (INR)</t>
  </si>
  <si>
    <t>Incentive Paid</t>
  </si>
  <si>
    <t>Incentive in USD</t>
  </si>
  <si>
    <t>Syed Ahrar Abbas Zaidi</t>
  </si>
  <si>
    <t>Abhay Pratap Singh</t>
  </si>
  <si>
    <t>Astha Srivastava</t>
  </si>
  <si>
    <t>Prithvi Singh</t>
  </si>
  <si>
    <t>Ranjeet Kumar</t>
  </si>
  <si>
    <t>Devansh Mishra</t>
  </si>
  <si>
    <t>Prachi Pandey</t>
  </si>
  <si>
    <t>Pulkit prakash</t>
  </si>
  <si>
    <t>Mayank Saxena</t>
  </si>
  <si>
    <t>Govind Srivastava</t>
  </si>
  <si>
    <t>Umang Srivastava</t>
  </si>
  <si>
    <t>Anshul Kumar</t>
  </si>
  <si>
    <t>Priyansh Khare</t>
  </si>
  <si>
    <t>Shreya Singh</t>
  </si>
  <si>
    <t>Anamika Dwivedi</t>
  </si>
  <si>
    <t>Smriti Jha</t>
  </si>
  <si>
    <t>Abhishek Srivastava</t>
  </si>
  <si>
    <t>Shivanshu Mishra</t>
  </si>
  <si>
    <t>Sourcers</t>
  </si>
  <si>
    <t>Yearly  Placement Target</t>
  </si>
  <si>
    <t>Qausain Abbass</t>
  </si>
  <si>
    <t>Anam Hasan</t>
  </si>
  <si>
    <t>Tanya Mishra</t>
  </si>
  <si>
    <t>Devashish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</si>
</sst>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Calibri"/>
      <family val="2"/>
    </font>
    <font>
      <b/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4" xfId="0" applyFill="1" applyBorder="1" applyAlignment="1">
      <alignment horizontal="center"/>
    </xf>
    <xf numFmtId="9" fontId="0" fillId="0" borderId="4" xfId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" fontId="0" fillId="0" borderId="4" xfId="1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9" fontId="0" fillId="0" borderId="0" xfId="1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" fontId="0" fillId="0" borderId="0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0" fontId="6" fillId="7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1a8fbbf86cd6596/Desktop/Data%20Sheet%20Incentive%20Calculator%20(4).xlsx" TargetMode="External"/><Relationship Id="rId1" Type="http://schemas.openxmlformats.org/officeDocument/2006/relationships/externalLinkPath" Target="Data%20Sheet%20Incentive%20Calculator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or - L4 Vantedge"/>
      <sheetName val="Calculator-L4 Midlevel (FTE+Con"/>
      <sheetName val="Calculator-L4 Midlevel"/>
      <sheetName val="Calculator-L4 Midlevel - Titans"/>
      <sheetName val="Calculator - L2 Midlevel"/>
      <sheetName val="Calculator - L2 Vantedge"/>
      <sheetName val="L4 dummy data"/>
      <sheetName val="Vantedge - dummy Placement data"/>
      <sheetName val="Vantedge - dummy Placement"/>
      <sheetName val="Vantedge - dummy Slabs "/>
      <sheetName val="Ach % - L4"/>
      <sheetName val="Ach % - L2"/>
      <sheetName val="Data Validation (2)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E1">
            <v>1</v>
          </cell>
          <cell r="F1">
            <v>2</v>
          </cell>
          <cell r="G1">
            <v>3</v>
          </cell>
          <cell r="H1">
            <v>4</v>
          </cell>
          <cell r="I1">
            <v>5</v>
          </cell>
          <cell r="J1">
            <v>6</v>
          </cell>
          <cell r="K1">
            <v>7</v>
          </cell>
          <cell r="L1">
            <v>8</v>
          </cell>
          <cell r="M1">
            <v>9</v>
          </cell>
          <cell r="N1">
            <v>10</v>
          </cell>
          <cell r="O1">
            <v>11</v>
          </cell>
          <cell r="P1">
            <v>12</v>
          </cell>
          <cell r="Q1">
            <v>13</v>
          </cell>
          <cell r="R1">
            <v>14</v>
          </cell>
          <cell r="S1">
            <v>15</v>
          </cell>
          <cell r="T1">
            <v>16</v>
          </cell>
          <cell r="U1">
            <v>17</v>
          </cell>
          <cell r="V1">
            <v>18</v>
          </cell>
          <cell r="W1">
            <v>19</v>
          </cell>
          <cell r="X1">
            <v>20</v>
          </cell>
          <cell r="Y1">
            <v>21</v>
          </cell>
          <cell r="Z1">
            <v>22</v>
          </cell>
          <cell r="AA1">
            <v>23</v>
          </cell>
        </row>
        <row r="2">
          <cell r="B2" t="str">
            <v>Recruiter Name</v>
          </cell>
          <cell r="E2" t="str">
            <v>Placement Name</v>
          </cell>
          <cell r="F2" t="str">
            <v>VB Account Manager</v>
          </cell>
          <cell r="G2" t="str">
            <v>TL</v>
          </cell>
          <cell r="H2" t="str">
            <v>Sales</v>
          </cell>
          <cell r="I2" t="str">
            <v>Sourcer/Researcher</v>
          </cell>
          <cell r="J2" t="str">
            <v>Month</v>
          </cell>
          <cell r="K2" t="str">
            <v>DOJ (MM/DD/YYYY)</v>
          </cell>
          <cell r="L2" t="str">
            <v>DOQ (MM/DD/YYYY)</v>
          </cell>
          <cell r="M2" t="str">
            <v>Client Name</v>
          </cell>
          <cell r="N2" t="str">
            <v>Client Resource Name</v>
          </cell>
          <cell r="O2" t="str">
            <v>Billable Amount</v>
          </cell>
          <cell r="P2" t="str">
            <v>Billed currency</v>
          </cell>
          <cell r="Q2" t="str">
            <v>Drop Revenue loss</v>
          </cell>
          <cell r="R2" t="str">
            <v>Billing status</v>
          </cell>
          <cell r="S2" t="str">
            <v>Date updated</v>
          </cell>
          <cell r="T2" t="str">
            <v>Team</v>
          </cell>
          <cell r="U2" t="str">
            <v>Column1</v>
          </cell>
          <cell r="V2" t="str">
            <v>Account Manager Credit</v>
          </cell>
          <cell r="W2" t="str">
            <v>TL Credit</v>
          </cell>
          <cell r="X2" t="str">
            <v>Recruiter Name</v>
          </cell>
          <cell r="Y2" t="str">
            <v>Client ID</v>
          </cell>
          <cell r="Z2" t="str">
            <v>JPC Id</v>
          </cell>
          <cell r="AA2" t="str">
            <v>Placement Type</v>
          </cell>
        </row>
        <row r="3">
          <cell r="B3" t="str">
            <v>Anshul Kumar</v>
          </cell>
          <cell r="E3" t="str">
            <v>David Mussan-Levy</v>
          </cell>
          <cell r="F3" t="str">
            <v>Raunak Tripathi</v>
          </cell>
          <cell r="G3" t="str">
            <v>Anshul Kumar</v>
          </cell>
          <cell r="H3" t="str">
            <v>Rashmi Bhatnagar</v>
          </cell>
          <cell r="I3" t="str">
            <v>Priyansh Khare</v>
          </cell>
          <cell r="J3" t="str">
            <v>January</v>
          </cell>
          <cell r="K3">
            <v>45659</v>
          </cell>
          <cell r="L3" t="str">
            <v>NA</v>
          </cell>
          <cell r="M3" t="str">
            <v>Visionet</v>
          </cell>
          <cell r="N3" t="str">
            <v>Shelza Tiwari</v>
          </cell>
          <cell r="O3">
            <v>30000</v>
          </cell>
          <cell r="P3" t="str">
            <v>USD</v>
          </cell>
          <cell r="R3" t="str">
            <v>Pending</v>
          </cell>
          <cell r="S3">
            <v>45763</v>
          </cell>
          <cell r="T3" t="str">
            <v>Vantedge</v>
          </cell>
          <cell r="U3" t="str">
            <v>Vantedge</v>
          </cell>
          <cell r="V3">
            <v>0.5</v>
          </cell>
          <cell r="W3">
            <v>0.5</v>
          </cell>
          <cell r="X3" t="str">
            <v>Anshul Kumar</v>
          </cell>
          <cell r="Y3">
            <v>150</v>
          </cell>
          <cell r="Z3" t="str">
            <v>JPC - 224892</v>
          </cell>
          <cell r="AA3" t="str">
            <v>FTE</v>
          </cell>
        </row>
        <row r="4">
          <cell r="B4" t="str">
            <v>Mayank Saxena</v>
          </cell>
          <cell r="E4" t="str">
            <v>Arbindoo Sood</v>
          </cell>
          <cell r="F4" t="str">
            <v>Mayank Saxena</v>
          </cell>
          <cell r="G4" t="str">
            <v>Mayank Saxena</v>
          </cell>
          <cell r="H4" t="str">
            <v>Rashmi Bhatnagar</v>
          </cell>
          <cell r="I4" t="str">
            <v>Rohini Parihar</v>
          </cell>
          <cell r="J4" t="str">
            <v>January</v>
          </cell>
          <cell r="K4">
            <v>45665</v>
          </cell>
          <cell r="L4" t="str">
            <v>NA</v>
          </cell>
          <cell r="M4" t="str">
            <v>Myridius</v>
          </cell>
          <cell r="N4" t="str">
            <v>Abhinav Kohle</v>
          </cell>
          <cell r="O4">
            <v>27950</v>
          </cell>
          <cell r="P4" t="str">
            <v>USD</v>
          </cell>
          <cell r="R4" t="str">
            <v>Done</v>
          </cell>
          <cell r="S4">
            <v>45763</v>
          </cell>
          <cell r="T4" t="str">
            <v>Vantedge</v>
          </cell>
          <cell r="U4" t="str">
            <v>Vantedge</v>
          </cell>
          <cell r="V4">
            <v>0.5</v>
          </cell>
          <cell r="W4">
            <v>0.5</v>
          </cell>
          <cell r="X4" t="str">
            <v>Mayank Saxena</v>
          </cell>
          <cell r="Y4">
            <v>438</v>
          </cell>
          <cell r="Z4" t="str">
            <v>JPC - 224893</v>
          </cell>
          <cell r="AA4" t="str">
            <v>FTE</v>
          </cell>
        </row>
        <row r="5">
          <cell r="B5" t="str">
            <v>Abhay Pratap Singh</v>
          </cell>
          <cell r="E5" t="str">
            <v>Sindhu Venkatesh</v>
          </cell>
          <cell r="F5" t="str">
            <v>Rohini Parihar</v>
          </cell>
          <cell r="G5" t="str">
            <v>Umar Mujahid Husain</v>
          </cell>
          <cell r="H5" t="str">
            <v>Dev Srivastava</v>
          </cell>
          <cell r="I5" t="str">
            <v>Tanya Mishra</v>
          </cell>
          <cell r="J5" t="str">
            <v>February</v>
          </cell>
          <cell r="K5">
            <v>45698</v>
          </cell>
          <cell r="L5" t="str">
            <v>NA</v>
          </cell>
          <cell r="M5" t="str">
            <v>QualiZeal</v>
          </cell>
          <cell r="N5" t="str">
            <v>Guru </v>
          </cell>
          <cell r="O5">
            <v>18750</v>
          </cell>
          <cell r="P5" t="str">
            <v>USD</v>
          </cell>
          <cell r="R5" t="str">
            <v>done</v>
          </cell>
          <cell r="S5">
            <v>45763</v>
          </cell>
          <cell r="T5" t="str">
            <v>Vantedge</v>
          </cell>
          <cell r="U5" t="str">
            <v>Vantedge</v>
          </cell>
          <cell r="V5">
            <v>0.5</v>
          </cell>
          <cell r="W5">
            <v>0.5</v>
          </cell>
          <cell r="X5" t="str">
            <v>Abhay Pratap Singh</v>
          </cell>
          <cell r="Y5">
            <v>432</v>
          </cell>
          <cell r="Z5" t="str">
            <v>JPC - 224894</v>
          </cell>
          <cell r="AA5" t="str">
            <v>FTE</v>
          </cell>
        </row>
        <row r="6">
          <cell r="B6" t="str">
            <v>Umar Mujahid Husain</v>
          </cell>
          <cell r="E6" t="str">
            <v>John Donaldson</v>
          </cell>
          <cell r="F6" t="str">
            <v>Anshul Kumar</v>
          </cell>
          <cell r="G6" t="str">
            <v>Umar Mujahid Husain</v>
          </cell>
          <cell r="H6" t="str">
            <v>Dev Srivastava</v>
          </cell>
          <cell r="I6" t="str">
            <v>Anshul Kumar</v>
          </cell>
          <cell r="J6" t="str">
            <v>February</v>
          </cell>
          <cell r="K6">
            <v>45712</v>
          </cell>
          <cell r="L6" t="str">
            <v>NA</v>
          </cell>
          <cell r="M6" t="str">
            <v>WNS</v>
          </cell>
          <cell r="N6" t="str">
            <v>Sarita</v>
          </cell>
          <cell r="O6">
            <v>41250</v>
          </cell>
          <cell r="P6" t="str">
            <v>USD</v>
          </cell>
          <cell r="R6" t="str">
            <v>Done</v>
          </cell>
          <cell r="S6">
            <v>45763</v>
          </cell>
          <cell r="T6" t="str">
            <v>Vantedge</v>
          </cell>
          <cell r="U6" t="str">
            <v>Vantedge</v>
          </cell>
          <cell r="V6">
            <v>0.5</v>
          </cell>
          <cell r="W6">
            <v>0.5</v>
          </cell>
          <cell r="X6" t="str">
            <v>Umar Mujahid Husain</v>
          </cell>
          <cell r="Y6">
            <v>136</v>
          </cell>
          <cell r="Z6" t="str">
            <v>JPC - 224895</v>
          </cell>
          <cell r="AA6" t="str">
            <v>FTE</v>
          </cell>
        </row>
        <row r="7">
          <cell r="B7" t="str">
            <v>Shreya Singh</v>
          </cell>
          <cell r="E7" t="str">
            <v>Juan salazar</v>
          </cell>
          <cell r="F7" t="str">
            <v>Anshul Kumar</v>
          </cell>
          <cell r="G7" t="str">
            <v>Anshul Kumar</v>
          </cell>
          <cell r="H7" t="str">
            <v>Rashmi Bhatnagar</v>
          </cell>
          <cell r="I7" t="str">
            <v>Tanya Mishra</v>
          </cell>
          <cell r="J7" t="str">
            <v>February</v>
          </cell>
          <cell r="K7">
            <v>45705</v>
          </cell>
          <cell r="L7" t="str">
            <v>NA</v>
          </cell>
          <cell r="M7" t="str">
            <v>Myridius</v>
          </cell>
          <cell r="O7">
            <v>27300</v>
          </cell>
          <cell r="P7" t="str">
            <v>USD</v>
          </cell>
          <cell r="R7" t="str">
            <v>Done</v>
          </cell>
          <cell r="S7">
            <v>45763</v>
          </cell>
          <cell r="T7" t="str">
            <v>Vantedge</v>
          </cell>
          <cell r="U7" t="str">
            <v>Vantedge</v>
          </cell>
          <cell r="V7">
            <v>0.5</v>
          </cell>
          <cell r="W7">
            <v>0.5</v>
          </cell>
          <cell r="X7" t="str">
            <v>Shreya Singh</v>
          </cell>
          <cell r="Y7">
            <v>438</v>
          </cell>
          <cell r="Z7" t="str">
            <v>JPC - 224896</v>
          </cell>
          <cell r="AA7" t="str">
            <v>FTE</v>
          </cell>
        </row>
        <row r="8">
          <cell r="B8" t="str">
            <v>Abhay Pratap Singh</v>
          </cell>
          <cell r="E8" t="str">
            <v>Pooja Agarwal</v>
          </cell>
          <cell r="F8" t="str">
            <v>Umar Mujahid Husain</v>
          </cell>
          <cell r="G8" t="str">
            <v>Umar Mujahid Husain</v>
          </cell>
          <cell r="H8" t="str">
            <v>Dev Srivastava</v>
          </cell>
          <cell r="I8" t="str">
            <v>Nida Khan</v>
          </cell>
          <cell r="J8" t="str">
            <v>March</v>
          </cell>
          <cell r="K8">
            <v>45733</v>
          </cell>
          <cell r="L8" t="str">
            <v>NA</v>
          </cell>
          <cell r="M8" t="str">
            <v>Qualitest</v>
          </cell>
          <cell r="N8" t="str">
            <v>Ravi</v>
          </cell>
          <cell r="O8">
            <v>28500</v>
          </cell>
          <cell r="P8" t="str">
            <v>USD</v>
          </cell>
          <cell r="R8" t="str">
            <v>Done</v>
          </cell>
          <cell r="S8">
            <v>45763</v>
          </cell>
          <cell r="T8" t="str">
            <v>Vantedge</v>
          </cell>
          <cell r="U8" t="str">
            <v>Vantedge</v>
          </cell>
          <cell r="V8">
            <v>0.5</v>
          </cell>
          <cell r="W8">
            <v>0.5</v>
          </cell>
          <cell r="X8" t="str">
            <v>Abhay Pratap Singh</v>
          </cell>
          <cell r="Y8">
            <v>406</v>
          </cell>
          <cell r="Z8" t="str">
            <v>JPC - 224897</v>
          </cell>
          <cell r="AA8" t="str">
            <v>FTE</v>
          </cell>
        </row>
        <row r="9">
          <cell r="B9" t="str">
            <v>Umar Mujahid Husain</v>
          </cell>
          <cell r="E9" t="str">
            <v>David Smith</v>
          </cell>
          <cell r="F9" t="str">
            <v>Umar Mujahid Husain</v>
          </cell>
          <cell r="G9" t="str">
            <v>Umar Mujahid Husain</v>
          </cell>
          <cell r="H9" t="str">
            <v>Dev Srivastava</v>
          </cell>
          <cell r="I9" t="str">
            <v>Nida Khan</v>
          </cell>
          <cell r="J9" t="str">
            <v>March</v>
          </cell>
          <cell r="K9">
            <v>45734</v>
          </cell>
          <cell r="L9" t="str">
            <v>NA</v>
          </cell>
          <cell r="M9" t="str">
            <v>PocketFM</v>
          </cell>
          <cell r="N9" t="str">
            <v>Ashish</v>
          </cell>
          <cell r="O9">
            <v>43200</v>
          </cell>
          <cell r="P9" t="str">
            <v>USD</v>
          </cell>
          <cell r="R9" t="str">
            <v>Done</v>
          </cell>
          <cell r="S9">
            <v>45764</v>
          </cell>
          <cell r="T9" t="str">
            <v>Vantedge</v>
          </cell>
          <cell r="U9" t="str">
            <v>Vantedge</v>
          </cell>
          <cell r="V9">
            <v>0.5</v>
          </cell>
          <cell r="W9">
            <v>0.5</v>
          </cell>
          <cell r="X9" t="str">
            <v>Umar Mujahid Husain</v>
          </cell>
          <cell r="Y9">
            <v>393</v>
          </cell>
          <cell r="Z9" t="str">
            <v>JPC - 224898</v>
          </cell>
          <cell r="AA9" t="str">
            <v>FTE</v>
          </cell>
        </row>
        <row r="10">
          <cell r="B10" t="str">
            <v>Shruti Shukla</v>
          </cell>
          <cell r="E10" t="str">
            <v>Kishore Ramakrishnan</v>
          </cell>
          <cell r="F10" t="str">
            <v>Mayank Saxena</v>
          </cell>
          <cell r="G10" t="str">
            <v>Mayank Saxena</v>
          </cell>
          <cell r="H10" t="str">
            <v>Rashmi Bhatnagar</v>
          </cell>
          <cell r="I10" t="str">
            <v>Richa Srivastava</v>
          </cell>
          <cell r="J10" t="str">
            <v>March</v>
          </cell>
          <cell r="K10">
            <v>45726</v>
          </cell>
          <cell r="L10" t="str">
            <v>NA</v>
          </cell>
          <cell r="M10" t="str">
            <v>Tredence</v>
          </cell>
          <cell r="N10" t="str">
            <v>Aamir</v>
          </cell>
          <cell r="O10">
            <v>12320</v>
          </cell>
          <cell r="P10" t="str">
            <v>USD</v>
          </cell>
          <cell r="R10" t="str">
            <v>Done</v>
          </cell>
          <cell r="S10">
            <v>45763</v>
          </cell>
          <cell r="T10" t="str">
            <v>Vantedge</v>
          </cell>
          <cell r="U10" t="str">
            <v>Vantedge</v>
          </cell>
          <cell r="V10">
            <v>0.5</v>
          </cell>
          <cell r="W10">
            <v>0.5</v>
          </cell>
          <cell r="X10" t="str">
            <v>Shruti Shukla</v>
          </cell>
          <cell r="Y10">
            <v>383</v>
          </cell>
          <cell r="Z10" t="str">
            <v>JPC - 224899</v>
          </cell>
          <cell r="AA10" t="str">
            <v>FTE</v>
          </cell>
        </row>
        <row r="11">
          <cell r="B11" t="str">
            <v>Priyansh Khare</v>
          </cell>
          <cell r="E11" t="str">
            <v>Brandon Ross</v>
          </cell>
          <cell r="F11" t="str">
            <v>Anshul Kumar</v>
          </cell>
          <cell r="G11" t="str">
            <v>Anshul Kumar</v>
          </cell>
          <cell r="H11" t="str">
            <v>Dev Srivastava</v>
          </cell>
          <cell r="J11" t="str">
            <v>March</v>
          </cell>
          <cell r="K11">
            <v>45733</v>
          </cell>
          <cell r="L11" t="str">
            <v>NA</v>
          </cell>
          <cell r="M11" t="str">
            <v>VXI</v>
          </cell>
          <cell r="N11" t="str">
            <v>Regan</v>
          </cell>
          <cell r="O11">
            <v>20250</v>
          </cell>
          <cell r="P11" t="str">
            <v>USD</v>
          </cell>
          <cell r="R11" t="str">
            <v>Done</v>
          </cell>
          <cell r="S11">
            <v>45763</v>
          </cell>
          <cell r="T11" t="str">
            <v>Vantedge</v>
          </cell>
          <cell r="U11" t="str">
            <v>Vantedge</v>
          </cell>
          <cell r="V11">
            <v>0.5</v>
          </cell>
          <cell r="W11">
            <v>0.5</v>
          </cell>
          <cell r="X11" t="str">
            <v>Priyansh Khare</v>
          </cell>
          <cell r="Y11">
            <v>286</v>
          </cell>
          <cell r="Z11" t="str">
            <v>JPC - 224900</v>
          </cell>
          <cell r="AA11" t="str">
            <v>FTE</v>
          </cell>
        </row>
        <row r="12">
          <cell r="B12" t="str">
            <v>Anshul Kumar</v>
          </cell>
          <cell r="E12" t="str">
            <v>David Jaime Illescas</v>
          </cell>
          <cell r="F12" t="str">
            <v>Anshul Kumar</v>
          </cell>
          <cell r="G12" t="str">
            <v>Anshul Kumar</v>
          </cell>
          <cell r="H12" t="str">
            <v>Dev Srivastava</v>
          </cell>
          <cell r="J12" t="str">
            <v>March</v>
          </cell>
          <cell r="K12">
            <v>45740</v>
          </cell>
          <cell r="L12" t="str">
            <v>NA</v>
          </cell>
          <cell r="M12" t="str">
            <v>ACL Digital</v>
          </cell>
          <cell r="N12" t="str">
            <v>Bhavin Shah</v>
          </cell>
          <cell r="O12">
            <v>39600</v>
          </cell>
          <cell r="P12" t="str">
            <v>USD</v>
          </cell>
          <cell r="R12" t="str">
            <v>Done</v>
          </cell>
          <cell r="S12">
            <v>45763</v>
          </cell>
          <cell r="T12" t="str">
            <v>Vantedge</v>
          </cell>
          <cell r="U12" t="str">
            <v>Vantedge</v>
          </cell>
          <cell r="V12">
            <v>0.5</v>
          </cell>
          <cell r="W12">
            <v>0.5</v>
          </cell>
          <cell r="X12" t="str">
            <v>Anshul Kumar</v>
          </cell>
          <cell r="Y12">
            <v>193</v>
          </cell>
          <cell r="Z12" t="str">
            <v>JPC - 224901</v>
          </cell>
          <cell r="AA12" t="str">
            <v>FTE</v>
          </cell>
        </row>
        <row r="13">
          <cell r="B13" t="str">
            <v>Devansh Mishra</v>
          </cell>
          <cell r="E13" t="str">
            <v>Alex Dee</v>
          </cell>
          <cell r="F13" t="str">
            <v>Anshul Kumar</v>
          </cell>
          <cell r="G13" t="str">
            <v>Raunak Tripathi</v>
          </cell>
          <cell r="H13" t="str">
            <v>Dev Srivastava</v>
          </cell>
          <cell r="I13" t="str">
            <v>Nida Khan</v>
          </cell>
          <cell r="J13" t="str">
            <v>March</v>
          </cell>
          <cell r="K13">
            <v>45747</v>
          </cell>
          <cell r="L13">
            <v>45762</v>
          </cell>
          <cell r="M13" t="str">
            <v>Waverly</v>
          </cell>
          <cell r="N13" t="str">
            <v>Raj</v>
          </cell>
          <cell r="O13">
            <v>0</v>
          </cell>
          <cell r="P13" t="str">
            <v>USD</v>
          </cell>
          <cell r="Q13">
            <v>35875</v>
          </cell>
          <cell r="R13" t="str">
            <v>No Bill No pay</v>
          </cell>
          <cell r="S13">
            <v>45763</v>
          </cell>
          <cell r="T13" t="str">
            <v>Vantedge</v>
          </cell>
          <cell r="U13" t="str">
            <v>Vantedge</v>
          </cell>
          <cell r="V13">
            <v>0.5</v>
          </cell>
          <cell r="W13">
            <v>0.5</v>
          </cell>
          <cell r="X13" t="str">
            <v>Devansh Mishra</v>
          </cell>
          <cell r="Y13">
            <v>1764</v>
          </cell>
          <cell r="Z13" t="str">
            <v>JPC - 224902</v>
          </cell>
          <cell r="AA13" t="str">
            <v>FTE</v>
          </cell>
        </row>
        <row r="14">
          <cell r="B14" t="str">
            <v>Govind Srivastava</v>
          </cell>
          <cell r="E14" t="str">
            <v>Satish Manam</v>
          </cell>
          <cell r="F14" t="str">
            <v>Mayank Saxena</v>
          </cell>
          <cell r="G14" t="str">
            <v>Mayank Saxena</v>
          </cell>
          <cell r="H14" t="str">
            <v>Alok Mishra</v>
          </cell>
          <cell r="I14" t="str">
            <v>Tanya Mishra</v>
          </cell>
          <cell r="J14" t="str">
            <v>March</v>
          </cell>
          <cell r="K14">
            <v>45740</v>
          </cell>
          <cell r="L14" t="str">
            <v>NA</v>
          </cell>
          <cell r="M14" t="str">
            <v>Digitide</v>
          </cell>
          <cell r="N14" t="str">
            <v>Saket</v>
          </cell>
          <cell r="O14">
            <v>29900</v>
          </cell>
          <cell r="P14" t="str">
            <v>USD</v>
          </cell>
          <cell r="R14" t="str">
            <v>Pending</v>
          </cell>
          <cell r="S14">
            <v>45806</v>
          </cell>
          <cell r="T14" t="str">
            <v>Vantedge</v>
          </cell>
          <cell r="U14" t="str">
            <v>Vantedge</v>
          </cell>
          <cell r="V14">
            <v>0.5</v>
          </cell>
          <cell r="W14">
            <v>0.5</v>
          </cell>
          <cell r="X14" t="str">
            <v>Govind Srivastava</v>
          </cell>
          <cell r="Y14">
            <v>434</v>
          </cell>
          <cell r="Z14" t="str">
            <v>JPC - 224903</v>
          </cell>
          <cell r="AA14" t="str">
            <v>FTE</v>
          </cell>
        </row>
        <row r="15">
          <cell r="B15" t="str">
            <v>Abhay Pratap Singh</v>
          </cell>
          <cell r="E15" t="str">
            <v>Praveen Narayana</v>
          </cell>
          <cell r="F15" t="str">
            <v>Umar Mujahid Husain</v>
          </cell>
          <cell r="G15" t="str">
            <v>Umar Mujahid Husain</v>
          </cell>
          <cell r="H15" t="str">
            <v>Dev Srivastava</v>
          </cell>
          <cell r="J15" t="str">
            <v>April</v>
          </cell>
          <cell r="K15">
            <v>45761</v>
          </cell>
          <cell r="L15" t="str">
            <v>NA</v>
          </cell>
          <cell r="M15" t="str">
            <v>Tech Mahindra</v>
          </cell>
          <cell r="N15" t="str">
            <v>Kunwar</v>
          </cell>
          <cell r="O15">
            <v>20825</v>
          </cell>
          <cell r="P15" t="str">
            <v>USD</v>
          </cell>
          <cell r="R15" t="str">
            <v>Done</v>
          </cell>
          <cell r="S15">
            <v>45763</v>
          </cell>
          <cell r="T15" t="str">
            <v>Vantedge</v>
          </cell>
          <cell r="U15" t="str">
            <v>Vantedge</v>
          </cell>
          <cell r="V15">
            <v>0.5</v>
          </cell>
          <cell r="W15">
            <v>0.5</v>
          </cell>
          <cell r="X15" t="str">
            <v>Abhay Pratap Singh</v>
          </cell>
          <cell r="Y15">
            <v>8</v>
          </cell>
          <cell r="Z15" t="str">
            <v>JPC - 224904</v>
          </cell>
          <cell r="AA15" t="str">
            <v>FTE</v>
          </cell>
        </row>
        <row r="16">
          <cell r="B16" t="str">
            <v>Ranjeet Kumar</v>
          </cell>
          <cell r="E16" t="str">
            <v>Helen Kim</v>
          </cell>
          <cell r="F16" t="str">
            <v>Raunak Tripathi</v>
          </cell>
          <cell r="G16" t="str">
            <v>Raunak Tripathi</v>
          </cell>
          <cell r="H16" t="str">
            <v>Alok Mishra</v>
          </cell>
          <cell r="I16" t="str">
            <v>Raunak Tripathi</v>
          </cell>
          <cell r="J16" t="str">
            <v>April</v>
          </cell>
          <cell r="K16">
            <v>45754</v>
          </cell>
          <cell r="L16" t="str">
            <v>NA</v>
          </cell>
          <cell r="M16" t="str">
            <v>Coforge</v>
          </cell>
          <cell r="N16" t="str">
            <v>Athiraj Balasubramanian</v>
          </cell>
          <cell r="O16">
            <v>33000</v>
          </cell>
          <cell r="P16" t="str">
            <v>USD</v>
          </cell>
          <cell r="R16" t="str">
            <v>Done</v>
          </cell>
          <cell r="S16">
            <v>45763</v>
          </cell>
          <cell r="T16" t="str">
            <v>Vantedge</v>
          </cell>
          <cell r="U16" t="str">
            <v>Vantedge</v>
          </cell>
          <cell r="V16">
            <v>0.5</v>
          </cell>
          <cell r="W16">
            <v>0.5</v>
          </cell>
          <cell r="X16" t="str">
            <v>Ranjeet Kumar</v>
          </cell>
          <cell r="Y16">
            <v>155</v>
          </cell>
          <cell r="Z16" t="str">
            <v>JPC - 224905</v>
          </cell>
          <cell r="AA16" t="str">
            <v>FTE</v>
          </cell>
        </row>
        <row r="17">
          <cell r="B17" t="str">
            <v>Alok Mishra</v>
          </cell>
          <cell r="E17" t="str">
            <v>Maria Flock</v>
          </cell>
          <cell r="F17" t="str">
            <v>Alok Mishra</v>
          </cell>
          <cell r="G17" t="str">
            <v>Alok Mishra</v>
          </cell>
          <cell r="H17" t="str">
            <v>Alok Mishra</v>
          </cell>
          <cell r="I17" t="str">
            <v>Rohini Parihar</v>
          </cell>
          <cell r="J17" t="str">
            <v>April</v>
          </cell>
          <cell r="K17">
            <v>45754</v>
          </cell>
          <cell r="L17" t="str">
            <v>NA</v>
          </cell>
          <cell r="M17" t="str">
            <v>Sutherland</v>
          </cell>
          <cell r="N17" t="str">
            <v>Mark Hess</v>
          </cell>
          <cell r="O17">
            <v>65000</v>
          </cell>
          <cell r="P17" t="str">
            <v>USD</v>
          </cell>
          <cell r="R17" t="str">
            <v>Done</v>
          </cell>
          <cell r="S17">
            <v>45763</v>
          </cell>
          <cell r="T17" t="str">
            <v>Vantedge</v>
          </cell>
          <cell r="U17" t="str">
            <v>Vantedge</v>
          </cell>
          <cell r="V17">
            <v>0.5</v>
          </cell>
          <cell r="W17">
            <v>0.5</v>
          </cell>
          <cell r="X17" t="str">
            <v>Alok Mishra</v>
          </cell>
          <cell r="Y17">
            <v>24</v>
          </cell>
          <cell r="Z17" t="str">
            <v>JPC - 224906</v>
          </cell>
          <cell r="AA17" t="str">
            <v>FTE</v>
          </cell>
        </row>
        <row r="18">
          <cell r="B18" t="str">
            <v>Mayank Saxena</v>
          </cell>
          <cell r="E18" t="str">
            <v>Shekhar Patwardhan</v>
          </cell>
          <cell r="F18" t="str">
            <v>Mayank Saxena</v>
          </cell>
          <cell r="G18" t="str">
            <v>Mayank Saxena</v>
          </cell>
          <cell r="H18" t="str">
            <v>Rashmi Bhatnagar</v>
          </cell>
          <cell r="J18" t="str">
            <v>May</v>
          </cell>
          <cell r="K18">
            <v>45782</v>
          </cell>
          <cell r="L18" t="str">
            <v>NA</v>
          </cell>
          <cell r="M18" t="str">
            <v>Sutherland</v>
          </cell>
          <cell r="O18">
            <v>62500</v>
          </cell>
          <cell r="P18" t="str">
            <v>USD</v>
          </cell>
          <cell r="R18" t="str">
            <v>Pending</v>
          </cell>
          <cell r="S18">
            <v>45792</v>
          </cell>
          <cell r="T18" t="str">
            <v>Vantedge</v>
          </cell>
          <cell r="U18" t="str">
            <v>Vantedge</v>
          </cell>
          <cell r="V18">
            <v>0.5</v>
          </cell>
          <cell r="W18">
            <v>0.5</v>
          </cell>
          <cell r="X18" t="str">
            <v>Mayank Saxena</v>
          </cell>
          <cell r="Y18">
            <v>24</v>
          </cell>
          <cell r="Z18" t="str">
            <v>JPC - 224907</v>
          </cell>
          <cell r="AA18" t="str">
            <v>FTE</v>
          </cell>
        </row>
        <row r="19">
          <cell r="B19" t="str">
            <v>Govind Srivastava</v>
          </cell>
          <cell r="E19" t="str">
            <v>Donna Hulina</v>
          </cell>
          <cell r="F19" t="str">
            <v>Anshul Kumar</v>
          </cell>
          <cell r="G19" t="str">
            <v>Mayank Saxena</v>
          </cell>
          <cell r="H19" t="str">
            <v>Rashmi Bhatnagar</v>
          </cell>
          <cell r="J19" t="str">
            <v>May</v>
          </cell>
          <cell r="K19">
            <v>45789</v>
          </cell>
          <cell r="L19" t="str">
            <v>NA</v>
          </cell>
          <cell r="M19" t="str">
            <v>Myridius</v>
          </cell>
          <cell r="O19">
            <v>21600</v>
          </cell>
          <cell r="P19" t="str">
            <v>USD</v>
          </cell>
          <cell r="R19" t="str">
            <v>Done</v>
          </cell>
          <cell r="S19">
            <v>45792</v>
          </cell>
          <cell r="T19" t="str">
            <v>Vantedge</v>
          </cell>
          <cell r="U19" t="str">
            <v>Vantedge</v>
          </cell>
          <cell r="V19">
            <v>0.5</v>
          </cell>
          <cell r="W19">
            <v>0.5</v>
          </cell>
          <cell r="X19" t="str">
            <v>Govind Srivastava</v>
          </cell>
          <cell r="Y19">
            <v>438</v>
          </cell>
          <cell r="Z19" t="str">
            <v>JPC - 224908</v>
          </cell>
          <cell r="AA19" t="str">
            <v>FTE</v>
          </cell>
        </row>
        <row r="20">
          <cell r="B20" t="str">
            <v>Priyansh Khare</v>
          </cell>
          <cell r="E20" t="str">
            <v>Shawn Elkon</v>
          </cell>
          <cell r="F20" t="str">
            <v>Umar Mujahid Husain</v>
          </cell>
          <cell r="G20" t="str">
            <v>Anshul Kumar</v>
          </cell>
          <cell r="H20" t="str">
            <v>Dev Srivastava</v>
          </cell>
          <cell r="J20" t="str">
            <v>May</v>
          </cell>
          <cell r="K20">
            <v>45782</v>
          </cell>
          <cell r="L20" t="str">
            <v>NA</v>
          </cell>
          <cell r="M20" t="str">
            <v>Tech Mahindra</v>
          </cell>
          <cell r="N20" t="str">
            <v>Rahul KV</v>
          </cell>
          <cell r="O20">
            <v>18326</v>
          </cell>
          <cell r="P20" t="str">
            <v>USD</v>
          </cell>
          <cell r="Q20">
            <v>18326</v>
          </cell>
          <cell r="R20" t="str">
            <v>Done</v>
          </cell>
          <cell r="S20">
            <v>45926</v>
          </cell>
          <cell r="T20" t="str">
            <v>Vantedge</v>
          </cell>
          <cell r="U20" t="str">
            <v>Vantedge</v>
          </cell>
          <cell r="V20">
            <v>0.5</v>
          </cell>
          <cell r="W20">
            <v>0.5</v>
          </cell>
          <cell r="X20" t="str">
            <v>Priyansh Khare</v>
          </cell>
          <cell r="Y20">
            <v>8</v>
          </cell>
          <cell r="Z20" t="str">
            <v>JPC - 224909</v>
          </cell>
          <cell r="AA20" t="str">
            <v>FTE</v>
          </cell>
        </row>
        <row r="21">
          <cell r="B21" t="str">
            <v>Pulkit Prakash</v>
          </cell>
          <cell r="E21" t="str">
            <v>Sergei Smirnov</v>
          </cell>
          <cell r="F21" t="str">
            <v>Raunak Tripathi</v>
          </cell>
          <cell r="G21" t="str">
            <v>Raunak Tripathi</v>
          </cell>
          <cell r="H21" t="str">
            <v>Alok Mishra</v>
          </cell>
          <cell r="J21" t="str">
            <v>May</v>
          </cell>
          <cell r="K21">
            <v>45804</v>
          </cell>
          <cell r="L21" t="str">
            <v>NA</v>
          </cell>
          <cell r="M21" t="str">
            <v>Kale Logistics</v>
          </cell>
          <cell r="N21" t="str">
            <v>Chetan Khanna</v>
          </cell>
          <cell r="O21">
            <v>12524.311199999998</v>
          </cell>
          <cell r="P21" t="str">
            <v>USD</v>
          </cell>
          <cell r="R21" t="str">
            <v>Done</v>
          </cell>
          <cell r="S21">
            <v>45810</v>
          </cell>
          <cell r="T21" t="str">
            <v>Vantedge</v>
          </cell>
          <cell r="U21" t="str">
            <v>Vantedge</v>
          </cell>
          <cell r="V21">
            <v>0.5</v>
          </cell>
          <cell r="W21">
            <v>0.5</v>
          </cell>
          <cell r="X21" t="str">
            <v>Pulkit Prakash</v>
          </cell>
          <cell r="Y21">
            <v>427</v>
          </cell>
          <cell r="Z21" t="str">
            <v>JPC - 224910</v>
          </cell>
          <cell r="AA21" t="str">
            <v>FTE</v>
          </cell>
        </row>
        <row r="22">
          <cell r="B22" t="str">
            <v>Umar Mujahid Husain</v>
          </cell>
          <cell r="E22" t="str">
            <v>Taylor Carlson</v>
          </cell>
          <cell r="F22" t="str">
            <v>Umar Mujahid Husain</v>
          </cell>
          <cell r="G22" t="str">
            <v>Umar Mujahid Husain</v>
          </cell>
          <cell r="H22" t="str">
            <v>Dev Srivastava</v>
          </cell>
          <cell r="I22" t="str">
            <v>Nida Khan</v>
          </cell>
          <cell r="J22" t="str">
            <v>June</v>
          </cell>
          <cell r="K22">
            <v>45811</v>
          </cell>
          <cell r="L22" t="str">
            <v>NA</v>
          </cell>
          <cell r="M22" t="str">
            <v>PocketFM</v>
          </cell>
          <cell r="N22" t="str">
            <v>Ashish</v>
          </cell>
          <cell r="O22">
            <v>37600</v>
          </cell>
          <cell r="P22" t="str">
            <v>USD</v>
          </cell>
          <cell r="R22" t="str">
            <v>Done</v>
          </cell>
          <cell r="S22">
            <v>45824</v>
          </cell>
          <cell r="T22" t="str">
            <v>Vantedge</v>
          </cell>
          <cell r="U22" t="str">
            <v>Vantedge</v>
          </cell>
          <cell r="V22">
            <v>0.5</v>
          </cell>
          <cell r="W22">
            <v>0.5</v>
          </cell>
          <cell r="X22" t="str">
            <v>Umar Mujahid Husain</v>
          </cell>
          <cell r="Y22">
            <v>393</v>
          </cell>
          <cell r="Z22" t="str">
            <v>JPC - 224911</v>
          </cell>
          <cell r="AA22" t="str">
            <v>FTE</v>
          </cell>
        </row>
        <row r="23">
          <cell r="B23" t="str">
            <v>Pulkit Prakash</v>
          </cell>
          <cell r="E23" t="str">
            <v>Sandeep Sanon</v>
          </cell>
          <cell r="F23" t="str">
            <v>Raunak Tripathi</v>
          </cell>
          <cell r="G23" t="str">
            <v>Raunak Tripathi</v>
          </cell>
          <cell r="H23" t="str">
            <v>Alok Mishra</v>
          </cell>
          <cell r="J23" t="str">
            <v>June</v>
          </cell>
          <cell r="K23">
            <v>45810</v>
          </cell>
          <cell r="L23" t="str">
            <v>NA</v>
          </cell>
          <cell r="M23" t="str">
            <v>LTIMindtree</v>
          </cell>
          <cell r="N23" t="str">
            <v>Mohd Anas Khan</v>
          </cell>
          <cell r="O23">
            <v>28350</v>
          </cell>
          <cell r="P23" t="str">
            <v>USD</v>
          </cell>
          <cell r="Q23">
            <v>28350</v>
          </cell>
          <cell r="R23" t="str">
            <v>Done</v>
          </cell>
          <cell r="S23">
            <v>45824</v>
          </cell>
          <cell r="T23" t="str">
            <v>Vantedge</v>
          </cell>
          <cell r="U23" t="str">
            <v>Vantedge</v>
          </cell>
          <cell r="V23">
            <v>0.5</v>
          </cell>
          <cell r="W23">
            <v>0.5</v>
          </cell>
          <cell r="X23" t="str">
            <v>Pulkit Prakash</v>
          </cell>
          <cell r="Y23">
            <v>299</v>
          </cell>
          <cell r="Z23" t="str">
            <v>JPC - 224912</v>
          </cell>
          <cell r="AA23" t="str">
            <v>FTE</v>
          </cell>
        </row>
        <row r="24">
          <cell r="B24" t="str">
            <v>Govind Srivastava</v>
          </cell>
          <cell r="E24" t="str">
            <v>Inderpuneet Sohanpal</v>
          </cell>
          <cell r="F24" t="str">
            <v>Raunak Tripathi</v>
          </cell>
          <cell r="G24" t="str">
            <v>Mayank Saxena</v>
          </cell>
          <cell r="H24" t="str">
            <v>Rashmi Bhatnagar</v>
          </cell>
          <cell r="I24" t="str">
            <v>Nida Khan</v>
          </cell>
          <cell r="J24" t="str">
            <v>July</v>
          </cell>
          <cell r="K24">
            <v>45845</v>
          </cell>
          <cell r="L24" t="str">
            <v>NA</v>
          </cell>
          <cell r="M24" t="str">
            <v>Visionet</v>
          </cell>
          <cell r="N24" t="str">
            <v>Shelza </v>
          </cell>
          <cell r="O24">
            <v>40500</v>
          </cell>
          <cell r="P24" t="str">
            <v>USD</v>
          </cell>
          <cell r="R24" t="str">
            <v>Pending</v>
          </cell>
          <cell r="S24">
            <v>45853</v>
          </cell>
          <cell r="T24" t="str">
            <v>Vantedge</v>
          </cell>
          <cell r="U24" t="str">
            <v>Vantedge</v>
          </cell>
          <cell r="V24">
            <v>0.5</v>
          </cell>
          <cell r="W24">
            <v>0.5</v>
          </cell>
          <cell r="X24" t="str">
            <v>Govind Srivastava</v>
          </cell>
          <cell r="Y24">
            <v>150</v>
          </cell>
          <cell r="Z24" t="str">
            <v>JPC - 224913</v>
          </cell>
          <cell r="AA24" t="str">
            <v>FTE</v>
          </cell>
        </row>
        <row r="25">
          <cell r="B25" t="str">
            <v>Umang Srivastava</v>
          </cell>
          <cell r="E25" t="str">
            <v>Ramkishen Kalyana</v>
          </cell>
          <cell r="F25" t="str">
            <v>Mayank Saxena</v>
          </cell>
          <cell r="G25" t="str">
            <v>Mayank Saxena</v>
          </cell>
          <cell r="H25" t="str">
            <v>Rashmi Bhatnagar</v>
          </cell>
          <cell r="J25" t="str">
            <v>July</v>
          </cell>
          <cell r="K25">
            <v>45840</v>
          </cell>
          <cell r="L25" t="str">
            <v>NA</v>
          </cell>
          <cell r="M25" t="str">
            <v>Sutherland</v>
          </cell>
          <cell r="N25" t="str">
            <v> Mark Hess</v>
          </cell>
          <cell r="O25">
            <v>57500</v>
          </cell>
          <cell r="P25" t="str">
            <v>USD</v>
          </cell>
          <cell r="R25" t="str">
            <v>Pending</v>
          </cell>
          <cell r="S25">
            <v>45854</v>
          </cell>
          <cell r="T25" t="str">
            <v>Vantedge</v>
          </cell>
          <cell r="U25" t="str">
            <v>Vantedge</v>
          </cell>
          <cell r="V25">
            <v>0.5</v>
          </cell>
          <cell r="W25">
            <v>0.5</v>
          </cell>
          <cell r="X25" t="str">
            <v>Umang Srivastava</v>
          </cell>
          <cell r="Y25">
            <v>24</v>
          </cell>
          <cell r="Z25" t="str">
            <v>JPC - 224914</v>
          </cell>
          <cell r="AA25" t="str">
            <v>FTE</v>
          </cell>
        </row>
        <row r="26">
          <cell r="B26" t="str">
            <v>Govind Srivastava</v>
          </cell>
          <cell r="E26" t="str">
            <v>Satheesh Naik</v>
          </cell>
          <cell r="F26" t="str">
            <v>Mayank Saxena</v>
          </cell>
          <cell r="G26" t="str">
            <v>Mayank Saxena</v>
          </cell>
          <cell r="H26" t="str">
            <v>Rashmi Bhatnagar</v>
          </cell>
          <cell r="J26" t="str">
            <v>July</v>
          </cell>
          <cell r="K26">
            <v>45848</v>
          </cell>
          <cell r="L26" t="str">
            <v>NA</v>
          </cell>
          <cell r="M26" t="str">
            <v>Sutherland</v>
          </cell>
          <cell r="N26" t="str">
            <v> Mark Hess</v>
          </cell>
          <cell r="O26">
            <v>60000</v>
          </cell>
          <cell r="P26" t="str">
            <v>USD</v>
          </cell>
          <cell r="R26" t="str">
            <v>Pending</v>
          </cell>
          <cell r="S26">
            <v>45855</v>
          </cell>
          <cell r="T26" t="str">
            <v>Vantedge</v>
          </cell>
          <cell r="U26" t="str">
            <v>Vantedge</v>
          </cell>
          <cell r="V26">
            <v>0.5</v>
          </cell>
          <cell r="W26">
            <v>0.5</v>
          </cell>
          <cell r="X26" t="str">
            <v>Govind Srivastava</v>
          </cell>
          <cell r="Y26">
            <v>24</v>
          </cell>
          <cell r="Z26" t="str">
            <v>JPC - 224915</v>
          </cell>
          <cell r="AA26" t="str">
            <v>FTE</v>
          </cell>
        </row>
        <row r="27">
          <cell r="B27" t="str">
            <v>Pulkit Prakash</v>
          </cell>
          <cell r="E27" t="str">
            <v>Robert Gonzalez</v>
          </cell>
          <cell r="F27" t="str">
            <v>Raunak Tripathi</v>
          </cell>
          <cell r="G27" t="str">
            <v>Raunak Tripathi</v>
          </cell>
          <cell r="H27" t="str">
            <v>Alok Mishra</v>
          </cell>
          <cell r="J27" t="str">
            <v>July</v>
          </cell>
          <cell r="K27">
            <v>45848</v>
          </cell>
          <cell r="L27" t="str">
            <v>NA</v>
          </cell>
          <cell r="M27" t="str">
            <v>Kale Logistics</v>
          </cell>
          <cell r="N27" t="str">
            <v>Sanket Kavi</v>
          </cell>
          <cell r="O27">
            <v>15600</v>
          </cell>
          <cell r="P27" t="str">
            <v>USD</v>
          </cell>
          <cell r="R27" t="str">
            <v>Done</v>
          </cell>
          <cell r="S27">
            <v>45855</v>
          </cell>
          <cell r="T27" t="str">
            <v>Vantedge</v>
          </cell>
          <cell r="U27" t="str">
            <v>Vantedge</v>
          </cell>
          <cell r="V27">
            <v>0.5</v>
          </cell>
          <cell r="W27">
            <v>0.5</v>
          </cell>
          <cell r="X27" t="str">
            <v>Pulkit Prakash</v>
          </cell>
          <cell r="Y27">
            <v>427</v>
          </cell>
          <cell r="Z27" t="str">
            <v>JPC - 224916</v>
          </cell>
          <cell r="AA27" t="str">
            <v>FTE</v>
          </cell>
        </row>
        <row r="28">
          <cell r="B28" t="str">
            <v>Sagar Chandani</v>
          </cell>
          <cell r="E28" t="str">
            <v>Nestor Miranda</v>
          </cell>
          <cell r="F28" t="str">
            <v>Rashmi Bhatnagar</v>
          </cell>
          <cell r="G28" t="str">
            <v>Ankit Pandey</v>
          </cell>
          <cell r="H28" t="str">
            <v>Rashmi Bhatnagar</v>
          </cell>
          <cell r="J28" t="str">
            <v>July</v>
          </cell>
          <cell r="K28">
            <v>45846</v>
          </cell>
          <cell r="L28" t="str">
            <v>NA</v>
          </cell>
          <cell r="M28" t="str">
            <v>Sutherland</v>
          </cell>
          <cell r="N28" t="str">
            <v>Mark Hess</v>
          </cell>
          <cell r="O28">
            <v>30000</v>
          </cell>
          <cell r="P28" t="str">
            <v>USD</v>
          </cell>
          <cell r="R28" t="str">
            <v>Pending</v>
          </cell>
          <cell r="S28">
            <v>45855</v>
          </cell>
          <cell r="T28" t="str">
            <v>RPO+Vantedge</v>
          </cell>
          <cell r="U28" t="str">
            <v>Vantedge</v>
          </cell>
          <cell r="V28">
            <v>0.5</v>
          </cell>
          <cell r="W28">
            <v>0.5</v>
          </cell>
          <cell r="X28" t="str">
            <v>Sagar Chandani</v>
          </cell>
          <cell r="Y28">
            <v>24</v>
          </cell>
          <cell r="Z28" t="str">
            <v>JPC - 224917</v>
          </cell>
          <cell r="AA28" t="str">
            <v>FTE</v>
          </cell>
        </row>
        <row r="29">
          <cell r="B29" t="str">
            <v>Syed Ahrar Abbas Zaidi</v>
          </cell>
          <cell r="E29" t="str">
            <v>Sandeep Padhye</v>
          </cell>
          <cell r="F29" t="str">
            <v>Anshul Kumar</v>
          </cell>
          <cell r="G29" t="str">
            <v>Umar Mujahid Husain</v>
          </cell>
          <cell r="H29" t="str">
            <v>Dev Srivastava</v>
          </cell>
          <cell r="I29" t="str">
            <v>Qausain Abbass</v>
          </cell>
          <cell r="J29" t="str">
            <v>July</v>
          </cell>
          <cell r="K29">
            <v>45859</v>
          </cell>
          <cell r="L29" t="str">
            <v>NA</v>
          </cell>
          <cell r="M29" t="str">
            <v>InfoBeans</v>
          </cell>
          <cell r="N29" t="str">
            <v> Harmeet Bhatia</v>
          </cell>
          <cell r="O29">
            <v>31500</v>
          </cell>
          <cell r="P29" t="str">
            <v>USD</v>
          </cell>
          <cell r="R29" t="str">
            <v>Done</v>
          </cell>
          <cell r="S29">
            <v>45869</v>
          </cell>
          <cell r="T29" t="str">
            <v>Vantedge</v>
          </cell>
          <cell r="U29" t="str">
            <v>Vantedge</v>
          </cell>
          <cell r="V29">
            <v>0.5</v>
          </cell>
          <cell r="W29">
            <v>0.5</v>
          </cell>
          <cell r="X29" t="str">
            <v>Syed Ahrar Abbas Zaidi</v>
          </cell>
          <cell r="Y29">
            <v>448</v>
          </cell>
          <cell r="Z29" t="str">
            <v>JPC - 224918</v>
          </cell>
          <cell r="AA29" t="str">
            <v>FTE</v>
          </cell>
        </row>
        <row r="30">
          <cell r="B30" t="str">
            <v>Pulkit Prakash</v>
          </cell>
          <cell r="E30" t="str">
            <v>Travis Leemreis</v>
          </cell>
          <cell r="F30" t="str">
            <v>Raunak Tripathi</v>
          </cell>
          <cell r="G30" t="str">
            <v>Raunak Tripathi</v>
          </cell>
          <cell r="H30" t="str">
            <v>Alok Mishra</v>
          </cell>
          <cell r="J30" t="str">
            <v>July</v>
          </cell>
          <cell r="K30">
            <v>45855</v>
          </cell>
          <cell r="L30" t="str">
            <v>NA</v>
          </cell>
          <cell r="M30" t="str">
            <v>Kale Logistics</v>
          </cell>
          <cell r="N30" t="str">
            <v>Sanket Kavi</v>
          </cell>
          <cell r="O30">
            <v>14400</v>
          </cell>
          <cell r="P30" t="str">
            <v>USD</v>
          </cell>
          <cell r="R30" t="str">
            <v>Done</v>
          </cell>
          <cell r="S30">
            <v>45869</v>
          </cell>
          <cell r="T30" t="str">
            <v>vantedge</v>
          </cell>
          <cell r="U30" t="str">
            <v>Vantedge</v>
          </cell>
          <cell r="V30">
            <v>0.5</v>
          </cell>
          <cell r="W30">
            <v>0.5</v>
          </cell>
          <cell r="X30" t="str">
            <v>Pulkit Prakash</v>
          </cell>
          <cell r="Y30">
            <v>427</v>
          </cell>
          <cell r="Z30" t="str">
            <v>JPC - 224919</v>
          </cell>
          <cell r="AA30" t="str">
            <v>FTE</v>
          </cell>
        </row>
        <row r="31">
          <cell r="B31" t="str">
            <v>Pulkit Prakash</v>
          </cell>
          <cell r="E31" t="str">
            <v>Leroy Cervantes</v>
          </cell>
          <cell r="F31" t="str">
            <v>Raunak Tripathi</v>
          </cell>
          <cell r="G31" t="str">
            <v>Raunak Tripathi</v>
          </cell>
          <cell r="H31" t="str">
            <v>Alok Mishra</v>
          </cell>
          <cell r="J31" t="str">
            <v>July</v>
          </cell>
          <cell r="K31">
            <v>45859</v>
          </cell>
          <cell r="L31">
            <v>45920</v>
          </cell>
          <cell r="M31" t="str">
            <v>Kale Logistics</v>
          </cell>
          <cell r="N31" t="str">
            <v>Sanket Kavi</v>
          </cell>
          <cell r="O31">
            <v>0</v>
          </cell>
          <cell r="P31" t="str">
            <v>USD</v>
          </cell>
          <cell r="Q31">
            <v>13800</v>
          </cell>
          <cell r="S31">
            <v>45869</v>
          </cell>
          <cell r="T31" t="str">
            <v>Vantedge</v>
          </cell>
          <cell r="U31" t="str">
            <v>Vantedge</v>
          </cell>
          <cell r="V31">
            <v>0.5</v>
          </cell>
          <cell r="W31">
            <v>0.5</v>
          </cell>
          <cell r="X31" t="str">
            <v>Pulkit Prakash</v>
          </cell>
          <cell r="Y31">
            <v>427</v>
          </cell>
          <cell r="Z31" t="str">
            <v>JPC - 224920</v>
          </cell>
          <cell r="AA31" t="str">
            <v>FTE</v>
          </cell>
        </row>
        <row r="32">
          <cell r="B32" t="str">
            <v>Rashmi Bhatnagar</v>
          </cell>
          <cell r="E32" t="str">
            <v>Manish Hemrajani</v>
          </cell>
          <cell r="F32" t="str">
            <v>Rashmi Bhatnagar</v>
          </cell>
          <cell r="G32" t="str">
            <v>Rashmi Bhatnagar</v>
          </cell>
          <cell r="H32" t="str">
            <v>Rashmi Bhatnagar</v>
          </cell>
          <cell r="J32" t="str">
            <v>July</v>
          </cell>
          <cell r="K32">
            <v>45866</v>
          </cell>
          <cell r="L32" t="str">
            <v>NA</v>
          </cell>
          <cell r="M32" t="str">
            <v>Coforge</v>
          </cell>
          <cell r="N32" t="str">
            <v> Bala Submramanium</v>
          </cell>
          <cell r="O32">
            <v>45000</v>
          </cell>
          <cell r="P32" t="str">
            <v> USD</v>
          </cell>
          <cell r="R32" t="str">
            <v>Pending</v>
          </cell>
          <cell r="S32">
            <v>45870</v>
          </cell>
          <cell r="T32" t="str">
            <v>Vantedge</v>
          </cell>
          <cell r="U32" t="str">
            <v>Vantedge</v>
          </cell>
          <cell r="V32">
            <v>0.5</v>
          </cell>
          <cell r="W32">
            <v>0.5</v>
          </cell>
          <cell r="X32" t="str">
            <v>Rashmi Bhatnagar</v>
          </cell>
          <cell r="Y32">
            <v>155</v>
          </cell>
          <cell r="Z32" t="str">
            <v>JPC - 224921</v>
          </cell>
          <cell r="AA32" t="str">
            <v>FTE</v>
          </cell>
        </row>
        <row r="33">
          <cell r="B33" t="str">
            <v>Rashmi Bhatnagar</v>
          </cell>
          <cell r="E33" t="str">
            <v>Mary Andrews</v>
          </cell>
          <cell r="F33" t="str">
            <v>Rashmi Bhatnagar</v>
          </cell>
          <cell r="G33" t="str">
            <v>Rashmi Bhatnagar</v>
          </cell>
          <cell r="H33" t="str">
            <v>Rashmi Bhatnagar</v>
          </cell>
          <cell r="J33" t="str">
            <v>March</v>
          </cell>
          <cell r="K33">
            <v>45728</v>
          </cell>
          <cell r="L33" t="str">
            <v>NA</v>
          </cell>
          <cell r="M33" t="str">
            <v>Sutherland</v>
          </cell>
          <cell r="N33" t="str">
            <v> Mark Hess</v>
          </cell>
          <cell r="O33">
            <v>4808</v>
          </cell>
          <cell r="P33" t="str">
            <v>USD</v>
          </cell>
          <cell r="R33" t="str">
            <v>Done</v>
          </cell>
          <cell r="S33">
            <v>45870</v>
          </cell>
          <cell r="T33" t="str">
            <v>Vantedge</v>
          </cell>
          <cell r="U33" t="str">
            <v>Vantedge</v>
          </cell>
          <cell r="V33">
            <v>0.5</v>
          </cell>
          <cell r="W33">
            <v>0.5</v>
          </cell>
          <cell r="X33" t="str">
            <v>Rashmi Bhatnagar</v>
          </cell>
          <cell r="Y33">
            <v>24</v>
          </cell>
          <cell r="Z33" t="str">
            <v>JPC - 224922</v>
          </cell>
          <cell r="AA33" t="str">
            <v>FTE</v>
          </cell>
        </row>
        <row r="34">
          <cell r="E34" t="str">
            <v>N/A</v>
          </cell>
          <cell r="H34" t="str">
            <v>Alok Mishra</v>
          </cell>
          <cell r="J34" t="str">
            <v>June</v>
          </cell>
          <cell r="K34">
            <v>45822</v>
          </cell>
          <cell r="L34" t="str">
            <v>NA</v>
          </cell>
          <cell r="M34" t="str">
            <v>Friisberg &amp; Partners International</v>
          </cell>
          <cell r="O34">
            <v>1890</v>
          </cell>
          <cell r="S34">
            <v>45870</v>
          </cell>
          <cell r="T34" t="str">
            <v>Vantedge - UK</v>
          </cell>
          <cell r="U34" t="str">
            <v>Vantedge - UK</v>
          </cell>
          <cell r="V34">
            <v>0.5</v>
          </cell>
          <cell r="W34">
            <v>0.5</v>
          </cell>
          <cell r="Y34" t="e">
            <v>#N/A</v>
          </cell>
          <cell r="Z34" t="str">
            <v>JPC - 224923</v>
          </cell>
          <cell r="AA34" t="str">
            <v>FTE</v>
          </cell>
        </row>
        <row r="35">
          <cell r="E35" t="str">
            <v>N/A</v>
          </cell>
          <cell r="H35" t="str">
            <v>Alok Mishra</v>
          </cell>
          <cell r="J35" t="str">
            <v>April</v>
          </cell>
          <cell r="K35">
            <v>45754</v>
          </cell>
          <cell r="L35" t="str">
            <v>NA</v>
          </cell>
          <cell r="M35" t="str">
            <v>Heads International</v>
          </cell>
          <cell r="O35">
            <v>4362.6239999999998</v>
          </cell>
          <cell r="S35">
            <v>45870</v>
          </cell>
          <cell r="T35" t="str">
            <v>Vantedge - UK</v>
          </cell>
          <cell r="U35" t="str">
            <v>Vantedge - UK</v>
          </cell>
          <cell r="V35">
            <v>0.5</v>
          </cell>
          <cell r="W35">
            <v>0.5</v>
          </cell>
          <cell r="Y35" t="e">
            <v>#N/A</v>
          </cell>
          <cell r="Z35" t="str">
            <v>JPC - 224924</v>
          </cell>
          <cell r="AA35" t="str">
            <v>FTE</v>
          </cell>
        </row>
        <row r="36">
          <cell r="B36" t="str">
            <v>Syed Ahrar Abbas Zaidi</v>
          </cell>
          <cell r="E36" t="str">
            <v>Devin Currens</v>
          </cell>
          <cell r="F36" t="str">
            <v>Anshul Kumar</v>
          </cell>
          <cell r="G36" t="str">
            <v>Umar Mujahid Husain</v>
          </cell>
          <cell r="H36" t="str">
            <v>Dev Srivastava</v>
          </cell>
          <cell r="I36" t="str">
            <v>Qausain Abbass</v>
          </cell>
          <cell r="J36" t="str">
            <v>August</v>
          </cell>
          <cell r="K36">
            <v>45887</v>
          </cell>
          <cell r="L36" t="str">
            <v>NA</v>
          </cell>
          <cell r="M36" t="str">
            <v>InfoBeans</v>
          </cell>
          <cell r="N36" t="str">
            <v>Harmeet</v>
          </cell>
          <cell r="O36">
            <v>27000</v>
          </cell>
          <cell r="P36" t="str">
            <v>USD</v>
          </cell>
          <cell r="R36" t="str">
            <v>Done</v>
          </cell>
          <cell r="S36">
            <v>45888</v>
          </cell>
          <cell r="T36" t="str">
            <v>Vantedge</v>
          </cell>
          <cell r="U36" t="str">
            <v>Vantedge</v>
          </cell>
          <cell r="V36">
            <v>0.5</v>
          </cell>
          <cell r="W36">
            <v>0.5</v>
          </cell>
          <cell r="X36" t="str">
            <v>Syed Ahrar Abbas Zaidi</v>
          </cell>
          <cell r="Y36">
            <v>448</v>
          </cell>
          <cell r="Z36" t="str">
            <v>JPC - 224925</v>
          </cell>
          <cell r="AA36" t="str">
            <v>FTE</v>
          </cell>
        </row>
        <row r="37">
          <cell r="B37" t="str">
            <v>Syed Ahrar Abbas Zaidi</v>
          </cell>
          <cell r="E37" t="str">
            <v>Natasha Allen</v>
          </cell>
          <cell r="F37" t="str">
            <v>Mayank Saxena</v>
          </cell>
          <cell r="G37" t="str">
            <v>Umar Mujahid Husain</v>
          </cell>
          <cell r="H37" t="str">
            <v>Alok Mishra</v>
          </cell>
          <cell r="J37" t="str">
            <v>August</v>
          </cell>
          <cell r="K37">
            <v>45887</v>
          </cell>
          <cell r="L37" t="str">
            <v>NA</v>
          </cell>
          <cell r="M37" t="str">
            <v>Fanatics</v>
          </cell>
          <cell r="N37" t="str">
            <v>Laura</v>
          </cell>
          <cell r="O37">
            <v>27000</v>
          </cell>
          <cell r="P37" t="str">
            <v>USD</v>
          </cell>
          <cell r="R37" t="str">
            <v>Done</v>
          </cell>
          <cell r="S37">
            <v>45888</v>
          </cell>
          <cell r="T37" t="str">
            <v>Vantedge</v>
          </cell>
          <cell r="U37" t="str">
            <v>Vantedge</v>
          </cell>
          <cell r="V37">
            <v>0.5</v>
          </cell>
          <cell r="W37">
            <v>0.5</v>
          </cell>
          <cell r="X37" t="str">
            <v>Syed Ahrar Abbas Zaidi</v>
          </cell>
          <cell r="Y37">
            <v>355</v>
          </cell>
          <cell r="Z37" t="str">
            <v>JPC - 224926</v>
          </cell>
          <cell r="AA37" t="str">
            <v>FTE</v>
          </cell>
        </row>
        <row r="38">
          <cell r="B38" t="str">
            <v>Shreya Singh</v>
          </cell>
          <cell r="E38" t="str">
            <v>Brian Taylor</v>
          </cell>
          <cell r="F38" t="str">
            <v>Umar Mujahid Husain</v>
          </cell>
          <cell r="G38" t="str">
            <v>Anshul Kumar</v>
          </cell>
          <cell r="H38" t="str">
            <v>Dev Srivastava</v>
          </cell>
          <cell r="J38" t="str">
            <v>August</v>
          </cell>
          <cell r="K38">
            <v>45870</v>
          </cell>
          <cell r="L38" t="str">
            <v>NA</v>
          </cell>
          <cell r="M38" t="str">
            <v>FPT Software</v>
          </cell>
          <cell r="N38" t="str">
            <v>Pravin Tiwari</v>
          </cell>
          <cell r="O38">
            <v>22750</v>
          </cell>
          <cell r="P38" t="str">
            <v>USD</v>
          </cell>
          <cell r="R38" t="str">
            <v>Pending</v>
          </cell>
          <cell r="S38">
            <v>45888</v>
          </cell>
          <cell r="T38" t="str">
            <v>Vantedge</v>
          </cell>
          <cell r="U38" t="str">
            <v>Vantedge</v>
          </cell>
          <cell r="V38">
            <v>0.5</v>
          </cell>
          <cell r="W38">
            <v>0.5</v>
          </cell>
          <cell r="X38" t="str">
            <v>Shreya Singh</v>
          </cell>
          <cell r="Y38">
            <v>23</v>
          </cell>
          <cell r="Z38" t="str">
            <v>JPC - 224927</v>
          </cell>
          <cell r="AA38" t="str">
            <v>FTE</v>
          </cell>
        </row>
        <row r="39">
          <cell r="B39" t="str">
            <v>Syed Ahrar Abbas Zaidi</v>
          </cell>
          <cell r="E39" t="str">
            <v>Taylor Brandon Grace</v>
          </cell>
          <cell r="F39" t="str">
            <v>Anshul Kumar</v>
          </cell>
          <cell r="G39" t="str">
            <v>Umar Mujahid Husain</v>
          </cell>
          <cell r="H39" t="str">
            <v>Dev Srivastava</v>
          </cell>
          <cell r="I39" t="str">
            <v>Qausain Abbass</v>
          </cell>
          <cell r="J39" t="str">
            <v>August</v>
          </cell>
          <cell r="K39">
            <v>45894</v>
          </cell>
          <cell r="L39" t="str">
            <v>NA</v>
          </cell>
          <cell r="M39" t="str">
            <v>InfoBeans</v>
          </cell>
          <cell r="N39" t="str">
            <v>Harmeet</v>
          </cell>
          <cell r="O39">
            <v>27000</v>
          </cell>
          <cell r="P39" t="str">
            <v>USD</v>
          </cell>
          <cell r="R39" t="str">
            <v>Done</v>
          </cell>
          <cell r="S39">
            <v>45894</v>
          </cell>
          <cell r="T39" t="str">
            <v>Vantedge</v>
          </cell>
          <cell r="U39" t="str">
            <v>Vantedge</v>
          </cell>
          <cell r="V39">
            <v>0.5</v>
          </cell>
          <cell r="W39">
            <v>0.5</v>
          </cell>
          <cell r="X39" t="str">
            <v>Syed Ahrar Abbas Zaidi</v>
          </cell>
          <cell r="Y39">
            <v>448</v>
          </cell>
          <cell r="Z39" t="str">
            <v>JPC - 224928</v>
          </cell>
          <cell r="AA39" t="str">
            <v>FTE</v>
          </cell>
        </row>
        <row r="40">
          <cell r="B40" t="str">
            <v>Priyansh Khare</v>
          </cell>
          <cell r="E40" t="str">
            <v>Amrita Singh</v>
          </cell>
          <cell r="F40" t="str">
            <v>Anshul Kumar</v>
          </cell>
          <cell r="G40" t="str">
            <v>Anshul Kumar</v>
          </cell>
          <cell r="H40" t="str">
            <v>Dev Srivastava</v>
          </cell>
          <cell r="J40" t="str">
            <v> September</v>
          </cell>
          <cell r="K40">
            <v>45915</v>
          </cell>
          <cell r="L40" t="str">
            <v>NA</v>
          </cell>
          <cell r="M40" t="str">
            <v>InfoBeans</v>
          </cell>
          <cell r="N40" t="str">
            <v> Harmeet</v>
          </cell>
          <cell r="O40">
            <v>0</v>
          </cell>
          <cell r="P40" t="str">
            <v>USD</v>
          </cell>
          <cell r="Q40">
            <v>18000</v>
          </cell>
          <cell r="R40" t="str">
            <v>Pending</v>
          </cell>
          <cell r="S40">
            <v>45915</v>
          </cell>
          <cell r="T40" t="str">
            <v>Vantedge</v>
          </cell>
          <cell r="U40" t="str">
            <v>Vantedge</v>
          </cell>
          <cell r="V40">
            <v>0.5</v>
          </cell>
          <cell r="W40">
            <v>0.5</v>
          </cell>
          <cell r="X40" t="str">
            <v>Priyansh Khare</v>
          </cell>
          <cell r="Y40">
            <v>448</v>
          </cell>
          <cell r="Z40" t="str">
            <v>JPC - 224929</v>
          </cell>
          <cell r="AA40" t="str">
            <v>FTE</v>
          </cell>
        </row>
        <row r="41">
          <cell r="B41" t="str">
            <v>Ankit Maurya</v>
          </cell>
          <cell r="E41" t="str">
            <v>Chandra Bhagi</v>
          </cell>
          <cell r="F41" t="str">
            <v>Raunak Tripathi</v>
          </cell>
          <cell r="G41" t="str">
            <v>Raunak Tripathi</v>
          </cell>
          <cell r="H41" t="str">
            <v>Rashmi Bhatnagar</v>
          </cell>
          <cell r="I41" t="str">
            <v>Nida Khan</v>
          </cell>
          <cell r="J41" t="str">
            <v> September</v>
          </cell>
          <cell r="K41">
            <v>45908</v>
          </cell>
          <cell r="L41" t="str">
            <v>NA</v>
          </cell>
          <cell r="M41" t="str">
            <v>Birlasoft</v>
          </cell>
          <cell r="N41" t="str">
            <v>Vivian</v>
          </cell>
          <cell r="O41">
            <v>28800</v>
          </cell>
          <cell r="P41" t="str">
            <v>USD</v>
          </cell>
          <cell r="R41" t="str">
            <v>Pending</v>
          </cell>
          <cell r="S41">
            <v>45915</v>
          </cell>
          <cell r="T41" t="str">
            <v>Vantedge</v>
          </cell>
          <cell r="U41" t="str">
            <v>Vantedge</v>
          </cell>
          <cell r="V41">
            <v>0.5</v>
          </cell>
          <cell r="W41">
            <v>0.5</v>
          </cell>
          <cell r="X41" t="str">
            <v>Ankit Maurya</v>
          </cell>
          <cell r="Y41">
            <v>6</v>
          </cell>
          <cell r="Z41" t="str">
            <v>JPC - 224930</v>
          </cell>
          <cell r="AA41" t="str">
            <v>FTE</v>
          </cell>
        </row>
        <row r="42">
          <cell r="B42" t="str">
            <v>Devansh Mishra</v>
          </cell>
          <cell r="E42" t="str">
            <v>Minoji Thomas</v>
          </cell>
          <cell r="F42" t="str">
            <v>Raunak Tripathi</v>
          </cell>
          <cell r="G42" t="str">
            <v>Raunak Tripathi</v>
          </cell>
          <cell r="H42" t="str">
            <v>Alok Mishra</v>
          </cell>
          <cell r="I42" t="str">
            <v>Anam Hasan</v>
          </cell>
          <cell r="J42" t="str">
            <v> September</v>
          </cell>
          <cell r="K42">
            <v>45910</v>
          </cell>
          <cell r="L42" t="str">
            <v>NA</v>
          </cell>
          <cell r="M42" t="str">
            <v>Infogain</v>
          </cell>
          <cell r="N42" t="str">
            <v>Sreedhar Buddareddy </v>
          </cell>
          <cell r="O42">
            <v>37500</v>
          </cell>
          <cell r="P42" t="str">
            <v>USD</v>
          </cell>
          <cell r="R42" t="str">
            <v>Pending</v>
          </cell>
          <cell r="S42">
            <v>45915</v>
          </cell>
          <cell r="T42" t="str">
            <v>Vantedge</v>
          </cell>
          <cell r="U42" t="str">
            <v>Vantedge</v>
          </cell>
          <cell r="V42">
            <v>0.5</v>
          </cell>
          <cell r="W42">
            <v>0.5</v>
          </cell>
          <cell r="X42" t="str">
            <v>Devansh Mishra</v>
          </cell>
          <cell r="Y42" t="e">
            <v>#N/A</v>
          </cell>
          <cell r="Z42" t="str">
            <v>JPC - 224931</v>
          </cell>
          <cell r="AA42" t="str">
            <v>FTE</v>
          </cell>
        </row>
        <row r="43">
          <cell r="B43" t="str">
            <v>Anshul Kumar</v>
          </cell>
          <cell r="E43" t="str">
            <v>Sachin Ahuja</v>
          </cell>
          <cell r="F43" t="str">
            <v>Anshul Kumar</v>
          </cell>
          <cell r="G43" t="str">
            <v>Anshul Kumar</v>
          </cell>
          <cell r="H43" t="str">
            <v>Dev Srivastava</v>
          </cell>
          <cell r="J43" t="str">
            <v> September</v>
          </cell>
          <cell r="K43">
            <v>45922</v>
          </cell>
          <cell r="L43" t="str">
            <v>NA</v>
          </cell>
          <cell r="M43" t="str">
            <v>LTTS</v>
          </cell>
          <cell r="N43" t="str">
            <v> Usha</v>
          </cell>
          <cell r="O43">
            <v>26500</v>
          </cell>
          <cell r="P43" t="str">
            <v>USD</v>
          </cell>
          <cell r="R43" t="str">
            <v>Pending</v>
          </cell>
          <cell r="S43">
            <v>45930</v>
          </cell>
          <cell r="T43" t="str">
            <v>Vantedge</v>
          </cell>
          <cell r="U43" t="str">
            <v>Vantedge</v>
          </cell>
          <cell r="V43">
            <v>0.5</v>
          </cell>
          <cell r="W43">
            <v>0.5</v>
          </cell>
          <cell r="X43" t="str">
            <v>Anshul Kumar</v>
          </cell>
          <cell r="Y43">
            <v>251</v>
          </cell>
          <cell r="Z43" t="str">
            <v>JPC - 224932</v>
          </cell>
          <cell r="AA43" t="str">
            <v>FTE</v>
          </cell>
        </row>
        <row r="44">
          <cell r="B44" t="str">
            <v>Syed Ahrar Abbas Zaidi</v>
          </cell>
          <cell r="E44" t="str">
            <v>Ehab Abbas</v>
          </cell>
          <cell r="F44" t="str">
            <v>Anshul Kumar</v>
          </cell>
          <cell r="G44" t="str">
            <v>Umar Mujahid Husain</v>
          </cell>
          <cell r="H44" t="str">
            <v>Dev Srivastava</v>
          </cell>
          <cell r="I44" t="str">
            <v>Qausain Abbass</v>
          </cell>
          <cell r="J44" t="str">
            <v> September</v>
          </cell>
          <cell r="K44">
            <v>45929</v>
          </cell>
          <cell r="L44" t="str">
            <v>NA</v>
          </cell>
          <cell r="M44" t="str">
            <v>InfoBeans</v>
          </cell>
          <cell r="N44" t="str">
            <v>Harmeet</v>
          </cell>
          <cell r="O44">
            <v>32400</v>
          </cell>
          <cell r="P44" t="str">
            <v>USD</v>
          </cell>
          <cell r="R44" t="str">
            <v>Pending</v>
          </cell>
          <cell r="S44">
            <v>45930</v>
          </cell>
          <cell r="T44" t="str">
            <v>Vantedge</v>
          </cell>
          <cell r="U44" t="str">
            <v>Vantedge</v>
          </cell>
          <cell r="V44">
            <v>0.5</v>
          </cell>
          <cell r="W44">
            <v>0.5</v>
          </cell>
          <cell r="X44" t="str">
            <v>Syed Ahrar Abbas Zaidi</v>
          </cell>
          <cell r="Y44">
            <v>448</v>
          </cell>
          <cell r="Z44" t="str">
            <v>JPC - 224933</v>
          </cell>
          <cell r="AA44" t="str">
            <v>FTE</v>
          </cell>
        </row>
        <row r="45">
          <cell r="B45" t="str">
            <v>Shreya Singh</v>
          </cell>
          <cell r="E45" t="str">
            <v>Pallav Sharma</v>
          </cell>
          <cell r="F45" t="str">
            <v>Umar Mujahid Husain</v>
          </cell>
          <cell r="G45" t="str">
            <v>Anshul Kumar</v>
          </cell>
          <cell r="H45" t="str">
            <v>Dev Srivastava</v>
          </cell>
          <cell r="J45" t="str">
            <v> September</v>
          </cell>
          <cell r="K45">
            <v>45930</v>
          </cell>
          <cell r="L45" t="str">
            <v>NA</v>
          </cell>
          <cell r="M45" t="str">
            <v>BirlaSoft</v>
          </cell>
          <cell r="N45" t="str">
            <v>Saral Bhatnagar</v>
          </cell>
          <cell r="O45">
            <v>36000</v>
          </cell>
          <cell r="P45" t="str">
            <v>USD</v>
          </cell>
          <cell r="R45" t="str">
            <v>Pending</v>
          </cell>
          <cell r="S45">
            <v>45930</v>
          </cell>
          <cell r="T45" t="str">
            <v>Vantedge</v>
          </cell>
          <cell r="U45" t="str">
            <v>Vantedge</v>
          </cell>
          <cell r="V45">
            <v>0.5</v>
          </cell>
          <cell r="W45">
            <v>0.5</v>
          </cell>
          <cell r="X45" t="str">
            <v>Shreya Singh</v>
          </cell>
          <cell r="Y45">
            <v>6</v>
          </cell>
          <cell r="Z45" t="str">
            <v>JPC - 224934</v>
          </cell>
          <cell r="AA45" t="str">
            <v>FTE</v>
          </cell>
        </row>
        <row r="46">
          <cell r="B46" t="str">
            <v>Syed Ahrar Abbas Zaidi</v>
          </cell>
          <cell r="E46" t="str">
            <v>Anoop Nagaraj Sumithra</v>
          </cell>
          <cell r="F46" t="str">
            <v>Mayank Saxena</v>
          </cell>
          <cell r="G46" t="str">
            <v>Umar Mujahid Husain</v>
          </cell>
          <cell r="H46" t="str">
            <v>Alok Mishra</v>
          </cell>
          <cell r="J46" t="str">
            <v>October</v>
          </cell>
          <cell r="K46">
            <v>45943</v>
          </cell>
          <cell r="L46" t="str">
            <v>NA</v>
          </cell>
          <cell r="M46" t="str">
            <v>Fanatics</v>
          </cell>
          <cell r="N46" t="str">
            <v>Laura</v>
          </cell>
          <cell r="O46">
            <v>35250</v>
          </cell>
          <cell r="P46" t="str">
            <v>USD</v>
          </cell>
          <cell r="R46" t="str">
            <v>Pending</v>
          </cell>
          <cell r="S46">
            <v>45944</v>
          </cell>
          <cell r="T46" t="str">
            <v>Vantedge</v>
          </cell>
          <cell r="U46" t="str">
            <v>Vantedge</v>
          </cell>
          <cell r="V46">
            <v>0.5</v>
          </cell>
          <cell r="W46">
            <v>0.5</v>
          </cell>
          <cell r="X46" t="str">
            <v>Syed Ahrar Abbas Zaidi</v>
          </cell>
          <cell r="Y46">
            <v>355</v>
          </cell>
          <cell r="Z46" t="str">
            <v>JPC - 224935</v>
          </cell>
          <cell r="AA46" t="str">
            <v>FTE</v>
          </cell>
        </row>
        <row r="47">
          <cell r="B47" t="str">
            <v>Mayank Saxena</v>
          </cell>
          <cell r="E47" t="str">
            <v>Abhishek Pandey</v>
          </cell>
          <cell r="F47" t="str">
            <v>Mayank Saxena</v>
          </cell>
          <cell r="G47" t="str">
            <v>Mayank Saxena</v>
          </cell>
          <cell r="H47" t="str">
            <v>Rashmi Bhatnagar</v>
          </cell>
          <cell r="J47" t="str">
            <v>October</v>
          </cell>
          <cell r="K47">
            <v>45945</v>
          </cell>
          <cell r="L47">
            <v>45960</v>
          </cell>
          <cell r="M47" t="str">
            <v>Coforge</v>
          </cell>
          <cell r="N47" t="str">
            <v>Kirti Agarwal</v>
          </cell>
          <cell r="O47">
            <v>0</v>
          </cell>
          <cell r="P47" t="str">
            <v>USD</v>
          </cell>
          <cell r="Q47">
            <v>48000</v>
          </cell>
          <cell r="R47" t="str">
            <v>Pending</v>
          </cell>
          <cell r="S47">
            <v>45961</v>
          </cell>
          <cell r="T47" t="str">
            <v>Vantedge</v>
          </cell>
          <cell r="U47" t="str">
            <v>Vantedge</v>
          </cell>
          <cell r="V47">
            <v>0.5</v>
          </cell>
          <cell r="W47">
            <v>0.5</v>
          </cell>
          <cell r="X47" t="str">
            <v>Mayank Saxena</v>
          </cell>
          <cell r="Y47">
            <v>155</v>
          </cell>
          <cell r="Z47" t="str">
            <v>JPC - 224936</v>
          </cell>
          <cell r="AA47" t="str">
            <v>FTE</v>
          </cell>
        </row>
        <row r="48">
          <cell r="B48" t="str">
            <v>Ranjeet Kumar</v>
          </cell>
          <cell r="E48" t="str">
            <v>John Thornhill Williams</v>
          </cell>
          <cell r="F48" t="str">
            <v>Raunak Tripathi</v>
          </cell>
          <cell r="G48" t="str">
            <v>Raunak Tripathi</v>
          </cell>
          <cell r="H48" t="str">
            <v>Alok Mishra</v>
          </cell>
          <cell r="J48" t="str">
            <v>October</v>
          </cell>
          <cell r="K48">
            <v>45960</v>
          </cell>
          <cell r="L48" t="str">
            <v>NA</v>
          </cell>
          <cell r="M48" t="str">
            <v>LTIMindtree</v>
          </cell>
          <cell r="N48" t="str">
            <v>Anas</v>
          </cell>
          <cell r="O48">
            <v>28350</v>
          </cell>
          <cell r="P48" t="str">
            <v>USD</v>
          </cell>
          <cell r="R48" t="str">
            <v>Pending</v>
          </cell>
          <cell r="S48">
            <v>45961</v>
          </cell>
          <cell r="T48" t="str">
            <v>Vantedge</v>
          </cell>
          <cell r="U48" t="str">
            <v>Vantedge</v>
          </cell>
          <cell r="V48">
            <v>0.5</v>
          </cell>
          <cell r="W48">
            <v>0.5</v>
          </cell>
          <cell r="X48" t="str">
            <v>Ranjeet Kumar</v>
          </cell>
          <cell r="Y48">
            <v>299</v>
          </cell>
          <cell r="Z48" t="str">
            <v>JPC - 224937</v>
          </cell>
          <cell r="AA48" t="str">
            <v>FTE</v>
          </cell>
        </row>
        <row r="49">
          <cell r="B49" t="str">
            <v>Prachi Pandey</v>
          </cell>
          <cell r="E49" t="str">
            <v>Mickael Mounien</v>
          </cell>
          <cell r="F49" t="str">
            <v>Raunak Tripathi</v>
          </cell>
          <cell r="G49" t="str">
            <v>Raunak Tripathi</v>
          </cell>
          <cell r="H49" t="str">
            <v>Alok Mishra</v>
          </cell>
          <cell r="J49" t="str">
            <v>October</v>
          </cell>
          <cell r="K49">
            <v>45936</v>
          </cell>
          <cell r="L49" t="str">
            <v>NA</v>
          </cell>
          <cell r="M49" t="str">
            <v>PocketFM</v>
          </cell>
          <cell r="N49" t="str">
            <v>Riti Jain</v>
          </cell>
          <cell r="O49">
            <v>3450</v>
          </cell>
          <cell r="P49" t="str">
            <v>USD</v>
          </cell>
          <cell r="R49" t="str">
            <v>Pending</v>
          </cell>
          <cell r="S49">
            <v>45961</v>
          </cell>
          <cell r="T49" t="str">
            <v>Vantedge</v>
          </cell>
          <cell r="U49" t="str">
            <v>Vantedge</v>
          </cell>
          <cell r="V49">
            <v>0.5</v>
          </cell>
          <cell r="W49">
            <v>0.5</v>
          </cell>
          <cell r="X49" t="str">
            <v>Prachi Pandey</v>
          </cell>
          <cell r="Y49">
            <v>393</v>
          </cell>
          <cell r="Z49" t="str">
            <v>JPC - 224938</v>
          </cell>
          <cell r="AA49" t="str">
            <v>FTE</v>
          </cell>
        </row>
      </sheetData>
      <sheetData sheetId="8">
        <row r="2">
          <cell r="E2">
            <v>1</v>
          </cell>
          <cell r="F2">
            <v>2</v>
          </cell>
          <cell r="G2">
            <v>3</v>
          </cell>
          <cell r="H2">
            <v>4</v>
          </cell>
          <cell r="I2">
            <v>5</v>
          </cell>
          <cell r="J2">
            <v>6</v>
          </cell>
          <cell r="K2">
            <v>7</v>
          </cell>
          <cell r="L2">
            <v>8</v>
          </cell>
          <cell r="M2">
            <v>9</v>
          </cell>
          <cell r="N2">
            <v>10</v>
          </cell>
          <cell r="O2">
            <v>11</v>
          </cell>
          <cell r="P2">
            <v>12</v>
          </cell>
          <cell r="Q2">
            <v>13</v>
          </cell>
          <cell r="R2">
            <v>14</v>
          </cell>
          <cell r="S2">
            <v>15</v>
          </cell>
        </row>
        <row r="3">
          <cell r="B3" t="str">
            <v>Recruiter</v>
          </cell>
          <cell r="E3" t="str">
            <v>Placement</v>
          </cell>
          <cell r="F3" t="str">
            <v>VB Account Manager</v>
          </cell>
          <cell r="G3" t="str">
            <v>VB Account Manager count</v>
          </cell>
          <cell r="H3" t="str">
            <v>TL</v>
          </cell>
          <cell r="I3" t="str">
            <v>TL Count</v>
          </cell>
          <cell r="J3" t="str">
            <v>Sales</v>
          </cell>
          <cell r="L3" t="str">
            <v>Sourcer/Researcher</v>
          </cell>
          <cell r="M3" t="str">
            <v>DOJ (MM/DD/YYYY)</v>
          </cell>
          <cell r="N3" t="str">
            <v>DOQ</v>
          </cell>
          <cell r="O3" t="str">
            <v>Client Name</v>
          </cell>
          <cell r="P3" t="str">
            <v>Placement type</v>
          </cell>
          <cell r="Q3" t="str">
            <v>CTC (For FTE billing)</v>
          </cell>
          <cell r="R3" t="str">
            <v>Billed %</v>
          </cell>
          <cell r="S3" t="str">
            <v>Billable Amount</v>
          </cell>
        </row>
        <row r="4">
          <cell r="B4" t="str">
            <v>Anshul Kumar</v>
          </cell>
          <cell r="E4" t="str">
            <v>David Mussan-Levy</v>
          </cell>
          <cell r="F4" t="str">
            <v>Raunak Tripathi</v>
          </cell>
          <cell r="G4">
            <v>0.5</v>
          </cell>
          <cell r="H4" t="str">
            <v>Anshul Kumar</v>
          </cell>
          <cell r="I4">
            <v>0.5</v>
          </cell>
          <cell r="J4" t="str">
            <v>Rashmi Bhatnagar</v>
          </cell>
          <cell r="K4">
            <v>1</v>
          </cell>
          <cell r="L4" t="str">
            <v>Priyansh Khare</v>
          </cell>
          <cell r="M4">
            <v>45659</v>
          </cell>
          <cell r="O4" t="str">
            <v>Visionet</v>
          </cell>
          <cell r="P4" t="str">
            <v>FTE</v>
          </cell>
          <cell r="Q4">
            <v>120000</v>
          </cell>
          <cell r="R4">
            <v>0.08</v>
          </cell>
          <cell r="S4">
            <v>9600</v>
          </cell>
        </row>
        <row r="5">
          <cell r="B5" t="str">
            <v>Mayank Saxena</v>
          </cell>
          <cell r="E5" t="str">
            <v>Arbindoo Sood</v>
          </cell>
          <cell r="F5" t="str">
            <v>Mayank Saxena</v>
          </cell>
          <cell r="G5">
            <v>0.5</v>
          </cell>
          <cell r="H5" t="str">
            <v>Mayank Saxena</v>
          </cell>
          <cell r="I5">
            <v>0.5</v>
          </cell>
          <cell r="J5" t="str">
            <v>Rashmi Bhatnagar</v>
          </cell>
          <cell r="K5">
            <v>1</v>
          </cell>
          <cell r="L5" t="str">
            <v>Rohini Parihar</v>
          </cell>
          <cell r="M5">
            <v>45665</v>
          </cell>
          <cell r="O5" t="str">
            <v>Myridius</v>
          </cell>
          <cell r="P5" t="str">
            <v>FTE</v>
          </cell>
          <cell r="Q5">
            <v>140000</v>
          </cell>
          <cell r="R5">
            <v>0.05</v>
          </cell>
          <cell r="S5">
            <v>7000</v>
          </cell>
        </row>
        <row r="6">
          <cell r="B6" t="str">
            <v>Abhay Pratap Singh</v>
          </cell>
          <cell r="E6" t="str">
            <v>Sindhu Venkatesh</v>
          </cell>
          <cell r="F6" t="str">
            <v>Rohini Parihar</v>
          </cell>
          <cell r="G6">
            <v>0.5</v>
          </cell>
          <cell r="H6" t="str">
            <v>Umar Mujahid</v>
          </cell>
          <cell r="I6">
            <v>0.5</v>
          </cell>
          <cell r="J6" t="str">
            <v>Dev Srivastava</v>
          </cell>
          <cell r="K6">
            <v>1</v>
          </cell>
          <cell r="L6" t="str">
            <v>Tanya Mishra</v>
          </cell>
          <cell r="M6">
            <v>45698</v>
          </cell>
          <cell r="O6" t="str">
            <v>QualiZeal </v>
          </cell>
          <cell r="P6" t="str">
            <v>FTE</v>
          </cell>
          <cell r="Q6">
            <v>160000</v>
          </cell>
          <cell r="R6">
            <v>0.1</v>
          </cell>
          <cell r="S6">
            <v>16000</v>
          </cell>
        </row>
        <row r="7">
          <cell r="B7" t="str">
            <v>Umar Mujahid Husain</v>
          </cell>
          <cell r="E7" t="str">
            <v>John Donaldson</v>
          </cell>
          <cell r="F7" t="str">
            <v>Anshul Kumar</v>
          </cell>
          <cell r="G7">
            <v>0.5</v>
          </cell>
          <cell r="H7" t="str">
            <v>Anshul Kumar</v>
          </cell>
          <cell r="I7">
            <v>0.5</v>
          </cell>
          <cell r="J7" t="str">
            <v>Dev Srivastava</v>
          </cell>
          <cell r="K7">
            <v>1</v>
          </cell>
          <cell r="L7" t="str">
            <v>Anshul Kumar</v>
          </cell>
          <cell r="M7">
            <v>45712</v>
          </cell>
          <cell r="O7" t="str">
            <v>WNS</v>
          </cell>
          <cell r="P7" t="str">
            <v>FTE</v>
          </cell>
          <cell r="Q7">
            <v>180000</v>
          </cell>
          <cell r="R7">
            <v>0.15</v>
          </cell>
          <cell r="S7">
            <v>27000</v>
          </cell>
        </row>
        <row r="8">
          <cell r="B8" t="str">
            <v>Shreya Singh</v>
          </cell>
          <cell r="E8" t="str">
            <v>Juan salazar</v>
          </cell>
          <cell r="F8" t="str">
            <v>Anshul Kumar</v>
          </cell>
          <cell r="G8">
            <v>0.5</v>
          </cell>
          <cell r="H8" t="str">
            <v>Anshul Kumar</v>
          </cell>
          <cell r="I8">
            <v>0.5</v>
          </cell>
          <cell r="J8" t="str">
            <v>Rashmi Bhatnagar</v>
          </cell>
          <cell r="K8">
            <v>1</v>
          </cell>
          <cell r="L8" t="str">
            <v>Tanya Mishra</v>
          </cell>
          <cell r="M8">
            <v>45705</v>
          </cell>
          <cell r="O8" t="str">
            <v>Myridius</v>
          </cell>
          <cell r="P8" t="str">
            <v>FTE</v>
          </cell>
          <cell r="Q8">
            <v>200000</v>
          </cell>
          <cell r="R8">
            <v>7.0000000000000007E-2</v>
          </cell>
          <cell r="S8">
            <v>14000.000000000002</v>
          </cell>
        </row>
        <row r="9">
          <cell r="B9" t="str">
            <v>Abhay Pratap Singh</v>
          </cell>
          <cell r="E9" t="str">
            <v>Pooja Agarwal</v>
          </cell>
          <cell r="F9" t="str">
            <v>Umar Mujahid</v>
          </cell>
          <cell r="G9">
            <v>0.5</v>
          </cell>
          <cell r="H9" t="str">
            <v>Umar Mujahid</v>
          </cell>
          <cell r="I9">
            <v>0.5</v>
          </cell>
          <cell r="J9" t="str">
            <v>Dev Srivastava</v>
          </cell>
          <cell r="K9">
            <v>1</v>
          </cell>
          <cell r="L9" t="str">
            <v>Nida Khan</v>
          </cell>
          <cell r="M9">
            <v>45733</v>
          </cell>
          <cell r="O9" t="str">
            <v>Qualitest</v>
          </cell>
          <cell r="P9" t="str">
            <v>FTE</v>
          </cell>
          <cell r="Q9">
            <v>220000</v>
          </cell>
          <cell r="R9">
            <v>0.09</v>
          </cell>
          <cell r="S9">
            <v>19800</v>
          </cell>
        </row>
        <row r="10">
          <cell r="B10" t="str">
            <v>Umar Mujahid Husain</v>
          </cell>
          <cell r="E10" t="str">
            <v>David Smith</v>
          </cell>
          <cell r="F10" t="str">
            <v>Umar Mujahid</v>
          </cell>
          <cell r="G10">
            <v>0.5</v>
          </cell>
          <cell r="H10" t="str">
            <v>Umar Mujahid</v>
          </cell>
          <cell r="I10">
            <v>0.5</v>
          </cell>
          <cell r="J10" t="str">
            <v>Dev Srivastava</v>
          </cell>
          <cell r="K10">
            <v>1</v>
          </cell>
          <cell r="L10" t="str">
            <v>Nida Khan</v>
          </cell>
          <cell r="M10">
            <v>45734</v>
          </cell>
          <cell r="O10" t="str">
            <v>PocketFM</v>
          </cell>
          <cell r="P10" t="str">
            <v>FTE</v>
          </cell>
          <cell r="Q10">
            <v>120000</v>
          </cell>
          <cell r="R10">
            <v>0.11</v>
          </cell>
          <cell r="S10">
            <v>13200</v>
          </cell>
        </row>
        <row r="11">
          <cell r="B11" t="str">
            <v>Shruti Shukla</v>
          </cell>
          <cell r="E11" t="str">
            <v>Kishore Ramakrishnan</v>
          </cell>
          <cell r="F11" t="str">
            <v>Mayank Saxena</v>
          </cell>
          <cell r="G11">
            <v>0.5</v>
          </cell>
          <cell r="H11" t="str">
            <v>Mayank Saxena</v>
          </cell>
          <cell r="I11">
            <v>0.5</v>
          </cell>
          <cell r="J11" t="str">
            <v>Rashmi Bhatnagar</v>
          </cell>
          <cell r="K11">
            <v>1</v>
          </cell>
          <cell r="L11" t="str">
            <v>Richa Srivastava</v>
          </cell>
          <cell r="M11">
            <v>45726</v>
          </cell>
          <cell r="O11" t="str">
            <v>Tredence</v>
          </cell>
          <cell r="P11" t="str">
            <v>FTE</v>
          </cell>
          <cell r="Q11">
            <v>140000</v>
          </cell>
          <cell r="R11">
            <v>0.12</v>
          </cell>
          <cell r="S11">
            <v>16800</v>
          </cell>
        </row>
        <row r="12">
          <cell r="B12" t="str">
            <v>Priyansh Khare</v>
          </cell>
          <cell r="E12" t="str">
            <v>Brandon Ross</v>
          </cell>
          <cell r="F12" t="str">
            <v>Anshul Kumar</v>
          </cell>
          <cell r="G12">
            <v>0.5</v>
          </cell>
          <cell r="H12" t="str">
            <v>Anshul Kumar</v>
          </cell>
          <cell r="I12">
            <v>0.5</v>
          </cell>
          <cell r="J12" t="str">
            <v>Dev Srivastava</v>
          </cell>
          <cell r="K12">
            <v>1</v>
          </cell>
          <cell r="M12">
            <v>45733</v>
          </cell>
          <cell r="O12" t="str">
            <v>VXI</v>
          </cell>
          <cell r="P12" t="str">
            <v>FTE</v>
          </cell>
          <cell r="Q12">
            <v>160000</v>
          </cell>
          <cell r="R12">
            <v>0.15</v>
          </cell>
          <cell r="S12">
            <v>24000</v>
          </cell>
        </row>
        <row r="13">
          <cell r="B13" t="str">
            <v>Anshul Kumar</v>
          </cell>
          <cell r="E13" t="str">
            <v>David Jaime Illescas</v>
          </cell>
          <cell r="F13" t="str">
            <v>Anshul Kumar</v>
          </cell>
          <cell r="G13">
            <v>0.5</v>
          </cell>
          <cell r="H13" t="str">
            <v>Anshul Kumar</v>
          </cell>
          <cell r="I13">
            <v>0.5</v>
          </cell>
          <cell r="J13" t="str">
            <v>Dev Srivastava</v>
          </cell>
          <cell r="K13">
            <v>1</v>
          </cell>
          <cell r="M13">
            <v>45740</v>
          </cell>
          <cell r="O13" t="str">
            <v>ACL Digital</v>
          </cell>
          <cell r="P13" t="str">
            <v>FTE</v>
          </cell>
          <cell r="Q13">
            <v>180000</v>
          </cell>
          <cell r="R13">
            <v>0.139722222222222</v>
          </cell>
          <cell r="S13">
            <v>25149.99999999996</v>
          </cell>
        </row>
        <row r="14">
          <cell r="B14" t="str">
            <v>Devansh Mishra</v>
          </cell>
          <cell r="E14" t="str">
            <v>Alex Dee</v>
          </cell>
          <cell r="F14" t="str">
            <v>Anshul Kumar</v>
          </cell>
          <cell r="G14">
            <v>0.5</v>
          </cell>
          <cell r="H14" t="str">
            <v>Raunak Tripathi</v>
          </cell>
          <cell r="I14">
            <v>0.5</v>
          </cell>
          <cell r="J14" t="str">
            <v>Dev Srivastava</v>
          </cell>
          <cell r="K14">
            <v>1</v>
          </cell>
          <cell r="L14" t="str">
            <v>Nida Khan</v>
          </cell>
          <cell r="M14">
            <v>45747</v>
          </cell>
          <cell r="N14">
            <v>45762</v>
          </cell>
          <cell r="O14" t="str">
            <v>Waverly</v>
          </cell>
          <cell r="P14" t="str">
            <v>FTE</v>
          </cell>
          <cell r="Q14">
            <v>200000</v>
          </cell>
          <cell r="R14">
            <v>0.147222222222222</v>
          </cell>
          <cell r="S14">
            <v>29444.444444444402</v>
          </cell>
        </row>
        <row r="15">
          <cell r="B15" t="str">
            <v>Govind Srivastava</v>
          </cell>
          <cell r="E15" t="str">
            <v>Satish Manam</v>
          </cell>
          <cell r="F15" t="str">
            <v>Mayank Saxena</v>
          </cell>
          <cell r="G15">
            <v>0.5</v>
          </cell>
          <cell r="H15" t="str">
            <v>Mayank Saxena</v>
          </cell>
          <cell r="I15">
            <v>0.5</v>
          </cell>
          <cell r="J15" t="str">
            <v>Alok Mishra</v>
          </cell>
          <cell r="K15">
            <v>1</v>
          </cell>
          <cell r="L15" t="str">
            <v> Tanya Mishra</v>
          </cell>
          <cell r="M15">
            <v>45740</v>
          </cell>
          <cell r="O15" t="str">
            <v>Quess</v>
          </cell>
          <cell r="P15" t="str">
            <v>FTE</v>
          </cell>
          <cell r="Q15">
            <v>220000</v>
          </cell>
          <cell r="R15">
            <v>0.15472222222222201</v>
          </cell>
          <cell r="S15">
            <v>34038.88888888884</v>
          </cell>
        </row>
        <row r="16">
          <cell r="B16" t="str">
            <v>Abhay Pratap Singh</v>
          </cell>
          <cell r="E16" t="str">
            <v>Praveen Narayana</v>
          </cell>
          <cell r="F16" t="str">
            <v>Umar Mujahid</v>
          </cell>
          <cell r="G16">
            <v>0.5</v>
          </cell>
          <cell r="H16" t="str">
            <v>Umar Mujahid</v>
          </cell>
          <cell r="I16">
            <v>0.5</v>
          </cell>
          <cell r="J16" t="str">
            <v>Dev Srivastava</v>
          </cell>
          <cell r="K16">
            <v>1</v>
          </cell>
          <cell r="M16">
            <v>45761</v>
          </cell>
          <cell r="O16" t="str">
            <v>Tech Mahindra</v>
          </cell>
          <cell r="P16" t="str">
            <v>FTE</v>
          </cell>
          <cell r="Q16">
            <v>120000</v>
          </cell>
          <cell r="R16">
            <v>0.16222222222222199</v>
          </cell>
          <cell r="S16">
            <v>19466.666666666639</v>
          </cell>
        </row>
        <row r="17">
          <cell r="B17" t="str">
            <v>Ranjeet Kumar</v>
          </cell>
          <cell r="E17" t="str">
            <v>Helen Kim</v>
          </cell>
          <cell r="F17" t="str">
            <v>Raunak Tripathi</v>
          </cell>
          <cell r="G17">
            <v>0.5</v>
          </cell>
          <cell r="H17" t="str">
            <v>Raunak Tripathi</v>
          </cell>
          <cell r="I17">
            <v>0.5</v>
          </cell>
          <cell r="J17" t="str">
            <v>Alok Mishra</v>
          </cell>
          <cell r="K17">
            <v>1</v>
          </cell>
          <cell r="L17" t="str">
            <v>Raunak Tripathi</v>
          </cell>
          <cell r="M17">
            <v>45754</v>
          </cell>
          <cell r="O17" t="str">
            <v>Coforge</v>
          </cell>
          <cell r="P17" t="str">
            <v>FTE</v>
          </cell>
          <cell r="Q17">
            <v>140000</v>
          </cell>
          <cell r="R17">
            <v>0.169722222222222</v>
          </cell>
          <cell r="S17">
            <v>23761.11111111108</v>
          </cell>
        </row>
        <row r="18">
          <cell r="B18" t="str">
            <v>Alok Mishra</v>
          </cell>
          <cell r="E18" t="str">
            <v>Maria Flock</v>
          </cell>
          <cell r="F18" t="str">
            <v>Alok Mishra</v>
          </cell>
          <cell r="G18">
            <v>0.5</v>
          </cell>
          <cell r="H18" t="str">
            <v>Alok Mishra</v>
          </cell>
          <cell r="I18">
            <v>0.5</v>
          </cell>
          <cell r="J18" t="str">
            <v>Alok Mishra</v>
          </cell>
          <cell r="K18">
            <v>1</v>
          </cell>
          <cell r="L18" t="str">
            <v>Rohini Parihar</v>
          </cell>
          <cell r="M18">
            <v>45754</v>
          </cell>
          <cell r="O18" t="str">
            <v>Sutherland</v>
          </cell>
          <cell r="P18" t="str">
            <v>FTE</v>
          </cell>
          <cell r="Q18">
            <v>160000</v>
          </cell>
          <cell r="R18">
            <v>0.177222222222222</v>
          </cell>
          <cell r="S18">
            <v>28355.555555555522</v>
          </cell>
        </row>
        <row r="19">
          <cell r="B19" t="str">
            <v>Mayank Saxena</v>
          </cell>
          <cell r="E19" t="str">
            <v>Shekhar Patwardhan</v>
          </cell>
          <cell r="F19" t="str">
            <v>Mayank Saxena</v>
          </cell>
          <cell r="G19">
            <v>0.5</v>
          </cell>
          <cell r="H19" t="str">
            <v>Mayank Saxena</v>
          </cell>
          <cell r="I19">
            <v>0.5</v>
          </cell>
          <cell r="J19" t="str">
            <v>Rashmi Bhatnagar</v>
          </cell>
          <cell r="K19">
            <v>1</v>
          </cell>
          <cell r="M19">
            <v>45782</v>
          </cell>
          <cell r="O19" t="str">
            <v>Sutherland</v>
          </cell>
          <cell r="P19" t="str">
            <v>FTE</v>
          </cell>
          <cell r="Q19">
            <v>180000</v>
          </cell>
          <cell r="R19">
            <v>0.18472222222222201</v>
          </cell>
          <cell r="S19">
            <v>33249.999999999964</v>
          </cell>
        </row>
        <row r="20">
          <cell r="B20" t="str">
            <v>Govind Srivastava</v>
          </cell>
          <cell r="E20" t="str">
            <v>Donna Hulina</v>
          </cell>
          <cell r="F20" t="str">
            <v>Mayank Saxena</v>
          </cell>
          <cell r="G20">
            <v>0.5</v>
          </cell>
          <cell r="H20" t="str">
            <v>Mayank Saxena</v>
          </cell>
          <cell r="I20">
            <v>0.5</v>
          </cell>
          <cell r="J20" t="str">
            <v>Rashmi Bhatnagar</v>
          </cell>
          <cell r="K20">
            <v>1</v>
          </cell>
          <cell r="M20">
            <v>45789</v>
          </cell>
          <cell r="O20" t="str">
            <v>Myridius</v>
          </cell>
          <cell r="P20" t="str">
            <v>FTE</v>
          </cell>
          <cell r="Q20">
            <v>200000</v>
          </cell>
          <cell r="R20">
            <v>0.19222222222222199</v>
          </cell>
          <cell r="S20">
            <v>38444.444444444394</v>
          </cell>
        </row>
        <row r="21">
          <cell r="B21" t="str">
            <v>Priyansh Khare</v>
          </cell>
          <cell r="E21" t="str">
            <v>Shawn Elkon</v>
          </cell>
          <cell r="F21" t="str">
            <v>Umar Mujahid</v>
          </cell>
          <cell r="G21">
            <v>0.5</v>
          </cell>
          <cell r="H21" t="str">
            <v>Anshul Kumar</v>
          </cell>
          <cell r="I21">
            <v>0.5</v>
          </cell>
          <cell r="J21" t="str">
            <v>Dev Srivastava</v>
          </cell>
          <cell r="K21">
            <v>1</v>
          </cell>
          <cell r="M21">
            <v>45782</v>
          </cell>
          <cell r="O21" t="str">
            <v>Tech Mahindra</v>
          </cell>
          <cell r="P21" t="str">
            <v>FTE</v>
          </cell>
          <cell r="Q21">
            <v>220000</v>
          </cell>
          <cell r="R21">
            <v>0.199722222222222</v>
          </cell>
          <cell r="S21">
            <v>43938.88888888884</v>
          </cell>
        </row>
        <row r="22">
          <cell r="B22" t="str">
            <v>Pulkit Prakash</v>
          </cell>
          <cell r="E22" t="str">
            <v>Sergei Smirnov</v>
          </cell>
          <cell r="F22" t="str">
            <v>Raunak Tripathi</v>
          </cell>
          <cell r="G22">
            <v>0.5</v>
          </cell>
          <cell r="H22" t="str">
            <v>Raunak Tripathi</v>
          </cell>
          <cell r="I22">
            <v>0.5</v>
          </cell>
          <cell r="J22" t="str">
            <v>Alok Mishra</v>
          </cell>
          <cell r="K22">
            <v>1</v>
          </cell>
          <cell r="M22">
            <v>45804</v>
          </cell>
          <cell r="O22" t="str">
            <v>Kale Logistics</v>
          </cell>
          <cell r="P22" t="str">
            <v>FTE</v>
          </cell>
          <cell r="Q22">
            <v>120000</v>
          </cell>
          <cell r="R22">
            <v>0.207222222222222</v>
          </cell>
          <cell r="S22">
            <v>24866.666666666639</v>
          </cell>
        </row>
        <row r="23">
          <cell r="B23" t="str">
            <v>Umar Mujahid Husain</v>
          </cell>
          <cell r="E23" t="str">
            <v>Taylor Carlson</v>
          </cell>
          <cell r="F23" t="str">
            <v>Umar Mujahid</v>
          </cell>
          <cell r="G23">
            <v>0.5</v>
          </cell>
          <cell r="H23" t="str">
            <v>Umar Mujahid</v>
          </cell>
          <cell r="I23">
            <v>0.5</v>
          </cell>
          <cell r="J23" t="str">
            <v>Dev Srivastava</v>
          </cell>
          <cell r="K23">
            <v>1</v>
          </cell>
          <cell r="L23" t="str">
            <v>Nida Khan</v>
          </cell>
          <cell r="M23">
            <v>45811</v>
          </cell>
          <cell r="O23" t="str">
            <v>PocketFM</v>
          </cell>
          <cell r="P23" t="str">
            <v>FTE</v>
          </cell>
          <cell r="Q23">
            <v>140000</v>
          </cell>
          <cell r="R23">
            <v>0.21472222222222201</v>
          </cell>
          <cell r="S23">
            <v>30061.11111111108</v>
          </cell>
        </row>
        <row r="24">
          <cell r="B24" t="str">
            <v>Pulkit Prakash</v>
          </cell>
          <cell r="E24" t="str">
            <v>Sandeep Sanon</v>
          </cell>
          <cell r="F24" t="str">
            <v>Raunak Tripathi</v>
          </cell>
          <cell r="G24">
            <v>0.5</v>
          </cell>
          <cell r="H24" t="str">
            <v>Raunak Tripathi</v>
          </cell>
          <cell r="I24">
            <v>0.5</v>
          </cell>
          <cell r="J24" t="str">
            <v>Alok Mishra</v>
          </cell>
          <cell r="K24">
            <v>1</v>
          </cell>
          <cell r="M24">
            <v>45810</v>
          </cell>
          <cell r="O24" t="str">
            <v>LTIMindtree</v>
          </cell>
          <cell r="P24" t="str">
            <v>FTE</v>
          </cell>
          <cell r="Q24">
            <v>160000</v>
          </cell>
          <cell r="R24">
            <v>0.22222222222222199</v>
          </cell>
          <cell r="S24">
            <v>35555.555555555518</v>
          </cell>
        </row>
        <row r="25">
          <cell r="B25" t="str">
            <v>Govind Srivastava</v>
          </cell>
          <cell r="E25" t="str">
            <v>Inderpuneet Sohanpal</v>
          </cell>
          <cell r="F25" t="str">
            <v>Raunak Tripathi</v>
          </cell>
          <cell r="G25">
            <v>0.5</v>
          </cell>
          <cell r="H25" t="str">
            <v>Mayank Saxena</v>
          </cell>
          <cell r="I25">
            <v>0.5</v>
          </cell>
          <cell r="J25" t="str">
            <v>Rashmi Bhatnagar</v>
          </cell>
          <cell r="K25">
            <v>1</v>
          </cell>
          <cell r="L25" t="str">
            <v>Nida Khan</v>
          </cell>
          <cell r="M25">
            <v>45845</v>
          </cell>
          <cell r="O25" t="str">
            <v>Visionet</v>
          </cell>
          <cell r="P25" t="str">
            <v>FTE</v>
          </cell>
          <cell r="Q25">
            <v>180000</v>
          </cell>
          <cell r="R25">
            <v>0.22972222222222199</v>
          </cell>
          <cell r="S25">
            <v>41349.999999999956</v>
          </cell>
        </row>
        <row r="26">
          <cell r="B26" t="str">
            <v>Umang Srivastava</v>
          </cell>
          <cell r="E26" t="str">
            <v>Ramkishen Kalyana</v>
          </cell>
          <cell r="F26" t="str">
            <v>Mayank Saxena</v>
          </cell>
          <cell r="G26">
            <v>0.5</v>
          </cell>
          <cell r="H26" t="str">
            <v>Mayank Saxena</v>
          </cell>
          <cell r="I26">
            <v>0.5</v>
          </cell>
          <cell r="J26" t="str">
            <v>Rashmi Bhatnagar</v>
          </cell>
          <cell r="K26">
            <v>1</v>
          </cell>
          <cell r="M26">
            <v>45840</v>
          </cell>
          <cell r="O26" t="str">
            <v>Sutherland</v>
          </cell>
          <cell r="P26" t="str">
            <v>FTE</v>
          </cell>
          <cell r="Q26">
            <v>200000</v>
          </cell>
          <cell r="R26">
            <v>0.237222222222222</v>
          </cell>
          <cell r="S26">
            <v>47444.444444444402</v>
          </cell>
        </row>
        <row r="27">
          <cell r="B27" t="str">
            <v>Govind Srivastava</v>
          </cell>
          <cell r="E27" t="str">
            <v>Satheesh Naik</v>
          </cell>
          <cell r="F27" t="str">
            <v>Mayank Saxena</v>
          </cell>
          <cell r="G27">
            <v>0.5</v>
          </cell>
          <cell r="H27" t="str">
            <v>Mayank Saxena</v>
          </cell>
          <cell r="I27">
            <v>0.5</v>
          </cell>
          <cell r="J27" t="str">
            <v>Rashmi Bhatnagar</v>
          </cell>
          <cell r="K27">
            <v>1</v>
          </cell>
          <cell r="M27">
            <v>45848</v>
          </cell>
          <cell r="O27" t="str">
            <v>Sutherland</v>
          </cell>
          <cell r="P27" t="str">
            <v>FTE</v>
          </cell>
          <cell r="Q27">
            <v>220000</v>
          </cell>
          <cell r="R27">
            <v>0.24472222222222201</v>
          </cell>
          <cell r="S27">
            <v>53838.88888888884</v>
          </cell>
        </row>
        <row r="28">
          <cell r="B28" t="str">
            <v>Pulkit Prakash</v>
          </cell>
          <cell r="E28" t="str">
            <v>Robert Gonzalez</v>
          </cell>
          <cell r="F28" t="str">
            <v>Raunak Tripathi</v>
          </cell>
          <cell r="G28">
            <v>0.5</v>
          </cell>
          <cell r="H28" t="str">
            <v>Raunak Tripathi</v>
          </cell>
          <cell r="I28">
            <v>0.5</v>
          </cell>
          <cell r="J28" t="str">
            <v>Alok Mishra</v>
          </cell>
          <cell r="K28">
            <v>1</v>
          </cell>
          <cell r="M28">
            <v>45848</v>
          </cell>
          <cell r="O28" t="str">
            <v>Kale Logistics</v>
          </cell>
          <cell r="P28" t="str">
            <v>FTE</v>
          </cell>
          <cell r="Q28">
            <v>120000</v>
          </cell>
          <cell r="R28">
            <v>0.25222222222222201</v>
          </cell>
          <cell r="S28">
            <v>30266.666666666642</v>
          </cell>
        </row>
        <row r="29">
          <cell r="B29" t="str">
            <v>Sagar Chandani</v>
          </cell>
          <cell r="E29" t="str">
            <v>Nestor Miranda</v>
          </cell>
          <cell r="F29" t="str">
            <v>Rashmi Bhatnagar</v>
          </cell>
          <cell r="G29">
            <v>0.5</v>
          </cell>
          <cell r="H29" t="str">
            <v>Ankit Pandey</v>
          </cell>
          <cell r="I29">
            <v>0.5</v>
          </cell>
          <cell r="J29" t="str">
            <v>Rashmi Bhatnagar</v>
          </cell>
          <cell r="K29">
            <v>1</v>
          </cell>
          <cell r="M29">
            <v>45846</v>
          </cell>
          <cell r="O29" t="str">
            <v>Sutherland</v>
          </cell>
          <cell r="P29" t="str">
            <v>FTE</v>
          </cell>
          <cell r="Q29">
            <v>140000</v>
          </cell>
          <cell r="R29">
            <v>0.25972222222222202</v>
          </cell>
          <cell r="S29">
            <v>36361.11111111108</v>
          </cell>
        </row>
        <row r="30">
          <cell r="B30" t="str">
            <v>Syed Zaidi</v>
          </cell>
          <cell r="E30" t="str">
            <v>Sandeep Padhye</v>
          </cell>
          <cell r="F30" t="str">
            <v>Anshul Kumar</v>
          </cell>
          <cell r="G30">
            <v>0.5</v>
          </cell>
          <cell r="H30" t="str">
            <v>Umar Mujahid</v>
          </cell>
          <cell r="I30">
            <v>0.5</v>
          </cell>
          <cell r="J30" t="str">
            <v>Dev Srivastava</v>
          </cell>
          <cell r="K30">
            <v>1</v>
          </cell>
          <cell r="L30" t="str">
            <v>Qausain Abbass</v>
          </cell>
          <cell r="M30">
            <v>45859</v>
          </cell>
          <cell r="O30" t="str">
            <v>InfoBeans</v>
          </cell>
          <cell r="P30" t="str">
            <v>FTE</v>
          </cell>
          <cell r="Q30">
            <v>160000</v>
          </cell>
          <cell r="R30">
            <v>0.26722222222222197</v>
          </cell>
          <cell r="S30">
            <v>42755.555555555518</v>
          </cell>
        </row>
        <row r="31">
          <cell r="B31" t="str">
            <v>Pulkit Prakash</v>
          </cell>
          <cell r="E31" t="str">
            <v>Travis Leemreis</v>
          </cell>
          <cell r="F31" t="str">
            <v>Raunak Tripathi</v>
          </cell>
          <cell r="G31">
            <v>0.5</v>
          </cell>
          <cell r="H31" t="str">
            <v>Raunak Tripathi</v>
          </cell>
          <cell r="I31">
            <v>0.5</v>
          </cell>
          <cell r="J31" t="str">
            <v>Alok Mishra</v>
          </cell>
          <cell r="K31">
            <v>1</v>
          </cell>
          <cell r="M31">
            <v>45855</v>
          </cell>
          <cell r="O31" t="str">
            <v>Kale Logistics</v>
          </cell>
          <cell r="P31" t="str">
            <v>FTE</v>
          </cell>
          <cell r="Q31">
            <v>180000</v>
          </cell>
          <cell r="R31">
            <v>0.27472222222222198</v>
          </cell>
          <cell r="S31">
            <v>49449.999999999956</v>
          </cell>
        </row>
        <row r="32">
          <cell r="B32" t="str">
            <v>Pulkit Prakash</v>
          </cell>
          <cell r="E32" t="str">
            <v>Leroy Cervantes</v>
          </cell>
          <cell r="F32" t="str">
            <v>Raunak Tripathi</v>
          </cell>
          <cell r="G32">
            <v>0.5</v>
          </cell>
          <cell r="H32" t="str">
            <v>Raunak Tripathi</v>
          </cell>
          <cell r="I32">
            <v>0.5</v>
          </cell>
          <cell r="J32" t="str">
            <v>Alok Mishra</v>
          </cell>
          <cell r="K32">
            <v>1</v>
          </cell>
          <cell r="M32">
            <v>45859</v>
          </cell>
          <cell r="N32">
            <v>45920</v>
          </cell>
          <cell r="O32" t="str">
            <v>Kale Logistics</v>
          </cell>
          <cell r="P32" t="str">
            <v>FTE</v>
          </cell>
          <cell r="Q32">
            <v>200000</v>
          </cell>
          <cell r="R32">
            <v>0.28222222222222199</v>
          </cell>
          <cell r="S32">
            <v>0</v>
          </cell>
        </row>
        <row r="33">
          <cell r="B33" t="str">
            <v>Rashmi Bhatnagar</v>
          </cell>
          <cell r="E33" t="str">
            <v>Manish Hemrajani</v>
          </cell>
          <cell r="F33" t="str">
            <v>Rashmi Bhatnagar</v>
          </cell>
          <cell r="G33">
            <v>0.5</v>
          </cell>
          <cell r="H33" t="str">
            <v>Rashmi Bhatnagar</v>
          </cell>
          <cell r="I33">
            <v>0.5</v>
          </cell>
          <cell r="J33" t="str">
            <v>Rashmi Bhatnagar</v>
          </cell>
          <cell r="K33">
            <v>1</v>
          </cell>
          <cell r="M33">
            <v>45866</v>
          </cell>
          <cell r="O33" t="str">
            <v>Coforge</v>
          </cell>
          <cell r="P33" t="str">
            <v>FTE</v>
          </cell>
          <cell r="Q33">
            <v>220000</v>
          </cell>
          <cell r="R33">
            <v>0.28972222222222199</v>
          </cell>
          <cell r="S33">
            <v>63738.88888888884</v>
          </cell>
        </row>
        <row r="34">
          <cell r="B34" t="str">
            <v>Rashmi Bhatnagar</v>
          </cell>
          <cell r="E34" t="str">
            <v>Mary Andrews</v>
          </cell>
          <cell r="F34" t="str">
            <v>Rashmi Bhatnagar</v>
          </cell>
          <cell r="G34">
            <v>0.5</v>
          </cell>
          <cell r="H34" t="str">
            <v>Rashmi Bhatnagar</v>
          </cell>
          <cell r="I34">
            <v>0.5</v>
          </cell>
          <cell r="J34" t="str">
            <v>Rashmi Bhatnagar</v>
          </cell>
          <cell r="K34">
            <v>1</v>
          </cell>
          <cell r="M34">
            <v>45728</v>
          </cell>
          <cell r="O34" t="str">
            <v>Sutherland</v>
          </cell>
          <cell r="P34" t="str">
            <v>FTE</v>
          </cell>
          <cell r="Q34">
            <v>120000</v>
          </cell>
          <cell r="R34">
            <v>0.297222222222222</v>
          </cell>
          <cell r="S34">
            <v>35666.666666666642</v>
          </cell>
        </row>
        <row r="35">
          <cell r="B35" t="str">
            <v>Syed Zaidi</v>
          </cell>
          <cell r="E35" t="str">
            <v>Devin Currens</v>
          </cell>
          <cell r="F35" t="str">
            <v>Anshul Kumar</v>
          </cell>
          <cell r="G35">
            <v>0.5</v>
          </cell>
          <cell r="H35" t="str">
            <v>Umar Mujahid</v>
          </cell>
          <cell r="I35">
            <v>0.5</v>
          </cell>
          <cell r="J35" t="str">
            <v>Dev Srivastava</v>
          </cell>
          <cell r="K35">
            <v>1</v>
          </cell>
          <cell r="L35" t="str">
            <v>Qausain Abbass</v>
          </cell>
          <cell r="M35">
            <v>45887</v>
          </cell>
          <cell r="O35" t="str">
            <v>InfoBeans</v>
          </cell>
          <cell r="P35" t="str">
            <v>FTE</v>
          </cell>
          <cell r="Q35">
            <v>140000</v>
          </cell>
          <cell r="R35">
            <v>0.30472222222222201</v>
          </cell>
          <cell r="S35">
            <v>42661.11111111108</v>
          </cell>
        </row>
        <row r="36">
          <cell r="B36" t="str">
            <v>Syed Zaidi</v>
          </cell>
          <cell r="E36" t="str">
            <v>Natasha Allen</v>
          </cell>
          <cell r="F36" t="str">
            <v>Mayank Saxena</v>
          </cell>
          <cell r="G36">
            <v>0.5</v>
          </cell>
          <cell r="H36" t="str">
            <v>Umar Mujahid</v>
          </cell>
          <cell r="I36">
            <v>0.5</v>
          </cell>
          <cell r="J36" t="str">
            <v>Alok Mishra</v>
          </cell>
          <cell r="K36">
            <v>1</v>
          </cell>
          <cell r="M36">
            <v>45887</v>
          </cell>
          <cell r="O36" t="str">
            <v>Fanatics</v>
          </cell>
          <cell r="P36" t="str">
            <v>FTE</v>
          </cell>
          <cell r="Q36">
            <v>160000</v>
          </cell>
          <cell r="R36">
            <v>0.31222222222222201</v>
          </cell>
          <cell r="S36">
            <v>49955.555555555518</v>
          </cell>
        </row>
        <row r="37">
          <cell r="B37" t="str">
            <v>Shreya Singh</v>
          </cell>
          <cell r="E37" t="str">
            <v>Brian Taylor</v>
          </cell>
          <cell r="F37" t="str">
            <v>Umar Mujahid</v>
          </cell>
          <cell r="G37">
            <v>0.5</v>
          </cell>
          <cell r="H37" t="str">
            <v>Anshul Kumar</v>
          </cell>
          <cell r="I37">
            <v>0.5</v>
          </cell>
          <cell r="J37" t="str">
            <v>Dev Srivastava</v>
          </cell>
          <cell r="K37">
            <v>1</v>
          </cell>
          <cell r="M37">
            <v>45870</v>
          </cell>
          <cell r="O37" t="str">
            <v>FPT Software</v>
          </cell>
          <cell r="P37" t="str">
            <v>FTE</v>
          </cell>
          <cell r="Q37">
            <v>180000</v>
          </cell>
          <cell r="R37">
            <v>0.31972222222222202</v>
          </cell>
          <cell r="S37">
            <v>57549.999999999964</v>
          </cell>
        </row>
        <row r="38">
          <cell r="B38" t="str">
            <v>Syed Zaidi</v>
          </cell>
          <cell r="E38" t="str">
            <v>Taylor Brandon Grace</v>
          </cell>
          <cell r="F38" t="str">
            <v>Anshul Kumar</v>
          </cell>
          <cell r="G38">
            <v>0.5</v>
          </cell>
          <cell r="H38" t="str">
            <v>Umar Mujahid</v>
          </cell>
          <cell r="I38">
            <v>0.5</v>
          </cell>
          <cell r="J38" t="str">
            <v>Dev Srivastava</v>
          </cell>
          <cell r="K38">
            <v>1</v>
          </cell>
          <cell r="L38" t="str">
            <v>Qausain Abbass</v>
          </cell>
          <cell r="M38">
            <v>45894</v>
          </cell>
          <cell r="O38" t="str">
            <v>InfoBeans</v>
          </cell>
          <cell r="P38" t="str">
            <v>FTE</v>
          </cell>
          <cell r="Q38">
            <v>200000</v>
          </cell>
          <cell r="R38">
            <v>0.32722222222222203</v>
          </cell>
          <cell r="S38">
            <v>65444.444444444402</v>
          </cell>
        </row>
        <row r="39">
          <cell r="B39" t="str">
            <v>Priyansh Khare</v>
          </cell>
          <cell r="E39" t="str">
            <v>Amrita Singh</v>
          </cell>
          <cell r="F39" t="str">
            <v>Anshul Kumar</v>
          </cell>
          <cell r="G39">
            <v>0.5</v>
          </cell>
          <cell r="H39" t="str">
            <v>Anshul Kumar</v>
          </cell>
          <cell r="I39">
            <v>0.5</v>
          </cell>
          <cell r="J39" t="str">
            <v>Dev Srivastava</v>
          </cell>
          <cell r="K39">
            <v>1</v>
          </cell>
          <cell r="M39">
            <v>45915</v>
          </cell>
          <cell r="O39" t="str">
            <v>InfoBeans</v>
          </cell>
          <cell r="P39" t="str">
            <v>FTE</v>
          </cell>
          <cell r="Q39">
            <v>220000</v>
          </cell>
          <cell r="R39">
            <v>0.33472222222222198</v>
          </cell>
          <cell r="S39">
            <v>73638.888888888832</v>
          </cell>
        </row>
        <row r="40">
          <cell r="B40" t="str">
            <v>Ankit Maurya</v>
          </cell>
          <cell r="E40" t="str">
            <v>Chandra Bhagi</v>
          </cell>
          <cell r="F40" t="str">
            <v>Raunak Tripathi</v>
          </cell>
          <cell r="G40">
            <v>0.5</v>
          </cell>
          <cell r="H40" t="str">
            <v>Raunak Tripathi</v>
          </cell>
          <cell r="I40">
            <v>0.5</v>
          </cell>
          <cell r="J40" t="str">
            <v>Rashmi Bhatnagar</v>
          </cell>
          <cell r="K40">
            <v>1</v>
          </cell>
          <cell r="L40" t="str">
            <v>Nida Khan</v>
          </cell>
          <cell r="M40">
            <v>45908</v>
          </cell>
          <cell r="O40" t="str">
            <v>InfoBeans</v>
          </cell>
          <cell r="P40" t="str">
            <v>FTE</v>
          </cell>
          <cell r="Q40">
            <v>120000</v>
          </cell>
          <cell r="R40">
            <v>0.34222222222222198</v>
          </cell>
          <cell r="S40">
            <v>41066.666666666635</v>
          </cell>
        </row>
        <row r="41">
          <cell r="B41" t="str">
            <v>Devansh Mishra</v>
          </cell>
          <cell r="E41" t="str">
            <v>Minoji Thomas</v>
          </cell>
          <cell r="F41" t="str">
            <v>Raunak Tripathi</v>
          </cell>
          <cell r="G41">
            <v>0.5</v>
          </cell>
          <cell r="H41" t="str">
            <v>Raunak Tripathi</v>
          </cell>
          <cell r="I41">
            <v>0.5</v>
          </cell>
          <cell r="J41" t="str">
            <v>Alok Mishra</v>
          </cell>
          <cell r="K41">
            <v>1</v>
          </cell>
          <cell r="L41" t="str">
            <v>Anam</v>
          </cell>
          <cell r="M41">
            <v>45910</v>
          </cell>
          <cell r="O41" t="str">
            <v>Infogain</v>
          </cell>
          <cell r="P41" t="str">
            <v>FTE</v>
          </cell>
          <cell r="Q41">
            <v>140000</v>
          </cell>
          <cell r="R41">
            <v>0.34972222222222199</v>
          </cell>
          <cell r="S41">
            <v>48961.11111111108</v>
          </cell>
        </row>
        <row r="42">
          <cell r="B42" t="str">
            <v>Anshul Kumar</v>
          </cell>
          <cell r="E42" t="str">
            <v>Sachin Ahuja</v>
          </cell>
          <cell r="F42" t="str">
            <v>Anshul Kumar</v>
          </cell>
          <cell r="G42">
            <v>0.5</v>
          </cell>
          <cell r="H42" t="str">
            <v>Anshul Kumar</v>
          </cell>
          <cell r="I42">
            <v>0.5</v>
          </cell>
          <cell r="J42" t="str">
            <v>Dev Srivastava</v>
          </cell>
          <cell r="K42">
            <v>1</v>
          </cell>
          <cell r="M42">
            <v>45922</v>
          </cell>
          <cell r="O42" t="str">
            <v>LTTS</v>
          </cell>
          <cell r="P42" t="str">
            <v>FTE</v>
          </cell>
          <cell r="Q42">
            <v>160000</v>
          </cell>
          <cell r="R42">
            <v>0.357222222222222</v>
          </cell>
          <cell r="S42">
            <v>57155.555555555518</v>
          </cell>
        </row>
        <row r="43">
          <cell r="B43" t="str">
            <v>Syed Zaidi</v>
          </cell>
          <cell r="E43" t="str">
            <v>Ehab Abbas</v>
          </cell>
          <cell r="F43" t="str">
            <v>Anshul Kumar</v>
          </cell>
          <cell r="G43">
            <v>0.5</v>
          </cell>
          <cell r="H43" t="str">
            <v>Umar Mujahid</v>
          </cell>
          <cell r="I43">
            <v>0.5</v>
          </cell>
          <cell r="J43" t="str">
            <v>Dev Srivastava</v>
          </cell>
          <cell r="K43">
            <v>1</v>
          </cell>
          <cell r="L43" t="str">
            <v>Qausain Abbass</v>
          </cell>
          <cell r="M43">
            <v>45929</v>
          </cell>
          <cell r="O43" t="str">
            <v>InfoBeans</v>
          </cell>
          <cell r="P43" t="str">
            <v>FTE</v>
          </cell>
          <cell r="Q43">
            <v>180000</v>
          </cell>
          <cell r="R43">
            <v>0.364722222222222</v>
          </cell>
          <cell r="S43">
            <v>65649.999999999956</v>
          </cell>
        </row>
        <row r="44">
          <cell r="B44" t="str">
            <v>Shreya Singh</v>
          </cell>
          <cell r="E44" t="str">
            <v>Pallav Sharma</v>
          </cell>
          <cell r="F44" t="str">
            <v>Umar Mujahid</v>
          </cell>
          <cell r="G44">
            <v>0.5</v>
          </cell>
          <cell r="H44" t="str">
            <v>Anshul Kumar</v>
          </cell>
          <cell r="I44">
            <v>0.5</v>
          </cell>
          <cell r="J44" t="str">
            <v>Dev Srivastava</v>
          </cell>
          <cell r="K44">
            <v>1</v>
          </cell>
          <cell r="M44">
            <v>45930</v>
          </cell>
          <cell r="O44" t="str">
            <v>BirlaSoft</v>
          </cell>
          <cell r="P44" t="str">
            <v>FTE</v>
          </cell>
          <cell r="Q44">
            <v>200000</v>
          </cell>
          <cell r="R44">
            <v>0.37222222222222201</v>
          </cell>
          <cell r="S44">
            <v>74444.444444444409</v>
          </cell>
        </row>
      </sheetData>
      <sheetData sheetId="9"/>
      <sheetData sheetId="10">
        <row r="1">
          <cell r="H1" t="str">
            <v>Slab achieved</v>
          </cell>
        </row>
        <row r="2">
          <cell r="B2" t="str">
            <v>Umar Mujahid Husain</v>
          </cell>
          <cell r="E2">
            <v>100000</v>
          </cell>
          <cell r="G2">
            <v>1.2204999999999999</v>
          </cell>
          <cell r="H2">
            <v>0.04</v>
          </cell>
        </row>
        <row r="3">
          <cell r="B3" t="str">
            <v>Syed Ahrar Abbas Zaidi</v>
          </cell>
          <cell r="E3">
            <v>100000</v>
          </cell>
          <cell r="G3">
            <v>1.8015000000000001</v>
          </cell>
          <cell r="H3">
            <v>0.04</v>
          </cell>
        </row>
        <row r="4">
          <cell r="B4" t="str">
            <v>Abhay Pratap Singh</v>
          </cell>
          <cell r="E4">
            <v>75000</v>
          </cell>
          <cell r="G4">
            <v>0.90766666666666662</v>
          </cell>
          <cell r="H4">
            <v>0.04</v>
          </cell>
        </row>
        <row r="5">
          <cell r="B5" t="str">
            <v>Astha Srivastava</v>
          </cell>
          <cell r="E5">
            <v>55000</v>
          </cell>
          <cell r="G5">
            <v>0</v>
          </cell>
          <cell r="H5">
            <v>0</v>
          </cell>
        </row>
        <row r="6">
          <cell r="B6" t="str">
            <v>Raunak Tripathi</v>
          </cell>
          <cell r="E6">
            <v>50000</v>
          </cell>
          <cell r="G6">
            <v>0</v>
          </cell>
          <cell r="H6">
            <v>0</v>
          </cell>
        </row>
        <row r="7">
          <cell r="B7" t="str">
            <v>Ankit Maurya</v>
          </cell>
          <cell r="E7">
            <v>100000</v>
          </cell>
          <cell r="G7">
            <v>0.28799999999999998</v>
          </cell>
          <cell r="H7">
            <v>1.7500000000000002E-2</v>
          </cell>
        </row>
        <row r="8">
          <cell r="B8" t="str">
            <v>Prithvi Singh</v>
          </cell>
          <cell r="E8">
            <v>80000</v>
          </cell>
          <cell r="G8">
            <v>0</v>
          </cell>
          <cell r="H8">
            <v>0</v>
          </cell>
        </row>
        <row r="9">
          <cell r="B9" t="str">
            <v>Ranjeet Kumar</v>
          </cell>
          <cell r="E9">
            <v>80000</v>
          </cell>
          <cell r="G9">
            <v>0.76687499999999997</v>
          </cell>
          <cell r="H9">
            <v>2.75E-2</v>
          </cell>
        </row>
        <row r="10">
          <cell r="B10" t="str">
            <v>Devansh Mishra</v>
          </cell>
          <cell r="E10">
            <v>55000</v>
          </cell>
          <cell r="G10">
            <v>0.68181818181818177</v>
          </cell>
          <cell r="H10">
            <v>2.2499999999999999E-2</v>
          </cell>
        </row>
        <row r="11">
          <cell r="B11" t="str">
            <v>Prachi Pandey</v>
          </cell>
          <cell r="E11">
            <v>80000</v>
          </cell>
          <cell r="G11">
            <v>4.3124999999999997E-2</v>
          </cell>
          <cell r="H11">
            <v>1.7500000000000002E-2</v>
          </cell>
        </row>
        <row r="12">
          <cell r="B12" t="str">
            <v>Pulkit prakash</v>
          </cell>
          <cell r="E12">
            <v>80000</v>
          </cell>
          <cell r="G12">
            <v>0.53180000000000005</v>
          </cell>
          <cell r="H12">
            <v>2.2499999999999999E-2</v>
          </cell>
        </row>
        <row r="13">
          <cell r="B13" t="str">
            <v>Mayank Saxena</v>
          </cell>
          <cell r="E13">
            <v>50000</v>
          </cell>
          <cell r="G13">
            <v>1.8089999999999999</v>
          </cell>
          <cell r="H13">
            <v>0.04</v>
          </cell>
        </row>
        <row r="14">
          <cell r="B14" t="str">
            <v>Govind Srivastava</v>
          </cell>
          <cell r="E14">
            <v>120000</v>
          </cell>
          <cell r="G14">
            <v>1.2666666666666666</v>
          </cell>
          <cell r="H14">
            <v>0.04</v>
          </cell>
        </row>
        <row r="15">
          <cell r="B15" t="str">
            <v>Umang Srivastava</v>
          </cell>
          <cell r="E15">
            <v>55000</v>
          </cell>
          <cell r="G15">
            <v>1.0454545454545454</v>
          </cell>
          <cell r="H15">
            <v>0.04</v>
          </cell>
        </row>
        <row r="16">
          <cell r="B16" t="str">
            <v>Anshul Kumar</v>
          </cell>
          <cell r="E16">
            <v>50000</v>
          </cell>
          <cell r="G16">
            <v>1.9219999999999999</v>
          </cell>
          <cell r="H16">
            <v>0.04</v>
          </cell>
        </row>
        <row r="17">
          <cell r="B17" t="str">
            <v>Priyansh Khare</v>
          </cell>
          <cell r="E17">
            <v>100000</v>
          </cell>
          <cell r="G17">
            <v>0.38250000000000001</v>
          </cell>
          <cell r="H17">
            <v>1.7500000000000002E-2</v>
          </cell>
        </row>
        <row r="18">
          <cell r="B18" t="str">
            <v>Shreya Singh</v>
          </cell>
          <cell r="E18">
            <v>100000</v>
          </cell>
          <cell r="G18">
            <v>0.86050000000000004</v>
          </cell>
          <cell r="H18">
            <v>0.04</v>
          </cell>
        </row>
        <row r="19">
          <cell r="B19" t="str">
            <v>Anamika Dwivedi</v>
          </cell>
          <cell r="E19">
            <v>30000</v>
          </cell>
          <cell r="G19">
            <v>0</v>
          </cell>
          <cell r="H19">
            <v>0</v>
          </cell>
        </row>
        <row r="20">
          <cell r="B20" t="str">
            <v>Smriti Jha</v>
          </cell>
          <cell r="E20">
            <v>30000</v>
          </cell>
          <cell r="G20">
            <v>0</v>
          </cell>
          <cell r="H20">
            <v>0</v>
          </cell>
        </row>
        <row r="21">
          <cell r="B21" t="str">
            <v>Abhishek Srivastava</v>
          </cell>
          <cell r="E21">
            <v>60000</v>
          </cell>
          <cell r="G21">
            <v>0</v>
          </cell>
          <cell r="H21">
            <v>0</v>
          </cell>
        </row>
        <row r="22">
          <cell r="B22" t="str">
            <v>Shivanshu Mishra</v>
          </cell>
          <cell r="E22">
            <v>75000</v>
          </cell>
          <cell r="G22">
            <v>0</v>
          </cell>
          <cell r="H22">
            <v>0</v>
          </cell>
        </row>
        <row r="23">
          <cell r="B23" t="str">
            <v>Rohini Parihar</v>
          </cell>
          <cell r="H23">
            <v>0</v>
          </cell>
        </row>
        <row r="24">
          <cell r="B24" t="str">
            <v>Qausain Abbass</v>
          </cell>
          <cell r="E24">
            <v>5</v>
          </cell>
          <cell r="G24">
            <v>0.8</v>
          </cell>
          <cell r="H24">
            <v>2.75E-2</v>
          </cell>
        </row>
        <row r="25">
          <cell r="B25" t="str">
            <v>Anam Hasan</v>
          </cell>
          <cell r="E25">
            <v>4</v>
          </cell>
          <cell r="G25">
            <v>0.25</v>
          </cell>
          <cell r="H25">
            <v>1.7500000000000002E-2</v>
          </cell>
        </row>
        <row r="26">
          <cell r="B26" t="str">
            <v>Tanya Mishra</v>
          </cell>
          <cell r="E26">
            <v>4</v>
          </cell>
          <cell r="G26">
            <v>0.75</v>
          </cell>
          <cell r="H26">
            <v>2.75E-2</v>
          </cell>
        </row>
        <row r="27">
          <cell r="B27" t="str">
            <v>Devashish Sinha</v>
          </cell>
          <cell r="E27">
            <v>4</v>
          </cell>
          <cell r="G27">
            <v>0</v>
          </cell>
          <cell r="H27">
            <v>0</v>
          </cell>
        </row>
        <row r="28">
          <cell r="B28" t="str">
            <v>Lucky Jain</v>
          </cell>
          <cell r="H28" t="e">
            <v>#VALUE!</v>
          </cell>
        </row>
        <row r="29">
          <cell r="B29" t="str">
            <v>Abhishek Rajpoot</v>
          </cell>
          <cell r="H29">
            <v>2.2499999999999999E-2</v>
          </cell>
        </row>
        <row r="30">
          <cell r="B30" t="str">
            <v>Pragati Mishra</v>
          </cell>
          <cell r="H30">
            <v>1.7500000000000002E-2</v>
          </cell>
        </row>
        <row r="31">
          <cell r="B31" t="str">
            <v>Rishabh Singh</v>
          </cell>
          <cell r="H31">
            <v>1.7500000000000002E-2</v>
          </cell>
        </row>
        <row r="32">
          <cell r="B32" t="str">
            <v>Prachi Verma</v>
          </cell>
          <cell r="H32">
            <v>1.7500000000000002E-2</v>
          </cell>
        </row>
        <row r="33">
          <cell r="B33" t="str">
            <v>Ansh Singh Rathore</v>
          </cell>
          <cell r="H33">
            <v>2.2499999999999999E-2</v>
          </cell>
        </row>
        <row r="34">
          <cell r="B34" t="str">
            <v>Vinay Kumar Pandey</v>
          </cell>
          <cell r="H34">
            <v>0</v>
          </cell>
        </row>
        <row r="35">
          <cell r="B35" t="str">
            <v>Akbar Ibrahim</v>
          </cell>
        </row>
        <row r="36">
          <cell r="B36" t="str">
            <v>Ajith Gunasekar</v>
          </cell>
          <cell r="H36">
            <v>1.7500000000000002E-2</v>
          </cell>
        </row>
        <row r="37">
          <cell r="B37" t="str">
            <v>Kishore Gopi</v>
          </cell>
          <cell r="H37">
            <v>0</v>
          </cell>
        </row>
        <row r="38">
          <cell r="B38" t="str">
            <v>Lokesh R</v>
          </cell>
          <cell r="H38">
            <v>0</v>
          </cell>
        </row>
        <row r="39">
          <cell r="B39" t="str">
            <v>Rubini Mohan</v>
          </cell>
          <cell r="H39">
            <v>1.7500000000000002E-2</v>
          </cell>
        </row>
        <row r="40">
          <cell r="B40" t="str">
            <v>Ramanan K</v>
          </cell>
          <cell r="H40">
            <v>0</v>
          </cell>
        </row>
        <row r="41">
          <cell r="B41" t="str">
            <v>Rohini L</v>
          </cell>
          <cell r="H41">
            <v>0</v>
          </cell>
        </row>
        <row r="42">
          <cell r="B42" t="str">
            <v>Sophia R</v>
          </cell>
          <cell r="H42">
            <v>0</v>
          </cell>
        </row>
        <row r="43">
          <cell r="B43" t="str">
            <v>Jagan Prabhu Vedhagiri</v>
          </cell>
          <cell r="H43">
            <v>1.7500000000000002E-2</v>
          </cell>
        </row>
        <row r="44">
          <cell r="B44" t="str">
            <v>Dasive Prakash S</v>
          </cell>
          <cell r="H44">
            <v>1.7500000000000002E-2</v>
          </cell>
        </row>
        <row r="45">
          <cell r="B45" t="str">
            <v>Dhivakar B</v>
          </cell>
        </row>
        <row r="46">
          <cell r="B46" t="str">
            <v>Vinoth L</v>
          </cell>
        </row>
        <row r="47">
          <cell r="B47" t="str">
            <v>Priyanga Selvarasu</v>
          </cell>
          <cell r="H47">
            <v>0</v>
          </cell>
        </row>
        <row r="48">
          <cell r="B48" t="str">
            <v>M Harinath</v>
          </cell>
          <cell r="H48">
            <v>0.04</v>
          </cell>
        </row>
        <row r="49">
          <cell r="B49" t="str">
            <v>R Richardson Richardson</v>
          </cell>
          <cell r="H49">
            <v>1.7500000000000002E-2</v>
          </cell>
        </row>
        <row r="50">
          <cell r="B50" t="str">
            <v>Dinesh Veluchamy</v>
          </cell>
          <cell r="H50">
            <v>0.04</v>
          </cell>
        </row>
        <row r="51">
          <cell r="B51" t="str">
            <v>J Gayathri</v>
          </cell>
          <cell r="H51">
            <v>2.2499999999999999E-2</v>
          </cell>
        </row>
        <row r="52">
          <cell r="B52" t="str">
            <v>Sriram Arasu</v>
          </cell>
          <cell r="H52">
            <v>1.7500000000000002E-2</v>
          </cell>
        </row>
        <row r="53">
          <cell r="B53" t="str">
            <v>Thomas J</v>
          </cell>
          <cell r="H53">
            <v>0</v>
          </cell>
        </row>
      </sheetData>
      <sheetData sheetId="11"/>
      <sheetData sheetId="12">
        <row r="3">
          <cell r="B3" t="str">
            <v>Recruiters Name</v>
          </cell>
          <cell r="C3" t="str">
            <v>Team Lead</v>
          </cell>
        </row>
        <row r="4">
          <cell r="B4" t="str">
            <v>Umar Mujahid Husain</v>
          </cell>
          <cell r="C4" t="str">
            <v>Umar Mujahid Husain</v>
          </cell>
          <cell r="D4" t="str">
            <v>VB0001</v>
          </cell>
        </row>
        <row r="5">
          <cell r="B5" t="str">
            <v>Syed Ahrar Abbas Zaidi</v>
          </cell>
          <cell r="C5" t="str">
            <v>Umar Mujahid Husain</v>
          </cell>
          <cell r="D5" t="str">
            <v>VB0002</v>
          </cell>
        </row>
        <row r="6">
          <cell r="B6" t="str">
            <v>Abhay Pratap Singh</v>
          </cell>
          <cell r="C6" t="str">
            <v>Umar Mujahid Husain</v>
          </cell>
          <cell r="D6" t="str">
            <v>VB0003</v>
          </cell>
        </row>
        <row r="7">
          <cell r="B7" t="str">
            <v>Astha Srivastava</v>
          </cell>
          <cell r="C7" t="str">
            <v>Umar Mujahid Husain</v>
          </cell>
          <cell r="D7" t="str">
            <v>VB0004</v>
          </cell>
        </row>
        <row r="8">
          <cell r="B8" t="str">
            <v>Raunak Tripathi</v>
          </cell>
          <cell r="C8" t="str">
            <v>Raunak Tripathi</v>
          </cell>
          <cell r="D8" t="str">
            <v>VB0005</v>
          </cell>
        </row>
        <row r="9">
          <cell r="B9" t="str">
            <v>Ankit Maurya</v>
          </cell>
          <cell r="C9" t="str">
            <v>Raunak Tripathi</v>
          </cell>
          <cell r="D9" t="str">
            <v>VB0006</v>
          </cell>
        </row>
        <row r="10">
          <cell r="B10" t="str">
            <v>Prithvi Singh</v>
          </cell>
          <cell r="C10" t="str">
            <v>Raunak Tripathi</v>
          </cell>
          <cell r="D10" t="str">
            <v>VB0007</v>
          </cell>
        </row>
        <row r="11">
          <cell r="B11" t="str">
            <v>Ranjeet Kumar</v>
          </cell>
          <cell r="C11" t="str">
            <v>Raunak Tripathi</v>
          </cell>
          <cell r="D11" t="str">
            <v>VB0008</v>
          </cell>
        </row>
        <row r="12">
          <cell r="B12" t="str">
            <v>Devansh Mishra</v>
          </cell>
          <cell r="C12" t="str">
            <v>Raunak Tripathi</v>
          </cell>
          <cell r="D12" t="str">
            <v>VB0009</v>
          </cell>
        </row>
        <row r="13">
          <cell r="B13" t="str">
            <v>Prachi Pandey</v>
          </cell>
          <cell r="C13" t="str">
            <v>Raunak Tripathi</v>
          </cell>
          <cell r="D13" t="str">
            <v>VB0010</v>
          </cell>
        </row>
        <row r="14">
          <cell r="B14" t="str">
            <v>Pulkit prakash</v>
          </cell>
          <cell r="C14" t="str">
            <v>Raunak Tripathi</v>
          </cell>
          <cell r="D14" t="str">
            <v>VB0011</v>
          </cell>
        </row>
        <row r="15">
          <cell r="B15" t="str">
            <v>Mayank Saxena</v>
          </cell>
          <cell r="C15" t="str">
            <v>Mayank Saxena</v>
          </cell>
          <cell r="D15" t="str">
            <v>VB0012</v>
          </cell>
        </row>
        <row r="16">
          <cell r="B16" t="str">
            <v>Govind Srivastava</v>
          </cell>
          <cell r="C16" t="str">
            <v>Mayank Saxena</v>
          </cell>
          <cell r="D16" t="str">
            <v>VB0013</v>
          </cell>
        </row>
        <row r="17">
          <cell r="B17" t="str">
            <v>Umang Srivastava</v>
          </cell>
          <cell r="C17" t="str">
            <v>Mayank Saxena</v>
          </cell>
          <cell r="D17" t="str">
            <v>VB0014</v>
          </cell>
        </row>
        <row r="18">
          <cell r="B18" t="str">
            <v>Anshul Kumar</v>
          </cell>
          <cell r="C18" t="str">
            <v>Anshul Kumar</v>
          </cell>
          <cell r="D18" t="str">
            <v>VB0015</v>
          </cell>
        </row>
        <row r="19">
          <cell r="B19" t="str">
            <v>Priyansh Khare</v>
          </cell>
          <cell r="C19" t="str">
            <v>Anshul Kumar</v>
          </cell>
          <cell r="D19" t="str">
            <v>VB0016</v>
          </cell>
        </row>
        <row r="20">
          <cell r="B20" t="str">
            <v>Shreya Singh</v>
          </cell>
          <cell r="C20" t="str">
            <v>Anshul Kumar</v>
          </cell>
          <cell r="D20" t="str">
            <v>VB0017</v>
          </cell>
        </row>
        <row r="21">
          <cell r="B21" t="str">
            <v>Anamika Dwivedi</v>
          </cell>
          <cell r="C21" t="str">
            <v>Anshul Kumar</v>
          </cell>
          <cell r="D21" t="str">
            <v>VB0018</v>
          </cell>
        </row>
        <row r="22">
          <cell r="B22" t="str">
            <v>Smriti Jha</v>
          </cell>
          <cell r="C22" t="str">
            <v>Anshul Kumar</v>
          </cell>
          <cell r="D22" t="str">
            <v>VB0019</v>
          </cell>
        </row>
        <row r="23">
          <cell r="B23" t="str">
            <v>Abhishek Srivastava</v>
          </cell>
          <cell r="C23" t="str">
            <v>Anshul Kumar</v>
          </cell>
          <cell r="D23" t="str">
            <v>VB0020</v>
          </cell>
        </row>
        <row r="24">
          <cell r="B24" t="str">
            <v>Rashmi Bhatnagar</v>
          </cell>
          <cell r="C24" t="str">
            <v>Rashmi Bhatnagar</v>
          </cell>
          <cell r="D24" t="str">
            <v>VB0021</v>
          </cell>
        </row>
        <row r="25">
          <cell r="B25" t="str">
            <v>Shivanshu Mishra</v>
          </cell>
          <cell r="C25" t="str">
            <v>Rashmi Bhatnagar</v>
          </cell>
          <cell r="D25" t="str">
            <v>VB0022</v>
          </cell>
        </row>
        <row r="26">
          <cell r="B26" t="str">
            <v>Rohini Parihar</v>
          </cell>
          <cell r="C26" t="str">
            <v>Rohini Parihar</v>
          </cell>
          <cell r="D26" t="str">
            <v>VB0023</v>
          </cell>
        </row>
        <row r="27">
          <cell r="B27" t="str">
            <v>Kartikeya Singh</v>
          </cell>
          <cell r="C27" t="str">
            <v>Rohini Parihar</v>
          </cell>
          <cell r="D27" t="str">
            <v>VB0024</v>
          </cell>
        </row>
        <row r="28">
          <cell r="B28" t="str">
            <v>Qausain Abbass</v>
          </cell>
          <cell r="C28" t="str">
            <v>Rohini Parihar</v>
          </cell>
          <cell r="D28" t="str">
            <v>VB0025</v>
          </cell>
        </row>
        <row r="29">
          <cell r="B29" t="str">
            <v>Anam Hasan</v>
          </cell>
          <cell r="C29" t="str">
            <v>Rohini Parihar</v>
          </cell>
          <cell r="D29" t="str">
            <v>VB0026</v>
          </cell>
        </row>
        <row r="30">
          <cell r="B30" t="str">
            <v>Tanya Mishra</v>
          </cell>
          <cell r="C30" t="str">
            <v>Rohini Parihar</v>
          </cell>
          <cell r="D30" t="str">
            <v>VB0027</v>
          </cell>
        </row>
        <row r="31">
          <cell r="B31" t="str">
            <v>Devashish Sinha</v>
          </cell>
          <cell r="C31" t="str">
            <v>Rohini Parihar</v>
          </cell>
          <cell r="D31" t="str">
            <v>VB0028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514A-D731-450D-9C2C-86CB9EFC754D}">
  <dimension ref="A1:S278"/>
  <sheetViews>
    <sheetView tabSelected="1" topLeftCell="A66" zoomScale="51" workbookViewId="0">
      <selection activeCell="N82" sqref="N82"/>
    </sheetView>
  </sheetViews>
  <sheetFormatPr defaultRowHeight="14.4" x14ac:dyDescent="0.3"/>
  <cols>
    <col min="1" max="1" width="21" style="4" bestFit="1" customWidth="1"/>
    <col min="2" max="2" width="22.21875" style="4" bestFit="1" customWidth="1"/>
    <col min="3" max="3" width="21" style="4" bestFit="1" customWidth="1"/>
    <col min="4" max="4" width="19.5546875" style="4" bestFit="1" customWidth="1"/>
    <col min="5" max="5" width="22.6640625" style="4" bestFit="1" customWidth="1"/>
    <col min="6" max="6" width="17.109375" style="4" bestFit="1" customWidth="1"/>
    <col min="7" max="7" width="18.5546875" style="4" bestFit="1" customWidth="1"/>
    <col min="8" max="8" width="14.109375" style="4" bestFit="1" customWidth="1"/>
    <col min="9" max="9" width="12.88671875" style="4" bestFit="1" customWidth="1"/>
    <col min="10" max="10" width="20.109375" style="4" bestFit="1" customWidth="1"/>
    <col min="11" max="11" width="19.5546875" style="4" bestFit="1" customWidth="1"/>
    <col min="12" max="12" width="17.77734375" style="4" bestFit="1" customWidth="1"/>
    <col min="13" max="13" width="11" style="4" bestFit="1" customWidth="1"/>
    <col min="14" max="14" width="21.33203125" style="4" bestFit="1" customWidth="1"/>
    <col min="15" max="15" width="13.33203125" style="4" bestFit="1" customWidth="1"/>
    <col min="16" max="16" width="10.44140625" style="4" bestFit="1" customWidth="1"/>
    <col min="17" max="16384" width="8.88671875" style="4"/>
  </cols>
  <sheetData>
    <row r="1" spans="1:15" ht="18.60000000000000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3" spans="1:15" x14ac:dyDescent="0.3">
      <c r="A3" s="5" t="s">
        <v>1</v>
      </c>
      <c r="B3" s="6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7" t="s">
        <v>8</v>
      </c>
      <c r="I3" s="5" t="s">
        <v>9</v>
      </c>
      <c r="J3" s="5" t="s">
        <v>10</v>
      </c>
      <c r="K3" s="5" t="s">
        <v>11</v>
      </c>
      <c r="L3" s="5" t="s">
        <v>12</v>
      </c>
    </row>
    <row r="4" spans="1:15" x14ac:dyDescent="0.3">
      <c r="A4" s="8" t="s">
        <v>13</v>
      </c>
      <c r="B4" s="4" t="str">
        <f>_xlfn.XLOOKUP($C4,'[1]Data Validation (2)'!$B$3:$B$31,'[1]Data Validation (2)'!$D$3:$D$31)</f>
        <v>VB0001</v>
      </c>
      <c r="C4" s="9" t="s">
        <v>14</v>
      </c>
      <c r="D4" s="8" t="str">
        <f>_xlfn.XLOOKUP($C4,'[1]Data Validation (2)'!$B$3:$B$31,'[1]Data Validation (2)'!$C$3:$C$31)</f>
        <v>Umar Mujahid Husain</v>
      </c>
      <c r="E4" s="8">
        <f>_xlfn.XLOOKUP($C4,'[1]Ach % - L4'!$B$2:$B$27,'[1]Ach % - L4'!$E$2:$E$27)</f>
        <v>100000</v>
      </c>
      <c r="F4" s="10">
        <f>_xlfn.XLOOKUP($C4,'[1]Ach % - L4'!$B$2:$B$27,'[1]Ach % - L4'!$G$2:$G$27)</f>
        <v>1.2204999999999999</v>
      </c>
      <c r="G4" s="11">
        <f>SUM(E6:E12)</f>
        <v>122050</v>
      </c>
      <c r="H4" s="11">
        <f ca="1">SUMIFS($E5:$E12,$L5:$L12,"yes",F5:F12,"Done")</f>
        <v>122050</v>
      </c>
      <c r="I4" s="12" cm="1">
        <f t="array" ref="I4">_xlfn.IFS($F4&lt;=1%,0%,$F4&lt;=50%,1.75%,$F4&lt;=70%,2.25%,$F4&lt;=85%,2.75%,$F4&gt;85%,4%)</f>
        <v>0.04</v>
      </c>
      <c r="J4" s="11">
        <f>G4*I4</f>
        <v>4882</v>
      </c>
      <c r="K4" s="13">
        <f>J4*80</f>
        <v>390560</v>
      </c>
      <c r="L4" s="14">
        <f ca="1">(H4*I4)*80</f>
        <v>390560</v>
      </c>
    </row>
    <row r="5" spans="1:15" x14ac:dyDescent="0.3">
      <c r="A5" s="15" t="s">
        <v>2</v>
      </c>
      <c r="B5" s="15" t="s">
        <v>15</v>
      </c>
      <c r="C5" s="15" t="s">
        <v>16</v>
      </c>
      <c r="D5" s="15" t="s">
        <v>17</v>
      </c>
      <c r="E5" s="15" t="s">
        <v>18</v>
      </c>
      <c r="F5" s="15" t="s">
        <v>19</v>
      </c>
      <c r="G5" s="15" t="s">
        <v>20</v>
      </c>
      <c r="H5" s="6" t="s">
        <v>21</v>
      </c>
      <c r="I5" s="6" t="s">
        <v>22</v>
      </c>
      <c r="J5" s="6" t="s">
        <v>23</v>
      </c>
      <c r="K5" s="15" t="s">
        <v>24</v>
      </c>
      <c r="L5" s="15" t="s">
        <v>25</v>
      </c>
      <c r="M5" s="16" t="s">
        <v>26</v>
      </c>
      <c r="N5" s="15" t="s">
        <v>27</v>
      </c>
      <c r="O5" s="15" t="s">
        <v>28</v>
      </c>
    </row>
    <row r="6" spans="1:15" x14ac:dyDescent="0.3">
      <c r="A6" s="17" t="str">
        <f>C4</f>
        <v>Umar Mujahid Husain</v>
      </c>
      <c r="B6" s="8" t="str" cm="1">
        <f t="array" ref="B6:J8">IFERROR(_xlfn.CHOOSECOLS(_xlfn._xlws.FILTER('[1]Vantedge - dummy Placement data'!E:AA, '[1]Vantedge - dummy Placement data'!B:B=$C4), 1, 7, 9, 11, 14, 8, 21, 22, 23), "")</f>
        <v>John Donaldson</v>
      </c>
      <c r="C6" s="18">
        <v>45712</v>
      </c>
      <c r="D6" s="8" t="str">
        <v>WNS</v>
      </c>
      <c r="E6" s="19">
        <v>41250</v>
      </c>
      <c r="F6" s="12" t="str">
        <v>Done</v>
      </c>
      <c r="G6" s="18" t="str">
        <v>NA</v>
      </c>
      <c r="H6" s="20">
        <v>136</v>
      </c>
      <c r="I6" s="18" t="str">
        <v>JPC - 224895</v>
      </c>
      <c r="J6" s="18" t="str">
        <v>FTE</v>
      </c>
      <c r="K6" s="8">
        <f t="shared" ref="K6:K12" ca="1" si="0">IF(G6&lt;&gt;"NA", G6 - C6, TODAY() - C6)</f>
        <v>332</v>
      </c>
      <c r="L6" s="8" t="str">
        <f ca="1">IF(K6&gt;=90,"Yes","No")</f>
        <v>Yes</v>
      </c>
      <c r="M6" s="21">
        <f>_xlfn.XLOOKUP($A$6,'[1]Ach % - L4'!$B$1:$B$53,'[1]Ach % - L4'!$H$1:$H$53)</f>
        <v>0.04</v>
      </c>
      <c r="N6" s="8">
        <f>(M6*E6)*80</f>
        <v>132000</v>
      </c>
      <c r="O6" s="8"/>
    </row>
    <row r="7" spans="1:15" x14ac:dyDescent="0.3">
      <c r="A7" s="17"/>
      <c r="B7" s="8" t="str">
        <v>David Smith</v>
      </c>
      <c r="C7" s="18">
        <v>45734</v>
      </c>
      <c r="D7" s="8" t="str">
        <v>PocketFM</v>
      </c>
      <c r="E7" s="19">
        <v>43200</v>
      </c>
      <c r="F7" s="12" t="str">
        <v>Done</v>
      </c>
      <c r="G7" s="18" t="str">
        <v>NA</v>
      </c>
      <c r="H7" s="20">
        <v>393</v>
      </c>
      <c r="I7" s="18" t="str">
        <v>JPC - 224898</v>
      </c>
      <c r="J7" s="18" t="str">
        <v>FTE</v>
      </c>
      <c r="K7" s="8">
        <f t="shared" ca="1" si="0"/>
        <v>310</v>
      </c>
      <c r="L7" s="8" t="str">
        <f ca="1">IF(K7&gt;=90,"Yes","No")</f>
        <v>Yes</v>
      </c>
      <c r="M7" s="21">
        <f>_xlfn.XLOOKUP($A$6,'[1]Ach % - L4'!$B$1:$B$53,'[1]Ach % - L4'!$H$1:$H$53)</f>
        <v>0.04</v>
      </c>
      <c r="N7" s="8">
        <f t="shared" ref="N7:N10" si="1">(M7*E7)*80</f>
        <v>138240</v>
      </c>
      <c r="O7" s="8"/>
    </row>
    <row r="8" spans="1:15" x14ac:dyDescent="0.3">
      <c r="A8" s="17"/>
      <c r="B8" s="8" t="str">
        <v>Taylor Carlson</v>
      </c>
      <c r="C8" s="18">
        <v>45811</v>
      </c>
      <c r="D8" s="8" t="str">
        <v>PocketFM</v>
      </c>
      <c r="E8" s="19">
        <v>37600</v>
      </c>
      <c r="F8" s="12" t="str">
        <v>Done</v>
      </c>
      <c r="G8" s="18" t="str">
        <v>NA</v>
      </c>
      <c r="H8" s="20">
        <v>393</v>
      </c>
      <c r="I8" s="18" t="str">
        <v>JPC - 224911</v>
      </c>
      <c r="J8" s="18" t="str">
        <v>FTE</v>
      </c>
      <c r="K8" s="8">
        <f t="shared" ca="1" si="0"/>
        <v>233</v>
      </c>
      <c r="L8" s="8" t="str">
        <f ca="1">IF(K8&gt;=90,"Yes","No")</f>
        <v>Yes</v>
      </c>
      <c r="M8" s="21">
        <f>_xlfn.XLOOKUP($A$6,'[1]Ach % - L4'!$B$1:$B$53,'[1]Ach % - L4'!$H$1:$H$53)</f>
        <v>0.04</v>
      </c>
      <c r="N8" s="8">
        <f t="shared" si="1"/>
        <v>120320</v>
      </c>
      <c r="O8" s="8"/>
    </row>
    <row r="9" spans="1:15" x14ac:dyDescent="0.3">
      <c r="A9" s="17"/>
      <c r="B9" s="8"/>
      <c r="C9" s="8"/>
      <c r="D9" s="8"/>
      <c r="E9" s="8"/>
      <c r="F9" s="8"/>
      <c r="G9" s="8"/>
      <c r="H9" s="8"/>
      <c r="I9" s="8"/>
      <c r="J9" s="18"/>
      <c r="K9" s="8">
        <f t="shared" ca="1" si="0"/>
        <v>0</v>
      </c>
      <c r="L9" s="8" t="str">
        <f t="shared" ref="L9:L12" ca="1" si="2">IF(K9&gt;=90,"Yes","No")</f>
        <v>No</v>
      </c>
      <c r="M9" s="21">
        <f>_xlfn.XLOOKUP($A$6,'[1]Ach % - L4'!$B$1:$B$53,'[1]Ach % - L4'!$H$1:$H$53)</f>
        <v>0.04</v>
      </c>
      <c r="N9" s="8">
        <f t="shared" si="1"/>
        <v>0</v>
      </c>
      <c r="O9" s="8"/>
    </row>
    <row r="10" spans="1:15" x14ac:dyDescent="0.3">
      <c r="A10" s="17"/>
      <c r="B10" s="8"/>
      <c r="C10" s="18"/>
      <c r="D10" s="8"/>
      <c r="E10" s="19"/>
      <c r="F10" s="12"/>
      <c r="G10" s="18"/>
      <c r="H10" s="18"/>
      <c r="I10" s="18"/>
      <c r="J10" s="18"/>
      <c r="K10" s="8">
        <f t="shared" ca="1" si="0"/>
        <v>0</v>
      </c>
      <c r="L10" s="8" t="str">
        <f t="shared" ca="1" si="2"/>
        <v>No</v>
      </c>
      <c r="M10" s="21">
        <f>_xlfn.XLOOKUP($A$6,'[1]Ach % - L4'!$B$1:$B$53,'[1]Ach % - L4'!$H$1:$H$53)</f>
        <v>0.04</v>
      </c>
      <c r="N10" s="8">
        <f t="shared" si="1"/>
        <v>0</v>
      </c>
      <c r="O10" s="8"/>
    </row>
    <row r="11" spans="1:15" x14ac:dyDescent="0.3">
      <c r="A11" s="17"/>
      <c r="B11" s="8"/>
      <c r="C11" s="18"/>
      <c r="D11" s="8"/>
      <c r="E11" s="19"/>
      <c r="F11" s="12"/>
      <c r="G11" s="18"/>
      <c r="H11" s="18"/>
      <c r="I11" s="18"/>
      <c r="J11" s="18"/>
      <c r="K11" s="8">
        <f t="shared" ca="1" si="0"/>
        <v>0</v>
      </c>
      <c r="L11" s="8" t="str">
        <f t="shared" ca="1" si="2"/>
        <v>No</v>
      </c>
      <c r="M11" s="21"/>
      <c r="N11" s="8"/>
      <c r="O11" s="8"/>
    </row>
    <row r="12" spans="1:15" x14ac:dyDescent="0.3">
      <c r="A12" s="17"/>
      <c r="B12" s="8"/>
      <c r="C12" s="18"/>
      <c r="D12" s="8"/>
      <c r="E12" s="19"/>
      <c r="F12" s="12"/>
      <c r="G12" s="18"/>
      <c r="H12" s="18"/>
      <c r="I12" s="18"/>
      <c r="J12" s="18"/>
      <c r="K12" s="8">
        <f t="shared" ca="1" si="0"/>
        <v>0</v>
      </c>
      <c r="L12" s="8" t="str">
        <f t="shared" ca="1" si="2"/>
        <v>No</v>
      </c>
      <c r="M12" s="21"/>
      <c r="N12" s="8"/>
      <c r="O12" s="8"/>
    </row>
    <row r="13" spans="1:15" x14ac:dyDescent="0.3">
      <c r="A13" s="17"/>
      <c r="B13" s="8"/>
      <c r="C13" s="18"/>
      <c r="D13" s="8"/>
      <c r="E13" s="19"/>
      <c r="F13" s="12"/>
      <c r="G13" s="18"/>
      <c r="H13" s="18"/>
      <c r="I13" s="18"/>
      <c r="J13" s="18"/>
      <c r="K13" s="8"/>
      <c r="L13" s="8"/>
      <c r="M13" s="8"/>
      <c r="N13" s="8"/>
      <c r="O13" s="8"/>
    </row>
    <row r="14" spans="1:15" x14ac:dyDescent="0.3">
      <c r="E14" s="22"/>
      <c r="F14" s="4" t="str" cm="1">
        <f t="array" ref="F14">IFERROR(_xlfn.CHOOSECOLS(_xlfn._xlws.FILTER('[1]Vantedge - dummy Placement'!E:S, '[1]Vantedge - dummy Placement'!B:B=$B5), 1, 6, 7, 8, 10), "")</f>
        <v/>
      </c>
    </row>
    <row r="15" spans="1:15" x14ac:dyDescent="0.3">
      <c r="E15" s="22"/>
    </row>
    <row r="16" spans="1:15" x14ac:dyDescent="0.3">
      <c r="A16" s="5" t="s">
        <v>1</v>
      </c>
      <c r="B16" s="6" t="s">
        <v>2</v>
      </c>
      <c r="C16" s="5" t="s">
        <v>3</v>
      </c>
      <c r="D16" s="5" t="s">
        <v>4</v>
      </c>
      <c r="E16" s="5" t="s">
        <v>5</v>
      </c>
      <c r="F16" s="5" t="s">
        <v>6</v>
      </c>
      <c r="G16" s="5" t="s">
        <v>7</v>
      </c>
      <c r="H16" s="7" t="s">
        <v>8</v>
      </c>
      <c r="I16" s="5" t="s">
        <v>9</v>
      </c>
      <c r="J16" s="5" t="s">
        <v>29</v>
      </c>
      <c r="K16" s="5" t="s">
        <v>11</v>
      </c>
      <c r="L16" s="5" t="s">
        <v>12</v>
      </c>
    </row>
    <row r="17" spans="1:15" x14ac:dyDescent="0.3">
      <c r="A17" s="8" t="s">
        <v>13</v>
      </c>
      <c r="B17" s="4" t="str">
        <f>_xlfn.XLOOKUP($C17,'[1]Data Validation (2)'!$B$3:$B$31,'[1]Data Validation (2)'!$D$3:$D$31)</f>
        <v>VB0002</v>
      </c>
      <c r="C17" s="9" t="s">
        <v>30</v>
      </c>
      <c r="D17" s="8" t="str">
        <f>_xlfn.XLOOKUP($C17,'[1]Data Validation (2)'!$B$3:$B$31,'[1]Data Validation (2)'!$C$3:$C$31)</f>
        <v>Umar Mujahid Husain</v>
      </c>
      <c r="E17" s="8">
        <f>_xlfn.XLOOKUP($C17,'[1]Ach % - L4'!$B$2:$B$27,'[1]Ach % - L4'!$E$2:$E$27)</f>
        <v>100000</v>
      </c>
      <c r="F17" s="10">
        <f>_xlfn.XLOOKUP($C17,'[1]Ach % - L4'!$B$2:$B$27,'[1]Ach % - L4'!$G$2:$G$27)</f>
        <v>1.8015000000000001</v>
      </c>
      <c r="G17" s="11">
        <f>SUM(E19:E23)</f>
        <v>144900</v>
      </c>
      <c r="H17" s="11">
        <f ca="1">SUMIFS($E18:$E24,$L18:$L24,"yes",F18:F24,"Done")</f>
        <v>112500</v>
      </c>
      <c r="I17" s="12" cm="1">
        <f t="array" ref="I17">_xlfn.IFS($F17&lt;=1%,0%,$F17&lt;=50%,1.75%,$F17&lt;=70%,2.25%,$F17&lt;=85%,2.75%,$F17&gt;85%,4%)</f>
        <v>0.04</v>
      </c>
      <c r="J17" s="11">
        <f>G17*I17</f>
        <v>5796</v>
      </c>
      <c r="K17" s="8">
        <f>J17*80</f>
        <v>463680</v>
      </c>
      <c r="L17" s="9">
        <f ca="1">(H17*I17)*80</f>
        <v>360000</v>
      </c>
    </row>
    <row r="18" spans="1:15" x14ac:dyDescent="0.3">
      <c r="A18" s="15" t="s">
        <v>3</v>
      </c>
      <c r="B18" s="15" t="s">
        <v>15</v>
      </c>
      <c r="C18" s="15" t="s">
        <v>16</v>
      </c>
      <c r="D18" s="15" t="s">
        <v>17</v>
      </c>
      <c r="E18" s="15" t="s">
        <v>18</v>
      </c>
      <c r="F18" s="15" t="s">
        <v>19</v>
      </c>
      <c r="G18" s="15" t="s">
        <v>20</v>
      </c>
      <c r="H18" s="15" t="s">
        <v>21</v>
      </c>
      <c r="I18" s="15" t="s">
        <v>22</v>
      </c>
      <c r="J18" s="15" t="s">
        <v>23</v>
      </c>
      <c r="K18" s="15" t="s">
        <v>24</v>
      </c>
      <c r="L18" s="15" t="s">
        <v>25</v>
      </c>
      <c r="M18" s="15" t="s">
        <v>26</v>
      </c>
      <c r="N18" s="15" t="s">
        <v>27</v>
      </c>
      <c r="O18" s="15" t="s">
        <v>28</v>
      </c>
    </row>
    <row r="19" spans="1:15" x14ac:dyDescent="0.3">
      <c r="A19" s="17" t="str">
        <f>C17</f>
        <v>Syed Ahrar Abbas Zaidi</v>
      </c>
      <c r="B19" s="8" t="str" cm="1">
        <f t="array" ref="B19:J24">IFERROR(_xlfn.CHOOSECOLS(_xlfn._xlws.FILTER('[1]Vantedge - dummy Placement data'!E:AA, '[1]Vantedge - dummy Placement data'!B:B=$C17), 1, 7, 9, 11, 14, 8, 21, 22, 23), "")</f>
        <v>Sandeep Padhye</v>
      </c>
      <c r="C19" s="18">
        <v>45859</v>
      </c>
      <c r="D19" s="8" t="str">
        <v>InfoBeans</v>
      </c>
      <c r="E19" s="19">
        <v>31500</v>
      </c>
      <c r="F19" s="12" t="str">
        <v>Done</v>
      </c>
      <c r="G19" s="18" t="str">
        <v>NA</v>
      </c>
      <c r="H19" s="20">
        <v>448</v>
      </c>
      <c r="I19" s="18" t="str">
        <v>JPC - 224918</v>
      </c>
      <c r="J19" s="18" t="str">
        <v>FTE</v>
      </c>
      <c r="K19" s="8">
        <f t="shared" ref="K19:K24" ca="1" si="3">IF(G19&lt;&gt;"NA", G19 - C19, TODAY() - C19)</f>
        <v>185</v>
      </c>
      <c r="L19" s="8" t="str">
        <f ca="1">IF(K19&gt;=90,"Yes","No")</f>
        <v>Yes</v>
      </c>
      <c r="M19" s="21">
        <f>_xlfn.XLOOKUP($A$6,'[1]Ach % - L4'!$B$1:$B$53,'[1]Ach % - L4'!$H$1:$H$53)</f>
        <v>0.04</v>
      </c>
      <c r="N19" s="8">
        <f>(M19*E19)*80</f>
        <v>100800</v>
      </c>
      <c r="O19" s="8"/>
    </row>
    <row r="20" spans="1:15" x14ac:dyDescent="0.3">
      <c r="A20" s="17"/>
      <c r="B20" s="8" t="str">
        <v>Devin Currens</v>
      </c>
      <c r="C20" s="18">
        <v>45887</v>
      </c>
      <c r="D20" s="8" t="str">
        <v>InfoBeans</v>
      </c>
      <c r="E20" s="19">
        <v>27000</v>
      </c>
      <c r="F20" s="12" t="str">
        <v>Done</v>
      </c>
      <c r="G20" s="18" t="str">
        <v>NA</v>
      </c>
      <c r="H20" s="20">
        <v>448</v>
      </c>
      <c r="I20" s="18" t="str">
        <v>JPC - 224925</v>
      </c>
      <c r="J20" s="18" t="str">
        <v>FTE</v>
      </c>
      <c r="K20" s="8">
        <f t="shared" ca="1" si="3"/>
        <v>157</v>
      </c>
      <c r="L20" s="8" t="str">
        <f ca="1">IF(K20&gt;=90,"Yes","No")</f>
        <v>Yes</v>
      </c>
      <c r="M20" s="21">
        <f>_xlfn.XLOOKUP($A$6,'[1]Ach % - L4'!$B$1:$B$53,'[1]Ach % - L4'!$H$1:$H$53)</f>
        <v>0.04</v>
      </c>
      <c r="N20" s="8">
        <f t="shared" ref="N20:N24" si="4">(M20*E20)*80</f>
        <v>86400</v>
      </c>
      <c r="O20" s="8"/>
    </row>
    <row r="21" spans="1:15" x14ac:dyDescent="0.3">
      <c r="A21" s="17"/>
      <c r="B21" s="8" t="str">
        <v>Natasha Allen</v>
      </c>
      <c r="C21" s="18">
        <v>45887</v>
      </c>
      <c r="D21" s="8" t="str">
        <v>Fanatics</v>
      </c>
      <c r="E21" s="19">
        <v>27000</v>
      </c>
      <c r="F21" s="12" t="str">
        <v>Done</v>
      </c>
      <c r="G21" s="18" t="str">
        <v>NA</v>
      </c>
      <c r="H21" s="20">
        <v>355</v>
      </c>
      <c r="I21" s="18" t="str">
        <v>JPC - 224926</v>
      </c>
      <c r="J21" s="18" t="str">
        <v>FTE</v>
      </c>
      <c r="K21" s="8">
        <f t="shared" ca="1" si="3"/>
        <v>157</v>
      </c>
      <c r="L21" s="8" t="str">
        <f ca="1">IF(K21&gt;=90,"Yes","No")</f>
        <v>Yes</v>
      </c>
      <c r="M21" s="21">
        <f>_xlfn.XLOOKUP($A$6,'[1]Ach % - L4'!$B$1:$B$53,'[1]Ach % - L4'!$H$1:$H$53)</f>
        <v>0.04</v>
      </c>
      <c r="N21" s="8">
        <f t="shared" si="4"/>
        <v>86400</v>
      </c>
      <c r="O21" s="8"/>
    </row>
    <row r="22" spans="1:15" x14ac:dyDescent="0.3">
      <c r="A22" s="17"/>
      <c r="B22" s="8" t="str">
        <v>Taylor Brandon Grace</v>
      </c>
      <c r="C22" s="18">
        <v>45894</v>
      </c>
      <c r="D22" s="8" t="str">
        <v>InfoBeans</v>
      </c>
      <c r="E22" s="19">
        <v>27000</v>
      </c>
      <c r="F22" s="12" t="str">
        <v>Done</v>
      </c>
      <c r="G22" s="18" t="str">
        <v>NA</v>
      </c>
      <c r="H22" s="20">
        <v>448</v>
      </c>
      <c r="I22" s="18" t="str">
        <v>JPC - 224928</v>
      </c>
      <c r="J22" s="18" t="str">
        <v>FTE</v>
      </c>
      <c r="K22" s="8">
        <f t="shared" ca="1" si="3"/>
        <v>150</v>
      </c>
      <c r="L22" s="8" t="str">
        <f t="shared" ref="L22:L24" ca="1" si="5">IF(K22&gt;=90,"Yes","No")</f>
        <v>Yes</v>
      </c>
      <c r="M22" s="21">
        <f>_xlfn.XLOOKUP($A$6,'[1]Ach % - L4'!$B$1:$B$53,'[1]Ach % - L4'!$H$1:$H$53)</f>
        <v>0.04</v>
      </c>
      <c r="N22" s="8">
        <f t="shared" si="4"/>
        <v>86400</v>
      </c>
      <c r="O22" s="8"/>
    </row>
    <row r="23" spans="1:15" x14ac:dyDescent="0.3">
      <c r="A23" s="17"/>
      <c r="B23" s="8" t="str">
        <v>Ehab Abbas</v>
      </c>
      <c r="C23" s="18">
        <v>45929</v>
      </c>
      <c r="D23" s="8" t="str">
        <v>InfoBeans</v>
      </c>
      <c r="E23" s="19">
        <v>32400</v>
      </c>
      <c r="F23" s="12" t="str">
        <v>Pending</v>
      </c>
      <c r="G23" s="18" t="str">
        <v>NA</v>
      </c>
      <c r="H23" s="20">
        <v>448</v>
      </c>
      <c r="I23" s="18" t="str">
        <v>JPC - 224933</v>
      </c>
      <c r="J23" s="18" t="str">
        <v>FTE</v>
      </c>
      <c r="K23" s="8">
        <f t="shared" ca="1" si="3"/>
        <v>115</v>
      </c>
      <c r="L23" s="8" t="str">
        <f t="shared" ca="1" si="5"/>
        <v>Yes</v>
      </c>
      <c r="M23" s="21">
        <f>_xlfn.XLOOKUP($A$6,'[1]Ach % - L4'!$B$1:$B$53,'[1]Ach % - L4'!$H$1:$H$53)</f>
        <v>0.04</v>
      </c>
      <c r="N23" s="8">
        <f t="shared" si="4"/>
        <v>103680</v>
      </c>
      <c r="O23" s="8"/>
    </row>
    <row r="24" spans="1:15" x14ac:dyDescent="0.3">
      <c r="A24" s="17"/>
      <c r="B24" s="8" t="str">
        <v>Anoop Nagaraj Sumithra</v>
      </c>
      <c r="C24" s="8">
        <v>45943</v>
      </c>
      <c r="D24" s="8" t="str">
        <v>Fanatics</v>
      </c>
      <c r="E24" s="8">
        <v>35250</v>
      </c>
      <c r="F24" s="8" t="str">
        <v>Pending</v>
      </c>
      <c r="G24" s="8" t="str">
        <v>NA</v>
      </c>
      <c r="H24" s="20">
        <v>355</v>
      </c>
      <c r="I24" s="8" t="str">
        <v>JPC - 224935</v>
      </c>
      <c r="J24" s="8" t="str">
        <v>FTE</v>
      </c>
      <c r="K24" s="8">
        <f t="shared" ca="1" si="3"/>
        <v>101</v>
      </c>
      <c r="L24" s="8" t="str">
        <f t="shared" ca="1" si="5"/>
        <v>Yes</v>
      </c>
      <c r="M24" s="21">
        <f>_xlfn.XLOOKUP($A$6,'[1]Ach % - L4'!$B$1:$B$53,'[1]Ach % - L4'!$H$1:$H$53)</f>
        <v>0.04</v>
      </c>
      <c r="N24" s="8">
        <f t="shared" si="4"/>
        <v>112800</v>
      </c>
      <c r="O24" s="8"/>
    </row>
    <row r="25" spans="1:15" x14ac:dyDescent="0.3">
      <c r="A25" s="1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21"/>
      <c r="N25" s="8"/>
      <c r="O25" s="8"/>
    </row>
    <row r="26" spans="1:15" x14ac:dyDescent="0.3">
      <c r="M26" s="8"/>
      <c r="N26" s="8"/>
      <c r="O26" s="8"/>
    </row>
    <row r="28" spans="1:15" x14ac:dyDescent="0.3">
      <c r="A28" s="5" t="s">
        <v>1</v>
      </c>
      <c r="B28" s="6" t="s">
        <v>2</v>
      </c>
      <c r="C28" s="5" t="s">
        <v>3</v>
      </c>
      <c r="D28" s="5" t="s">
        <v>4</v>
      </c>
      <c r="E28" s="5" t="s">
        <v>5</v>
      </c>
      <c r="F28" s="5" t="s">
        <v>6</v>
      </c>
      <c r="G28" s="5" t="s">
        <v>7</v>
      </c>
      <c r="H28" s="7" t="s">
        <v>8</v>
      </c>
      <c r="I28" s="5" t="s">
        <v>9</v>
      </c>
      <c r="J28" s="5" t="s">
        <v>29</v>
      </c>
      <c r="K28" s="5" t="s">
        <v>11</v>
      </c>
      <c r="L28" s="5" t="s">
        <v>12</v>
      </c>
    </row>
    <row r="29" spans="1:15" x14ac:dyDescent="0.3">
      <c r="A29" s="8" t="s">
        <v>13</v>
      </c>
      <c r="B29" s="4" t="str">
        <f>_xlfn.XLOOKUP($C29,'[1]Data Validation (2)'!$B$3:$B$31,'[1]Data Validation (2)'!$D$3:$D$31)</f>
        <v>VB0003</v>
      </c>
      <c r="C29" s="9" t="s">
        <v>31</v>
      </c>
      <c r="D29" s="8" t="str">
        <f>_xlfn.XLOOKUP($C29,'[1]Data Validation (2)'!$B$3:$B$31,'[1]Data Validation (2)'!$C$3:$C$31)</f>
        <v>Umar Mujahid Husain</v>
      </c>
      <c r="E29" s="8">
        <f>_xlfn.XLOOKUP($C29,'[1]Ach % - L4'!$B$2:$B$27,'[1]Ach % - L4'!$E$2:$E$27)</f>
        <v>75000</v>
      </c>
      <c r="F29" s="10">
        <f>_xlfn.XLOOKUP($C29,'[1]Ach % - L4'!$B$2:$B$27,'[1]Ach % - L4'!$G$2:$G$27)</f>
        <v>0.90766666666666662</v>
      </c>
      <c r="G29" s="11">
        <f>SUM(E31:E36)</f>
        <v>68075</v>
      </c>
      <c r="H29" s="11">
        <f ca="1">SUMIFS($E30:$E37,$L30:$L37,"yes",F30:F37,"Done")</f>
        <v>68075</v>
      </c>
      <c r="I29" s="12" cm="1">
        <f t="array" ref="I29">_xlfn.IFS($F29&lt;=1%,0%,$F29&lt;=50%,1.75%,$F29&lt;=70%,2.25%,$F29&lt;=85%,2.75%,$F29&gt;85%,4%)</f>
        <v>0.04</v>
      </c>
      <c r="J29" s="11">
        <f>G29*I29</f>
        <v>2723</v>
      </c>
      <c r="K29" s="8">
        <f>J29*80</f>
        <v>217840</v>
      </c>
      <c r="L29" s="9">
        <f ca="1">(H29*I29)*80</f>
        <v>217840</v>
      </c>
    </row>
    <row r="30" spans="1:15" x14ac:dyDescent="0.3">
      <c r="A30" s="15" t="s">
        <v>3</v>
      </c>
      <c r="B30" s="15" t="s">
        <v>15</v>
      </c>
      <c r="C30" s="15" t="s">
        <v>16</v>
      </c>
      <c r="D30" s="15" t="s">
        <v>17</v>
      </c>
      <c r="E30" s="15" t="s">
        <v>18</v>
      </c>
      <c r="F30" s="15" t="s">
        <v>19</v>
      </c>
      <c r="G30" s="15" t="s">
        <v>20</v>
      </c>
      <c r="H30" s="15" t="s">
        <v>21</v>
      </c>
      <c r="I30" s="15" t="s">
        <v>22</v>
      </c>
      <c r="J30" s="15" t="s">
        <v>23</v>
      </c>
      <c r="K30" s="15" t="s">
        <v>24</v>
      </c>
      <c r="L30" s="15" t="s">
        <v>25</v>
      </c>
      <c r="M30" s="15" t="s">
        <v>26</v>
      </c>
      <c r="N30" s="15" t="s">
        <v>27</v>
      </c>
      <c r="O30" s="15" t="s">
        <v>28</v>
      </c>
    </row>
    <row r="31" spans="1:15" x14ac:dyDescent="0.3">
      <c r="A31" s="23" t="str">
        <f>C29</f>
        <v>Abhay Pratap Singh</v>
      </c>
      <c r="B31" s="8" t="str" cm="1">
        <f t="array" ref="B31:J33">IFERROR(_xlfn.CHOOSECOLS(_xlfn._xlws.FILTER('[1]Vantedge - dummy Placement data'!E:AA, '[1]Vantedge - dummy Placement data'!B:B=$C29), 1, 7, 9, 11, 14, 8, 21, 22, 23), "")</f>
        <v>Sindhu Venkatesh</v>
      </c>
      <c r="C31" s="18">
        <v>45698</v>
      </c>
      <c r="D31" s="8" t="str">
        <v>QualiZeal</v>
      </c>
      <c r="E31" s="19">
        <v>18750</v>
      </c>
      <c r="F31" s="12" t="str">
        <v>done</v>
      </c>
      <c r="G31" s="18" t="str">
        <v>NA</v>
      </c>
      <c r="H31" s="20">
        <v>432</v>
      </c>
      <c r="I31" s="18" t="str">
        <v>JPC - 224894</v>
      </c>
      <c r="J31" s="18" t="str">
        <v>FTE</v>
      </c>
      <c r="K31" s="8">
        <f ca="1">IF(G31&lt;&gt;"NA", G31 - C31, TODAY() - C31)</f>
        <v>346</v>
      </c>
      <c r="L31" s="8" t="str">
        <f ca="1">IF(K31&gt;=90,"Yes","No")</f>
        <v>Yes</v>
      </c>
      <c r="M31" s="21">
        <f>_xlfn.XLOOKUP($A$6,'[1]Ach % - L4'!$B$1:$B$53,'[1]Ach % - L4'!$H$1:$H$53)</f>
        <v>0.04</v>
      </c>
      <c r="N31" s="8">
        <f>(M31*E31)*80</f>
        <v>60000</v>
      </c>
      <c r="O31" s="8"/>
    </row>
    <row r="32" spans="1:15" x14ac:dyDescent="0.3">
      <c r="A32" s="24"/>
      <c r="B32" s="8" t="str">
        <v>Pooja Agarwal</v>
      </c>
      <c r="C32" s="18">
        <v>45733</v>
      </c>
      <c r="D32" s="8" t="str">
        <v>Qualitest</v>
      </c>
      <c r="E32" s="19">
        <v>28500</v>
      </c>
      <c r="F32" s="12" t="str">
        <v>Done</v>
      </c>
      <c r="G32" s="18" t="str">
        <v>NA</v>
      </c>
      <c r="H32" s="20">
        <v>406</v>
      </c>
      <c r="I32" s="18" t="str">
        <v>JPC - 224897</v>
      </c>
      <c r="J32" s="18" t="str">
        <v>FTE</v>
      </c>
      <c r="K32" s="8">
        <f ca="1">IF(G32&lt;&gt;"NA", G32 - C32, TODAY() - C32)</f>
        <v>311</v>
      </c>
      <c r="L32" s="8" t="str">
        <f ca="1">IF(K32&gt;=90,"Yes","No")</f>
        <v>Yes</v>
      </c>
      <c r="M32" s="21">
        <f>_xlfn.XLOOKUP($A$6,'[1]Ach % - L4'!$B$1:$B$53,'[1]Ach % - L4'!$H$1:$H$53)</f>
        <v>0.04</v>
      </c>
      <c r="N32" s="8">
        <f t="shared" ref="N32:N33" si="6">(M32*E32)*80</f>
        <v>91200</v>
      </c>
      <c r="O32" s="8"/>
    </row>
    <row r="33" spans="1:15" x14ac:dyDescent="0.3">
      <c r="A33" s="24"/>
      <c r="B33" s="8" t="str">
        <v>Praveen Narayana</v>
      </c>
      <c r="C33" s="18">
        <v>45761</v>
      </c>
      <c r="D33" s="8" t="str">
        <v>Tech Mahindra</v>
      </c>
      <c r="E33" s="19">
        <v>20825</v>
      </c>
      <c r="F33" s="12" t="str">
        <v>Done</v>
      </c>
      <c r="G33" s="18" t="str">
        <v>NA</v>
      </c>
      <c r="H33" s="20">
        <v>8</v>
      </c>
      <c r="I33" s="18" t="str">
        <v>JPC - 224904</v>
      </c>
      <c r="J33" s="18" t="str">
        <v>FTE</v>
      </c>
      <c r="K33" s="8">
        <f ca="1">IF(G33&lt;&gt;"NA", G33 - C33, TODAY() - C33)</f>
        <v>283</v>
      </c>
      <c r="L33" s="8" t="str">
        <f ca="1">IF(K33&gt;=90,"Yes","No")</f>
        <v>Yes</v>
      </c>
      <c r="M33" s="21">
        <f>_xlfn.XLOOKUP($A$6,'[1]Ach % - L4'!$B$1:$B$53,'[1]Ach % - L4'!$H$1:$H$53)</f>
        <v>0.04</v>
      </c>
      <c r="N33" s="8">
        <f t="shared" si="6"/>
        <v>66640</v>
      </c>
      <c r="O33" s="8"/>
    </row>
    <row r="34" spans="1:15" x14ac:dyDescent="0.3">
      <c r="A34" s="24"/>
      <c r="B34" s="8"/>
      <c r="C34" s="18"/>
      <c r="D34" s="8"/>
      <c r="E34" s="19"/>
      <c r="F34" s="12"/>
      <c r="G34" s="18"/>
      <c r="H34" s="18"/>
      <c r="I34" s="18"/>
      <c r="J34" s="18"/>
      <c r="K34" s="8"/>
      <c r="L34" s="8"/>
      <c r="M34" s="21"/>
      <c r="N34" s="8"/>
      <c r="O34" s="8"/>
    </row>
    <row r="35" spans="1:15" x14ac:dyDescent="0.3">
      <c r="A35" s="24"/>
      <c r="B35" s="8"/>
      <c r="C35" s="18"/>
      <c r="D35" s="8"/>
      <c r="E35" s="19"/>
      <c r="F35" s="12"/>
      <c r="G35" s="18"/>
      <c r="H35" s="18"/>
      <c r="I35" s="18"/>
      <c r="J35" s="18"/>
      <c r="K35" s="8"/>
      <c r="L35" s="8"/>
      <c r="M35" s="21"/>
      <c r="N35" s="8"/>
      <c r="O35" s="8"/>
    </row>
    <row r="36" spans="1:15" x14ac:dyDescent="0.3">
      <c r="A36" s="25"/>
      <c r="B36" s="8"/>
      <c r="C36" s="18"/>
      <c r="D36" s="8"/>
      <c r="E36" s="19"/>
      <c r="F36" s="12"/>
      <c r="G36" s="18"/>
      <c r="H36" s="18"/>
      <c r="I36" s="18"/>
      <c r="J36" s="18"/>
      <c r="K36" s="8"/>
      <c r="L36" s="8"/>
      <c r="M36" s="21"/>
      <c r="N36" s="8"/>
      <c r="O36" s="8"/>
    </row>
    <row r="37" spans="1:15" x14ac:dyDescent="0.3">
      <c r="M37" s="21"/>
      <c r="N37" s="8"/>
      <c r="O37" s="8"/>
    </row>
    <row r="38" spans="1:15" x14ac:dyDescent="0.3">
      <c r="M38" s="8"/>
      <c r="N38" s="8"/>
      <c r="O38" s="8"/>
    </row>
    <row r="39" spans="1:15" x14ac:dyDescent="0.3">
      <c r="A39" s="5" t="s">
        <v>1</v>
      </c>
      <c r="B39" s="6" t="s">
        <v>2</v>
      </c>
      <c r="C39" s="5" t="s">
        <v>3</v>
      </c>
      <c r="D39" s="5" t="s">
        <v>4</v>
      </c>
      <c r="E39" s="5" t="s">
        <v>5</v>
      </c>
      <c r="F39" s="5" t="s">
        <v>6</v>
      </c>
      <c r="G39" s="5" t="s">
        <v>7</v>
      </c>
      <c r="H39" s="7" t="s">
        <v>8</v>
      </c>
      <c r="I39" s="5" t="s">
        <v>9</v>
      </c>
      <c r="J39" s="5" t="s">
        <v>29</v>
      </c>
      <c r="K39" s="5" t="s">
        <v>11</v>
      </c>
      <c r="L39" s="5" t="s">
        <v>12</v>
      </c>
    </row>
    <row r="40" spans="1:15" x14ac:dyDescent="0.3">
      <c r="A40" s="8" t="s">
        <v>13</v>
      </c>
      <c r="B40" s="4" t="str">
        <f>_xlfn.XLOOKUP($C40,'[1]Data Validation (2)'!$B$3:$B$31,'[1]Data Validation (2)'!$D$3:$D$31)</f>
        <v>VB0004</v>
      </c>
      <c r="C40" s="9" t="s">
        <v>32</v>
      </c>
      <c r="D40" s="8" t="str">
        <f>_xlfn.XLOOKUP($C40,'[1]Data Validation (2)'!$B$3:$B$31,'[1]Data Validation (2)'!$C$3:$C$31)</f>
        <v>Umar Mujahid Husain</v>
      </c>
      <c r="E40" s="8">
        <f>_xlfn.XLOOKUP($C40,'[1]Ach % - L4'!$B$2:$B$27,'[1]Ach % - L4'!$E$2:$E$27)</f>
        <v>55000</v>
      </c>
      <c r="F40" s="10">
        <f>_xlfn.XLOOKUP($C40,'[1]Ach % - L4'!$B$2:$B$27,'[1]Ach % - L4'!$G$2:$G$27)</f>
        <v>0</v>
      </c>
      <c r="G40" s="11">
        <f>SUM(E42:E47)</f>
        <v>0</v>
      </c>
      <c r="H40" s="11">
        <f ca="1">SUMIFS($E41:$E48,$L41:$L48,"yes",F41:F48,"Done")</f>
        <v>0</v>
      </c>
      <c r="I40" s="12" cm="1">
        <f t="array" ref="I40">_xlfn.IFS($F40&lt;=1%,0%,$F40&lt;=50%,1.75%,$F40&lt;=70%,2.25%,$F40&lt;=85%,2.75%,$F40&gt;85%,4%)</f>
        <v>0</v>
      </c>
      <c r="J40" s="11">
        <f>G40*I40</f>
        <v>0</v>
      </c>
      <c r="K40" s="8">
        <f>J40*80</f>
        <v>0</v>
      </c>
      <c r="L40" s="9">
        <f ca="1">(H40*I40)*80</f>
        <v>0</v>
      </c>
    </row>
    <row r="41" spans="1:15" x14ac:dyDescent="0.3">
      <c r="A41" s="15" t="s">
        <v>3</v>
      </c>
      <c r="B41" s="15" t="s">
        <v>15</v>
      </c>
      <c r="C41" s="15" t="s">
        <v>16</v>
      </c>
      <c r="D41" s="15" t="s">
        <v>17</v>
      </c>
      <c r="E41" s="15" t="s">
        <v>18</v>
      </c>
      <c r="F41" s="15" t="s">
        <v>19</v>
      </c>
      <c r="G41" s="15" t="s">
        <v>20</v>
      </c>
      <c r="H41" s="15"/>
      <c r="I41" s="15"/>
      <c r="J41" s="15"/>
      <c r="K41" s="15" t="s">
        <v>24</v>
      </c>
      <c r="L41" s="15" t="s">
        <v>25</v>
      </c>
      <c r="M41" s="15" t="s">
        <v>26</v>
      </c>
      <c r="N41" s="15" t="s">
        <v>27</v>
      </c>
      <c r="O41" s="15" t="s">
        <v>28</v>
      </c>
    </row>
    <row r="42" spans="1:15" x14ac:dyDescent="0.3">
      <c r="A42" s="23" t="str">
        <f>C40</f>
        <v>Astha Srivastava</v>
      </c>
      <c r="B42" s="8" t="str" cm="1">
        <f t="array" ref="B42">IFERROR(_xlfn.CHOOSECOLS(_xlfn._xlws.FILTER('[1]Vantedge - dummy Placement data'!E:AA, '[1]Vantedge - dummy Placement data'!B:B=$C40), 1, 7, 9, 11, 14, 8, 21, 22, 23), "")</f>
        <v/>
      </c>
      <c r="C42" s="18"/>
      <c r="D42" s="8"/>
      <c r="E42" s="19"/>
      <c r="F42" s="12"/>
      <c r="G42" s="18"/>
      <c r="H42" s="18"/>
      <c r="I42" s="18"/>
      <c r="J42" s="18"/>
      <c r="K42" s="8">
        <f ca="1">IF(G42&lt;&gt;"NA", G42 - C42, TODAY() - C42)</f>
        <v>0</v>
      </c>
      <c r="L42" s="8" t="str">
        <f ca="1">IF(K42&gt;=90,"Yes","No")</f>
        <v>No</v>
      </c>
      <c r="M42" s="21"/>
      <c r="N42" s="8">
        <f>(M42*E42)*80</f>
        <v>0</v>
      </c>
      <c r="O42" s="8"/>
    </row>
    <row r="43" spans="1:15" x14ac:dyDescent="0.3">
      <c r="A43" s="24"/>
      <c r="B43" s="8"/>
      <c r="C43" s="18"/>
      <c r="D43" s="8"/>
      <c r="E43" s="19"/>
      <c r="F43" s="12"/>
      <c r="G43" s="18"/>
      <c r="H43" s="18"/>
      <c r="I43" s="18"/>
      <c r="J43" s="18"/>
      <c r="K43" s="8">
        <f ca="1">IF(G43&lt;&gt;"NA", G43 - C43, TODAY() - C43)</f>
        <v>0</v>
      </c>
      <c r="L43" s="8" t="str">
        <f ca="1">IF(K43&gt;=90,"Yes","No")</f>
        <v>No</v>
      </c>
      <c r="M43" s="21"/>
      <c r="N43" s="8">
        <f t="shared" ref="N43:N44" si="7">(M43*E43)*80</f>
        <v>0</v>
      </c>
      <c r="O43" s="8"/>
    </row>
    <row r="44" spans="1:15" x14ac:dyDescent="0.3">
      <c r="A44" s="24"/>
      <c r="B44" s="8"/>
      <c r="C44" s="18"/>
      <c r="D44" s="8"/>
      <c r="E44" s="19"/>
      <c r="F44" s="12"/>
      <c r="G44" s="18"/>
      <c r="H44" s="18"/>
      <c r="I44" s="18"/>
      <c r="J44" s="18"/>
      <c r="K44" s="8">
        <f ca="1">IF(G44&lt;&gt;"NA", G44 - C44, TODAY() - C44)</f>
        <v>0</v>
      </c>
      <c r="L44" s="8" t="str">
        <f ca="1">IF(K44&gt;=90,"Yes","No")</f>
        <v>No</v>
      </c>
      <c r="M44" s="21"/>
      <c r="N44" s="8">
        <f t="shared" si="7"/>
        <v>0</v>
      </c>
      <c r="O44" s="8"/>
    </row>
    <row r="45" spans="1:15" x14ac:dyDescent="0.3">
      <c r="A45" s="24"/>
      <c r="B45" s="8"/>
      <c r="C45" s="18"/>
      <c r="D45" s="8"/>
      <c r="E45" s="19"/>
      <c r="F45" s="12"/>
      <c r="G45" s="18"/>
      <c r="H45" s="18"/>
      <c r="I45" s="18"/>
      <c r="J45" s="18"/>
      <c r="K45" s="8"/>
      <c r="L45" s="8"/>
      <c r="M45" s="21"/>
      <c r="N45" s="8"/>
      <c r="O45" s="8"/>
    </row>
    <row r="46" spans="1:15" x14ac:dyDescent="0.3">
      <c r="A46" s="24"/>
      <c r="B46" s="8"/>
      <c r="C46" s="18"/>
      <c r="D46" s="8"/>
      <c r="E46" s="19"/>
      <c r="F46" s="12"/>
      <c r="G46" s="18"/>
      <c r="H46" s="18"/>
      <c r="I46" s="18"/>
      <c r="J46" s="18"/>
      <c r="K46" s="8"/>
      <c r="L46" s="8"/>
      <c r="M46" s="21"/>
      <c r="N46" s="8"/>
      <c r="O46" s="8"/>
    </row>
    <row r="47" spans="1:15" x14ac:dyDescent="0.3">
      <c r="A47" s="25"/>
      <c r="B47" s="8"/>
      <c r="C47" s="18"/>
      <c r="D47" s="8"/>
      <c r="E47" s="19"/>
      <c r="F47" s="12"/>
      <c r="G47" s="18"/>
      <c r="H47" s="18"/>
      <c r="I47" s="18"/>
      <c r="J47" s="18"/>
      <c r="K47" s="8"/>
      <c r="L47" s="8"/>
      <c r="M47" s="21"/>
      <c r="N47" s="8"/>
      <c r="O47" s="8"/>
    </row>
    <row r="52" spans="1:15" x14ac:dyDescent="0.3">
      <c r="A52" s="5" t="s">
        <v>1</v>
      </c>
      <c r="B52" s="6" t="s">
        <v>2</v>
      </c>
      <c r="C52" s="5" t="s">
        <v>3</v>
      </c>
      <c r="D52" s="5" t="s">
        <v>4</v>
      </c>
      <c r="E52" s="5" t="s">
        <v>5</v>
      </c>
      <c r="F52" s="5" t="s">
        <v>6</v>
      </c>
      <c r="G52" s="5" t="s">
        <v>7</v>
      </c>
      <c r="H52" s="7" t="s">
        <v>8</v>
      </c>
      <c r="I52" s="5" t="s">
        <v>9</v>
      </c>
      <c r="J52" s="5" t="s">
        <v>29</v>
      </c>
      <c r="K52" s="5" t="s">
        <v>11</v>
      </c>
      <c r="L52" s="5" t="s">
        <v>12</v>
      </c>
    </row>
    <row r="53" spans="1:15" x14ac:dyDescent="0.3">
      <c r="A53" s="8" t="s">
        <v>13</v>
      </c>
      <c r="B53" s="4" t="str">
        <f>_xlfn.XLOOKUP($C53,'[1]Data Validation (2)'!$B$3:$B$31,'[1]Data Validation (2)'!$D$3:$D$31)</f>
        <v>VB0007</v>
      </c>
      <c r="C53" s="9" t="s">
        <v>33</v>
      </c>
      <c r="D53" s="8" t="str">
        <f>_xlfn.XLOOKUP($C53,'[1]Data Validation (2)'!$B$3:$B$31,'[1]Data Validation (2)'!$C$3:$C$31)</f>
        <v>Raunak Tripathi</v>
      </c>
      <c r="E53" s="8">
        <f>_xlfn.XLOOKUP($C53,'[1]Ach % - L4'!$B$2:$B$27,'[1]Ach % - L4'!$E$2:$E$27)</f>
        <v>80000</v>
      </c>
      <c r="F53" s="10">
        <f>_xlfn.XLOOKUP($C53,'[1]Ach % - L4'!$B$2:$B$27,'[1]Ach % - L4'!$G$2:$G$27)</f>
        <v>0</v>
      </c>
      <c r="G53" s="11">
        <f>SUM(E55:E61)</f>
        <v>0</v>
      </c>
      <c r="H53" s="11">
        <f ca="1">SUMIFS($E54:$E62,$L54:$L62,"yes",F54:F62,"Done")</f>
        <v>0</v>
      </c>
      <c r="I53" s="12" cm="1">
        <f t="array" ref="I53">_xlfn.IFS($F53&lt;=1%,0%,$F53&lt;=50%,1.75%,$F53&lt;=70%,2.25%,$F53&lt;=85%,2.75%,$F53&gt;85%,4%)</f>
        <v>0</v>
      </c>
      <c r="J53" s="11">
        <f>G53*I53</f>
        <v>0</v>
      </c>
      <c r="K53" s="8">
        <f>J53*80</f>
        <v>0</v>
      </c>
      <c r="L53" s="9">
        <f ca="1">(H53*I53)*80</f>
        <v>0</v>
      </c>
    </row>
    <row r="54" spans="1:15" x14ac:dyDescent="0.3">
      <c r="A54" s="15" t="s">
        <v>3</v>
      </c>
      <c r="B54" s="15" t="s">
        <v>15</v>
      </c>
      <c r="C54" s="15" t="s">
        <v>16</v>
      </c>
      <c r="D54" s="15" t="s">
        <v>17</v>
      </c>
      <c r="E54" s="15" t="s">
        <v>18</v>
      </c>
      <c r="F54" s="15" t="s">
        <v>19</v>
      </c>
      <c r="G54" s="15" t="s">
        <v>20</v>
      </c>
      <c r="H54" s="15"/>
      <c r="I54" s="15"/>
      <c r="J54" s="15"/>
      <c r="K54" s="15" t="s">
        <v>24</v>
      </c>
      <c r="L54" s="15" t="s">
        <v>25</v>
      </c>
      <c r="M54" s="15" t="s">
        <v>26</v>
      </c>
      <c r="N54" s="15" t="s">
        <v>27</v>
      </c>
      <c r="O54" s="15" t="s">
        <v>28</v>
      </c>
    </row>
    <row r="55" spans="1:15" x14ac:dyDescent="0.3">
      <c r="A55" s="23" t="str">
        <f>C53</f>
        <v>Prithvi Singh</v>
      </c>
      <c r="B55" s="8" t="str" cm="1">
        <f t="array" ref="B55">IFERROR(_xlfn.CHOOSECOLS(_xlfn._xlws.FILTER('[1]Vantedge - dummy Placement data'!E:AA, '[1]Vantedge - dummy Placement data'!B:B=$C53), 1, 7, 9, 11, 14, 8, 21, 22, 23), "")</f>
        <v/>
      </c>
      <c r="C55" s="18"/>
      <c r="D55" s="8"/>
      <c r="E55" s="19"/>
      <c r="F55" s="12"/>
      <c r="G55" s="18"/>
      <c r="H55" s="18"/>
      <c r="I55" s="18"/>
      <c r="J55" s="18"/>
      <c r="K55" s="8">
        <f ca="1">IF(G55&lt;&gt;"NA", G55 - C55, TODAY() - C55)</f>
        <v>0</v>
      </c>
      <c r="L55" s="8" t="str">
        <f ca="1">IF(K55&gt;=90,"Yes","No")</f>
        <v>No</v>
      </c>
      <c r="M55" s="21">
        <f>$I$4</f>
        <v>0.04</v>
      </c>
      <c r="N55" s="8">
        <f>(M55*E55)*80</f>
        <v>0</v>
      </c>
      <c r="O55" s="8"/>
    </row>
    <row r="56" spans="1:15" x14ac:dyDescent="0.3">
      <c r="A56" s="24"/>
      <c r="B56" s="8"/>
      <c r="C56" s="18"/>
      <c r="D56" s="8"/>
      <c r="E56" s="19"/>
      <c r="F56" s="12"/>
      <c r="G56" s="18"/>
      <c r="H56" s="18"/>
      <c r="I56" s="18"/>
      <c r="J56" s="18"/>
      <c r="K56" s="8">
        <f ca="1">IF(G56&lt;&gt;"NA", G56 - C56, TODAY() - C56)</f>
        <v>0</v>
      </c>
      <c r="L56" s="8" t="str">
        <f ca="1">IF(K56&gt;=90,"Yes","No")</f>
        <v>No</v>
      </c>
      <c r="M56" s="21">
        <f>$I$4</f>
        <v>0.04</v>
      </c>
      <c r="N56" s="8">
        <f t="shared" ref="N56:N57" si="8">(M56*E56)*80</f>
        <v>0</v>
      </c>
      <c r="O56" s="8"/>
    </row>
    <row r="57" spans="1:15" x14ac:dyDescent="0.3">
      <c r="A57" s="24"/>
      <c r="B57" s="8"/>
      <c r="C57" s="18"/>
      <c r="D57" s="8"/>
      <c r="E57" s="19"/>
      <c r="F57" s="12"/>
      <c r="G57" s="18"/>
      <c r="H57" s="18"/>
      <c r="I57" s="18"/>
      <c r="J57" s="18"/>
      <c r="K57" s="8">
        <f ca="1">IF(G57&lt;&gt;"NA", G57 - C57, TODAY() - C57)</f>
        <v>0</v>
      </c>
      <c r="L57" s="8" t="str">
        <f ca="1">IF(K57&gt;=90,"Yes","No")</f>
        <v>No</v>
      </c>
      <c r="M57" s="21">
        <f>$I$4</f>
        <v>0.04</v>
      </c>
      <c r="N57" s="8">
        <f t="shared" si="8"/>
        <v>0</v>
      </c>
      <c r="O57" s="8"/>
    </row>
    <row r="58" spans="1:15" x14ac:dyDescent="0.3">
      <c r="A58" s="24"/>
      <c r="B58" s="8"/>
      <c r="C58" s="18"/>
      <c r="D58" s="8"/>
      <c r="E58" s="19"/>
      <c r="F58" s="12"/>
      <c r="G58" s="18"/>
      <c r="H58" s="18"/>
      <c r="I58" s="18"/>
      <c r="J58" s="18"/>
      <c r="K58" s="8"/>
      <c r="L58" s="8"/>
      <c r="M58" s="21"/>
      <c r="N58" s="8"/>
      <c r="O58" s="8"/>
    </row>
    <row r="59" spans="1:15" x14ac:dyDescent="0.3">
      <c r="A59" s="24"/>
      <c r="B59" s="8"/>
      <c r="C59" s="18"/>
      <c r="D59" s="8"/>
      <c r="E59" s="19"/>
      <c r="F59" s="12"/>
      <c r="G59" s="18"/>
      <c r="H59" s="18"/>
      <c r="I59" s="18"/>
      <c r="J59" s="18"/>
      <c r="K59" s="8"/>
      <c r="L59" s="8"/>
      <c r="M59" s="21"/>
      <c r="N59" s="8"/>
      <c r="O59" s="8"/>
    </row>
    <row r="60" spans="1:15" x14ac:dyDescent="0.3">
      <c r="A60" s="24"/>
      <c r="B60" s="8"/>
      <c r="C60" s="18"/>
      <c r="D60" s="8"/>
      <c r="E60" s="19"/>
      <c r="F60" s="12"/>
      <c r="G60" s="18"/>
      <c r="H60" s="18"/>
      <c r="I60" s="18"/>
      <c r="J60" s="18"/>
      <c r="K60" s="8"/>
      <c r="L60" s="8"/>
      <c r="M60" s="21"/>
      <c r="N60" s="8"/>
      <c r="O60" s="8"/>
    </row>
    <row r="61" spans="1:15" x14ac:dyDescent="0.3">
      <c r="A61" s="25"/>
      <c r="B61" s="8"/>
      <c r="C61" s="18"/>
      <c r="D61" s="8"/>
      <c r="E61" s="19"/>
      <c r="F61" s="12"/>
      <c r="G61" s="18"/>
      <c r="H61" s="18"/>
      <c r="I61" s="18"/>
      <c r="J61" s="18"/>
      <c r="K61" s="8"/>
      <c r="L61" s="8"/>
    </row>
    <row r="67" spans="1:12" x14ac:dyDescent="0.3">
      <c r="A67" s="5" t="s">
        <v>1</v>
      </c>
      <c r="B67" s="6" t="s">
        <v>2</v>
      </c>
      <c r="C67" s="5" t="s">
        <v>3</v>
      </c>
      <c r="D67" s="5" t="s">
        <v>4</v>
      </c>
      <c r="E67" s="5" t="s">
        <v>5</v>
      </c>
      <c r="F67" s="5" t="s">
        <v>6</v>
      </c>
      <c r="G67" s="5" t="s">
        <v>7</v>
      </c>
      <c r="H67" s="7" t="s">
        <v>8</v>
      </c>
      <c r="I67" s="5" t="s">
        <v>9</v>
      </c>
      <c r="J67" s="5" t="s">
        <v>29</v>
      </c>
      <c r="K67" s="5" t="s">
        <v>11</v>
      </c>
      <c r="L67" s="5" t="s">
        <v>12</v>
      </c>
    </row>
    <row r="68" spans="1:12" x14ac:dyDescent="0.3">
      <c r="A68" s="8" t="s">
        <v>13</v>
      </c>
      <c r="B68" s="4" t="str">
        <f>_xlfn.XLOOKUP($C68,'[1]Data Validation (2)'!$B$3:$B$31,'[1]Data Validation (2)'!$D$3:$D$31)</f>
        <v>VB0008</v>
      </c>
      <c r="C68" s="9" t="s">
        <v>34</v>
      </c>
      <c r="D68" s="8" t="str">
        <f>_xlfn.XLOOKUP($C68,'[1]Data Validation (2)'!$B$3:$B$31,'[1]Data Validation (2)'!$C$3:$C$31)</f>
        <v>Raunak Tripathi</v>
      </c>
      <c r="E68" s="8">
        <f>_xlfn.XLOOKUP($C68,'[1]Ach % - L4'!$B$2:$B$27,'[1]Ach % - L4'!$E$2:$E$27)</f>
        <v>80000</v>
      </c>
      <c r="F68" s="10">
        <f>_xlfn.XLOOKUP($C68,'[1]Ach % - L4'!$B$2:$B$27,'[1]Ach % - L4'!$G$2:$G$27)</f>
        <v>0.76687499999999997</v>
      </c>
      <c r="G68" s="11">
        <f>SUM(E70:E76)</f>
        <v>61350</v>
      </c>
      <c r="H68" s="11">
        <f ca="1">SUMIFS($E69:$E77,$L69:$L77,"yes",F69:F77,"Done")</f>
        <v>33000</v>
      </c>
      <c r="I68" s="12" cm="1">
        <f t="array" ref="I68">_xlfn.IFS($F68&lt;=1%,0%,$F68&lt;=50%,1.75%,$F68&lt;=70%,2.25%,$F68&lt;=85%,2.75%,$F68&gt;85%,4%)</f>
        <v>2.75E-2</v>
      </c>
      <c r="J68" s="11">
        <f>G68*I68</f>
        <v>1687.125</v>
      </c>
      <c r="K68" s="8">
        <f>J68*80</f>
        <v>134970</v>
      </c>
      <c r="L68" s="9">
        <f ca="1">(H68*I68)*80</f>
        <v>72600</v>
      </c>
    </row>
    <row r="69" spans="1:12" x14ac:dyDescent="0.3">
      <c r="A69" s="15" t="s">
        <v>3</v>
      </c>
      <c r="B69" s="15" t="s">
        <v>15</v>
      </c>
      <c r="C69" s="15" t="s">
        <v>16</v>
      </c>
      <c r="D69" s="15" t="s">
        <v>17</v>
      </c>
      <c r="E69" s="15" t="s">
        <v>18</v>
      </c>
      <c r="F69" s="15" t="s">
        <v>19</v>
      </c>
      <c r="G69" s="15" t="s">
        <v>20</v>
      </c>
      <c r="H69" s="15" t="s">
        <v>21</v>
      </c>
      <c r="I69" s="15" t="s">
        <v>22</v>
      </c>
      <c r="J69" s="15" t="s">
        <v>23</v>
      </c>
      <c r="K69" s="15" t="s">
        <v>24</v>
      </c>
      <c r="L69" s="15" t="s">
        <v>25</v>
      </c>
    </row>
    <row r="70" spans="1:12" x14ac:dyDescent="0.3">
      <c r="A70" s="23" t="str">
        <f>C68</f>
        <v>Ranjeet Kumar</v>
      </c>
      <c r="B70" s="8" t="str" cm="1">
        <f t="array" ref="B70:J71">IFERROR(_xlfn.CHOOSECOLS(_xlfn._xlws.FILTER('[1]Vantedge - dummy Placement data'!E:AA, '[1]Vantedge - dummy Placement data'!B:B=$C68), 1, 7, 9, 11, 14, 8, 21, 22, 23), "")</f>
        <v>Helen Kim</v>
      </c>
      <c r="C70" s="18">
        <v>45754</v>
      </c>
      <c r="D70" s="8" t="str">
        <v>Coforge</v>
      </c>
      <c r="E70" s="19">
        <v>33000</v>
      </c>
      <c r="F70" s="12" t="str">
        <v>Done</v>
      </c>
      <c r="G70" s="18" t="str">
        <v>NA</v>
      </c>
      <c r="H70" s="20">
        <v>155</v>
      </c>
      <c r="I70" s="18" t="str">
        <v>JPC - 224905</v>
      </c>
      <c r="J70" s="18" t="str">
        <v>FTE</v>
      </c>
      <c r="K70" s="8">
        <f ca="1">IF(G70&lt;&gt;"NA", G70 - C70, TODAY() - C70)</f>
        <v>290</v>
      </c>
      <c r="L70" s="8" t="str">
        <f ca="1">IF(K70&gt;=90,"Yes","No")</f>
        <v>Yes</v>
      </c>
    </row>
    <row r="71" spans="1:12" x14ac:dyDescent="0.3">
      <c r="A71" s="24"/>
      <c r="B71" s="8" t="str">
        <v>John Thornhill Williams</v>
      </c>
      <c r="C71" s="18">
        <v>45960</v>
      </c>
      <c r="D71" s="8" t="str">
        <v>LTIMindtree</v>
      </c>
      <c r="E71" s="19">
        <v>28350</v>
      </c>
      <c r="F71" s="12" t="str">
        <v>Pending</v>
      </c>
      <c r="G71" s="18" t="str">
        <v>NA</v>
      </c>
      <c r="H71" s="20">
        <v>299</v>
      </c>
      <c r="I71" s="18" t="str">
        <v>JPC - 224937</v>
      </c>
      <c r="J71" s="18" t="str">
        <v>FTE</v>
      </c>
      <c r="K71" s="8">
        <f ca="1">IF(G71&lt;&gt;"NA", G71 - C71, TODAY() - C71)</f>
        <v>84</v>
      </c>
      <c r="L71" s="8" t="str">
        <f ca="1">IF(K71&gt;=90,"Yes","No")</f>
        <v>No</v>
      </c>
    </row>
    <row r="72" spans="1:12" x14ac:dyDescent="0.3">
      <c r="A72" s="24"/>
      <c r="B72" s="8"/>
      <c r="C72" s="18"/>
      <c r="D72" s="8"/>
      <c r="E72" s="19"/>
      <c r="F72" s="12"/>
      <c r="G72" s="18"/>
      <c r="H72" s="20"/>
      <c r="I72" s="18"/>
      <c r="J72" s="18"/>
      <c r="K72" s="8">
        <f ca="1">IF(G72&lt;&gt;"NA", G72 - C72, TODAY() - C72)</f>
        <v>0</v>
      </c>
      <c r="L72" s="8" t="str">
        <f ca="1">IF(K72&gt;=90,"Yes","No")</f>
        <v>No</v>
      </c>
    </row>
    <row r="73" spans="1:12" x14ac:dyDescent="0.3">
      <c r="A73" s="24"/>
      <c r="B73" s="8"/>
      <c r="C73" s="18"/>
      <c r="D73" s="8"/>
      <c r="E73" s="19"/>
      <c r="F73" s="12"/>
      <c r="G73" s="18"/>
      <c r="H73" s="18"/>
      <c r="I73" s="18"/>
      <c r="J73" s="18"/>
      <c r="K73" s="8"/>
      <c r="L73" s="8"/>
    </row>
    <row r="74" spans="1:12" x14ac:dyDescent="0.3">
      <c r="A74" s="24"/>
      <c r="B74" s="8"/>
      <c r="C74" s="18"/>
      <c r="D74" s="8"/>
      <c r="E74" s="19"/>
      <c r="F74" s="12"/>
      <c r="G74" s="18"/>
      <c r="H74" s="18"/>
      <c r="I74" s="18"/>
      <c r="J74" s="18"/>
      <c r="K74" s="8"/>
      <c r="L74" s="8"/>
    </row>
    <row r="75" spans="1:12" x14ac:dyDescent="0.3">
      <c r="A75" s="24"/>
      <c r="B75" s="8"/>
      <c r="C75" s="18"/>
      <c r="D75" s="8"/>
      <c r="E75" s="19"/>
      <c r="F75" s="12"/>
      <c r="G75" s="18"/>
      <c r="H75" s="18"/>
      <c r="I75" s="18"/>
      <c r="J75" s="18"/>
      <c r="K75" s="8"/>
      <c r="L75" s="8"/>
    </row>
    <row r="76" spans="1:12" x14ac:dyDescent="0.3">
      <c r="A76" s="25"/>
      <c r="B76" s="8"/>
      <c r="C76" s="18"/>
      <c r="D76" s="8"/>
      <c r="E76" s="19"/>
      <c r="F76" s="12"/>
      <c r="G76" s="18"/>
      <c r="H76" s="18"/>
      <c r="I76" s="18"/>
      <c r="J76" s="18"/>
      <c r="K76" s="8"/>
      <c r="L76" s="8"/>
    </row>
    <row r="79" spans="1:12" x14ac:dyDescent="0.3">
      <c r="A79" s="5" t="s">
        <v>1</v>
      </c>
      <c r="B79" s="6" t="s">
        <v>2</v>
      </c>
      <c r="C79" s="5" t="s">
        <v>3</v>
      </c>
      <c r="D79" s="5" t="s">
        <v>4</v>
      </c>
      <c r="E79" s="5" t="s">
        <v>5</v>
      </c>
      <c r="F79" s="5" t="s">
        <v>6</v>
      </c>
      <c r="G79" s="5" t="s">
        <v>7</v>
      </c>
      <c r="H79" s="7" t="s">
        <v>8</v>
      </c>
      <c r="I79" s="5" t="s">
        <v>9</v>
      </c>
      <c r="J79" s="5" t="s">
        <v>29</v>
      </c>
      <c r="K79" s="5" t="s">
        <v>11</v>
      </c>
      <c r="L79" s="5" t="s">
        <v>12</v>
      </c>
    </row>
    <row r="80" spans="1:12" x14ac:dyDescent="0.3">
      <c r="A80" s="8" t="s">
        <v>13</v>
      </c>
      <c r="B80" s="4" t="str">
        <f>_xlfn.XLOOKUP($C80,'[1]Data Validation (2)'!$B$3:$B$31,'[1]Data Validation (2)'!$D$3:$D$31)</f>
        <v>VB0009</v>
      </c>
      <c r="C80" s="9" t="s">
        <v>35</v>
      </c>
      <c r="D80" s="8" t="str">
        <f>_xlfn.XLOOKUP($C80,'[1]Data Validation (2)'!$B$3:$B$31,'[1]Data Validation (2)'!$C$3:$C$31)</f>
        <v>Raunak Tripathi</v>
      </c>
      <c r="E80" s="8">
        <f>_xlfn.XLOOKUP($C80,'[1]Ach % - L4'!$B$2:$B$27,'[1]Ach % - L4'!$E$2:$E$27)</f>
        <v>55000</v>
      </c>
      <c r="F80" s="10">
        <f>_xlfn.XLOOKUP($C80,'[1]Ach % - L4'!$B$2:$B$27,'[1]Ach % - L4'!$G$2:$G$27)</f>
        <v>0.68181818181818177</v>
      </c>
      <c r="G80" s="11">
        <f>SUM(E82:E88)</f>
        <v>37500</v>
      </c>
      <c r="H80" s="11">
        <f ca="1">SUMIFS($E81:$E89,$L81:$L89,"yes",F81:F89,"Done")</f>
        <v>0</v>
      </c>
      <c r="I80" s="12" cm="1">
        <f t="array" ref="I80">_xlfn.IFS($F80&lt;=1%,0%,$F80&lt;=50%,1.75%,$F80&lt;=70%,2.25%,$F80&lt;=85%,2.75%,$F80&gt;85%,4%)</f>
        <v>2.2499999999999999E-2</v>
      </c>
      <c r="J80" s="11">
        <f>G80*I80</f>
        <v>843.75</v>
      </c>
      <c r="K80" s="8">
        <f>J80*80</f>
        <v>67500</v>
      </c>
      <c r="L80" s="9">
        <f ca="1">(H80*I80)*80</f>
        <v>0</v>
      </c>
    </row>
    <row r="81" spans="1:12" x14ac:dyDescent="0.3">
      <c r="A81" s="15" t="s">
        <v>3</v>
      </c>
      <c r="B81" s="15" t="s">
        <v>15</v>
      </c>
      <c r="C81" s="15" t="s">
        <v>16</v>
      </c>
      <c r="D81" s="15" t="s">
        <v>17</v>
      </c>
      <c r="E81" s="15" t="s">
        <v>18</v>
      </c>
      <c r="F81" s="15" t="s">
        <v>19</v>
      </c>
      <c r="G81" s="15" t="s">
        <v>20</v>
      </c>
      <c r="H81" s="15" t="s">
        <v>21</v>
      </c>
      <c r="I81" s="15" t="s">
        <v>22</v>
      </c>
      <c r="J81" s="15" t="s">
        <v>23</v>
      </c>
      <c r="K81" s="15" t="s">
        <v>24</v>
      </c>
      <c r="L81" s="15" t="s">
        <v>25</v>
      </c>
    </row>
    <row r="82" spans="1:12" x14ac:dyDescent="0.3">
      <c r="A82" s="23" t="str">
        <f>C80</f>
        <v>Devansh Mishra</v>
      </c>
      <c r="B82" s="8" t="str" cm="1">
        <f t="array" ref="B82:J83">IFERROR(_xlfn.CHOOSECOLS(_xlfn._xlws.FILTER('[1]Vantedge - dummy Placement data'!E:AA, '[1]Vantedge - dummy Placement data'!B:B=$C80), 1, 7, 9, 11, 14, 8, 21, 22, 23), "")</f>
        <v>Alex Dee</v>
      </c>
      <c r="C82" s="18">
        <v>45747</v>
      </c>
      <c r="D82" s="8" t="str">
        <v>Waverly</v>
      </c>
      <c r="E82" s="19">
        <v>0</v>
      </c>
      <c r="F82" s="12" t="str">
        <v>No Bill No pay</v>
      </c>
      <c r="G82" s="18">
        <v>45762</v>
      </c>
      <c r="H82" s="20">
        <v>1764</v>
      </c>
      <c r="I82" s="18" t="str">
        <v>JPC - 224902</v>
      </c>
      <c r="J82" s="18" t="str">
        <v>FTE</v>
      </c>
      <c r="K82" s="8">
        <f ca="1">IF(G82&lt;&gt;"NA", G82 - C82, TODAY() - C82)</f>
        <v>15</v>
      </c>
      <c r="L82" s="8" t="str">
        <f ca="1">IF(K82&gt;=90,"Yes","No")</f>
        <v>No</v>
      </c>
    </row>
    <row r="83" spans="1:12" x14ac:dyDescent="0.3">
      <c r="A83" s="24"/>
      <c r="B83" s="8" t="str">
        <v>Minoji Thomas</v>
      </c>
      <c r="C83" s="18">
        <v>45910</v>
      </c>
      <c r="D83" s="8" t="str">
        <v>Infogain</v>
      </c>
      <c r="E83" s="19">
        <v>37500</v>
      </c>
      <c r="F83" s="12" t="str">
        <v>Pending</v>
      </c>
      <c r="G83" s="18" t="str">
        <v>NA</v>
      </c>
      <c r="H83" s="18" t="str">
        <v/>
      </c>
      <c r="I83" s="18" t="str">
        <v>JPC - 224931</v>
      </c>
      <c r="J83" s="18" t="str">
        <v>FTE</v>
      </c>
      <c r="K83" s="8">
        <f ca="1">IF(G83&lt;&gt;"NA", G83 - C83, TODAY() - C83)</f>
        <v>134</v>
      </c>
      <c r="L83" s="8" t="str">
        <f ca="1">IF(K83&gt;=90,"Yes","No")</f>
        <v>Yes</v>
      </c>
    </row>
    <row r="84" spans="1:12" x14ac:dyDescent="0.3">
      <c r="A84" s="24"/>
      <c r="B84" s="8"/>
      <c r="C84" s="18"/>
      <c r="D84" s="8"/>
      <c r="E84" s="19"/>
      <c r="F84" s="12"/>
      <c r="G84" s="18"/>
      <c r="H84" s="18"/>
      <c r="I84" s="18"/>
      <c r="J84" s="18"/>
      <c r="K84" s="8">
        <f ca="1">IF(G84&lt;&gt;"NA", G84 - C84, TODAY() - C84)</f>
        <v>0</v>
      </c>
      <c r="L84" s="8" t="str">
        <f ca="1">IF(K84&gt;=90,"Yes","No")</f>
        <v>No</v>
      </c>
    </row>
    <row r="85" spans="1:12" x14ac:dyDescent="0.3">
      <c r="A85" s="24"/>
      <c r="B85" s="8"/>
      <c r="C85" s="18"/>
      <c r="D85" s="8"/>
      <c r="E85" s="19"/>
      <c r="F85" s="12"/>
      <c r="G85" s="18"/>
      <c r="H85" s="18"/>
      <c r="I85" s="18"/>
      <c r="J85" s="18"/>
      <c r="K85" s="8"/>
      <c r="L85" s="8"/>
    </row>
    <row r="86" spans="1:12" x14ac:dyDescent="0.3">
      <c r="A86" s="24"/>
      <c r="B86" s="8"/>
      <c r="C86" s="18"/>
      <c r="D86" s="8"/>
      <c r="E86" s="19"/>
      <c r="F86" s="12"/>
      <c r="G86" s="18"/>
      <c r="H86" s="18"/>
      <c r="I86" s="18"/>
      <c r="J86" s="18"/>
      <c r="K86" s="8"/>
      <c r="L86" s="8"/>
    </row>
    <row r="87" spans="1:12" x14ac:dyDescent="0.3">
      <c r="A87" s="24"/>
      <c r="B87" s="8"/>
      <c r="C87" s="18"/>
      <c r="D87" s="8"/>
      <c r="E87" s="19"/>
      <c r="F87" s="12"/>
      <c r="G87" s="18"/>
      <c r="H87" s="18"/>
      <c r="I87" s="18"/>
      <c r="J87" s="18"/>
      <c r="K87" s="8"/>
      <c r="L87" s="8"/>
    </row>
    <row r="88" spans="1:12" x14ac:dyDescent="0.3">
      <c r="A88" s="25"/>
      <c r="B88" s="8"/>
      <c r="C88" s="18"/>
      <c r="D88" s="8"/>
      <c r="E88" s="19"/>
      <c r="F88" s="12"/>
      <c r="G88" s="18"/>
      <c r="H88" s="18"/>
      <c r="I88" s="18"/>
      <c r="J88" s="18"/>
      <c r="K88" s="8"/>
      <c r="L88" s="8"/>
    </row>
    <row r="91" spans="1:12" x14ac:dyDescent="0.3">
      <c r="A91" s="5" t="s">
        <v>1</v>
      </c>
      <c r="B91" s="6" t="s">
        <v>2</v>
      </c>
      <c r="C91" s="5" t="s">
        <v>3</v>
      </c>
      <c r="D91" s="5" t="s">
        <v>4</v>
      </c>
      <c r="E91" s="5" t="s">
        <v>5</v>
      </c>
      <c r="F91" s="5" t="s">
        <v>6</v>
      </c>
      <c r="G91" s="5" t="s">
        <v>7</v>
      </c>
      <c r="H91" s="7" t="s">
        <v>8</v>
      </c>
      <c r="I91" s="5" t="s">
        <v>9</v>
      </c>
      <c r="J91" s="5" t="s">
        <v>29</v>
      </c>
      <c r="K91" s="5" t="s">
        <v>11</v>
      </c>
      <c r="L91" s="5" t="s">
        <v>12</v>
      </c>
    </row>
    <row r="92" spans="1:12" x14ac:dyDescent="0.3">
      <c r="A92" s="8" t="s">
        <v>13</v>
      </c>
      <c r="B92" s="4" t="str">
        <f>_xlfn.XLOOKUP($C92,'[1]Data Validation (2)'!$B$3:$B$31,'[1]Data Validation (2)'!$D$3:$D$31)</f>
        <v>VB0010</v>
      </c>
      <c r="C92" s="9" t="s">
        <v>36</v>
      </c>
      <c r="D92" s="8" t="str">
        <f>_xlfn.XLOOKUP($C92,'[1]Data Validation (2)'!$B$3:$B$31,'[1]Data Validation (2)'!$C$3:$C$31)</f>
        <v>Raunak Tripathi</v>
      </c>
      <c r="E92" s="8">
        <f>_xlfn.XLOOKUP($C92,'[1]Ach % - L4'!$B$2:$B$27,'[1]Ach % - L4'!$E$2:$E$27)</f>
        <v>80000</v>
      </c>
      <c r="F92" s="10">
        <f>_xlfn.XLOOKUP($C92,'[1]Ach % - L4'!$B$2:$B$27,'[1]Ach % - L4'!$G$2:$G$27)</f>
        <v>4.3124999999999997E-2</v>
      </c>
      <c r="G92" s="11">
        <f>SUM(E94:E100)</f>
        <v>3450</v>
      </c>
      <c r="H92" s="11">
        <f ca="1">SUMIFS($E93:$E101,$L93:$L101,"yes")</f>
        <v>3450</v>
      </c>
      <c r="I92" s="12" cm="1">
        <f t="array" ref="I92">_xlfn.IFS($F92&lt;=1%,0%,$F92&lt;=50%,1.75%,$F92&lt;=70%,2.25%,$F92&lt;=85%,2.75%,$F92&gt;85%,4%)</f>
        <v>1.7500000000000002E-2</v>
      </c>
      <c r="J92" s="11">
        <f>G92*I92</f>
        <v>60.375000000000007</v>
      </c>
      <c r="K92" s="8">
        <f>J92*80</f>
        <v>4830.0000000000009</v>
      </c>
      <c r="L92" s="9">
        <f ca="1">(H92*I92)*80</f>
        <v>4830.0000000000009</v>
      </c>
    </row>
    <row r="93" spans="1:12" x14ac:dyDescent="0.3">
      <c r="A93" s="15" t="s">
        <v>3</v>
      </c>
      <c r="B93" s="15" t="s">
        <v>15</v>
      </c>
      <c r="C93" s="15" t="s">
        <v>16</v>
      </c>
      <c r="D93" s="15" t="s">
        <v>17</v>
      </c>
      <c r="E93" s="15" t="s">
        <v>18</v>
      </c>
      <c r="F93" s="15" t="s">
        <v>19</v>
      </c>
      <c r="G93" s="15" t="s">
        <v>20</v>
      </c>
      <c r="H93" s="15" t="s">
        <v>21</v>
      </c>
      <c r="I93" s="15" t="s">
        <v>22</v>
      </c>
      <c r="J93" s="15" t="s">
        <v>23</v>
      </c>
      <c r="K93" s="15" t="s">
        <v>24</v>
      </c>
      <c r="L93" s="15" t="s">
        <v>25</v>
      </c>
    </row>
    <row r="94" spans="1:12" x14ac:dyDescent="0.3">
      <c r="A94" s="23" t="str">
        <f>C92</f>
        <v>Prachi Pandey</v>
      </c>
      <c r="B94" s="8" t="str" cm="1">
        <f t="array" ref="B94:J94">IFERROR(_xlfn.CHOOSECOLS(_xlfn._xlws.FILTER('[1]Vantedge - dummy Placement data'!E:AA, '[1]Vantedge - dummy Placement data'!B:B=$C92), 1, 7, 9, 11, 14, 8, 21, 22, 23), "")</f>
        <v>Mickael Mounien</v>
      </c>
      <c r="C94" s="18">
        <v>45936</v>
      </c>
      <c r="D94" s="8" t="str">
        <v>PocketFM</v>
      </c>
      <c r="E94" s="19">
        <v>3450</v>
      </c>
      <c r="F94" s="12" t="str">
        <v>Pending</v>
      </c>
      <c r="G94" s="18" t="str">
        <v>NA</v>
      </c>
      <c r="H94" s="20">
        <v>393</v>
      </c>
      <c r="I94" s="18" t="str">
        <v>JPC - 224938</v>
      </c>
      <c r="J94" s="18" t="str">
        <v>FTE</v>
      </c>
      <c r="K94" s="8">
        <f ca="1">IF(G94&lt;&gt;"NA", G94 - C94, TODAY() - C94)</f>
        <v>108</v>
      </c>
      <c r="L94" s="8" t="str">
        <f ca="1">IF(K94&gt;=90,"Yes","No")</f>
        <v>Yes</v>
      </c>
    </row>
    <row r="95" spans="1:12" x14ac:dyDescent="0.3">
      <c r="A95" s="24"/>
      <c r="B95" s="8"/>
      <c r="C95" s="18"/>
      <c r="D95" s="8"/>
      <c r="E95" s="19"/>
      <c r="F95" s="12"/>
      <c r="G95" s="18"/>
      <c r="H95" s="18"/>
      <c r="I95" s="18"/>
      <c r="J95" s="18"/>
      <c r="K95" s="8">
        <f ca="1">IF(G95&lt;&gt;"NA", G95 - C95, TODAY() - C95)</f>
        <v>0</v>
      </c>
      <c r="L95" s="8" t="str">
        <f ca="1">IF(K95&gt;=90,"Yes","No")</f>
        <v>No</v>
      </c>
    </row>
    <row r="96" spans="1:12" x14ac:dyDescent="0.3">
      <c r="A96" s="24"/>
      <c r="B96" s="8"/>
      <c r="C96" s="18"/>
      <c r="D96" s="8"/>
      <c r="E96" s="19"/>
      <c r="F96" s="12"/>
      <c r="G96" s="18"/>
      <c r="H96" s="18"/>
      <c r="I96" s="18"/>
      <c r="J96" s="18"/>
      <c r="K96" s="8">
        <f ca="1">IF(G96&lt;&gt;"NA", G96 - C96, TODAY() - C96)</f>
        <v>0</v>
      </c>
      <c r="L96" s="8" t="str">
        <f ca="1">IF(K96&gt;=90,"Yes","No")</f>
        <v>No</v>
      </c>
    </row>
    <row r="97" spans="1:12" x14ac:dyDescent="0.3">
      <c r="A97" s="24"/>
      <c r="B97" s="8"/>
      <c r="C97" s="18"/>
      <c r="D97" s="8"/>
      <c r="E97" s="19"/>
      <c r="F97" s="12"/>
      <c r="G97" s="18"/>
      <c r="H97" s="18"/>
      <c r="I97" s="18"/>
      <c r="J97" s="18"/>
      <c r="K97" s="8"/>
      <c r="L97" s="8"/>
    </row>
    <row r="98" spans="1:12" x14ac:dyDescent="0.3">
      <c r="A98" s="24"/>
      <c r="B98" s="8"/>
      <c r="C98" s="18"/>
      <c r="D98" s="8"/>
      <c r="E98" s="19"/>
      <c r="F98" s="12"/>
      <c r="G98" s="18"/>
      <c r="H98" s="18"/>
      <c r="I98" s="18"/>
      <c r="J98" s="18"/>
      <c r="K98" s="8"/>
      <c r="L98" s="8"/>
    </row>
    <row r="99" spans="1:12" x14ac:dyDescent="0.3">
      <c r="A99" s="24"/>
      <c r="B99" s="8"/>
      <c r="C99" s="18"/>
      <c r="D99" s="8"/>
      <c r="E99" s="19"/>
      <c r="F99" s="12"/>
      <c r="G99" s="18"/>
      <c r="H99" s="18"/>
      <c r="I99" s="18"/>
      <c r="J99" s="18"/>
      <c r="K99" s="8"/>
      <c r="L99" s="8"/>
    </row>
    <row r="100" spans="1:12" x14ac:dyDescent="0.3">
      <c r="A100" s="25"/>
      <c r="B100" s="8"/>
      <c r="C100" s="18"/>
      <c r="D100" s="8"/>
      <c r="E100" s="19"/>
      <c r="F100" s="12"/>
      <c r="G100" s="18"/>
      <c r="H100" s="18"/>
      <c r="I100" s="18"/>
      <c r="J100" s="18"/>
      <c r="K100" s="8"/>
      <c r="L100" s="8"/>
    </row>
    <row r="104" spans="1:12" x14ac:dyDescent="0.3">
      <c r="A104" s="5" t="s">
        <v>1</v>
      </c>
      <c r="B104" s="6" t="s">
        <v>2</v>
      </c>
      <c r="C104" s="5" t="s">
        <v>3</v>
      </c>
      <c r="D104" s="5" t="s">
        <v>4</v>
      </c>
      <c r="E104" s="5" t="s">
        <v>5</v>
      </c>
      <c r="F104" s="5" t="s">
        <v>6</v>
      </c>
      <c r="G104" s="5" t="s">
        <v>7</v>
      </c>
      <c r="H104" s="7" t="s">
        <v>8</v>
      </c>
      <c r="I104" s="5" t="s">
        <v>9</v>
      </c>
      <c r="J104" s="5" t="s">
        <v>29</v>
      </c>
      <c r="K104" s="5" t="s">
        <v>11</v>
      </c>
      <c r="L104" s="5" t="s">
        <v>12</v>
      </c>
    </row>
    <row r="105" spans="1:12" x14ac:dyDescent="0.3">
      <c r="A105" s="8" t="s">
        <v>13</v>
      </c>
      <c r="B105" s="4" t="str">
        <f>_xlfn.XLOOKUP($C105,'[1]Data Validation (2)'!$B$3:$B$31,'[1]Data Validation (2)'!$D$3:$D$31)</f>
        <v>VB0011</v>
      </c>
      <c r="C105" s="9" t="s">
        <v>37</v>
      </c>
      <c r="D105" s="8" t="str">
        <f>_xlfn.XLOOKUP($C105,'[1]Data Validation (2)'!$B$3:$B$31,'[1]Data Validation (2)'!$C$3:$C$31)</f>
        <v>Raunak Tripathi</v>
      </c>
      <c r="E105" s="8">
        <f>_xlfn.XLOOKUP($C105,'[1]Ach % - L4'!$B$2:$B$27,'[1]Ach % - L4'!$E$2:$E$27)</f>
        <v>80000</v>
      </c>
      <c r="F105" s="10">
        <f>_xlfn.XLOOKUP($C105,'[1]Ach % - L4'!$B$2:$B$27,'[1]Ach % - L4'!$G$2:$G$27)</f>
        <v>0.53180000000000005</v>
      </c>
      <c r="G105" s="11">
        <f>SUM(E107:E113)</f>
        <v>70874.311199999996</v>
      </c>
      <c r="H105" s="11">
        <f ca="1">SUMIFS($E106:$E114,$L106:$L114,"yes",F106:F114,"Done")</f>
        <v>70874.311199999996</v>
      </c>
      <c r="I105" s="12" cm="1">
        <f t="array" ref="I105">_xlfn.IFS($F105&lt;=1%,0%,$F105&lt;=50%,1.75%,$F105&lt;=70%,2.25%,$F105&lt;=85%,2.75%,$F105&gt;85%,4%)</f>
        <v>2.2499999999999999E-2</v>
      </c>
      <c r="J105" s="11">
        <f>G105*I105</f>
        <v>1594.6720019999998</v>
      </c>
      <c r="K105" s="11">
        <f>J105*80</f>
        <v>127573.76015999998</v>
      </c>
      <c r="L105" s="9">
        <f ca="1">(H105*I105)*80</f>
        <v>127573.76015999998</v>
      </c>
    </row>
    <row r="106" spans="1:12" x14ac:dyDescent="0.3">
      <c r="A106" s="15" t="s">
        <v>3</v>
      </c>
      <c r="B106" s="15" t="s">
        <v>15</v>
      </c>
      <c r="C106" s="15" t="s">
        <v>16</v>
      </c>
      <c r="D106" s="15" t="s">
        <v>17</v>
      </c>
      <c r="E106" s="15" t="s">
        <v>18</v>
      </c>
      <c r="F106" s="15" t="s">
        <v>19</v>
      </c>
      <c r="G106" s="15" t="s">
        <v>20</v>
      </c>
      <c r="H106" s="15" t="s">
        <v>21</v>
      </c>
      <c r="I106" s="15" t="s">
        <v>22</v>
      </c>
      <c r="J106" s="15" t="s">
        <v>23</v>
      </c>
      <c r="K106" s="15" t="s">
        <v>24</v>
      </c>
      <c r="L106" s="15" t="s">
        <v>25</v>
      </c>
    </row>
    <row r="107" spans="1:12" x14ac:dyDescent="0.3">
      <c r="A107" s="23" t="str">
        <f>C105</f>
        <v>Pulkit prakash</v>
      </c>
      <c r="B107" s="8" t="str" cm="1">
        <f t="array" ref="B107:J111">IFERROR(_xlfn.CHOOSECOLS(_xlfn._xlws.FILTER('[1]Vantedge - dummy Placement data'!E:AA, '[1]Vantedge - dummy Placement data'!B:B=$C105), 1, 7, 9, 11, 14, 8, 21, 22, 23), "")</f>
        <v>Sergei Smirnov</v>
      </c>
      <c r="C107" s="18">
        <v>45804</v>
      </c>
      <c r="D107" s="8" t="str">
        <v>Kale Logistics</v>
      </c>
      <c r="E107" s="19">
        <v>12524.311199999998</v>
      </c>
      <c r="F107" s="12" t="str">
        <v>Done</v>
      </c>
      <c r="G107" s="18" t="str">
        <v>NA</v>
      </c>
      <c r="H107" s="20">
        <v>427</v>
      </c>
      <c r="I107" s="18" t="str">
        <v>JPC - 224910</v>
      </c>
      <c r="J107" s="18" t="str">
        <v>FTE</v>
      </c>
      <c r="K107" s="8">
        <f ca="1">IF(G107&lt;&gt;"NA", G107 - C107, TODAY() - C107)</f>
        <v>240</v>
      </c>
      <c r="L107" s="8" t="str">
        <f ca="1">IF(K107&gt;=90,"Yes","No")</f>
        <v>Yes</v>
      </c>
    </row>
    <row r="108" spans="1:12" x14ac:dyDescent="0.3">
      <c r="A108" s="24"/>
      <c r="B108" s="8" t="str">
        <v>Sandeep Sanon</v>
      </c>
      <c r="C108" s="18">
        <v>45810</v>
      </c>
      <c r="D108" s="8" t="str">
        <v>LTIMindtree</v>
      </c>
      <c r="E108" s="19">
        <v>28350</v>
      </c>
      <c r="F108" s="12" t="str">
        <v>Done</v>
      </c>
      <c r="G108" s="18" t="str">
        <v>NA</v>
      </c>
      <c r="H108" s="20">
        <v>299</v>
      </c>
      <c r="I108" s="18" t="str">
        <v>JPC - 224912</v>
      </c>
      <c r="J108" s="18" t="str">
        <v>FTE</v>
      </c>
      <c r="K108" s="8">
        <f ca="1">IF(G108&lt;&gt;"NA", G108 - C108, TODAY() - C108)</f>
        <v>234</v>
      </c>
      <c r="L108" s="8" t="str">
        <f ca="1">IF(K108&gt;=90,"Yes","No")</f>
        <v>Yes</v>
      </c>
    </row>
    <row r="109" spans="1:12" x14ac:dyDescent="0.3">
      <c r="A109" s="24"/>
      <c r="B109" s="8" t="str">
        <v>Robert Gonzalez</v>
      </c>
      <c r="C109" s="18">
        <v>45848</v>
      </c>
      <c r="D109" s="8" t="str">
        <v>Kale Logistics</v>
      </c>
      <c r="E109" s="19">
        <v>15600</v>
      </c>
      <c r="F109" s="12" t="str">
        <v>Done</v>
      </c>
      <c r="G109" s="18" t="str">
        <v>NA</v>
      </c>
      <c r="H109" s="20">
        <v>427</v>
      </c>
      <c r="I109" s="18" t="str">
        <v>JPC - 224916</v>
      </c>
      <c r="J109" s="18" t="str">
        <v>FTE</v>
      </c>
      <c r="K109" s="8">
        <f ca="1">IF(G109&lt;&gt;"NA", G109 - C109, TODAY() - C109)</f>
        <v>196</v>
      </c>
      <c r="L109" s="8" t="str">
        <f ca="1">IF(K109&gt;=90,"Yes","No")</f>
        <v>Yes</v>
      </c>
    </row>
    <row r="110" spans="1:12" x14ac:dyDescent="0.3">
      <c r="A110" s="24"/>
      <c r="B110" s="8" t="str">
        <v>Travis Leemreis</v>
      </c>
      <c r="C110" s="18">
        <v>45855</v>
      </c>
      <c r="D110" s="8" t="str">
        <v>Kale Logistics</v>
      </c>
      <c r="E110" s="19">
        <v>14400</v>
      </c>
      <c r="F110" s="12" t="str">
        <v>Done</v>
      </c>
      <c r="G110" s="18" t="str">
        <v>NA</v>
      </c>
      <c r="H110" s="20">
        <v>427</v>
      </c>
      <c r="I110" s="18" t="str">
        <v>JPC - 224919</v>
      </c>
      <c r="J110" s="18" t="str">
        <v>FTE</v>
      </c>
      <c r="K110" s="8">
        <f ca="1">IF(G110&lt;&gt;"NA", G110 - C110, TODAY() - C110)</f>
        <v>189</v>
      </c>
      <c r="L110" s="8" t="str">
        <f t="shared" ref="L110:L111" ca="1" si="9">IF(K110&gt;=90,"Yes","No")</f>
        <v>Yes</v>
      </c>
    </row>
    <row r="111" spans="1:12" x14ac:dyDescent="0.3">
      <c r="A111" s="24"/>
      <c r="B111" s="8" t="str">
        <v>Leroy Cervantes</v>
      </c>
      <c r="C111" s="18">
        <v>45859</v>
      </c>
      <c r="D111" s="8" t="str">
        <v>Kale Logistics</v>
      </c>
      <c r="E111" s="19">
        <v>0</v>
      </c>
      <c r="F111" s="12">
        <v>0</v>
      </c>
      <c r="G111" s="18">
        <v>45920</v>
      </c>
      <c r="H111" s="20">
        <v>427</v>
      </c>
      <c r="I111" s="18" t="str">
        <v>JPC - 224920</v>
      </c>
      <c r="J111" s="18" t="str">
        <v>FTE</v>
      </c>
      <c r="K111" s="8">
        <f ca="1">IF(G111&lt;&gt;"NA", G111 - C111, TODAY() - C111)</f>
        <v>61</v>
      </c>
      <c r="L111" s="8" t="str">
        <f t="shared" ca="1" si="9"/>
        <v>No</v>
      </c>
    </row>
    <row r="112" spans="1:12" x14ac:dyDescent="0.3">
      <c r="A112" s="24"/>
      <c r="B112" s="8"/>
      <c r="C112" s="18"/>
      <c r="D112" s="8"/>
      <c r="E112" s="19"/>
      <c r="F112" s="12"/>
      <c r="G112" s="18"/>
      <c r="H112" s="18"/>
      <c r="I112" s="18"/>
      <c r="J112" s="18"/>
      <c r="K112" s="8"/>
      <c r="L112" s="8"/>
    </row>
    <row r="113" spans="1:12" x14ac:dyDescent="0.3">
      <c r="A113" s="25"/>
      <c r="B113" s="8"/>
      <c r="C113" s="18"/>
      <c r="D113" s="8"/>
      <c r="E113" s="19"/>
      <c r="F113" s="12"/>
      <c r="G113" s="18"/>
      <c r="H113" s="18"/>
      <c r="I113" s="18"/>
      <c r="J113" s="18"/>
      <c r="K113" s="8"/>
      <c r="L113" s="8"/>
    </row>
    <row r="117" spans="1:12" x14ac:dyDescent="0.3">
      <c r="A117" s="5" t="s">
        <v>1</v>
      </c>
      <c r="B117" s="6" t="s">
        <v>2</v>
      </c>
      <c r="C117" s="5" t="s">
        <v>3</v>
      </c>
      <c r="D117" s="5" t="s">
        <v>4</v>
      </c>
      <c r="E117" s="5" t="s">
        <v>5</v>
      </c>
      <c r="F117" s="5" t="s">
        <v>6</v>
      </c>
      <c r="G117" s="5" t="s">
        <v>7</v>
      </c>
      <c r="H117" s="7" t="s">
        <v>8</v>
      </c>
      <c r="I117" s="5" t="s">
        <v>9</v>
      </c>
      <c r="J117" s="5" t="s">
        <v>29</v>
      </c>
      <c r="K117" s="5" t="s">
        <v>11</v>
      </c>
      <c r="L117" s="5" t="s">
        <v>12</v>
      </c>
    </row>
    <row r="118" spans="1:12" x14ac:dyDescent="0.3">
      <c r="A118" s="8" t="s">
        <v>13</v>
      </c>
      <c r="B118" s="4" t="str">
        <f>_xlfn.XLOOKUP($C118,'[1]Data Validation (2)'!$B$3:$B$31,'[1]Data Validation (2)'!$D$3:$D$31)</f>
        <v>VB0012</v>
      </c>
      <c r="C118" s="9" t="s">
        <v>38</v>
      </c>
      <c r="D118" s="8" t="str">
        <f>_xlfn.XLOOKUP($C118,'[1]Data Validation (2)'!$B$3:$B$31,'[1]Data Validation (2)'!$C$3:$C$31)</f>
        <v>Mayank Saxena</v>
      </c>
      <c r="E118" s="8">
        <f>_xlfn.XLOOKUP($C118,'[1]Ach % - L4'!$B$2:$B$27,'[1]Ach % - L4'!$E$2:$E$27)</f>
        <v>50000</v>
      </c>
      <c r="F118" s="10">
        <f>_xlfn.XLOOKUP($C118,'[1]Ach % - L4'!$B$2:$B$27,'[1]Ach % - L4'!$G$2:$G$27)</f>
        <v>1.8089999999999999</v>
      </c>
      <c r="G118" s="11">
        <f>SUM(E120:E127)</f>
        <v>90450</v>
      </c>
      <c r="H118" s="11">
        <f ca="1">SUMIFS($E119:$E128,$L119:$L128,"yes",F119:F128,"Done")</f>
        <v>27950</v>
      </c>
      <c r="I118" s="12" cm="1">
        <f t="array" ref="I118">_xlfn.IFS($F118&lt;=1%,0%,$F118&lt;=50%,1.75%,$F118&lt;=70%,2.25%,$F118&lt;=85%,2.75%,$F118&gt;85%,4%)</f>
        <v>0.04</v>
      </c>
      <c r="J118" s="11">
        <f>G118*I118</f>
        <v>3618</v>
      </c>
      <c r="K118" s="8">
        <f>J118*80</f>
        <v>289440</v>
      </c>
      <c r="L118" s="9">
        <f ca="1">(H118*I118)*80</f>
        <v>89440</v>
      </c>
    </row>
    <row r="119" spans="1:12" x14ac:dyDescent="0.3">
      <c r="A119" s="15" t="s">
        <v>3</v>
      </c>
      <c r="B119" s="15" t="s">
        <v>15</v>
      </c>
      <c r="C119" s="15" t="s">
        <v>16</v>
      </c>
      <c r="D119" s="15" t="s">
        <v>17</v>
      </c>
      <c r="E119" s="15" t="s">
        <v>18</v>
      </c>
      <c r="F119" s="15" t="s">
        <v>19</v>
      </c>
      <c r="G119" s="15" t="s">
        <v>20</v>
      </c>
      <c r="H119" s="15" t="s">
        <v>21</v>
      </c>
      <c r="I119" s="15" t="s">
        <v>22</v>
      </c>
      <c r="J119" s="15" t="s">
        <v>23</v>
      </c>
      <c r="K119" s="15" t="s">
        <v>24</v>
      </c>
      <c r="L119" s="15" t="s">
        <v>25</v>
      </c>
    </row>
    <row r="120" spans="1:12" x14ac:dyDescent="0.3">
      <c r="A120" s="23" t="str">
        <f>C118</f>
        <v>Mayank Saxena</v>
      </c>
      <c r="B120" s="8" t="str" cm="1">
        <f t="array" ref="B120:J122">IFERROR(_xlfn.CHOOSECOLS(_xlfn._xlws.FILTER('[1]Vantedge - dummy Placement data'!E:AA, '[1]Vantedge - dummy Placement data'!B:B=$C118), 1, 7, 9, 11, 14, 8, 21, 22, 23), "")</f>
        <v>Arbindoo Sood</v>
      </c>
      <c r="C120" s="18">
        <v>45665</v>
      </c>
      <c r="D120" s="8" t="str">
        <v>Myridius</v>
      </c>
      <c r="E120" s="19">
        <v>27950</v>
      </c>
      <c r="F120" s="12" t="str">
        <v>Done</v>
      </c>
      <c r="G120" s="18" t="str">
        <v>NA</v>
      </c>
      <c r="H120" s="20">
        <v>438</v>
      </c>
      <c r="I120" s="18" t="str">
        <v>JPC - 224893</v>
      </c>
      <c r="J120" s="18" t="str">
        <v>FTE</v>
      </c>
      <c r="K120" s="8">
        <f t="shared" ref="K120:K127" ca="1" si="10">IF(G120&lt;&gt;"NA", G120 - C120, TODAY() - C120)</f>
        <v>379</v>
      </c>
      <c r="L120" s="8" t="str">
        <f ca="1">IF(K120&gt;=90,"Yes","No")</f>
        <v>Yes</v>
      </c>
    </row>
    <row r="121" spans="1:12" x14ac:dyDescent="0.3">
      <c r="A121" s="24"/>
      <c r="B121" s="8" t="str">
        <v>Shekhar Patwardhan</v>
      </c>
      <c r="C121" s="18">
        <v>45782</v>
      </c>
      <c r="D121" s="8" t="str">
        <v>Sutherland</v>
      </c>
      <c r="E121" s="19">
        <v>62500</v>
      </c>
      <c r="F121" s="12" t="str">
        <v>Pending</v>
      </c>
      <c r="G121" s="18" t="str">
        <v>NA</v>
      </c>
      <c r="H121" s="20">
        <v>24</v>
      </c>
      <c r="I121" s="18" t="str">
        <v>JPC - 224907</v>
      </c>
      <c r="J121" s="18" t="str">
        <v>FTE</v>
      </c>
      <c r="K121" s="8">
        <f t="shared" ca="1" si="10"/>
        <v>262</v>
      </c>
      <c r="L121" s="8" t="str">
        <f ca="1">IF(K121&gt;=90,"Yes","No")</f>
        <v>Yes</v>
      </c>
    </row>
    <row r="122" spans="1:12" x14ac:dyDescent="0.3">
      <c r="A122" s="24"/>
      <c r="B122" s="8" t="str">
        <v>Abhishek Pandey</v>
      </c>
      <c r="C122" s="18">
        <v>45945</v>
      </c>
      <c r="D122" s="8" t="str">
        <v>Coforge</v>
      </c>
      <c r="E122" s="19">
        <v>0</v>
      </c>
      <c r="F122" s="12" t="str">
        <v>Pending</v>
      </c>
      <c r="G122" s="18">
        <v>45960</v>
      </c>
      <c r="H122" s="20">
        <v>155</v>
      </c>
      <c r="I122" s="18" t="str">
        <v>JPC - 224936</v>
      </c>
      <c r="J122" s="18" t="str">
        <v>FTE</v>
      </c>
      <c r="K122" s="8">
        <f t="shared" ca="1" si="10"/>
        <v>15</v>
      </c>
      <c r="L122" s="8" t="str">
        <f ca="1">IF(K122&gt;=90,"Yes","No")</f>
        <v>No</v>
      </c>
    </row>
    <row r="123" spans="1:12" x14ac:dyDescent="0.3">
      <c r="A123" s="24"/>
      <c r="B123" s="8"/>
      <c r="C123" s="18"/>
      <c r="D123" s="8"/>
      <c r="E123" s="19"/>
      <c r="F123" s="12"/>
      <c r="G123" s="18"/>
      <c r="H123" s="18"/>
      <c r="I123" s="18"/>
      <c r="J123" s="18"/>
      <c r="K123" s="8">
        <f t="shared" ca="1" si="10"/>
        <v>0</v>
      </c>
      <c r="L123" s="8" t="str">
        <f t="shared" ref="L123:L127" ca="1" si="11">IF(K123&gt;=90,"Yes","No")</f>
        <v>No</v>
      </c>
    </row>
    <row r="124" spans="1:12" x14ac:dyDescent="0.3">
      <c r="A124" s="24"/>
      <c r="B124" s="8"/>
      <c r="C124" s="18"/>
      <c r="D124" s="8"/>
      <c r="E124" s="19"/>
      <c r="F124" s="12"/>
      <c r="G124" s="18"/>
      <c r="H124" s="18"/>
      <c r="I124" s="18"/>
      <c r="J124" s="18"/>
      <c r="K124" s="8">
        <f t="shared" ca="1" si="10"/>
        <v>0</v>
      </c>
      <c r="L124" s="8" t="str">
        <f t="shared" ca="1" si="11"/>
        <v>No</v>
      </c>
    </row>
    <row r="125" spans="1:12" x14ac:dyDescent="0.3">
      <c r="A125" s="24"/>
      <c r="B125" s="8"/>
      <c r="C125" s="18"/>
      <c r="D125" s="8"/>
      <c r="E125" s="19"/>
      <c r="F125" s="12"/>
      <c r="G125" s="18"/>
      <c r="H125" s="18"/>
      <c r="I125" s="18"/>
      <c r="J125" s="18"/>
      <c r="K125" s="8">
        <f t="shared" ca="1" si="10"/>
        <v>0</v>
      </c>
      <c r="L125" s="8" t="str">
        <f t="shared" ca="1" si="11"/>
        <v>No</v>
      </c>
    </row>
    <row r="126" spans="1:12" x14ac:dyDescent="0.3">
      <c r="A126" s="24"/>
      <c r="B126" s="8"/>
      <c r="C126" s="18"/>
      <c r="D126" s="8"/>
      <c r="E126" s="19"/>
      <c r="F126" s="12"/>
      <c r="G126" s="18"/>
      <c r="H126" s="18"/>
      <c r="I126" s="18"/>
      <c r="J126" s="18"/>
      <c r="K126" s="8">
        <f t="shared" ca="1" si="10"/>
        <v>0</v>
      </c>
      <c r="L126" s="8" t="str">
        <f t="shared" ca="1" si="11"/>
        <v>No</v>
      </c>
    </row>
    <row r="127" spans="1:12" x14ac:dyDescent="0.3">
      <c r="A127" s="25"/>
      <c r="B127" s="8"/>
      <c r="C127" s="18"/>
      <c r="D127" s="8"/>
      <c r="E127" s="19"/>
      <c r="F127" s="12"/>
      <c r="G127" s="18"/>
      <c r="H127" s="18"/>
      <c r="I127" s="18"/>
      <c r="J127" s="18"/>
      <c r="K127" s="8">
        <f t="shared" ca="1" si="10"/>
        <v>0</v>
      </c>
      <c r="L127" s="8" t="str">
        <f t="shared" ca="1" si="11"/>
        <v>No</v>
      </c>
    </row>
    <row r="131" spans="1:12" x14ac:dyDescent="0.3">
      <c r="A131" s="5" t="s">
        <v>1</v>
      </c>
      <c r="B131" s="6" t="s">
        <v>2</v>
      </c>
      <c r="C131" s="5" t="s">
        <v>3</v>
      </c>
      <c r="D131" s="5" t="s">
        <v>4</v>
      </c>
      <c r="E131" s="5" t="s">
        <v>5</v>
      </c>
      <c r="F131" s="5" t="s">
        <v>6</v>
      </c>
      <c r="G131" s="5" t="s">
        <v>7</v>
      </c>
      <c r="H131" s="7" t="s">
        <v>8</v>
      </c>
      <c r="I131" s="5" t="s">
        <v>9</v>
      </c>
      <c r="J131" s="5" t="s">
        <v>29</v>
      </c>
      <c r="K131" s="5" t="s">
        <v>11</v>
      </c>
      <c r="L131" s="5" t="s">
        <v>12</v>
      </c>
    </row>
    <row r="132" spans="1:12" x14ac:dyDescent="0.3">
      <c r="A132" s="8" t="s">
        <v>13</v>
      </c>
      <c r="B132" s="4" t="str">
        <f>_xlfn.XLOOKUP($C132,'[1]Data Validation (2)'!$B$3:$B$31,'[1]Data Validation (2)'!$D$3:$D$31)</f>
        <v>VB0013</v>
      </c>
      <c r="C132" s="9" t="s">
        <v>39</v>
      </c>
      <c r="D132" s="8" t="str">
        <f>_xlfn.XLOOKUP($C132,'[1]Data Validation (2)'!$B$3:$B$31,'[1]Data Validation (2)'!$C$3:$C$31)</f>
        <v>Mayank Saxena</v>
      </c>
      <c r="E132" s="8">
        <f>_xlfn.XLOOKUP($C132,'[1]Ach % - L4'!$B$2:$B$27,'[1]Ach % - L4'!$E$2:$E$27)</f>
        <v>120000</v>
      </c>
      <c r="F132" s="10">
        <f>_xlfn.XLOOKUP($C132,'[1]Ach % - L4'!$B$2:$B$27,'[1]Ach % - L4'!$G$2:$G$27)</f>
        <v>1.2666666666666666</v>
      </c>
      <c r="G132" s="11">
        <f>SUM(E134:E141)</f>
        <v>152000</v>
      </c>
      <c r="H132" s="11">
        <f ca="1">SUMIFS($E133:$E142,$L133:$L142,"yes",F133:F142,"Done")</f>
        <v>21600</v>
      </c>
      <c r="I132" s="12" cm="1">
        <f t="array" ref="I132">_xlfn.IFS($F132&lt;=1%,0%,$F132&lt;=50%,1.75%,$F132&lt;=70%,2.25%,$F132&lt;=85%,2.75%,$F132&gt;85%,4%)</f>
        <v>0.04</v>
      </c>
      <c r="J132" s="11">
        <f>G132*I132</f>
        <v>6080</v>
      </c>
      <c r="K132" s="8">
        <f>J132*80</f>
        <v>486400</v>
      </c>
      <c r="L132" s="9">
        <f ca="1">(H132*I132)*80</f>
        <v>69120</v>
      </c>
    </row>
    <row r="133" spans="1:12" x14ac:dyDescent="0.3">
      <c r="A133" s="15" t="s">
        <v>3</v>
      </c>
      <c r="B133" s="15" t="s">
        <v>15</v>
      </c>
      <c r="C133" s="15" t="s">
        <v>16</v>
      </c>
      <c r="D133" s="15" t="s">
        <v>17</v>
      </c>
      <c r="E133" s="15" t="s">
        <v>18</v>
      </c>
      <c r="F133" s="15" t="s">
        <v>19</v>
      </c>
      <c r="G133" s="15" t="s">
        <v>20</v>
      </c>
      <c r="H133" s="15" t="s">
        <v>21</v>
      </c>
      <c r="I133" s="15" t="s">
        <v>22</v>
      </c>
      <c r="J133" s="15" t="s">
        <v>23</v>
      </c>
      <c r="K133" s="15" t="s">
        <v>24</v>
      </c>
      <c r="L133" s="15" t="s">
        <v>25</v>
      </c>
    </row>
    <row r="134" spans="1:12" x14ac:dyDescent="0.3">
      <c r="A134" s="23" t="str">
        <f>C132</f>
        <v>Govind Srivastava</v>
      </c>
      <c r="B134" s="8" t="str" cm="1">
        <f t="array" ref="B134:J137">IFERROR(_xlfn.CHOOSECOLS(_xlfn._xlws.FILTER('[1]Vantedge - dummy Placement data'!E:AA, '[1]Vantedge - dummy Placement data'!B:B=$C132), 1, 7, 9, 11, 14, 8, 21, 22, 23), "")</f>
        <v>Satish Manam</v>
      </c>
      <c r="C134" s="18">
        <v>45740</v>
      </c>
      <c r="D134" s="8" t="str">
        <v>Digitide</v>
      </c>
      <c r="E134" s="19">
        <v>29900</v>
      </c>
      <c r="F134" s="12" t="str">
        <v>Pending</v>
      </c>
      <c r="G134" s="18" t="str">
        <v>NA</v>
      </c>
      <c r="H134" s="20">
        <v>434</v>
      </c>
      <c r="I134" s="18" t="str">
        <v>JPC - 224903</v>
      </c>
      <c r="J134" s="18" t="str">
        <v>FTE</v>
      </c>
      <c r="K134" s="8">
        <f ca="1">IF(G134&lt;&gt;"NA", G134 - C134, TODAY() - C134)</f>
        <v>304</v>
      </c>
      <c r="L134" s="8" t="str">
        <f ca="1">IF(K134&gt;=90,"Yes","No")</f>
        <v>Yes</v>
      </c>
    </row>
    <row r="135" spans="1:12" x14ac:dyDescent="0.3">
      <c r="A135" s="24"/>
      <c r="B135" s="8" t="str">
        <v>Donna Hulina</v>
      </c>
      <c r="C135" s="18">
        <v>45789</v>
      </c>
      <c r="D135" s="8" t="str">
        <v>Myridius</v>
      </c>
      <c r="E135" s="19">
        <v>21600</v>
      </c>
      <c r="F135" s="12" t="str">
        <v>Done</v>
      </c>
      <c r="G135" s="18" t="str">
        <v>NA</v>
      </c>
      <c r="H135" s="20">
        <v>438</v>
      </c>
      <c r="I135" s="18" t="str">
        <v>JPC - 224908</v>
      </c>
      <c r="J135" s="18" t="str">
        <v>FTE</v>
      </c>
      <c r="K135" s="8">
        <f ca="1">IF(G135&lt;&gt;"NA", G135 - C135, TODAY() - C135)</f>
        <v>255</v>
      </c>
      <c r="L135" s="8" t="str">
        <f ca="1">IF(K135&gt;=90,"Yes","No")</f>
        <v>Yes</v>
      </c>
    </row>
    <row r="136" spans="1:12" x14ac:dyDescent="0.3">
      <c r="A136" s="24"/>
      <c r="B136" s="8" t="str">
        <v>Inderpuneet Sohanpal</v>
      </c>
      <c r="C136" s="18">
        <v>45845</v>
      </c>
      <c r="D136" s="8" t="str">
        <v>Visionet</v>
      </c>
      <c r="E136" s="19">
        <v>40500</v>
      </c>
      <c r="F136" s="12" t="str">
        <v>Pending</v>
      </c>
      <c r="G136" s="18" t="str">
        <v>NA</v>
      </c>
      <c r="H136" s="20">
        <v>150</v>
      </c>
      <c r="I136" s="18" t="str">
        <v>JPC - 224913</v>
      </c>
      <c r="J136" s="18" t="str">
        <v>FTE</v>
      </c>
      <c r="K136" s="8">
        <f ca="1">IF(G136&lt;&gt;"NA", G136 - C136, TODAY() - C136)</f>
        <v>199</v>
      </c>
      <c r="L136" s="8" t="str">
        <f ca="1">IF(K136&gt;=90,"Yes","No")</f>
        <v>Yes</v>
      </c>
    </row>
    <row r="137" spans="1:12" x14ac:dyDescent="0.3">
      <c r="A137" s="24"/>
      <c r="B137" s="8" t="str">
        <v>Satheesh Naik</v>
      </c>
      <c r="C137" s="18">
        <v>45848</v>
      </c>
      <c r="D137" s="8" t="str">
        <v>Sutherland</v>
      </c>
      <c r="E137" s="19">
        <v>60000</v>
      </c>
      <c r="F137" s="12" t="str">
        <v>Pending</v>
      </c>
      <c r="G137" s="18" t="str">
        <v>NA</v>
      </c>
      <c r="H137" s="20">
        <v>24</v>
      </c>
      <c r="I137" s="18" t="str">
        <v>JPC - 224915</v>
      </c>
      <c r="J137" s="18" t="str">
        <v>FTE</v>
      </c>
      <c r="K137" s="8">
        <f ca="1">IF(G137&lt;&gt;"NA", G137 - C137, TODAY() - C137)</f>
        <v>196</v>
      </c>
      <c r="L137" s="8" t="str">
        <f t="shared" ref="L137:L141" ca="1" si="12">IF(K137&gt;=90,"Yes","No")</f>
        <v>Yes</v>
      </c>
    </row>
    <row r="138" spans="1:12" x14ac:dyDescent="0.3">
      <c r="A138" s="24"/>
      <c r="B138" s="8"/>
      <c r="C138" s="18"/>
      <c r="D138" s="8"/>
      <c r="E138" s="19"/>
      <c r="F138" s="12"/>
      <c r="G138" s="18"/>
      <c r="H138" s="18"/>
      <c r="I138" s="18"/>
      <c r="J138" s="18"/>
      <c r="K138" s="8"/>
      <c r="L138" s="8"/>
    </row>
    <row r="139" spans="1:12" x14ac:dyDescent="0.3">
      <c r="A139" s="24"/>
      <c r="B139" s="8"/>
      <c r="C139" s="18"/>
      <c r="D139" s="8"/>
      <c r="E139" s="19"/>
      <c r="F139" s="12"/>
      <c r="G139" s="18"/>
      <c r="H139" s="18"/>
      <c r="I139" s="18"/>
      <c r="J139" s="18"/>
      <c r="K139" s="8"/>
      <c r="L139" s="8"/>
    </row>
    <row r="140" spans="1:12" x14ac:dyDescent="0.3">
      <c r="A140" s="24"/>
      <c r="B140" s="8"/>
      <c r="C140" s="18"/>
      <c r="D140" s="8"/>
      <c r="E140" s="19"/>
      <c r="F140" s="12"/>
      <c r="G140" s="18"/>
      <c r="H140" s="18"/>
      <c r="I140" s="18"/>
      <c r="J140" s="18"/>
      <c r="K140" s="8"/>
      <c r="L140" s="8"/>
    </row>
    <row r="141" spans="1:12" x14ac:dyDescent="0.3">
      <c r="A141" s="25"/>
      <c r="B141" s="8"/>
      <c r="C141" s="18"/>
      <c r="D141" s="8"/>
      <c r="E141" s="19"/>
      <c r="F141" s="12"/>
      <c r="G141" s="18"/>
      <c r="H141" s="18"/>
      <c r="I141" s="18"/>
      <c r="J141" s="18"/>
      <c r="K141" s="8">
        <f ca="1">IF(G141&lt;&gt;"NA", G141 - C141, TODAY() - C141)</f>
        <v>0</v>
      </c>
      <c r="L141" s="8" t="str">
        <f t="shared" ca="1" si="12"/>
        <v>No</v>
      </c>
    </row>
    <row r="144" spans="1:12" x14ac:dyDescent="0.3">
      <c r="A144" s="5" t="s">
        <v>1</v>
      </c>
      <c r="B144" s="6" t="s">
        <v>2</v>
      </c>
      <c r="C144" s="5" t="s">
        <v>3</v>
      </c>
      <c r="D144" s="5" t="s">
        <v>4</v>
      </c>
      <c r="E144" s="5" t="s">
        <v>5</v>
      </c>
      <c r="F144" s="5" t="s">
        <v>6</v>
      </c>
      <c r="G144" s="5" t="s">
        <v>7</v>
      </c>
      <c r="H144" s="7" t="s">
        <v>8</v>
      </c>
      <c r="I144" s="5" t="s">
        <v>9</v>
      </c>
      <c r="J144" s="5" t="s">
        <v>29</v>
      </c>
      <c r="K144" s="5" t="s">
        <v>11</v>
      </c>
      <c r="L144" s="5" t="s">
        <v>12</v>
      </c>
    </row>
    <row r="145" spans="1:12" x14ac:dyDescent="0.3">
      <c r="A145" s="8" t="s">
        <v>13</v>
      </c>
      <c r="B145" s="4" t="str">
        <f>_xlfn.XLOOKUP($C145,'[1]Data Validation (2)'!$B$3:$B$31,'[1]Data Validation (2)'!$D$3:$D$31)</f>
        <v>VB0014</v>
      </c>
      <c r="C145" s="9" t="s">
        <v>40</v>
      </c>
      <c r="D145" s="8" t="str">
        <f>_xlfn.XLOOKUP($C145,'[1]Data Validation (2)'!$B$3:$B$31,'[1]Data Validation (2)'!$C$3:$C$31)</f>
        <v>Mayank Saxena</v>
      </c>
      <c r="E145" s="8">
        <f>_xlfn.XLOOKUP($C145,'[1]Ach % - L4'!$B$2:$B$27,'[1]Ach % - L4'!$E$2:$E$27)</f>
        <v>55000</v>
      </c>
      <c r="F145" s="10">
        <f>_xlfn.XLOOKUP($C145,'[1]Ach % - L4'!$B$2:$B$27,'[1]Ach % - L4'!$G$2:$G$27)</f>
        <v>1.0454545454545454</v>
      </c>
      <c r="G145" s="11">
        <f>SUM(E147:E153)</f>
        <v>57500</v>
      </c>
      <c r="H145" s="11">
        <f ca="1">SUMIFS($E146:$E154,$L146:$L154,"yes",F146:F154,"Done")</f>
        <v>0</v>
      </c>
      <c r="I145" s="12" cm="1">
        <f t="array" ref="I145">_xlfn.IFS($F145&lt;=1%,0%,$F145&lt;=50%,1.75%,$F145&lt;=70%,2.25%,$F145&lt;=85%,2.75%,$F145&gt;85%,4%)</f>
        <v>0.04</v>
      </c>
      <c r="J145" s="11">
        <f>G145*I145</f>
        <v>2300</v>
      </c>
      <c r="K145" s="8">
        <f>J145*80</f>
        <v>184000</v>
      </c>
      <c r="L145" s="9">
        <f ca="1">(H145*I145)*80</f>
        <v>0</v>
      </c>
    </row>
    <row r="146" spans="1:12" x14ac:dyDescent="0.3">
      <c r="A146" s="15" t="s">
        <v>3</v>
      </c>
      <c r="B146" s="15" t="s">
        <v>15</v>
      </c>
      <c r="C146" s="15" t="s">
        <v>16</v>
      </c>
      <c r="D146" s="15" t="s">
        <v>17</v>
      </c>
      <c r="E146" s="15" t="s">
        <v>18</v>
      </c>
      <c r="F146" s="15" t="s">
        <v>19</v>
      </c>
      <c r="G146" s="15" t="s">
        <v>20</v>
      </c>
      <c r="H146" s="15" t="s">
        <v>21</v>
      </c>
      <c r="I146" s="15" t="s">
        <v>22</v>
      </c>
      <c r="J146" s="15" t="s">
        <v>23</v>
      </c>
      <c r="K146" s="15" t="s">
        <v>24</v>
      </c>
      <c r="L146" s="15" t="s">
        <v>25</v>
      </c>
    </row>
    <row r="147" spans="1:12" x14ac:dyDescent="0.3">
      <c r="A147" s="23" t="str">
        <f>C145</f>
        <v>Umang Srivastava</v>
      </c>
      <c r="B147" s="8" t="str" cm="1">
        <f t="array" ref="B147:J147">IFERROR(_xlfn.CHOOSECOLS(_xlfn._xlws.FILTER('[1]Vantedge - dummy Placement data'!E:AA, '[1]Vantedge - dummy Placement data'!B:B=$C145), 1, 7, 9, 11, 14, 8, 21, 22, 23), "")</f>
        <v>Ramkishen Kalyana</v>
      </c>
      <c r="C147" s="18">
        <v>45840</v>
      </c>
      <c r="D147" s="8" t="str">
        <v>Sutherland</v>
      </c>
      <c r="E147" s="19">
        <v>57500</v>
      </c>
      <c r="F147" s="12" t="str">
        <v>Pending</v>
      </c>
      <c r="G147" s="18" t="str">
        <v>NA</v>
      </c>
      <c r="H147" s="20">
        <v>24</v>
      </c>
      <c r="I147" s="18" t="str">
        <v>JPC - 224914</v>
      </c>
      <c r="J147" s="18" t="str">
        <v>FTE</v>
      </c>
      <c r="K147" s="8">
        <f ca="1">IF(G147&lt;&gt;"NA", G147 - C147, TODAY() - C147)</f>
        <v>204</v>
      </c>
      <c r="L147" s="8" t="str">
        <f ca="1">IF(K147&gt;=90,"Yes","No")</f>
        <v>Yes</v>
      </c>
    </row>
    <row r="148" spans="1:12" x14ac:dyDescent="0.3">
      <c r="A148" s="24"/>
      <c r="B148" s="8"/>
      <c r="C148" s="18"/>
      <c r="D148" s="8"/>
      <c r="E148" s="19"/>
      <c r="F148" s="12"/>
      <c r="G148" s="18"/>
      <c r="H148" s="18"/>
      <c r="I148" s="18"/>
      <c r="J148" s="18"/>
      <c r="K148" s="8">
        <f ca="1">IF(G148&lt;&gt;"NA", G148 - C148, TODAY() - C148)</f>
        <v>0</v>
      </c>
      <c r="L148" s="8" t="str">
        <f ca="1">IF(K148&gt;=90,"Yes","No")</f>
        <v>No</v>
      </c>
    </row>
    <row r="149" spans="1:12" x14ac:dyDescent="0.3">
      <c r="A149" s="24"/>
      <c r="B149" s="8"/>
      <c r="C149" s="18"/>
      <c r="D149" s="8"/>
      <c r="E149" s="19"/>
      <c r="F149" s="12"/>
      <c r="G149" s="18"/>
      <c r="H149" s="18"/>
      <c r="I149" s="18"/>
      <c r="J149" s="18"/>
      <c r="K149" s="8">
        <f ca="1">IF(G149&lt;&gt;"NA", G149 - C149, TODAY() - C149)</f>
        <v>0</v>
      </c>
      <c r="L149" s="8" t="str">
        <f ca="1">IF(K149&gt;=90,"Yes","No")</f>
        <v>No</v>
      </c>
    </row>
    <row r="150" spans="1:12" x14ac:dyDescent="0.3">
      <c r="A150" s="24"/>
      <c r="B150" s="8"/>
      <c r="C150" s="18"/>
      <c r="D150" s="8"/>
      <c r="E150" s="19"/>
      <c r="F150" s="12"/>
      <c r="G150" s="18"/>
      <c r="H150" s="18"/>
      <c r="I150" s="18"/>
      <c r="J150" s="18"/>
      <c r="K150" s="8"/>
      <c r="L150" s="8"/>
    </row>
    <row r="151" spans="1:12" x14ac:dyDescent="0.3">
      <c r="A151" s="24"/>
      <c r="B151" s="8"/>
      <c r="C151" s="18"/>
      <c r="D151" s="8"/>
      <c r="E151" s="19"/>
      <c r="F151" s="12"/>
      <c r="G151" s="18"/>
      <c r="H151" s="18"/>
      <c r="I151" s="18"/>
      <c r="J151" s="18"/>
      <c r="K151" s="8"/>
      <c r="L151" s="8"/>
    </row>
    <row r="152" spans="1:12" x14ac:dyDescent="0.3">
      <c r="A152" s="24"/>
      <c r="B152" s="8"/>
      <c r="C152" s="18"/>
      <c r="D152" s="8"/>
      <c r="E152" s="19"/>
      <c r="F152" s="12"/>
      <c r="G152" s="18"/>
      <c r="H152" s="18"/>
      <c r="I152" s="18"/>
      <c r="J152" s="18"/>
      <c r="K152" s="8">
        <f ca="1">IF(G152&lt;&gt;"NA", G152 - C152, TODAY() - C152)</f>
        <v>0</v>
      </c>
      <c r="L152" s="8" t="str">
        <f t="shared" ref="L152:L153" ca="1" si="13">IF(K152&gt;=90,"Yes","No")</f>
        <v>No</v>
      </c>
    </row>
    <row r="153" spans="1:12" x14ac:dyDescent="0.3">
      <c r="A153" s="25"/>
      <c r="B153" s="8"/>
      <c r="C153" s="18"/>
      <c r="D153" s="8"/>
      <c r="E153" s="19"/>
      <c r="F153" s="12"/>
      <c r="G153" s="18"/>
      <c r="H153" s="18"/>
      <c r="I153" s="18"/>
      <c r="J153" s="18"/>
      <c r="K153" s="8">
        <f ca="1">IF(G153&lt;&gt;"NA", G153 - C153, TODAY() - C153)</f>
        <v>0</v>
      </c>
      <c r="L153" s="8" t="str">
        <f t="shared" ca="1" si="13"/>
        <v>No</v>
      </c>
    </row>
    <row r="155" spans="1:12" x14ac:dyDescent="0.3">
      <c r="A155" s="5" t="s">
        <v>1</v>
      </c>
      <c r="B155" s="6" t="s">
        <v>2</v>
      </c>
      <c r="C155" s="5" t="s">
        <v>3</v>
      </c>
      <c r="D155" s="5" t="s">
        <v>4</v>
      </c>
      <c r="E155" s="5" t="s">
        <v>5</v>
      </c>
      <c r="F155" s="5" t="s">
        <v>6</v>
      </c>
      <c r="G155" s="5" t="s">
        <v>7</v>
      </c>
      <c r="H155" s="7" t="s">
        <v>8</v>
      </c>
      <c r="I155" s="5" t="s">
        <v>9</v>
      </c>
      <c r="J155" s="5" t="s">
        <v>29</v>
      </c>
      <c r="K155" s="5" t="s">
        <v>11</v>
      </c>
      <c r="L155" s="5" t="s">
        <v>12</v>
      </c>
    </row>
    <row r="156" spans="1:12" x14ac:dyDescent="0.3">
      <c r="A156" s="8" t="s">
        <v>13</v>
      </c>
      <c r="B156" s="4" t="str">
        <f>_xlfn.XLOOKUP($C156,'[1]Data Validation (2)'!$B$3:$B$31,'[1]Data Validation (2)'!$D$3:$D$31)</f>
        <v>VB0015</v>
      </c>
      <c r="C156" s="9" t="s">
        <v>41</v>
      </c>
      <c r="D156" s="8" t="str">
        <f>_xlfn.XLOOKUP($C156,'[1]Data Validation (2)'!$B$3:$B$31,'[1]Data Validation (2)'!$C$3:$C$31)</f>
        <v>Anshul Kumar</v>
      </c>
      <c r="E156" s="8">
        <f>_xlfn.XLOOKUP($C156,'[1]Ach % - L4'!$B$2:$B$27,'[1]Ach % - L4'!$E$2:$E$27)</f>
        <v>50000</v>
      </c>
      <c r="F156" s="10">
        <f>_xlfn.XLOOKUP($C156,'[1]Ach % - L4'!$B$2:$B$27,'[1]Ach % - L4'!$G$2:$G$27)</f>
        <v>1.9219999999999999</v>
      </c>
      <c r="G156" s="11">
        <f>SUM(E158:E164)</f>
        <v>96100</v>
      </c>
      <c r="H156" s="11">
        <f ca="1">SUMIFS($E157:$E165,$L157:$L165,"yes",F157:F165,"Done")</f>
        <v>39600</v>
      </c>
      <c r="I156" s="12" cm="1">
        <f t="array" ref="I156">_xlfn.IFS($F156&lt;=1%,0%,$F156&lt;=50%,1.75%,$F156&lt;=70%,2.25%,$F156&lt;=85%,2.75%,$F156&gt;85%,4%)</f>
        <v>0.04</v>
      </c>
      <c r="J156" s="11">
        <f>G156*I156</f>
        <v>3844</v>
      </c>
      <c r="K156" s="8">
        <f>J156*80</f>
        <v>307520</v>
      </c>
      <c r="L156" s="9">
        <f ca="1">(H156*I156)*80</f>
        <v>126720</v>
      </c>
    </row>
    <row r="157" spans="1:12" x14ac:dyDescent="0.3">
      <c r="A157" s="15" t="s">
        <v>3</v>
      </c>
      <c r="B157" s="15" t="s">
        <v>15</v>
      </c>
      <c r="C157" s="15" t="s">
        <v>16</v>
      </c>
      <c r="D157" s="15" t="s">
        <v>17</v>
      </c>
      <c r="E157" s="15" t="s">
        <v>18</v>
      </c>
      <c r="F157" s="15" t="s">
        <v>19</v>
      </c>
      <c r="G157" s="15" t="s">
        <v>20</v>
      </c>
      <c r="H157" s="15"/>
      <c r="I157" s="15"/>
      <c r="J157" s="15"/>
      <c r="K157" s="15" t="s">
        <v>24</v>
      </c>
      <c r="L157" s="15" t="s">
        <v>25</v>
      </c>
    </row>
    <row r="158" spans="1:12" x14ac:dyDescent="0.3">
      <c r="A158" s="23" t="str">
        <f>C156</f>
        <v>Anshul Kumar</v>
      </c>
      <c r="B158" s="8" t="str" cm="1">
        <f t="array" ref="B158:J160">IFERROR(_xlfn.CHOOSECOLS(_xlfn._xlws.FILTER('[1]Vantedge - dummy Placement data'!E:AA, '[1]Vantedge - dummy Placement data'!B:B=$C156), 1, 7, 9, 11, 14, 8, 21, 22, 23), "")</f>
        <v>David Mussan-Levy</v>
      </c>
      <c r="C158" s="18">
        <v>45659</v>
      </c>
      <c r="D158" s="8" t="str">
        <v>Visionet</v>
      </c>
      <c r="E158" s="19">
        <v>30000</v>
      </c>
      <c r="F158" s="12" t="str">
        <v>Pending</v>
      </c>
      <c r="G158" s="18" t="str">
        <v>NA</v>
      </c>
      <c r="H158" s="20">
        <v>150</v>
      </c>
      <c r="I158" s="18" t="str">
        <v>JPC - 224892</v>
      </c>
      <c r="J158" s="18" t="str">
        <v>FTE</v>
      </c>
      <c r="K158" s="8">
        <f ca="1">IF(G158&lt;&gt;"NA", G158 - C158, TODAY() - C158)</f>
        <v>385</v>
      </c>
      <c r="L158" s="8" t="str">
        <f ca="1">IF(K158&gt;=90,"Yes","No")</f>
        <v>Yes</v>
      </c>
    </row>
    <row r="159" spans="1:12" x14ac:dyDescent="0.3">
      <c r="A159" s="24"/>
      <c r="B159" s="8" t="str">
        <v>David Jaime Illescas</v>
      </c>
      <c r="C159" s="18">
        <v>45740</v>
      </c>
      <c r="D159" s="8" t="str">
        <v>ACL Digital</v>
      </c>
      <c r="E159" s="19">
        <v>39600</v>
      </c>
      <c r="F159" s="12" t="str">
        <v>Done</v>
      </c>
      <c r="G159" s="18" t="str">
        <v>NA</v>
      </c>
      <c r="H159" s="20">
        <v>193</v>
      </c>
      <c r="I159" s="18" t="str">
        <v>JPC - 224901</v>
      </c>
      <c r="J159" s="18" t="str">
        <v>FTE</v>
      </c>
      <c r="K159" s="8">
        <f ca="1">IF(G159&lt;&gt;"NA", G159 - C159, TODAY() - C159)</f>
        <v>304</v>
      </c>
      <c r="L159" s="8" t="str">
        <f ca="1">IF(K159&gt;=90,"Yes","No")</f>
        <v>Yes</v>
      </c>
    </row>
    <row r="160" spans="1:12" x14ac:dyDescent="0.3">
      <c r="A160" s="24"/>
      <c r="B160" s="8" t="str">
        <v>Sachin Ahuja</v>
      </c>
      <c r="C160" s="18">
        <v>45922</v>
      </c>
      <c r="D160" s="8" t="str">
        <v>LTTS</v>
      </c>
      <c r="E160" s="19">
        <v>26500</v>
      </c>
      <c r="F160" s="12" t="str">
        <v>Pending</v>
      </c>
      <c r="G160" s="18" t="str">
        <v>NA</v>
      </c>
      <c r="H160" s="20">
        <v>251</v>
      </c>
      <c r="I160" s="18" t="str">
        <v>JPC - 224932</v>
      </c>
      <c r="J160" s="18" t="str">
        <v>FTE</v>
      </c>
      <c r="K160" s="8">
        <f ca="1">IF(G160&lt;&gt;"NA", G160 - C160, TODAY() - C160)</f>
        <v>122</v>
      </c>
      <c r="L160" s="8" t="str">
        <f ca="1">IF(K160&gt;=90,"Yes","No")</f>
        <v>Yes</v>
      </c>
    </row>
    <row r="161" spans="1:12" x14ac:dyDescent="0.3">
      <c r="A161" s="24"/>
      <c r="B161" s="8"/>
      <c r="C161" s="18"/>
      <c r="D161" s="8"/>
      <c r="E161" s="19"/>
      <c r="F161" s="12"/>
      <c r="G161" s="18"/>
      <c r="H161" s="18"/>
      <c r="I161" s="18"/>
      <c r="J161" s="18"/>
      <c r="K161" s="8">
        <f ca="1">IF(G161&lt;&gt;"NA", G161 - C161, TODAY() - C161)</f>
        <v>0</v>
      </c>
      <c r="L161" s="8" t="str">
        <f t="shared" ref="L161:L164" ca="1" si="14">IF(K161&gt;=90,"Yes","No")</f>
        <v>No</v>
      </c>
    </row>
    <row r="162" spans="1:12" x14ac:dyDescent="0.3">
      <c r="A162" s="24"/>
      <c r="B162" s="8"/>
      <c r="C162" s="18"/>
      <c r="D162" s="8"/>
      <c r="E162" s="19"/>
      <c r="F162" s="12"/>
      <c r="G162" s="18"/>
      <c r="H162" s="18"/>
      <c r="I162" s="18"/>
      <c r="J162" s="18"/>
      <c r="K162" s="8"/>
      <c r="L162" s="8"/>
    </row>
    <row r="163" spans="1:12" x14ac:dyDescent="0.3">
      <c r="A163" s="24"/>
      <c r="B163" s="8"/>
      <c r="C163" s="18"/>
      <c r="D163" s="8"/>
      <c r="E163" s="19"/>
      <c r="F163" s="12"/>
      <c r="G163" s="18"/>
      <c r="H163" s="18"/>
      <c r="I163" s="18"/>
      <c r="J163" s="18"/>
      <c r="K163" s="8"/>
      <c r="L163" s="8"/>
    </row>
    <row r="164" spans="1:12" x14ac:dyDescent="0.3">
      <c r="A164" s="25"/>
      <c r="B164" s="8"/>
      <c r="C164" s="18"/>
      <c r="D164" s="8"/>
      <c r="E164" s="19"/>
      <c r="F164" s="12"/>
      <c r="G164" s="18"/>
      <c r="H164" s="18"/>
      <c r="I164" s="18"/>
      <c r="J164" s="18"/>
      <c r="K164" s="8">
        <f ca="1">IF(G164&lt;&gt;"NA", G164 - C164, TODAY() - C164)</f>
        <v>0</v>
      </c>
      <c r="L164" s="8" t="str">
        <f t="shared" ca="1" si="14"/>
        <v>No</v>
      </c>
    </row>
    <row r="167" spans="1:12" x14ac:dyDescent="0.3">
      <c r="A167" s="5" t="s">
        <v>1</v>
      </c>
      <c r="B167" s="6" t="s">
        <v>2</v>
      </c>
      <c r="C167" s="5" t="s">
        <v>3</v>
      </c>
      <c r="D167" s="5" t="s">
        <v>4</v>
      </c>
      <c r="E167" s="5" t="s">
        <v>5</v>
      </c>
      <c r="F167" s="5" t="s">
        <v>6</v>
      </c>
      <c r="G167" s="5" t="s">
        <v>7</v>
      </c>
      <c r="H167" s="7" t="s">
        <v>8</v>
      </c>
      <c r="I167" s="5" t="s">
        <v>9</v>
      </c>
      <c r="J167" s="5" t="s">
        <v>29</v>
      </c>
      <c r="K167" s="5" t="s">
        <v>11</v>
      </c>
      <c r="L167" s="5" t="s">
        <v>12</v>
      </c>
    </row>
    <row r="168" spans="1:12" x14ac:dyDescent="0.3">
      <c r="A168" s="8" t="s">
        <v>13</v>
      </c>
      <c r="B168" s="4" t="str">
        <f>_xlfn.XLOOKUP($C168,'[1]Data Validation (2)'!$B$3:$B$31,'[1]Data Validation (2)'!$D$3:$D$31)</f>
        <v>VB0016</v>
      </c>
      <c r="C168" s="9" t="s">
        <v>42</v>
      </c>
      <c r="D168" s="8" t="str">
        <f>_xlfn.XLOOKUP($C168,'[1]Data Validation (2)'!$B$3:$B$31,'[1]Data Validation (2)'!$C$3:$C$31)</f>
        <v>Anshul Kumar</v>
      </c>
      <c r="E168" s="8">
        <f>_xlfn.XLOOKUP($C168,'[1]Ach % - L4'!$B$2:$B$27,'[1]Ach % - L4'!$E$2:$E$27)</f>
        <v>100000</v>
      </c>
      <c r="F168" s="10">
        <f>_xlfn.XLOOKUP($C168,'[1]Ach % - L4'!$B$2:$B$27,'[1]Ach % - L4'!$G$2:$G$27)</f>
        <v>0.38250000000000001</v>
      </c>
      <c r="G168" s="11">
        <f>SUM(E170:E176)</f>
        <v>38576</v>
      </c>
      <c r="H168" s="11">
        <f ca="1">SUMIFS($E169:$E177,$L169:$L177,"yes",F169:F177,"Done")</f>
        <v>38576</v>
      </c>
      <c r="I168" s="12" cm="1">
        <f t="array" ref="I168">_xlfn.IFS($F168&lt;=1%,0%,$F168&lt;=50%,1.75%,$F168&lt;=70%,2.25%,$F168&lt;=85%,2.75%,$F168&gt;85%,4%)</f>
        <v>1.7500000000000002E-2</v>
      </c>
      <c r="J168" s="11">
        <f>G168*I168</f>
        <v>675.08</v>
      </c>
      <c r="K168" s="8">
        <f>J168*80</f>
        <v>54006.400000000001</v>
      </c>
      <c r="L168" s="9">
        <f ca="1">(H168*I168)*80</f>
        <v>54006.400000000001</v>
      </c>
    </row>
    <row r="169" spans="1:12" x14ac:dyDescent="0.3">
      <c r="A169" s="15" t="s">
        <v>3</v>
      </c>
      <c r="B169" s="15" t="s">
        <v>15</v>
      </c>
      <c r="C169" s="15" t="s">
        <v>16</v>
      </c>
      <c r="D169" s="15" t="s">
        <v>17</v>
      </c>
      <c r="E169" s="15" t="s">
        <v>18</v>
      </c>
      <c r="F169" s="15" t="s">
        <v>19</v>
      </c>
      <c r="G169" s="15" t="s">
        <v>20</v>
      </c>
      <c r="H169" s="15" t="s">
        <v>21</v>
      </c>
      <c r="I169" s="15" t="s">
        <v>22</v>
      </c>
      <c r="J169" s="15" t="s">
        <v>23</v>
      </c>
      <c r="K169" s="15" t="s">
        <v>24</v>
      </c>
      <c r="L169" s="15" t="s">
        <v>25</v>
      </c>
    </row>
    <row r="170" spans="1:12" x14ac:dyDescent="0.3">
      <c r="A170" s="23" t="str">
        <f>C168</f>
        <v>Priyansh Khare</v>
      </c>
      <c r="B170" s="8" t="str" cm="1">
        <f t="array" ref="B170:J172">IFERROR(_xlfn.CHOOSECOLS(_xlfn._xlws.FILTER('[1]Vantedge - dummy Placement data'!E:AA, '[1]Vantedge - dummy Placement data'!B:B=$C168), 1, 7, 9, 11, 14, 8, 21, 22, 23), "")</f>
        <v>Brandon Ross</v>
      </c>
      <c r="C170" s="18">
        <v>45733</v>
      </c>
      <c r="D170" s="8" t="str">
        <v>VXI</v>
      </c>
      <c r="E170" s="19">
        <v>20250</v>
      </c>
      <c r="F170" s="12" t="str">
        <v>Done</v>
      </c>
      <c r="G170" s="18" t="str">
        <v>NA</v>
      </c>
      <c r="H170" s="20">
        <v>286</v>
      </c>
      <c r="I170" s="18" t="str">
        <v>JPC - 224900</v>
      </c>
      <c r="J170" s="18" t="str">
        <v>FTE</v>
      </c>
      <c r="K170" s="8">
        <f ca="1">IF(G170&lt;&gt;"NA", G170 - C170, TODAY() - C170)</f>
        <v>311</v>
      </c>
      <c r="L170" s="8" t="str">
        <f ca="1">IF(K170&gt;=90,"Yes","No")</f>
        <v>Yes</v>
      </c>
    </row>
    <row r="171" spans="1:12" x14ac:dyDescent="0.3">
      <c r="A171" s="24"/>
      <c r="B171" s="8" t="str">
        <v>Shawn Elkon</v>
      </c>
      <c r="C171" s="18">
        <v>45782</v>
      </c>
      <c r="D171" s="8" t="str">
        <v>Tech Mahindra</v>
      </c>
      <c r="E171" s="19">
        <v>18326</v>
      </c>
      <c r="F171" s="12" t="str">
        <v>Done</v>
      </c>
      <c r="G171" s="18" t="str">
        <v>NA</v>
      </c>
      <c r="H171" s="20">
        <v>8</v>
      </c>
      <c r="I171" s="18" t="str">
        <v>JPC - 224909</v>
      </c>
      <c r="J171" s="18" t="str">
        <v>FTE</v>
      </c>
      <c r="K171" s="8">
        <f ca="1">IF(G171&lt;&gt;"NA", G171 - C171, TODAY() - C171)</f>
        <v>262</v>
      </c>
      <c r="L171" s="8" t="str">
        <f ca="1">IF(K171&gt;=90,"Yes","No")</f>
        <v>Yes</v>
      </c>
    </row>
    <row r="172" spans="1:12" x14ac:dyDescent="0.3">
      <c r="A172" s="24"/>
      <c r="B172" s="8" t="str">
        <v>Amrita Singh</v>
      </c>
      <c r="C172" s="18">
        <v>45915</v>
      </c>
      <c r="D172" s="8" t="str">
        <v>InfoBeans</v>
      </c>
      <c r="E172" s="19">
        <v>0</v>
      </c>
      <c r="F172" s="12" t="str">
        <v>Pending</v>
      </c>
      <c r="G172" s="18" t="str">
        <v>NA</v>
      </c>
      <c r="H172" s="20">
        <v>448</v>
      </c>
      <c r="I172" s="18" t="str">
        <v>JPC - 224929</v>
      </c>
      <c r="J172" s="18" t="str">
        <v>FTE</v>
      </c>
      <c r="K172" s="8">
        <f ca="1">IF(G172&lt;&gt;"NA", G172 - C172, TODAY() - C172)</f>
        <v>129</v>
      </c>
      <c r="L172" s="8" t="str">
        <f ca="1">IF(K172&gt;=90,"Yes","No")</f>
        <v>Yes</v>
      </c>
    </row>
    <row r="173" spans="1:12" x14ac:dyDescent="0.3">
      <c r="A173" s="24"/>
      <c r="B173" s="8"/>
      <c r="C173" s="18"/>
      <c r="D173" s="8"/>
      <c r="E173" s="19"/>
      <c r="F173" s="12"/>
      <c r="G173" s="18"/>
      <c r="H173" s="20"/>
      <c r="I173" s="18"/>
      <c r="J173" s="18"/>
      <c r="K173" s="8">
        <f ca="1">IF(G173&lt;&gt;"NA", G173 - C173, TODAY() - C173)</f>
        <v>0</v>
      </c>
      <c r="L173" s="8" t="str">
        <f t="shared" ref="L173:L176" ca="1" si="15">IF(K173&gt;=90,"Yes","No")</f>
        <v>No</v>
      </c>
    </row>
    <row r="174" spans="1:12" x14ac:dyDescent="0.3">
      <c r="A174" s="24"/>
      <c r="B174" s="8"/>
      <c r="C174" s="18"/>
      <c r="D174" s="8"/>
      <c r="E174" s="19"/>
      <c r="F174" s="12"/>
      <c r="G174" s="18"/>
      <c r="H174" s="18"/>
      <c r="I174" s="18"/>
      <c r="J174" s="18"/>
      <c r="K174" s="8"/>
      <c r="L174" s="8"/>
    </row>
    <row r="175" spans="1:12" x14ac:dyDescent="0.3">
      <c r="A175" s="24"/>
      <c r="B175" s="8"/>
      <c r="C175" s="18"/>
      <c r="D175" s="8"/>
      <c r="E175" s="19"/>
      <c r="F175" s="12"/>
      <c r="G175" s="18"/>
      <c r="H175" s="18"/>
      <c r="I175" s="18"/>
      <c r="J175" s="18"/>
      <c r="K175" s="8"/>
      <c r="L175" s="8"/>
    </row>
    <row r="176" spans="1:12" x14ac:dyDescent="0.3">
      <c r="A176" s="25"/>
      <c r="B176" s="8"/>
      <c r="C176" s="18"/>
      <c r="D176" s="8"/>
      <c r="E176" s="19"/>
      <c r="F176" s="12"/>
      <c r="G176" s="18"/>
      <c r="H176" s="18"/>
      <c r="I176" s="18"/>
      <c r="J176" s="18"/>
      <c r="K176" s="8">
        <f ca="1">IF(G176&lt;&gt;"NA", G176 - C176, TODAY() - C176)</f>
        <v>0</v>
      </c>
      <c r="L176" s="8" t="str">
        <f t="shared" ca="1" si="15"/>
        <v>No</v>
      </c>
    </row>
    <row r="179" spans="1:12" x14ac:dyDescent="0.3">
      <c r="A179" s="5" t="s">
        <v>1</v>
      </c>
      <c r="B179" s="6" t="s">
        <v>2</v>
      </c>
      <c r="C179" s="5" t="s">
        <v>3</v>
      </c>
      <c r="D179" s="5" t="s">
        <v>4</v>
      </c>
      <c r="E179" s="5" t="s">
        <v>5</v>
      </c>
      <c r="F179" s="5" t="s">
        <v>6</v>
      </c>
      <c r="G179" s="5" t="s">
        <v>7</v>
      </c>
      <c r="H179" s="7" t="s">
        <v>8</v>
      </c>
      <c r="I179" s="5" t="s">
        <v>9</v>
      </c>
      <c r="J179" s="5" t="s">
        <v>29</v>
      </c>
      <c r="K179" s="5" t="s">
        <v>11</v>
      </c>
      <c r="L179" s="5" t="s">
        <v>12</v>
      </c>
    </row>
    <row r="180" spans="1:12" x14ac:dyDescent="0.3">
      <c r="A180" s="8" t="s">
        <v>13</v>
      </c>
      <c r="B180" s="4" t="str">
        <f>_xlfn.XLOOKUP($C180,'[1]Data Validation (2)'!$B$3:$B$31,'[1]Data Validation (2)'!$D$3:$D$31)</f>
        <v>VB0017</v>
      </c>
      <c r="C180" s="9" t="s">
        <v>43</v>
      </c>
      <c r="D180" s="8" t="str">
        <f>_xlfn.XLOOKUP($C180,'[1]Data Validation (2)'!$B$3:$B$31,'[1]Data Validation (2)'!$C$3:$C$31)</f>
        <v>Anshul Kumar</v>
      </c>
      <c r="E180" s="8">
        <f>_xlfn.XLOOKUP($C180,'[1]Ach % - L4'!$B$2:$B$27,'[1]Ach % - L4'!$E$2:$E$27)</f>
        <v>100000</v>
      </c>
      <c r="F180" s="10">
        <f>_xlfn.XLOOKUP($C180,'[1]Ach % - L4'!$B$2:$B$27,'[1]Ach % - L4'!$G$2:$G$27)</f>
        <v>0.86050000000000004</v>
      </c>
      <c r="G180" s="11">
        <f>SUM(E182:E188)</f>
        <v>86050</v>
      </c>
      <c r="H180" s="11">
        <f ca="1">SUMIFS($E181:$E189,$L181:$L189,"yes",F181:F189,"Done")</f>
        <v>27300</v>
      </c>
      <c r="I180" s="12" cm="1">
        <f t="array" ref="I180">_xlfn.IFS($F180&lt;=1%,0%,$F180&lt;=50%,1.75%,$F180&lt;=70%,2.25%,$F180&lt;=85%,2.75%,$F180&gt;85%,4%)</f>
        <v>0.04</v>
      </c>
      <c r="J180" s="11">
        <f>G180*I180</f>
        <v>3442</v>
      </c>
      <c r="K180" s="8">
        <f>J180*80</f>
        <v>275360</v>
      </c>
      <c r="L180" s="9">
        <f ca="1">(H180*I180)*80</f>
        <v>87360</v>
      </c>
    </row>
    <row r="181" spans="1:12" x14ac:dyDescent="0.3">
      <c r="A181" s="15" t="s">
        <v>3</v>
      </c>
      <c r="B181" s="15" t="s">
        <v>15</v>
      </c>
      <c r="C181" s="15" t="s">
        <v>16</v>
      </c>
      <c r="D181" s="15" t="s">
        <v>17</v>
      </c>
      <c r="E181" s="15" t="s">
        <v>18</v>
      </c>
      <c r="F181" s="15" t="s">
        <v>19</v>
      </c>
      <c r="G181" s="15" t="s">
        <v>20</v>
      </c>
      <c r="H181" s="15" t="s">
        <v>21</v>
      </c>
      <c r="I181" s="15" t="s">
        <v>22</v>
      </c>
      <c r="J181" s="15" t="s">
        <v>23</v>
      </c>
      <c r="K181" s="15" t="s">
        <v>24</v>
      </c>
      <c r="L181" s="15" t="s">
        <v>25</v>
      </c>
    </row>
    <row r="182" spans="1:12" x14ac:dyDescent="0.3">
      <c r="A182" s="23" t="str">
        <f>C180</f>
        <v>Shreya Singh</v>
      </c>
      <c r="B182" s="8" t="str" cm="1">
        <f t="array" ref="B182:J184">IFERROR(_xlfn.CHOOSECOLS(_xlfn._xlws.FILTER('[1]Vantedge - dummy Placement data'!E:AA, '[1]Vantedge - dummy Placement data'!B:B=$C180), 1, 7, 9, 11, 14, 8, 21, 22, 23), "")</f>
        <v>Juan salazar</v>
      </c>
      <c r="C182" s="18">
        <v>45705</v>
      </c>
      <c r="D182" s="8" t="str">
        <v>Myridius</v>
      </c>
      <c r="E182" s="19">
        <v>27300</v>
      </c>
      <c r="F182" s="12" t="str">
        <v>Done</v>
      </c>
      <c r="G182" s="18" t="str">
        <v>NA</v>
      </c>
      <c r="H182" s="20">
        <v>438</v>
      </c>
      <c r="I182" s="18" t="str">
        <v>JPC - 224896</v>
      </c>
      <c r="J182" s="18" t="str">
        <v>FTE</v>
      </c>
      <c r="K182" s="8">
        <f ca="1">IF(G182&lt;&gt;"NA", G182 - C182, TODAY() - C182)</f>
        <v>339</v>
      </c>
      <c r="L182" s="8" t="str">
        <f ca="1">IF(K182&gt;=90,"Yes","No")</f>
        <v>Yes</v>
      </c>
    </row>
    <row r="183" spans="1:12" x14ac:dyDescent="0.3">
      <c r="A183" s="24"/>
      <c r="B183" s="8" t="str">
        <v>Brian Taylor</v>
      </c>
      <c r="C183" s="18">
        <v>45870</v>
      </c>
      <c r="D183" s="8" t="str">
        <v>FPT Software</v>
      </c>
      <c r="E183" s="19">
        <v>22750</v>
      </c>
      <c r="F183" s="12" t="str">
        <v>Pending</v>
      </c>
      <c r="G183" s="18" t="str">
        <v>NA</v>
      </c>
      <c r="H183" s="20">
        <v>23</v>
      </c>
      <c r="I183" s="18" t="str">
        <v>JPC - 224927</v>
      </c>
      <c r="J183" s="18" t="str">
        <v>FTE</v>
      </c>
      <c r="K183" s="8">
        <f ca="1">IF(G183&lt;&gt;"NA", G183 - C183, TODAY() - C183)</f>
        <v>174</v>
      </c>
      <c r="L183" s="8" t="str">
        <f ca="1">IF(K183&gt;=90,"Yes","No")</f>
        <v>Yes</v>
      </c>
    </row>
    <row r="184" spans="1:12" x14ac:dyDescent="0.3">
      <c r="A184" s="24"/>
      <c r="B184" s="8" t="str">
        <v>Pallav Sharma</v>
      </c>
      <c r="C184" s="18">
        <v>45930</v>
      </c>
      <c r="D184" s="8" t="str">
        <v>BirlaSoft</v>
      </c>
      <c r="E184" s="19">
        <v>36000</v>
      </c>
      <c r="F184" s="12" t="str">
        <v>Pending</v>
      </c>
      <c r="G184" s="18" t="str">
        <v>NA</v>
      </c>
      <c r="H184" s="20">
        <v>6</v>
      </c>
      <c r="I184" s="18" t="str">
        <v>JPC - 224934</v>
      </c>
      <c r="J184" s="18" t="str">
        <v>FTE</v>
      </c>
      <c r="K184" s="8">
        <f ca="1">IF(G184&lt;&gt;"NA", G184 - C184, TODAY() - C184)</f>
        <v>114</v>
      </c>
      <c r="L184" s="8" t="str">
        <f ca="1">IF(K184&gt;=90,"Yes","No")</f>
        <v>Yes</v>
      </c>
    </row>
    <row r="185" spans="1:12" x14ac:dyDescent="0.3">
      <c r="A185" s="24"/>
      <c r="B185" s="8"/>
      <c r="C185" s="18"/>
      <c r="D185" s="8"/>
      <c r="E185" s="19"/>
      <c r="F185" s="12"/>
      <c r="G185" s="18"/>
      <c r="H185" s="18"/>
      <c r="I185" s="18"/>
      <c r="J185" s="18"/>
      <c r="K185" s="8">
        <f ca="1">IF(G185&lt;&gt;"NA", G185 - C185, TODAY() - C185)</f>
        <v>0</v>
      </c>
      <c r="L185" s="8" t="str">
        <f t="shared" ref="L185:L188" ca="1" si="16">IF(K185&gt;=90,"Yes","No")</f>
        <v>No</v>
      </c>
    </row>
    <row r="186" spans="1:12" x14ac:dyDescent="0.3">
      <c r="A186" s="24"/>
      <c r="B186" s="8"/>
      <c r="C186" s="18"/>
      <c r="D186" s="8"/>
      <c r="E186" s="19"/>
      <c r="F186" s="12"/>
      <c r="G186" s="18"/>
      <c r="H186" s="18"/>
      <c r="I186" s="18"/>
      <c r="J186" s="18"/>
      <c r="K186" s="8"/>
      <c r="L186" s="8"/>
    </row>
    <row r="187" spans="1:12" x14ac:dyDescent="0.3">
      <c r="A187" s="24"/>
      <c r="B187" s="8"/>
      <c r="C187" s="18"/>
      <c r="D187" s="8"/>
      <c r="E187" s="19"/>
      <c r="F187" s="12"/>
      <c r="G187" s="18"/>
      <c r="H187" s="18"/>
      <c r="I187" s="18"/>
      <c r="J187" s="18"/>
      <c r="K187" s="8"/>
      <c r="L187" s="8"/>
    </row>
    <row r="188" spans="1:12" x14ac:dyDescent="0.3">
      <c r="A188" s="25"/>
      <c r="B188" s="8"/>
      <c r="C188" s="18"/>
      <c r="D188" s="8"/>
      <c r="E188" s="19"/>
      <c r="F188" s="12"/>
      <c r="G188" s="18"/>
      <c r="H188" s="18"/>
      <c r="I188" s="18"/>
      <c r="J188" s="18"/>
      <c r="K188" s="8">
        <f ca="1">IF(G188&lt;&gt;"NA", G188 - C188, TODAY() - C188)</f>
        <v>0</v>
      </c>
      <c r="L188" s="8" t="str">
        <f t="shared" ca="1" si="16"/>
        <v>No</v>
      </c>
    </row>
    <row r="191" spans="1:12" x14ac:dyDescent="0.3">
      <c r="A191" s="5" t="s">
        <v>1</v>
      </c>
      <c r="B191" s="6" t="s">
        <v>2</v>
      </c>
      <c r="C191" s="5" t="s">
        <v>3</v>
      </c>
      <c r="D191" s="5" t="s">
        <v>4</v>
      </c>
      <c r="E191" s="5" t="s">
        <v>5</v>
      </c>
      <c r="F191" s="5" t="s">
        <v>6</v>
      </c>
      <c r="G191" s="5" t="s">
        <v>7</v>
      </c>
      <c r="H191" s="7" t="s">
        <v>8</v>
      </c>
      <c r="I191" s="5" t="s">
        <v>9</v>
      </c>
      <c r="J191" s="5" t="s">
        <v>29</v>
      </c>
      <c r="K191" s="5" t="s">
        <v>11</v>
      </c>
      <c r="L191" s="5" t="s">
        <v>12</v>
      </c>
    </row>
    <row r="192" spans="1:12" x14ac:dyDescent="0.3">
      <c r="A192" s="8" t="s">
        <v>13</v>
      </c>
      <c r="B192" s="4" t="str">
        <f>_xlfn.XLOOKUP($C192,'[1]Data Validation (2)'!$B$3:$B$31,'[1]Data Validation (2)'!$D$3:$D$31)</f>
        <v>VB0018</v>
      </c>
      <c r="C192" s="9" t="s">
        <v>44</v>
      </c>
      <c r="D192" s="8" t="str">
        <f>_xlfn.XLOOKUP($C192,'[1]Data Validation (2)'!$B$3:$B$31,'[1]Data Validation (2)'!$C$3:$C$31)</f>
        <v>Anshul Kumar</v>
      </c>
      <c r="E192" s="8">
        <f>_xlfn.XLOOKUP($C192,'[1]Ach % - L4'!$B$2:$B$27,'[1]Ach % - L4'!$E$2:$E$27)</f>
        <v>30000</v>
      </c>
      <c r="F192" s="10">
        <f>_xlfn.XLOOKUP($C192,'[1]Ach % - L4'!$B$2:$B$27,'[1]Ach % - L4'!$G$2:$G$27)</f>
        <v>0</v>
      </c>
      <c r="G192" s="11">
        <f>SUM(E194:E200)</f>
        <v>0</v>
      </c>
      <c r="H192" s="11">
        <f ca="1">SUMIFS($E193:$E203,$L193:$L203,"yes",F193:F203,"Done")</f>
        <v>0</v>
      </c>
      <c r="I192" s="12" cm="1">
        <f t="array" ref="I192">_xlfn.IFS($F192&lt;=1%,0%,$F192&lt;=50%,1.75%,$F192&lt;=70%,2.25%,$F192&lt;=85%,2.75%,$F192&gt;85%,4%)</f>
        <v>0</v>
      </c>
      <c r="J192" s="11">
        <f>G192*I192</f>
        <v>0</v>
      </c>
      <c r="K192" s="8">
        <f>J192*80</f>
        <v>0</v>
      </c>
      <c r="L192" s="9">
        <f ca="1">(H192*I192)*80</f>
        <v>0</v>
      </c>
    </row>
    <row r="193" spans="1:12" x14ac:dyDescent="0.3">
      <c r="A193" s="15" t="s">
        <v>3</v>
      </c>
      <c r="B193" s="15" t="s">
        <v>15</v>
      </c>
      <c r="C193" s="15" t="s">
        <v>16</v>
      </c>
      <c r="D193" s="15" t="s">
        <v>17</v>
      </c>
      <c r="E193" s="15" t="s">
        <v>18</v>
      </c>
      <c r="F193" s="15" t="s">
        <v>19</v>
      </c>
      <c r="G193" s="15" t="s">
        <v>20</v>
      </c>
      <c r="H193" s="15" t="s">
        <v>21</v>
      </c>
      <c r="I193" s="15" t="s">
        <v>22</v>
      </c>
      <c r="J193" s="15" t="s">
        <v>23</v>
      </c>
      <c r="K193" s="15" t="s">
        <v>24</v>
      </c>
      <c r="L193" s="15" t="s">
        <v>25</v>
      </c>
    </row>
    <row r="194" spans="1:12" x14ac:dyDescent="0.3">
      <c r="A194" s="23" t="str">
        <f>C192</f>
        <v>Anamika Dwivedi</v>
      </c>
      <c r="B194" s="8" t="str" cm="1">
        <f t="array" ref="B194">IFERROR(_xlfn.CHOOSECOLS(_xlfn._xlws.FILTER('[1]Vantedge - dummy Placement data'!E:AA, '[1]Vantedge - dummy Placement data'!B:B=$C192), 1, 7, 9, 11, 14, 8, 21, 22, 23), "")</f>
        <v/>
      </c>
      <c r="C194" s="18"/>
      <c r="D194" s="8"/>
      <c r="E194" s="19"/>
      <c r="F194" s="12"/>
      <c r="G194" s="18"/>
      <c r="H194" s="18"/>
      <c r="I194" s="18"/>
      <c r="J194" s="18"/>
      <c r="K194" s="8">
        <f ca="1">IF(G194&lt;&gt;"NA", G194 - C194, TODAY() - C194)</f>
        <v>0</v>
      </c>
      <c r="L194" s="8" t="str">
        <f ca="1">IF(K194&gt;=90,"Yes","No")</f>
        <v>No</v>
      </c>
    </row>
    <row r="195" spans="1:12" x14ac:dyDescent="0.3">
      <c r="A195" s="24"/>
      <c r="B195" s="8"/>
      <c r="C195" s="18"/>
      <c r="D195" s="8"/>
      <c r="E195" s="19"/>
      <c r="F195" s="12"/>
      <c r="G195" s="18"/>
      <c r="H195" s="18"/>
      <c r="I195" s="18"/>
      <c r="J195" s="18"/>
      <c r="K195" s="8">
        <f ca="1">IF(G195&lt;&gt;"NA", G195 - C195, TODAY() - C195)</f>
        <v>0</v>
      </c>
      <c r="L195" s="8" t="str">
        <f ca="1">IF(K195&gt;=90,"Yes","No")</f>
        <v>No</v>
      </c>
    </row>
    <row r="196" spans="1:12" x14ac:dyDescent="0.3">
      <c r="A196" s="24"/>
      <c r="B196" s="8"/>
      <c r="C196" s="18"/>
      <c r="D196" s="8"/>
      <c r="E196" s="19"/>
      <c r="F196" s="12"/>
      <c r="G196" s="18"/>
      <c r="H196" s="18"/>
      <c r="I196" s="18"/>
      <c r="J196" s="18"/>
      <c r="K196" s="8">
        <f ca="1">IF(G196&lt;&gt;"NA", G196 - C196, TODAY() - C196)</f>
        <v>0</v>
      </c>
      <c r="L196" s="8" t="str">
        <f ca="1">IF(K196&gt;=90,"Yes","No")</f>
        <v>No</v>
      </c>
    </row>
    <row r="197" spans="1:12" x14ac:dyDescent="0.3">
      <c r="A197" s="24"/>
      <c r="B197" s="8"/>
      <c r="C197" s="18"/>
      <c r="D197" s="8"/>
      <c r="E197" s="19"/>
      <c r="F197" s="12"/>
      <c r="G197" s="18"/>
      <c r="H197" s="18"/>
      <c r="I197" s="18"/>
      <c r="J197" s="18"/>
      <c r="K197" s="8">
        <f ca="1">IF(G197&lt;&gt;"NA", G197 - C197, TODAY() - C197)</f>
        <v>0</v>
      </c>
      <c r="L197" s="8" t="str">
        <f t="shared" ref="L197:L200" ca="1" si="17">IF(K197&gt;=90,"Yes","No")</f>
        <v>No</v>
      </c>
    </row>
    <row r="198" spans="1:12" x14ac:dyDescent="0.3">
      <c r="A198" s="24"/>
      <c r="B198" s="8"/>
      <c r="C198" s="18"/>
      <c r="D198" s="8"/>
      <c r="E198" s="19"/>
      <c r="F198" s="12"/>
      <c r="G198" s="18"/>
      <c r="H198" s="18"/>
      <c r="I198" s="18"/>
      <c r="J198" s="18"/>
      <c r="K198" s="8"/>
      <c r="L198" s="8"/>
    </row>
    <row r="199" spans="1:12" x14ac:dyDescent="0.3">
      <c r="A199" s="24"/>
      <c r="B199" s="8"/>
      <c r="C199" s="18"/>
      <c r="D199" s="8"/>
      <c r="E199" s="19"/>
      <c r="F199" s="12"/>
      <c r="G199" s="18"/>
      <c r="H199" s="18"/>
      <c r="I199" s="18"/>
      <c r="J199" s="18"/>
      <c r="K199" s="8"/>
      <c r="L199" s="8"/>
    </row>
    <row r="200" spans="1:12" x14ac:dyDescent="0.3">
      <c r="A200" s="25"/>
      <c r="B200" s="8"/>
      <c r="C200" s="18"/>
      <c r="D200" s="8"/>
      <c r="E200" s="19"/>
      <c r="F200" s="12"/>
      <c r="G200" s="18"/>
      <c r="H200" s="18"/>
      <c r="I200" s="18"/>
      <c r="J200" s="18"/>
      <c r="K200" s="8">
        <f ca="1">IF(G200&lt;&gt;"NA", G200 - C200, TODAY() - C200)</f>
        <v>0</v>
      </c>
      <c r="L200" s="8" t="str">
        <f t="shared" ca="1" si="17"/>
        <v>No</v>
      </c>
    </row>
    <row r="201" spans="1:12" x14ac:dyDescent="0.3">
      <c r="A201" s="26"/>
      <c r="C201" s="27"/>
      <c r="E201" s="28"/>
      <c r="F201" s="29"/>
      <c r="G201" s="27"/>
      <c r="H201" s="27"/>
      <c r="I201" s="27"/>
      <c r="J201" s="27"/>
    </row>
    <row r="202" spans="1:12" x14ac:dyDescent="0.3">
      <c r="A202" s="26"/>
      <c r="C202" s="27"/>
      <c r="E202" s="28"/>
      <c r="F202" s="29"/>
      <c r="G202" s="27"/>
      <c r="H202" s="27"/>
      <c r="I202" s="27"/>
      <c r="J202" s="27"/>
    </row>
    <row r="204" spans="1:12" x14ac:dyDescent="0.3">
      <c r="A204" s="5" t="s">
        <v>1</v>
      </c>
      <c r="B204" s="6" t="s">
        <v>2</v>
      </c>
      <c r="C204" s="5" t="s">
        <v>3</v>
      </c>
      <c r="D204" s="5" t="s">
        <v>4</v>
      </c>
      <c r="E204" s="5" t="s">
        <v>5</v>
      </c>
      <c r="F204" s="5" t="s">
        <v>6</v>
      </c>
      <c r="G204" s="5" t="s">
        <v>7</v>
      </c>
      <c r="H204" s="7" t="s">
        <v>8</v>
      </c>
      <c r="I204" s="5" t="s">
        <v>9</v>
      </c>
      <c r="J204" s="5" t="s">
        <v>29</v>
      </c>
      <c r="K204" s="5" t="s">
        <v>11</v>
      </c>
      <c r="L204" s="5" t="s">
        <v>12</v>
      </c>
    </row>
    <row r="205" spans="1:12" x14ac:dyDescent="0.3">
      <c r="A205" s="8" t="s">
        <v>13</v>
      </c>
      <c r="B205" s="4" t="str">
        <f>_xlfn.XLOOKUP($C205,'[1]Data Validation (2)'!$B$3:$B$31,'[1]Data Validation (2)'!$D$3:$D$31)</f>
        <v>VB0019</v>
      </c>
      <c r="C205" s="9" t="s">
        <v>45</v>
      </c>
      <c r="D205" s="8" t="str">
        <f>_xlfn.XLOOKUP($C205,'[1]Data Validation (2)'!$B$3:$B$31,'[1]Data Validation (2)'!$C$3:$C$31)</f>
        <v>Anshul Kumar</v>
      </c>
      <c r="E205" s="8">
        <f>_xlfn.XLOOKUP($C205,'[1]Ach % - L4'!$B$2:$B$27,'[1]Ach % - L4'!$E$2:$E$27)</f>
        <v>30000</v>
      </c>
      <c r="F205" s="10">
        <f>_xlfn.XLOOKUP($C205,'[1]Ach % - L4'!$B$2:$B$27,'[1]Ach % - L4'!$G$2:$G$27)</f>
        <v>0</v>
      </c>
      <c r="G205" s="11">
        <f>SUM(E207:E213)</f>
        <v>0</v>
      </c>
      <c r="H205" s="11">
        <f ca="1">SUMIFS($E206:$E214,$L206:$L214,"yes")</f>
        <v>0</v>
      </c>
      <c r="I205" s="12" cm="1">
        <f t="array" ref="I205">_xlfn.IFS($F205&lt;=1%,0%,$F205&lt;=50%,1.75%,$F205&lt;=70%,2.25%,$F205&lt;=85%,2.75%,$F205&gt;85%,4%)</f>
        <v>0</v>
      </c>
      <c r="J205" s="11">
        <f>G205*I205</f>
        <v>0</v>
      </c>
      <c r="K205" s="8">
        <f>J205*80</f>
        <v>0</v>
      </c>
      <c r="L205" s="9">
        <f ca="1">(H205*I205)*80</f>
        <v>0</v>
      </c>
    </row>
    <row r="206" spans="1:12" x14ac:dyDescent="0.3">
      <c r="A206" s="15" t="s">
        <v>3</v>
      </c>
      <c r="B206" s="15" t="s">
        <v>15</v>
      </c>
      <c r="C206" s="15" t="s">
        <v>16</v>
      </c>
      <c r="D206" s="15" t="s">
        <v>17</v>
      </c>
      <c r="E206" s="15" t="s">
        <v>18</v>
      </c>
      <c r="F206" s="15" t="s">
        <v>19</v>
      </c>
      <c r="G206" s="15" t="s">
        <v>20</v>
      </c>
      <c r="H206" s="15" t="s">
        <v>21</v>
      </c>
      <c r="I206" s="15" t="s">
        <v>22</v>
      </c>
      <c r="J206" s="15" t="s">
        <v>23</v>
      </c>
      <c r="K206" s="15" t="s">
        <v>24</v>
      </c>
      <c r="L206" s="15" t="s">
        <v>25</v>
      </c>
    </row>
    <row r="207" spans="1:12" x14ac:dyDescent="0.3">
      <c r="A207" s="23" t="str">
        <f>C205</f>
        <v>Smriti Jha</v>
      </c>
      <c r="B207" s="8" t="str" cm="1">
        <f t="array" ref="B207">IFERROR(_xlfn.CHOOSECOLS(_xlfn._xlws.FILTER('[1]Vantedge - dummy Placement data'!E:AA, '[1]Vantedge - dummy Placement data'!B:B=$C205), 1, 7, 9, 11, 14, 8, 21, 22, 23), "")</f>
        <v/>
      </c>
      <c r="C207" s="18"/>
      <c r="D207" s="8"/>
      <c r="E207" s="19"/>
      <c r="F207" s="12"/>
      <c r="G207" s="18"/>
      <c r="H207" s="18"/>
      <c r="I207" s="18"/>
      <c r="J207" s="18"/>
      <c r="K207" s="8">
        <f ca="1">IF(G207&lt;&gt;"NA", G207 - C207, TODAY() - C207)</f>
        <v>0</v>
      </c>
      <c r="L207" s="8" t="str">
        <f ca="1">IF(K207&gt;=90,"Yes","No")</f>
        <v>No</v>
      </c>
    </row>
    <row r="208" spans="1:12" x14ac:dyDescent="0.3">
      <c r="A208" s="24"/>
      <c r="B208" s="8"/>
      <c r="C208" s="18"/>
      <c r="D208" s="8"/>
      <c r="E208" s="19"/>
      <c r="F208" s="12"/>
      <c r="G208" s="18"/>
      <c r="H208" s="18"/>
      <c r="I208" s="18"/>
      <c r="J208" s="18"/>
      <c r="K208" s="8">
        <f ca="1">IF(G208&lt;&gt;"NA", G208 - C208, TODAY() - C208)</f>
        <v>0</v>
      </c>
      <c r="L208" s="8" t="str">
        <f ca="1">IF(K208&gt;=90,"Yes","No")</f>
        <v>No</v>
      </c>
    </row>
    <row r="209" spans="1:12" x14ac:dyDescent="0.3">
      <c r="A209" s="24"/>
      <c r="B209" s="8"/>
      <c r="C209" s="18"/>
      <c r="D209" s="8"/>
      <c r="E209" s="19"/>
      <c r="F209" s="12"/>
      <c r="G209" s="18"/>
      <c r="H209" s="18"/>
      <c r="I209" s="18"/>
      <c r="J209" s="18"/>
      <c r="K209" s="8">
        <f ca="1">IF(G209&lt;&gt;"NA", G209 - C209, TODAY() - C209)</f>
        <v>0</v>
      </c>
      <c r="L209" s="8" t="str">
        <f ca="1">IF(K209&gt;=90,"Yes","No")</f>
        <v>No</v>
      </c>
    </row>
    <row r="210" spans="1:12" x14ac:dyDescent="0.3">
      <c r="A210" s="24"/>
      <c r="B210" s="8"/>
      <c r="C210" s="18"/>
      <c r="D210" s="8"/>
      <c r="E210" s="19"/>
      <c r="F210" s="12"/>
      <c r="G210" s="18"/>
      <c r="H210" s="18"/>
      <c r="I210" s="18"/>
      <c r="J210" s="18"/>
      <c r="K210" s="8"/>
      <c r="L210" s="8"/>
    </row>
    <row r="211" spans="1:12" x14ac:dyDescent="0.3">
      <c r="A211" s="24"/>
      <c r="B211" s="8"/>
      <c r="C211" s="18"/>
      <c r="D211" s="8"/>
      <c r="E211" s="19"/>
      <c r="F211" s="12"/>
      <c r="G211" s="18"/>
      <c r="H211" s="18"/>
      <c r="I211" s="18"/>
      <c r="J211" s="18"/>
      <c r="K211" s="8"/>
      <c r="L211" s="8"/>
    </row>
    <row r="212" spans="1:12" x14ac:dyDescent="0.3">
      <c r="A212" s="24"/>
      <c r="B212" s="8"/>
      <c r="C212" s="18"/>
      <c r="D212" s="8"/>
      <c r="E212" s="19"/>
      <c r="F212" s="12"/>
      <c r="G212" s="18"/>
      <c r="H212" s="18"/>
      <c r="I212" s="18"/>
      <c r="J212" s="18"/>
      <c r="K212" s="8">
        <f ca="1">IF(G212&lt;&gt;"NA", G212 - C212, TODAY() - C212)</f>
        <v>0</v>
      </c>
      <c r="L212" s="8" t="str">
        <f t="shared" ref="L212:L213" ca="1" si="18">IF(K212&gt;=90,"Yes","No")</f>
        <v>No</v>
      </c>
    </row>
    <row r="213" spans="1:12" x14ac:dyDescent="0.3">
      <c r="A213" s="25"/>
      <c r="B213" s="8"/>
      <c r="C213" s="18"/>
      <c r="D213" s="8"/>
      <c r="E213" s="19"/>
      <c r="F213" s="12"/>
      <c r="G213" s="18"/>
      <c r="H213" s="18"/>
      <c r="I213" s="18"/>
      <c r="J213" s="18"/>
      <c r="K213" s="8">
        <f ca="1">IF(G213&lt;&gt;"NA", G213 - C213, TODAY() - C213)</f>
        <v>0</v>
      </c>
      <c r="L213" s="8" t="str">
        <f t="shared" ca="1" si="18"/>
        <v>No</v>
      </c>
    </row>
    <row r="218" spans="1:12" x14ac:dyDescent="0.3">
      <c r="A218" s="5" t="s">
        <v>1</v>
      </c>
      <c r="B218" s="6" t="s">
        <v>2</v>
      </c>
      <c r="C218" s="5" t="s">
        <v>3</v>
      </c>
      <c r="D218" s="5" t="s">
        <v>4</v>
      </c>
      <c r="E218" s="5" t="s">
        <v>5</v>
      </c>
      <c r="F218" s="5" t="s">
        <v>6</v>
      </c>
      <c r="G218" s="5" t="s">
        <v>7</v>
      </c>
      <c r="H218" s="7" t="s">
        <v>8</v>
      </c>
      <c r="I218" s="5" t="s">
        <v>9</v>
      </c>
      <c r="J218" s="5" t="s">
        <v>29</v>
      </c>
      <c r="K218" s="5" t="s">
        <v>11</v>
      </c>
      <c r="L218" s="5" t="s">
        <v>12</v>
      </c>
    </row>
    <row r="219" spans="1:12" x14ac:dyDescent="0.3">
      <c r="A219" s="8" t="s">
        <v>13</v>
      </c>
      <c r="B219" s="4" t="str">
        <f>_xlfn.XLOOKUP($C219,'[1]Data Validation (2)'!$B$3:$B$31,'[1]Data Validation (2)'!$D$3:$D$31)</f>
        <v>VB0020</v>
      </c>
      <c r="C219" s="9" t="s">
        <v>46</v>
      </c>
      <c r="D219" s="8" t="str">
        <f>_xlfn.XLOOKUP($C219,'[1]Data Validation (2)'!$B$3:$B$31,'[1]Data Validation (2)'!$C$3:$C$31)</f>
        <v>Anshul Kumar</v>
      </c>
      <c r="E219" s="8">
        <f>_xlfn.XLOOKUP($C219,'[1]Ach % - L4'!$B$2:$B$27,'[1]Ach % - L4'!$E$2:$E$27)</f>
        <v>60000</v>
      </c>
      <c r="F219" s="10">
        <f>_xlfn.XLOOKUP($C219,'[1]Ach % - L4'!$B$2:$B$27,'[1]Ach % - L4'!$G$2:$G$27)</f>
        <v>0</v>
      </c>
      <c r="G219" s="11">
        <f>SUM(E221:E227)</f>
        <v>0</v>
      </c>
      <c r="H219" s="11">
        <f ca="1">SUMIFS($E220:$E228,$L220:$L228,"yes",F220:F228,"Done")</f>
        <v>0</v>
      </c>
      <c r="I219" s="12" cm="1">
        <f t="array" ref="I219">_xlfn.IFS($F219&lt;=1%,0%,$F219&lt;=50%,1.75%,$F219&lt;=70%,2.25%,$F219&lt;=85%,2.75%,$F219&gt;85%,4%)</f>
        <v>0</v>
      </c>
      <c r="J219" s="11">
        <f>G219*I219</f>
        <v>0</v>
      </c>
      <c r="K219" s="8">
        <f>J219*80</f>
        <v>0</v>
      </c>
      <c r="L219" s="9">
        <f ca="1">(H219*I219)*80</f>
        <v>0</v>
      </c>
    </row>
    <row r="220" spans="1:12" x14ac:dyDescent="0.3">
      <c r="A220" s="15" t="s">
        <v>3</v>
      </c>
      <c r="B220" s="15" t="s">
        <v>15</v>
      </c>
      <c r="C220" s="15" t="s">
        <v>16</v>
      </c>
      <c r="D220" s="15" t="s">
        <v>17</v>
      </c>
      <c r="E220" s="15" t="s">
        <v>18</v>
      </c>
      <c r="F220" s="15" t="s">
        <v>19</v>
      </c>
      <c r="G220" s="15" t="s">
        <v>20</v>
      </c>
      <c r="H220" s="15" t="s">
        <v>21</v>
      </c>
      <c r="I220" s="15" t="s">
        <v>22</v>
      </c>
      <c r="J220" s="15" t="s">
        <v>23</v>
      </c>
      <c r="K220" s="15" t="s">
        <v>24</v>
      </c>
      <c r="L220" s="15" t="s">
        <v>25</v>
      </c>
    </row>
    <row r="221" spans="1:12" x14ac:dyDescent="0.3">
      <c r="A221" s="23" t="str">
        <f>C219</f>
        <v>Abhishek Srivastava</v>
      </c>
      <c r="B221" s="8" t="str" cm="1">
        <f t="array" ref="B221">IFERROR(_xlfn.CHOOSECOLS(_xlfn._xlws.FILTER('[1]Vantedge - dummy Placement data'!E:AA, '[1]Vantedge - dummy Placement data'!B:B=$C219), 1, 7, 9, 11, 14, 8, 21, 22, 23), "")</f>
        <v/>
      </c>
      <c r="C221" s="18"/>
      <c r="D221" s="8"/>
      <c r="E221" s="19"/>
      <c r="F221" s="12"/>
      <c r="G221" s="18"/>
      <c r="H221" s="18"/>
      <c r="I221" s="18"/>
      <c r="J221" s="18"/>
      <c r="K221" s="8">
        <f ca="1">IF(G221&lt;&gt;"NA", G221 - C221, TODAY() - C221)</f>
        <v>0</v>
      </c>
      <c r="L221" s="8" t="str">
        <f ca="1">IF(K221&gt;=90,"Yes","No")</f>
        <v>No</v>
      </c>
    </row>
    <row r="222" spans="1:12" x14ac:dyDescent="0.3">
      <c r="A222" s="24"/>
      <c r="B222" s="8"/>
      <c r="C222" s="18"/>
      <c r="D222" s="8"/>
      <c r="E222" s="19"/>
      <c r="F222" s="12"/>
      <c r="G222" s="18"/>
      <c r="H222" s="18"/>
      <c r="I222" s="18"/>
      <c r="J222" s="18"/>
      <c r="K222" s="8">
        <f ca="1">IF(G222&lt;&gt;"NA", G222 - C222, TODAY() - C222)</f>
        <v>0</v>
      </c>
      <c r="L222" s="8" t="str">
        <f ca="1">IF(K222&gt;=90,"Yes","No")</f>
        <v>No</v>
      </c>
    </row>
    <row r="223" spans="1:12" x14ac:dyDescent="0.3">
      <c r="A223" s="24"/>
      <c r="B223" s="8"/>
      <c r="C223" s="18"/>
      <c r="D223" s="8"/>
      <c r="E223" s="19"/>
      <c r="F223" s="12"/>
      <c r="G223" s="18"/>
      <c r="H223" s="18"/>
      <c r="I223" s="18"/>
      <c r="J223" s="18"/>
      <c r="K223" s="8">
        <f ca="1">IF(G223&lt;&gt;"NA", G223 - C223, TODAY() - C223)</f>
        <v>0</v>
      </c>
      <c r="L223" s="8" t="str">
        <f ca="1">IF(K223&gt;=90,"Yes","No")</f>
        <v>No</v>
      </c>
    </row>
    <row r="224" spans="1:12" x14ac:dyDescent="0.3">
      <c r="A224" s="24"/>
      <c r="B224" s="8"/>
      <c r="C224" s="18"/>
      <c r="D224" s="8"/>
      <c r="E224" s="19"/>
      <c r="F224" s="12"/>
      <c r="G224" s="18"/>
      <c r="H224" s="18"/>
      <c r="I224" s="18"/>
      <c r="J224" s="18"/>
      <c r="K224" s="8"/>
      <c r="L224" s="8"/>
    </row>
    <row r="225" spans="1:12" x14ac:dyDescent="0.3">
      <c r="A225" s="24"/>
      <c r="B225" s="8"/>
      <c r="C225" s="18"/>
      <c r="D225" s="8"/>
      <c r="E225" s="19"/>
      <c r="F225" s="12"/>
      <c r="G225" s="18"/>
      <c r="H225" s="18"/>
      <c r="I225" s="18"/>
      <c r="J225" s="18"/>
      <c r="K225" s="8"/>
      <c r="L225" s="8"/>
    </row>
    <row r="226" spans="1:12" x14ac:dyDescent="0.3">
      <c r="A226" s="24"/>
      <c r="B226" s="8"/>
      <c r="C226" s="18"/>
      <c r="D226" s="8"/>
      <c r="E226" s="19"/>
      <c r="F226" s="12"/>
      <c r="G226" s="18"/>
      <c r="H226" s="18"/>
      <c r="I226" s="18"/>
      <c r="J226" s="18"/>
      <c r="K226" s="8">
        <f ca="1">IF(G226&lt;&gt;"NA", G226 - C226, TODAY() - C226)</f>
        <v>0</v>
      </c>
      <c r="L226" s="8" t="str">
        <f t="shared" ref="L226:L227" ca="1" si="19">IF(K226&gt;=90,"Yes","No")</f>
        <v>No</v>
      </c>
    </row>
    <row r="227" spans="1:12" x14ac:dyDescent="0.3">
      <c r="A227" s="25"/>
      <c r="B227" s="8"/>
      <c r="C227" s="18"/>
      <c r="D227" s="8"/>
      <c r="E227" s="19"/>
      <c r="F227" s="12"/>
      <c r="G227" s="18"/>
      <c r="H227" s="18"/>
      <c r="I227" s="18"/>
      <c r="J227" s="18"/>
      <c r="K227" s="8">
        <f ca="1">IF(G227&lt;&gt;"NA", G227 - C227, TODAY() - C227)</f>
        <v>0</v>
      </c>
      <c r="L227" s="8" t="str">
        <f t="shared" ca="1" si="19"/>
        <v>No</v>
      </c>
    </row>
    <row r="230" spans="1:12" x14ac:dyDescent="0.3">
      <c r="A230" s="5" t="s">
        <v>1</v>
      </c>
      <c r="B230" s="6" t="s">
        <v>2</v>
      </c>
      <c r="C230" s="5" t="s">
        <v>3</v>
      </c>
      <c r="D230" s="5" t="s">
        <v>4</v>
      </c>
      <c r="E230" s="5" t="s">
        <v>5</v>
      </c>
      <c r="F230" s="5" t="s">
        <v>6</v>
      </c>
      <c r="G230" s="5" t="s">
        <v>7</v>
      </c>
      <c r="H230" s="7" t="s">
        <v>8</v>
      </c>
      <c r="I230" s="5" t="s">
        <v>9</v>
      </c>
      <c r="J230" s="5" t="s">
        <v>29</v>
      </c>
      <c r="K230" s="5" t="s">
        <v>11</v>
      </c>
      <c r="L230" s="5" t="s">
        <v>12</v>
      </c>
    </row>
    <row r="231" spans="1:12" x14ac:dyDescent="0.3">
      <c r="A231" s="8" t="s">
        <v>13</v>
      </c>
      <c r="B231" s="4" t="str">
        <f>_xlfn.XLOOKUP($C231,'[1]Data Validation (2)'!$B$3:$B$31,'[1]Data Validation (2)'!$D$3:$D$31)</f>
        <v>VB0022</v>
      </c>
      <c r="C231" s="9" t="s">
        <v>47</v>
      </c>
      <c r="D231" s="8" t="str">
        <f>_xlfn.XLOOKUP($C231,'[1]Data Validation (2)'!$B$3:$B$31,'[1]Data Validation (2)'!$C$3:$C$31)</f>
        <v>Rashmi Bhatnagar</v>
      </c>
      <c r="E231" s="8">
        <f>_xlfn.XLOOKUP($C231,'[1]Ach % - L4'!$B$2:$B$27,'[1]Ach % - L4'!$E$2:$E$27)</f>
        <v>75000</v>
      </c>
      <c r="F231" s="10">
        <f>_xlfn.XLOOKUP($C231,'[1]Ach % - L4'!$B$2:$B$27,'[1]Ach % - L4'!$G$2:$G$27)</f>
        <v>0</v>
      </c>
      <c r="G231" s="11">
        <f>SUM(E233:E239)</f>
        <v>0</v>
      </c>
      <c r="H231" s="11">
        <f ca="1">SUMIFS($E232:$E240,$L232:$L240,"yes",F232:F240,"Done")</f>
        <v>0</v>
      </c>
      <c r="I231" s="12" cm="1">
        <f t="array" ref="I231">_xlfn.IFS($F231&lt;=1%,0%,$F231&lt;=50%,1.75%,$F231&lt;=70%,2.25%,$F231&lt;=85%,2.75%,$F231&gt;85%,4%)</f>
        <v>0</v>
      </c>
      <c r="J231" s="11">
        <f>G231*I231</f>
        <v>0</v>
      </c>
      <c r="K231" s="8">
        <f>J231*80</f>
        <v>0</v>
      </c>
      <c r="L231" s="9">
        <f ca="1">(H231*I231)*80</f>
        <v>0</v>
      </c>
    </row>
    <row r="232" spans="1:12" x14ac:dyDescent="0.3">
      <c r="A232" s="15" t="s">
        <v>3</v>
      </c>
      <c r="B232" s="15" t="s">
        <v>15</v>
      </c>
      <c r="C232" s="15" t="s">
        <v>16</v>
      </c>
      <c r="D232" s="15" t="s">
        <v>17</v>
      </c>
      <c r="E232" s="15" t="s">
        <v>18</v>
      </c>
      <c r="F232" s="15" t="s">
        <v>19</v>
      </c>
      <c r="G232" s="15" t="s">
        <v>20</v>
      </c>
      <c r="H232" s="15"/>
      <c r="I232" s="15"/>
      <c r="J232" s="15"/>
      <c r="K232" s="15" t="s">
        <v>24</v>
      </c>
      <c r="L232" s="15" t="s">
        <v>25</v>
      </c>
    </row>
    <row r="233" spans="1:12" x14ac:dyDescent="0.3">
      <c r="A233" s="23" t="str">
        <f>C231</f>
        <v>Shivanshu Mishra</v>
      </c>
      <c r="B233" s="8" t="str" cm="1">
        <f t="array" ref="B233">IFERROR(_xlfn.CHOOSECOLS(_xlfn._xlws.FILTER('[1]Vantedge - dummy Placement data'!E:AA, '[1]Vantedge - dummy Placement data'!B:B=$C231), 1, 7, 9, 11, 14, 8, 21, 22, 23), "")</f>
        <v/>
      </c>
      <c r="C233" s="18"/>
      <c r="D233" s="8"/>
      <c r="E233" s="19"/>
      <c r="F233" s="12"/>
      <c r="G233" s="18"/>
      <c r="H233" s="18"/>
      <c r="I233" s="18"/>
      <c r="J233" s="18"/>
      <c r="K233" s="8">
        <f ca="1">IF(G233&lt;&gt;"NA", G233 - C233, TODAY() - C233)</f>
        <v>0</v>
      </c>
      <c r="L233" s="8" t="str">
        <f ca="1">IF(K233&gt;=90,"Yes","No")</f>
        <v>No</v>
      </c>
    </row>
    <row r="234" spans="1:12" x14ac:dyDescent="0.3">
      <c r="A234" s="24"/>
      <c r="B234" s="8"/>
      <c r="C234" s="18"/>
      <c r="D234" s="8"/>
      <c r="E234" s="19"/>
      <c r="F234" s="12"/>
      <c r="G234" s="18"/>
      <c r="H234" s="18"/>
      <c r="I234" s="18"/>
      <c r="J234" s="18"/>
      <c r="K234" s="8">
        <f ca="1">IF(G234&lt;&gt;"NA", G234 - C234, TODAY() - C234)</f>
        <v>0</v>
      </c>
      <c r="L234" s="8" t="str">
        <f ca="1">IF(K234&gt;=90,"Yes","No")</f>
        <v>No</v>
      </c>
    </row>
    <row r="235" spans="1:12" x14ac:dyDescent="0.3">
      <c r="A235" s="24"/>
      <c r="B235" s="8"/>
      <c r="C235" s="18"/>
      <c r="D235" s="8"/>
      <c r="E235" s="19"/>
      <c r="F235" s="12"/>
      <c r="G235" s="18"/>
      <c r="H235" s="18"/>
      <c r="I235" s="18"/>
      <c r="J235" s="18"/>
      <c r="K235" s="8">
        <f ca="1">IF(G235&lt;&gt;"NA", G235 - C235, TODAY() - C235)</f>
        <v>0</v>
      </c>
      <c r="L235" s="8" t="str">
        <f ca="1">IF(K235&gt;=90,"Yes","No")</f>
        <v>No</v>
      </c>
    </row>
    <row r="236" spans="1:12" x14ac:dyDescent="0.3">
      <c r="A236" s="24"/>
      <c r="B236" s="8"/>
      <c r="C236" s="18"/>
      <c r="D236" s="8"/>
      <c r="E236" s="19"/>
      <c r="F236" s="12"/>
      <c r="G236" s="18"/>
      <c r="H236" s="18"/>
      <c r="I236" s="18"/>
      <c r="J236" s="18"/>
      <c r="K236" s="8"/>
      <c r="L236" s="8"/>
    </row>
    <row r="237" spans="1:12" x14ac:dyDescent="0.3">
      <c r="A237" s="24"/>
      <c r="B237" s="8"/>
      <c r="C237" s="18"/>
      <c r="D237" s="8"/>
      <c r="E237" s="19"/>
      <c r="F237" s="12"/>
      <c r="G237" s="18"/>
      <c r="H237" s="18"/>
      <c r="I237" s="18"/>
      <c r="J237" s="18"/>
      <c r="K237" s="8"/>
      <c r="L237" s="8"/>
    </row>
    <row r="238" spans="1:12" x14ac:dyDescent="0.3">
      <c r="A238" s="24"/>
      <c r="B238" s="8"/>
      <c r="C238" s="18"/>
      <c r="D238" s="8"/>
      <c r="E238" s="19"/>
      <c r="F238" s="12"/>
      <c r="G238" s="18"/>
      <c r="H238" s="18"/>
      <c r="I238" s="18"/>
      <c r="J238" s="18"/>
      <c r="K238" s="8">
        <f ca="1">IF(G238&lt;&gt;"NA", G238 - C238, TODAY() - C238)</f>
        <v>0</v>
      </c>
      <c r="L238" s="8" t="str">
        <f t="shared" ref="L238:L239" ca="1" si="20">IF(K238&gt;=90,"Yes","No")</f>
        <v>No</v>
      </c>
    </row>
    <row r="239" spans="1:12" x14ac:dyDescent="0.3">
      <c r="A239" s="25"/>
      <c r="B239" s="8"/>
      <c r="C239" s="18"/>
      <c r="D239" s="8"/>
      <c r="E239" s="19"/>
      <c r="F239" s="12"/>
      <c r="G239" s="18"/>
      <c r="H239" s="18"/>
      <c r="I239" s="18"/>
      <c r="J239" s="18"/>
      <c r="K239" s="8">
        <f ca="1">IF(G239&lt;&gt;"NA", G239 - C239, TODAY() - C239)</f>
        <v>0</v>
      </c>
      <c r="L239" s="8" t="str">
        <f t="shared" ca="1" si="20"/>
        <v>No</v>
      </c>
    </row>
    <row r="241" spans="1:19" ht="14.4" customHeight="1" x14ac:dyDescent="0.3">
      <c r="A241" s="30" t="s">
        <v>48</v>
      </c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</row>
    <row r="242" spans="1:19" ht="14.4" customHeight="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</row>
    <row r="244" spans="1:19" x14ac:dyDescent="0.3">
      <c r="A244" s="5" t="s">
        <v>1</v>
      </c>
      <c r="B244" s="6" t="s">
        <v>2</v>
      </c>
      <c r="C244" s="5" t="s">
        <v>3</v>
      </c>
      <c r="D244" s="5" t="s">
        <v>4</v>
      </c>
      <c r="E244" s="5" t="s">
        <v>49</v>
      </c>
      <c r="F244" s="5" t="s">
        <v>6</v>
      </c>
      <c r="G244" s="5" t="s">
        <v>7</v>
      </c>
      <c r="H244" s="7" t="s">
        <v>8</v>
      </c>
      <c r="I244" s="5" t="s">
        <v>9</v>
      </c>
      <c r="J244" s="5" t="s">
        <v>29</v>
      </c>
      <c r="K244" s="5" t="s">
        <v>11</v>
      </c>
      <c r="L244" s="5" t="s">
        <v>12</v>
      </c>
    </row>
    <row r="245" spans="1:19" x14ac:dyDescent="0.3">
      <c r="A245" s="8" t="s">
        <v>13</v>
      </c>
      <c r="B245" s="4" t="str">
        <f>_xlfn.XLOOKUP($C245,'[1]Data Validation (2)'!$B$3:$B$31,'[1]Data Validation (2)'!$D$3:$D$31)</f>
        <v>VB0025</v>
      </c>
      <c r="C245" s="9" t="s">
        <v>50</v>
      </c>
      <c r="D245" s="8" t="str">
        <f>_xlfn.XLOOKUP($C245,'[1]Data Validation (2)'!$B$3:$B$31,'[1]Data Validation (2)'!$C$3:$C$31)</f>
        <v>Rohini Parihar</v>
      </c>
      <c r="E245" s="8">
        <f>_xlfn.XLOOKUP($C245,'[1]Ach % - L4'!$B$2:$B$27,'[1]Ach % - L4'!$E$2:$E$27)</f>
        <v>5</v>
      </c>
      <c r="F245" s="10">
        <f>_xlfn.XLOOKUP($C245,'[1]Ach % - L4'!$B$2:$B$27,'[1]Ach % - L4'!$G$2:$G$27)</f>
        <v>0.8</v>
      </c>
      <c r="G245" s="11">
        <f>SUM(E247:E251)</f>
        <v>117900</v>
      </c>
      <c r="H245" s="11">
        <f ca="1">SUMIFS($E246:$E252,$L246:$L252,"yes",F246:F252,"Done")</f>
        <v>85500</v>
      </c>
      <c r="I245" s="12" cm="1">
        <f t="array" ref="I245">_xlfn.IFS($F245&lt;=1%,0%,$F245&lt;=50%,1.75%,$F245&lt;=70%,2.25%,$F245&lt;=85%,2.75%,$F245&gt;85%,4%)</f>
        <v>2.75E-2</v>
      </c>
      <c r="J245" s="11">
        <f>G245*I245</f>
        <v>3242.25</v>
      </c>
      <c r="K245" s="8">
        <f>J245*80</f>
        <v>259380</v>
      </c>
      <c r="L245" s="9">
        <f ca="1">(H245*I245)*80</f>
        <v>188100</v>
      </c>
    </row>
    <row r="246" spans="1:19" x14ac:dyDescent="0.3">
      <c r="A246" s="15" t="s">
        <v>3</v>
      </c>
      <c r="B246" s="15" t="s">
        <v>15</v>
      </c>
      <c r="C246" s="15" t="s">
        <v>16</v>
      </c>
      <c r="D246" s="15" t="s">
        <v>17</v>
      </c>
      <c r="E246" s="15" t="s">
        <v>18</v>
      </c>
      <c r="F246" s="15" t="s">
        <v>19</v>
      </c>
      <c r="G246" s="15" t="s">
        <v>20</v>
      </c>
      <c r="H246" s="15" t="s">
        <v>21</v>
      </c>
      <c r="I246" s="15" t="s">
        <v>22</v>
      </c>
      <c r="J246" s="15" t="s">
        <v>23</v>
      </c>
      <c r="K246" s="15" t="s">
        <v>24</v>
      </c>
      <c r="L246" s="15" t="s">
        <v>25</v>
      </c>
    </row>
    <row r="247" spans="1:19" x14ac:dyDescent="0.3">
      <c r="A247" s="23" t="str">
        <f>C245</f>
        <v>Qausain Abbass</v>
      </c>
      <c r="B247" s="8" t="str" cm="1">
        <f t="array" ref="B247:J250">IFERROR(_xlfn.CHOOSECOLS(_xlfn._xlws.FILTER('[1]Vantedge - dummy Placement data'!E:AA, '[1]Vantedge - dummy Placement data'!I:I=$C245), 1, 7, 9, 11, 14, 8, 21, 22, 23), "")</f>
        <v>Sandeep Padhye</v>
      </c>
      <c r="C247" s="18">
        <v>45859</v>
      </c>
      <c r="D247" s="8" t="str">
        <v>InfoBeans</v>
      </c>
      <c r="E247" s="19">
        <v>31500</v>
      </c>
      <c r="F247" s="12" t="str">
        <v>Done</v>
      </c>
      <c r="G247" s="18" t="str">
        <v>NA</v>
      </c>
      <c r="H247" s="20">
        <v>448</v>
      </c>
      <c r="I247" s="18" t="str">
        <v>JPC - 224918</v>
      </c>
      <c r="J247" s="18" t="str">
        <v>FTE</v>
      </c>
      <c r="K247" s="8">
        <f ca="1">IF(G247&lt;&gt;"NA", G247 - C247, TODAY() - C247)</f>
        <v>185</v>
      </c>
      <c r="L247" s="8" t="str">
        <f ca="1">IF(K247&gt;=90,"Yes","No")</f>
        <v>Yes</v>
      </c>
    </row>
    <row r="248" spans="1:19" x14ac:dyDescent="0.3">
      <c r="A248" s="24"/>
      <c r="B248" s="8" t="str">
        <v>Devin Currens</v>
      </c>
      <c r="C248" s="18">
        <v>45887</v>
      </c>
      <c r="D248" s="8" t="str">
        <v>InfoBeans</v>
      </c>
      <c r="E248" s="19">
        <v>27000</v>
      </c>
      <c r="F248" s="12" t="str">
        <v>Done</v>
      </c>
      <c r="G248" s="18" t="str">
        <v>NA</v>
      </c>
      <c r="H248" s="20">
        <v>448</v>
      </c>
      <c r="I248" s="18" t="str">
        <v>JPC - 224925</v>
      </c>
      <c r="J248" s="18" t="str">
        <v>FTE</v>
      </c>
      <c r="K248" s="8">
        <f ca="1">IF(G248&lt;&gt;"NA", G248 - C248, TODAY() - C248)</f>
        <v>157</v>
      </c>
      <c r="L248" s="8" t="str">
        <f ca="1">IF(K248&gt;=90,"Yes","No")</f>
        <v>Yes</v>
      </c>
    </row>
    <row r="249" spans="1:19" x14ac:dyDescent="0.3">
      <c r="A249" s="24"/>
      <c r="B249" s="8" t="str">
        <v>Taylor Brandon Grace</v>
      </c>
      <c r="C249" s="18">
        <v>45894</v>
      </c>
      <c r="D249" s="8" t="str">
        <v>InfoBeans</v>
      </c>
      <c r="E249" s="19">
        <v>27000</v>
      </c>
      <c r="F249" s="12" t="str">
        <v>Done</v>
      </c>
      <c r="G249" s="18" t="str">
        <v>NA</v>
      </c>
      <c r="H249" s="20">
        <v>448</v>
      </c>
      <c r="I249" s="18" t="str">
        <v>JPC - 224928</v>
      </c>
      <c r="J249" s="18" t="str">
        <v>FTE</v>
      </c>
      <c r="K249" s="8">
        <f ca="1">IF(G249&lt;&gt;"NA", G249 - C249, TODAY() - C249)</f>
        <v>150</v>
      </c>
      <c r="L249" s="8" t="str">
        <f ca="1">IF(K249&gt;=90,"Yes","No")</f>
        <v>Yes</v>
      </c>
    </row>
    <row r="250" spans="1:19" x14ac:dyDescent="0.3">
      <c r="A250" s="24"/>
      <c r="B250" s="8" t="str">
        <v>Ehab Abbas</v>
      </c>
      <c r="C250" s="18">
        <v>45929</v>
      </c>
      <c r="D250" s="8" t="str">
        <v>InfoBeans</v>
      </c>
      <c r="E250" s="19">
        <v>32400</v>
      </c>
      <c r="F250" s="12" t="str">
        <v>Pending</v>
      </c>
      <c r="G250" s="18" t="str">
        <v>NA</v>
      </c>
      <c r="H250" s="20">
        <v>448</v>
      </c>
      <c r="I250" s="18" t="str">
        <v>JPC - 224933</v>
      </c>
      <c r="J250" s="18" t="str">
        <v>FTE</v>
      </c>
      <c r="K250" s="8">
        <f ca="1">IF(G250&lt;&gt;"NA", G250 - C250, TODAY() - C250)</f>
        <v>115</v>
      </c>
      <c r="L250" s="8" t="str">
        <f t="shared" ref="L250:L251" ca="1" si="21">IF(K250&gt;=90,"Yes","No")</f>
        <v>Yes</v>
      </c>
    </row>
    <row r="251" spans="1:19" x14ac:dyDescent="0.3">
      <c r="A251" s="25"/>
      <c r="B251" s="8"/>
      <c r="C251" s="18"/>
      <c r="D251" s="8"/>
      <c r="E251" s="19"/>
      <c r="F251" s="12"/>
      <c r="G251" s="18"/>
      <c r="H251" s="18"/>
      <c r="I251" s="18"/>
      <c r="J251" s="18"/>
      <c r="K251" s="8">
        <f ca="1">IF(G251&lt;&gt;"NA", G251 - C251, TODAY() - C251)</f>
        <v>0</v>
      </c>
      <c r="L251" s="8" t="str">
        <f t="shared" ca="1" si="21"/>
        <v>No</v>
      </c>
    </row>
    <row r="253" spans="1:19" x14ac:dyDescent="0.3">
      <c r="A253" s="5" t="s">
        <v>1</v>
      </c>
      <c r="B253" s="6" t="s">
        <v>2</v>
      </c>
      <c r="C253" s="5" t="s">
        <v>3</v>
      </c>
      <c r="D253" s="5" t="s">
        <v>4</v>
      </c>
      <c r="E253" s="5" t="s">
        <v>49</v>
      </c>
      <c r="F253" s="5" t="s">
        <v>6</v>
      </c>
      <c r="G253" s="5" t="s">
        <v>7</v>
      </c>
      <c r="H253" s="7" t="s">
        <v>8</v>
      </c>
      <c r="I253" s="5" t="s">
        <v>9</v>
      </c>
      <c r="J253" s="5" t="s">
        <v>29</v>
      </c>
      <c r="K253" s="5" t="s">
        <v>11</v>
      </c>
      <c r="L253" s="5" t="s">
        <v>12</v>
      </c>
    </row>
    <row r="254" spans="1:19" x14ac:dyDescent="0.3">
      <c r="A254" s="8" t="s">
        <v>13</v>
      </c>
      <c r="B254" s="4" t="str">
        <f>_xlfn.XLOOKUP($C254,'[1]Data Validation (2)'!$B$3:$B$31,'[1]Data Validation (2)'!$D$3:$D$31)</f>
        <v>VB0026</v>
      </c>
      <c r="C254" s="9" t="s">
        <v>51</v>
      </c>
      <c r="D254" s="8" t="str">
        <f>_xlfn.XLOOKUP($C254,'[1]Data Validation (2)'!$B$3:$B$31,'[1]Data Validation (2)'!$C$3:$C$31)</f>
        <v>Rohini Parihar</v>
      </c>
      <c r="E254" s="8">
        <f>_xlfn.XLOOKUP($C254,'[1]Ach % - L4'!$B$2:$B$27,'[1]Ach % - L4'!$E$2:$E$27)</f>
        <v>4</v>
      </c>
      <c r="F254" s="10">
        <f>_xlfn.XLOOKUP($C254,'[1]Ach % - L4'!$B$2:$B$27,'[1]Ach % - L4'!$G$2:$G$27)</f>
        <v>0.25</v>
      </c>
      <c r="G254" s="11">
        <f>SUM(E256:E260)</f>
        <v>37500</v>
      </c>
      <c r="H254" s="11">
        <f ca="1">SUMIFS($E255:$E261,$L255:$L261,"yes",F255:F261,"Done")</f>
        <v>0</v>
      </c>
      <c r="I254" s="12" cm="1">
        <f t="array" ref="I254">_xlfn.IFS($F254&lt;=1%,0%,$F254&lt;=50%,1.75%,$F254&lt;=70%,2.25%,$F254&lt;=85%,2.75%,$F254&gt;85%,4%)</f>
        <v>1.7500000000000002E-2</v>
      </c>
      <c r="J254" s="11">
        <f>G254*I254</f>
        <v>656.25000000000011</v>
      </c>
      <c r="K254" s="8">
        <f>J254*80</f>
        <v>52500.000000000007</v>
      </c>
      <c r="L254" s="9">
        <f ca="1">(H254*I254)*80</f>
        <v>0</v>
      </c>
    </row>
    <row r="255" spans="1:19" x14ac:dyDescent="0.3">
      <c r="A255" s="15" t="s">
        <v>3</v>
      </c>
      <c r="B255" s="15" t="s">
        <v>15</v>
      </c>
      <c r="C255" s="15" t="s">
        <v>16</v>
      </c>
      <c r="D255" s="15" t="s">
        <v>17</v>
      </c>
      <c r="E255" s="15" t="s">
        <v>18</v>
      </c>
      <c r="F255" s="15" t="s">
        <v>19</v>
      </c>
      <c r="G255" s="15" t="s">
        <v>20</v>
      </c>
      <c r="H255" s="15" t="s">
        <v>21</v>
      </c>
      <c r="I255" s="15" t="s">
        <v>22</v>
      </c>
      <c r="J255" s="15" t="s">
        <v>23</v>
      </c>
      <c r="K255" s="15" t="s">
        <v>24</v>
      </c>
      <c r="L255" s="15" t="s">
        <v>25</v>
      </c>
    </row>
    <row r="256" spans="1:19" x14ac:dyDescent="0.3">
      <c r="A256" s="23" t="str">
        <f>C254</f>
        <v>Anam Hasan</v>
      </c>
      <c r="B256" s="8" t="str" cm="1">
        <f t="array" ref="B256:J256">IFERROR(_xlfn.CHOOSECOLS(_xlfn._xlws.FILTER('[1]Vantedge - dummy Placement data'!E:AA, '[1]Vantedge - dummy Placement data'!I:I=$C254), 1, 7, 9, 11, 14, 8, 21, 22, 23), "")</f>
        <v>Minoji Thomas</v>
      </c>
      <c r="C256" s="18">
        <v>45910</v>
      </c>
      <c r="D256" s="8" t="str">
        <v>Infogain</v>
      </c>
      <c r="E256" s="19">
        <v>37500</v>
      </c>
      <c r="F256" s="12" t="str">
        <v>Pending</v>
      </c>
      <c r="G256" s="18" t="str">
        <v>NA</v>
      </c>
      <c r="H256" s="18" t="str">
        <v/>
      </c>
      <c r="I256" s="18" t="str">
        <v>JPC - 224931</v>
      </c>
      <c r="J256" s="18" t="str">
        <v>FTE</v>
      </c>
      <c r="K256" s="8">
        <f ca="1">IF(G256&lt;&gt;"NA", G256 - C256, TODAY() - C256)</f>
        <v>134</v>
      </c>
      <c r="L256" s="8" t="str">
        <f ca="1">IF(K256&gt;=90,"Yes","No")</f>
        <v>Yes</v>
      </c>
    </row>
    <row r="257" spans="1:12" x14ac:dyDescent="0.3">
      <c r="A257" s="24"/>
      <c r="B257" s="8"/>
      <c r="C257" s="18"/>
      <c r="D257" s="8"/>
      <c r="E257" s="19"/>
      <c r="F257" s="12"/>
      <c r="G257" s="18"/>
      <c r="H257" s="18"/>
      <c r="I257" s="18"/>
      <c r="J257" s="18"/>
      <c r="K257" s="8">
        <f ca="1">IF(G257&lt;&gt;"NA", G257 - C257, TODAY() - C257)</f>
        <v>0</v>
      </c>
      <c r="L257" s="8" t="str">
        <f ca="1">IF(K257&gt;=90,"Yes","No")</f>
        <v>No</v>
      </c>
    </row>
    <row r="258" spans="1:12" x14ac:dyDescent="0.3">
      <c r="A258" s="24"/>
      <c r="B258" s="8"/>
      <c r="C258" s="18"/>
      <c r="D258" s="8"/>
      <c r="E258" s="19"/>
      <c r="F258" s="12"/>
      <c r="G258" s="18"/>
      <c r="H258" s="18"/>
      <c r="I258" s="18"/>
      <c r="J258" s="18"/>
      <c r="K258" s="8">
        <f ca="1">IF(G258&lt;&gt;"NA", G258 - C258, TODAY() - C258)</f>
        <v>0</v>
      </c>
      <c r="L258" s="8" t="str">
        <f ca="1">IF(K258&gt;=90,"Yes","No")</f>
        <v>No</v>
      </c>
    </row>
    <row r="259" spans="1:12" x14ac:dyDescent="0.3">
      <c r="A259" s="24"/>
      <c r="B259" s="8"/>
      <c r="C259" s="18"/>
      <c r="D259" s="8"/>
      <c r="E259" s="19"/>
      <c r="F259" s="12"/>
      <c r="G259" s="18"/>
      <c r="H259" s="18"/>
      <c r="I259" s="18"/>
      <c r="J259" s="18"/>
      <c r="K259" s="8">
        <f ca="1">IF(G259&lt;&gt;"NA", G259 - C259, TODAY() - C259)</f>
        <v>0</v>
      </c>
      <c r="L259" s="8" t="str">
        <f t="shared" ref="L259:L260" ca="1" si="22">IF(K259&gt;=90,"Yes","No")</f>
        <v>No</v>
      </c>
    </row>
    <row r="260" spans="1:12" x14ac:dyDescent="0.3">
      <c r="A260" s="25"/>
      <c r="B260" s="8"/>
      <c r="C260" s="18"/>
      <c r="D260" s="8"/>
      <c r="E260" s="19"/>
      <c r="F260" s="12"/>
      <c r="G260" s="18"/>
      <c r="H260" s="18"/>
      <c r="I260" s="18"/>
      <c r="J260" s="18"/>
      <c r="K260" s="8">
        <f ca="1">IF(G260&lt;&gt;"NA", G260 - C260, TODAY() - C260)</f>
        <v>0</v>
      </c>
      <c r="L260" s="8" t="str">
        <f t="shared" ca="1" si="22"/>
        <v>No</v>
      </c>
    </row>
    <row r="262" spans="1:12" x14ac:dyDescent="0.3">
      <c r="A262" s="5" t="s">
        <v>1</v>
      </c>
      <c r="B262" s="6" t="s">
        <v>2</v>
      </c>
      <c r="C262" s="5" t="s">
        <v>3</v>
      </c>
      <c r="D262" s="5" t="s">
        <v>4</v>
      </c>
      <c r="E262" s="5" t="s">
        <v>49</v>
      </c>
      <c r="F262" s="5" t="s">
        <v>6</v>
      </c>
      <c r="G262" s="5" t="s">
        <v>7</v>
      </c>
      <c r="H262" s="7" t="s">
        <v>8</v>
      </c>
      <c r="I262" s="5" t="s">
        <v>9</v>
      </c>
      <c r="J262" s="5" t="s">
        <v>29</v>
      </c>
      <c r="K262" s="5" t="s">
        <v>11</v>
      </c>
      <c r="L262" s="7" t="s">
        <v>12</v>
      </c>
    </row>
    <row r="263" spans="1:12" x14ac:dyDescent="0.3">
      <c r="A263" s="8" t="s">
        <v>13</v>
      </c>
      <c r="B263" s="4" t="str">
        <f>_xlfn.XLOOKUP($C263,'[1]Data Validation (2)'!$B$3:$B$31,'[1]Data Validation (2)'!$D$3:$D$31)</f>
        <v>VB0027</v>
      </c>
      <c r="C263" s="9" t="s">
        <v>52</v>
      </c>
      <c r="D263" s="8" t="str">
        <f>_xlfn.XLOOKUP($C263,'[1]Data Validation (2)'!$B$3:$B$31,'[1]Data Validation (2)'!$C$3:$C$31)</f>
        <v>Rohini Parihar</v>
      </c>
      <c r="E263" s="8">
        <f>_xlfn.XLOOKUP($C263,'[1]Ach % - L4'!$B$2:$B$27,'[1]Ach % - L4'!$E$2:$E$27)</f>
        <v>4</v>
      </c>
      <c r="F263" s="10">
        <f>_xlfn.XLOOKUP($C263,'[1]Ach % - L4'!$B$2:$B$27,'[1]Ach % - L4'!$G$2:$G$27)</f>
        <v>0.75</v>
      </c>
      <c r="G263" s="11">
        <f>SUM(E265:E269)</f>
        <v>75950</v>
      </c>
      <c r="H263" s="11">
        <f ca="1">SUMIFS($E264:$E270,$L264:$L270,"yes",F264:F270,"Done")</f>
        <v>46050</v>
      </c>
      <c r="I263" s="12" cm="1">
        <f t="array" ref="I263">_xlfn.IFS($F263&lt;=1%,0%,$F263&lt;=50%,1.75%,$F263&lt;=70%,2.25%,$F263&lt;=85%,2.75%,$F263&gt;85%,4%)</f>
        <v>2.75E-2</v>
      </c>
      <c r="J263" s="11">
        <f>G263*I263</f>
        <v>2088.625</v>
      </c>
      <c r="K263" s="8">
        <f>J263*80</f>
        <v>167090</v>
      </c>
      <c r="L263" s="9">
        <f ca="1">(H263*I263)*80</f>
        <v>101310</v>
      </c>
    </row>
    <row r="264" spans="1:12" x14ac:dyDescent="0.3">
      <c r="A264" s="15" t="s">
        <v>3</v>
      </c>
      <c r="B264" s="15" t="s">
        <v>15</v>
      </c>
      <c r="C264" s="15" t="s">
        <v>16</v>
      </c>
      <c r="D264" s="15" t="s">
        <v>17</v>
      </c>
      <c r="E264" s="15" t="s">
        <v>18</v>
      </c>
      <c r="F264" s="15" t="s">
        <v>19</v>
      </c>
      <c r="G264" s="15" t="s">
        <v>20</v>
      </c>
      <c r="H264" s="15" t="s">
        <v>21</v>
      </c>
      <c r="I264" s="15" t="s">
        <v>22</v>
      </c>
      <c r="J264" s="15" t="s">
        <v>23</v>
      </c>
      <c r="K264" s="15" t="s">
        <v>24</v>
      </c>
      <c r="L264" s="15" t="s">
        <v>25</v>
      </c>
    </row>
    <row r="265" spans="1:12" x14ac:dyDescent="0.3">
      <c r="A265" s="23" t="str">
        <f>C263</f>
        <v>Tanya Mishra</v>
      </c>
      <c r="B265" s="8" t="str" cm="1">
        <f t="array" ref="B265:J267">IFERROR(_xlfn.CHOOSECOLS(_xlfn._xlws.FILTER('[1]Vantedge - dummy Placement data'!E:AA, '[1]Vantedge - dummy Placement data'!I:I=$C263), 1, 7, 9, 11, 14, 8, 21, 22, 23), "")</f>
        <v>Sindhu Venkatesh</v>
      </c>
      <c r="C265" s="18">
        <v>45698</v>
      </c>
      <c r="D265" s="8" t="str">
        <v>QualiZeal</v>
      </c>
      <c r="E265" s="19">
        <v>18750</v>
      </c>
      <c r="F265" s="12" t="str">
        <v>done</v>
      </c>
      <c r="G265" s="18" t="str">
        <v>NA</v>
      </c>
      <c r="H265" s="20">
        <v>432</v>
      </c>
      <c r="I265" s="18" t="str">
        <v>JPC - 224894</v>
      </c>
      <c r="J265" s="18" t="str">
        <v>FTE</v>
      </c>
      <c r="K265" s="8">
        <f ca="1">IF(G265&lt;&gt;"NA", G265 - C265, TODAY() - C265)</f>
        <v>346</v>
      </c>
      <c r="L265" s="8" t="str">
        <f ca="1">IF(K265&gt;=90,"Yes","No")</f>
        <v>Yes</v>
      </c>
    </row>
    <row r="266" spans="1:12" x14ac:dyDescent="0.3">
      <c r="A266" s="24"/>
      <c r="B266" s="8" t="str">
        <v>Juan salazar</v>
      </c>
      <c r="C266" s="18">
        <v>45705</v>
      </c>
      <c r="D266" s="8" t="str">
        <v>Myridius</v>
      </c>
      <c r="E266" s="19">
        <v>27300</v>
      </c>
      <c r="F266" s="12" t="str">
        <v>Done</v>
      </c>
      <c r="G266" s="18" t="str">
        <v>NA</v>
      </c>
      <c r="H266" s="20">
        <v>438</v>
      </c>
      <c r="I266" s="18" t="str">
        <v>JPC - 224896</v>
      </c>
      <c r="J266" s="18" t="str">
        <v>FTE</v>
      </c>
      <c r="K266" s="8">
        <f ca="1">IF(G266&lt;&gt;"NA", G266 - C266, TODAY() - C266)</f>
        <v>339</v>
      </c>
      <c r="L266" s="8" t="str">
        <f ca="1">IF(K266&gt;=90,"Yes","No")</f>
        <v>Yes</v>
      </c>
    </row>
    <row r="267" spans="1:12" x14ac:dyDescent="0.3">
      <c r="A267" s="24"/>
      <c r="B267" s="8" t="str">
        <v>Satish Manam</v>
      </c>
      <c r="C267" s="18">
        <v>45740</v>
      </c>
      <c r="D267" s="8" t="str">
        <v>Digitide</v>
      </c>
      <c r="E267" s="19">
        <v>29900</v>
      </c>
      <c r="F267" s="12" t="str">
        <v>Pending</v>
      </c>
      <c r="G267" s="18" t="str">
        <v>NA</v>
      </c>
      <c r="H267" s="20">
        <v>434</v>
      </c>
      <c r="I267" s="18" t="str">
        <v>JPC - 224903</v>
      </c>
      <c r="J267" s="18" t="str">
        <v>FTE</v>
      </c>
      <c r="K267" s="8">
        <f ca="1">IF(G267&lt;&gt;"NA", G267 - C267, TODAY() - C267)</f>
        <v>304</v>
      </c>
      <c r="L267" s="8" t="str">
        <f ca="1">IF(K267&gt;=90,"Yes","No")</f>
        <v>Yes</v>
      </c>
    </row>
    <row r="268" spans="1:12" x14ac:dyDescent="0.3">
      <c r="A268" s="24"/>
      <c r="B268" s="8"/>
      <c r="C268" s="18"/>
      <c r="D268" s="8"/>
      <c r="E268" s="19"/>
      <c r="F268" s="12"/>
      <c r="G268" s="18"/>
      <c r="H268" s="18"/>
      <c r="I268" s="18"/>
      <c r="J268" s="18"/>
      <c r="K268" s="8">
        <f ca="1">IF(G268&lt;&gt;"NA", G268 - C268, TODAY() - C268)</f>
        <v>0</v>
      </c>
      <c r="L268" s="8" t="str">
        <f t="shared" ref="L268:L269" ca="1" si="23">IF(K268&gt;=90,"Yes","No")</f>
        <v>No</v>
      </c>
    </row>
    <row r="269" spans="1:12" x14ac:dyDescent="0.3">
      <c r="A269" s="25"/>
      <c r="B269" s="8"/>
      <c r="C269" s="18"/>
      <c r="D269" s="8"/>
      <c r="E269" s="19"/>
      <c r="F269" s="12"/>
      <c r="G269" s="18"/>
      <c r="H269" s="18"/>
      <c r="I269" s="18"/>
      <c r="J269" s="18"/>
      <c r="K269" s="8">
        <f ca="1">IF(G269&lt;&gt;"NA", G269 - C269, TODAY() - C269)</f>
        <v>0</v>
      </c>
      <c r="L269" s="8" t="str">
        <f t="shared" ca="1" si="23"/>
        <v>No</v>
      </c>
    </row>
    <row r="271" spans="1:12" x14ac:dyDescent="0.3">
      <c r="A271" s="5" t="s">
        <v>1</v>
      </c>
      <c r="B271" s="6" t="s">
        <v>2</v>
      </c>
      <c r="C271" s="5" t="s">
        <v>3</v>
      </c>
      <c r="D271" s="5" t="s">
        <v>4</v>
      </c>
      <c r="E271" s="5" t="s">
        <v>49</v>
      </c>
      <c r="F271" s="5" t="s">
        <v>6</v>
      </c>
      <c r="G271" s="5" t="s">
        <v>7</v>
      </c>
      <c r="H271" s="7" t="s">
        <v>8</v>
      </c>
      <c r="I271" s="5" t="s">
        <v>9</v>
      </c>
      <c r="J271" s="5" t="s">
        <v>29</v>
      </c>
      <c r="K271" s="5" t="s">
        <v>11</v>
      </c>
      <c r="L271" s="5" t="s">
        <v>12</v>
      </c>
    </row>
    <row r="272" spans="1:12" x14ac:dyDescent="0.3">
      <c r="A272" s="8" t="s">
        <v>13</v>
      </c>
      <c r="B272" s="4" t="str">
        <f>_xlfn.XLOOKUP($C272,'[1]Data Validation (2)'!$B$3:$B$31,'[1]Data Validation (2)'!$D$3:$D$31)</f>
        <v>VB0028</v>
      </c>
      <c r="C272" s="9" t="s">
        <v>53</v>
      </c>
      <c r="D272" s="8" t="str">
        <f>_xlfn.XLOOKUP($C272,'[1]Data Validation (2)'!$B$3:$B$31,'[1]Data Validation (2)'!$C$3:$C$31)</f>
        <v>Rohini Parihar</v>
      </c>
      <c r="E272" s="8">
        <f>_xlfn.XLOOKUP($C272,'[1]Ach % - L4'!$B$2:$B$27,'[1]Ach % - L4'!$E$2:$E$27)</f>
        <v>4</v>
      </c>
      <c r="F272" s="10">
        <f>_xlfn.XLOOKUP($C272,'[1]Ach % - L4'!$B$2:$B$27,'[1]Ach % - L4'!$G$2:$G$27)</f>
        <v>0</v>
      </c>
      <c r="G272" s="11">
        <f>SUM(E274:E278)</f>
        <v>0</v>
      </c>
      <c r="H272" s="11">
        <f ca="1">SUMIFS($E273:$E279,$L273:$L279,"yes",F273:F279,"Done")</f>
        <v>0</v>
      </c>
      <c r="I272" s="12" cm="1">
        <f t="array" ref="I272">_xlfn.IFS($F272&lt;=1%,0%,$F272&lt;=50%,1.75%,$F272&lt;=70%,2.25%,$F272&lt;=85%,2.75%,$F272&gt;85%,4%)</f>
        <v>0</v>
      </c>
      <c r="J272" s="11">
        <f>G272*I272</f>
        <v>0</v>
      </c>
      <c r="K272" s="8">
        <f>J272*80</f>
        <v>0</v>
      </c>
      <c r="L272" s="9">
        <f ca="1">(H272*I272)*80</f>
        <v>0</v>
      </c>
    </row>
    <row r="273" spans="1:12" x14ac:dyDescent="0.3">
      <c r="A273" s="15" t="s">
        <v>3</v>
      </c>
      <c r="B273" s="15" t="s">
        <v>15</v>
      </c>
      <c r="C273" s="15" t="s">
        <v>16</v>
      </c>
      <c r="D273" s="15" t="s">
        <v>17</v>
      </c>
      <c r="E273" s="15" t="s">
        <v>18</v>
      </c>
      <c r="F273" s="15" t="s">
        <v>19</v>
      </c>
      <c r="G273" s="15" t="s">
        <v>20</v>
      </c>
      <c r="H273" s="15" t="s">
        <v>21</v>
      </c>
      <c r="I273" s="15" t="s">
        <v>22</v>
      </c>
      <c r="J273" s="15" t="s">
        <v>23</v>
      </c>
      <c r="K273" s="15" t="s">
        <v>24</v>
      </c>
      <c r="L273" s="15" t="s">
        <v>25</v>
      </c>
    </row>
    <row r="274" spans="1:12" x14ac:dyDescent="0.3">
      <c r="A274" s="23" t="str">
        <f>C272</f>
        <v>Devashish Sinha</v>
      </c>
      <c r="B274" s="8" t="str" cm="1">
        <f t="array" ref="B274">IFERROR(_xlfn.CHOOSECOLS(_xlfn._xlws.FILTER('[1]Vantedge - dummy Placement data'!E:AA, '[1]Vantedge - dummy Placement data'!I:I=$C272), 1, 7, 9, 11, 14, 8, 21, 22, 23), "")</f>
        <v/>
      </c>
      <c r="C274" s="18"/>
      <c r="D274" s="8"/>
      <c r="E274" s="19"/>
      <c r="F274" s="12"/>
      <c r="G274" s="18"/>
      <c r="H274" s="18"/>
      <c r="I274" s="18"/>
      <c r="J274" s="18"/>
      <c r="K274" s="8">
        <f ca="1">IF(G274&lt;&gt;"NA", G274 - C274, TODAY() - C274)</f>
        <v>0</v>
      </c>
      <c r="L274" s="8" t="str">
        <f ca="1">IF(K274&gt;=90,"Yes","No")</f>
        <v>No</v>
      </c>
    </row>
    <row r="275" spans="1:12" x14ac:dyDescent="0.3">
      <c r="A275" s="24"/>
      <c r="B275" s="8"/>
      <c r="C275" s="18"/>
      <c r="D275" s="8"/>
      <c r="E275" s="19"/>
      <c r="F275" s="12"/>
      <c r="G275" s="18"/>
      <c r="H275" s="18"/>
      <c r="I275" s="18"/>
      <c r="J275" s="18"/>
      <c r="K275" s="8">
        <f ca="1">IF(G275&lt;&gt;"NA", G275 - C275, TODAY() - C275)</f>
        <v>0</v>
      </c>
      <c r="L275" s="8" t="str">
        <f ca="1">IF(K275&gt;=90,"Yes","No")</f>
        <v>No</v>
      </c>
    </row>
    <row r="276" spans="1:12" x14ac:dyDescent="0.3">
      <c r="A276" s="24"/>
      <c r="B276" s="8"/>
      <c r="C276" s="18"/>
      <c r="D276" s="8"/>
      <c r="E276" s="19"/>
      <c r="F276" s="12"/>
      <c r="G276" s="18"/>
      <c r="H276" s="18"/>
      <c r="I276" s="18"/>
      <c r="J276" s="18"/>
      <c r="K276" s="8">
        <f ca="1">IF(G276&lt;&gt;"NA", G276 - C276, TODAY() - C276)</f>
        <v>0</v>
      </c>
      <c r="L276" s="8" t="str">
        <f ca="1">IF(K276&gt;=90,"Yes","No")</f>
        <v>No</v>
      </c>
    </row>
    <row r="277" spans="1:12" x14ac:dyDescent="0.3">
      <c r="A277" s="24"/>
      <c r="B277" s="8"/>
      <c r="C277" s="18"/>
      <c r="D277" s="8"/>
      <c r="E277" s="19"/>
      <c r="F277" s="12"/>
      <c r="G277" s="18"/>
      <c r="H277" s="18"/>
      <c r="I277" s="18"/>
      <c r="J277" s="18"/>
      <c r="K277" s="8">
        <f ca="1">IF(G277&lt;&gt;"NA", G277 - C277, TODAY() - C277)</f>
        <v>0</v>
      </c>
      <c r="L277" s="8" t="str">
        <f t="shared" ref="L277:L278" ca="1" si="24">IF(K277&gt;=90,"Yes","No")</f>
        <v>No</v>
      </c>
    </row>
    <row r="278" spans="1:12" x14ac:dyDescent="0.3">
      <c r="A278" s="25"/>
      <c r="B278" s="8"/>
      <c r="C278" s="18"/>
      <c r="D278" s="8"/>
      <c r="E278" s="19"/>
      <c r="F278" s="12"/>
      <c r="G278" s="18"/>
      <c r="H278" s="18"/>
      <c r="I278" s="18"/>
      <c r="J278" s="18"/>
      <c r="K278" s="8">
        <f ca="1">IF(G278&lt;&gt;"NA", G278 - C278, TODAY() - C278)</f>
        <v>0</v>
      </c>
      <c r="L278" s="8" t="str">
        <f t="shared" ca="1" si="24"/>
        <v>No</v>
      </c>
    </row>
  </sheetData>
  <mergeCells count="25">
    <mergeCell ref="A274:A278"/>
    <mergeCell ref="A221:A227"/>
    <mergeCell ref="A233:A239"/>
    <mergeCell ref="A241:S242"/>
    <mergeCell ref="A247:A251"/>
    <mergeCell ref="A256:A260"/>
    <mergeCell ref="A265:A269"/>
    <mergeCell ref="A147:A153"/>
    <mergeCell ref="A158:A164"/>
    <mergeCell ref="A170:A176"/>
    <mergeCell ref="A182:A188"/>
    <mergeCell ref="A194:A200"/>
    <mergeCell ref="A207:A213"/>
    <mergeCell ref="A70:A76"/>
    <mergeCell ref="A82:A88"/>
    <mergeCell ref="A94:A100"/>
    <mergeCell ref="A107:A113"/>
    <mergeCell ref="A120:A127"/>
    <mergeCell ref="A134:A141"/>
    <mergeCell ref="A1:O1"/>
    <mergeCell ref="A6:A13"/>
    <mergeCell ref="A19:A25"/>
    <mergeCell ref="A31:A36"/>
    <mergeCell ref="A42:A47"/>
    <mergeCell ref="A55:A61"/>
  </mergeCells>
  <conditionalFormatting sqref="F6:F8 F10:F13">
    <cfRule type="containsText" dxfId="227" priority="270" operator="containsText" text="No Bill No Pay">
      <formula>NOT(ISERROR(SEARCH("No Bill No Pay",F6)))</formula>
    </cfRule>
    <cfRule type="cellIs" priority="271" operator="equal">
      <formula>"No Bill No Pay"</formula>
    </cfRule>
    <cfRule type="containsText" dxfId="228" priority="272" operator="containsText" text="Pending">
      <formula>NOT(ISERROR(SEARCH("Pending",F6)))</formula>
    </cfRule>
    <cfRule type="containsText" dxfId="229" priority="273" operator="containsText" text="Done">
      <formula>NOT(ISERROR(SEARCH("Done",F6)))</formula>
    </cfRule>
  </conditionalFormatting>
  <conditionalFormatting sqref="F19:F23">
    <cfRule type="containsText" dxfId="225" priority="264" operator="containsText" text="No Bill No Pay">
      <formula>NOT(ISERROR(SEARCH("No Bill No Pay",F19)))</formula>
    </cfRule>
    <cfRule type="cellIs" priority="265" operator="equal">
      <formula>"No Bill No Pay"</formula>
    </cfRule>
    <cfRule type="containsText" dxfId="224" priority="266" operator="containsText" text="Pending">
      <formula>NOT(ISERROR(SEARCH("Pending",F19)))</formula>
    </cfRule>
    <cfRule type="containsText" dxfId="226" priority="267" operator="containsText" text="Done">
      <formula>NOT(ISERROR(SEARCH("Done",F19)))</formula>
    </cfRule>
  </conditionalFormatting>
  <conditionalFormatting sqref="F31:F36">
    <cfRule type="containsText" dxfId="222" priority="258" operator="containsText" text="No Bill No Pay">
      <formula>NOT(ISERROR(SEARCH("No Bill No Pay",F31)))</formula>
    </cfRule>
    <cfRule type="cellIs" priority="259" operator="equal">
      <formula>"No Bill No Pay"</formula>
    </cfRule>
    <cfRule type="containsText" dxfId="221" priority="260" operator="containsText" text="Pending">
      <formula>NOT(ISERROR(SEARCH("Pending",F31)))</formula>
    </cfRule>
    <cfRule type="containsText" dxfId="223" priority="261" operator="containsText" text="Done">
      <formula>NOT(ISERROR(SEARCH("Done",F31)))</formula>
    </cfRule>
  </conditionalFormatting>
  <conditionalFormatting sqref="F42:F47">
    <cfRule type="containsText" dxfId="220" priority="252" operator="containsText" text="No Bill No Pay">
      <formula>NOT(ISERROR(SEARCH("No Bill No Pay",F42)))</formula>
    </cfRule>
    <cfRule type="cellIs" priority="253" operator="equal">
      <formula>"No Bill No Pay"</formula>
    </cfRule>
    <cfRule type="containsText" dxfId="219" priority="254" operator="containsText" text="Pending">
      <formula>NOT(ISERROR(SEARCH("Pending",F42)))</formula>
    </cfRule>
    <cfRule type="containsText" dxfId="218" priority="255" operator="containsText" text="Done">
      <formula>NOT(ISERROR(SEARCH("Done",F42)))</formula>
    </cfRule>
  </conditionalFormatting>
  <conditionalFormatting sqref="F55:F61">
    <cfRule type="containsText" dxfId="216" priority="246" operator="containsText" text="No Bill No Pay">
      <formula>NOT(ISERROR(SEARCH("No Bill No Pay",F55)))</formula>
    </cfRule>
    <cfRule type="cellIs" priority="247" operator="equal">
      <formula>"No Bill No Pay"</formula>
    </cfRule>
    <cfRule type="containsText" dxfId="215" priority="248" operator="containsText" text="Pending">
      <formula>NOT(ISERROR(SEARCH("Pending",F55)))</formula>
    </cfRule>
    <cfRule type="containsText" dxfId="217" priority="249" operator="containsText" text="Done">
      <formula>NOT(ISERROR(SEARCH("Done",F55)))</formula>
    </cfRule>
  </conditionalFormatting>
  <conditionalFormatting sqref="F70:F76">
    <cfRule type="containsText" dxfId="213" priority="240" operator="containsText" text="No Bill No Pay">
      <formula>NOT(ISERROR(SEARCH("No Bill No Pay",F70)))</formula>
    </cfRule>
    <cfRule type="cellIs" priority="241" operator="equal">
      <formula>"No Bill No Pay"</formula>
    </cfRule>
    <cfRule type="containsText" dxfId="212" priority="242" operator="containsText" text="Pending">
      <formula>NOT(ISERROR(SEARCH("Pending",F70)))</formula>
    </cfRule>
    <cfRule type="containsText" dxfId="214" priority="243" operator="containsText" text="Done">
      <formula>NOT(ISERROR(SEARCH("Done",F70)))</formula>
    </cfRule>
  </conditionalFormatting>
  <conditionalFormatting sqref="F82:F88">
    <cfRule type="containsText" dxfId="209" priority="234" operator="containsText" text="No Bill No Pay">
      <formula>NOT(ISERROR(SEARCH("No Bill No Pay",F82)))</formula>
    </cfRule>
    <cfRule type="cellIs" priority="235" operator="equal">
      <formula>"No Bill No Pay"</formula>
    </cfRule>
    <cfRule type="containsText" dxfId="210" priority="236" operator="containsText" text="Pending">
      <formula>NOT(ISERROR(SEARCH("Pending",F82)))</formula>
    </cfRule>
    <cfRule type="containsText" dxfId="211" priority="237" operator="containsText" text="Done">
      <formula>NOT(ISERROR(SEARCH("Done",F82)))</formula>
    </cfRule>
  </conditionalFormatting>
  <conditionalFormatting sqref="F94:F100">
    <cfRule type="containsText" dxfId="206" priority="228" operator="containsText" text="No Bill No Pay">
      <formula>NOT(ISERROR(SEARCH("No Bill No Pay",F94)))</formula>
    </cfRule>
    <cfRule type="cellIs" priority="229" operator="equal">
      <formula>"No Bill No Pay"</formula>
    </cfRule>
    <cfRule type="containsText" dxfId="207" priority="230" operator="containsText" text="Pending">
      <formula>NOT(ISERROR(SEARCH("Pending",F94)))</formula>
    </cfRule>
    <cfRule type="containsText" dxfId="208" priority="231" operator="containsText" text="Done">
      <formula>NOT(ISERROR(SEARCH("Done",F94)))</formula>
    </cfRule>
  </conditionalFormatting>
  <conditionalFormatting sqref="F107:F113">
    <cfRule type="containsText" dxfId="205" priority="222" operator="containsText" text="No Bill No Pay">
      <formula>NOT(ISERROR(SEARCH("No Bill No Pay",F107)))</formula>
    </cfRule>
    <cfRule type="cellIs" priority="223" operator="equal">
      <formula>"No Bill No Pay"</formula>
    </cfRule>
    <cfRule type="containsText" dxfId="204" priority="224" operator="containsText" text="Pending">
      <formula>NOT(ISERROR(SEARCH("Pending",F107)))</formula>
    </cfRule>
    <cfRule type="containsText" dxfId="203" priority="225" operator="containsText" text="Done">
      <formula>NOT(ISERROR(SEARCH("Done",F107)))</formula>
    </cfRule>
  </conditionalFormatting>
  <conditionalFormatting sqref="F120:F127">
    <cfRule type="containsText" dxfId="200" priority="216" operator="containsText" text="No Bill No Pay">
      <formula>NOT(ISERROR(SEARCH("No Bill No Pay",F120)))</formula>
    </cfRule>
    <cfRule type="cellIs" priority="217" operator="equal">
      <formula>"No Bill No Pay"</formula>
    </cfRule>
    <cfRule type="containsText" dxfId="202" priority="218" operator="containsText" text="Pending">
      <formula>NOT(ISERROR(SEARCH("Pending",F120)))</formula>
    </cfRule>
    <cfRule type="containsText" dxfId="201" priority="219" operator="containsText" text="Done">
      <formula>NOT(ISERROR(SEARCH("Done",F120)))</formula>
    </cfRule>
  </conditionalFormatting>
  <conditionalFormatting sqref="F134:F141">
    <cfRule type="containsText" dxfId="199" priority="210" operator="containsText" text="No Bill No Pay">
      <formula>NOT(ISERROR(SEARCH("No Bill No Pay",F134)))</formula>
    </cfRule>
    <cfRule type="cellIs" priority="211" operator="equal">
      <formula>"No Bill No Pay"</formula>
    </cfRule>
    <cfRule type="containsText" dxfId="198" priority="212" operator="containsText" text="Pending">
      <formula>NOT(ISERROR(SEARCH("Pending",F134)))</formula>
    </cfRule>
    <cfRule type="containsText" dxfId="197" priority="213" operator="containsText" text="Done">
      <formula>NOT(ISERROR(SEARCH("Done",F134)))</formula>
    </cfRule>
  </conditionalFormatting>
  <conditionalFormatting sqref="F147:F153">
    <cfRule type="containsText" dxfId="194" priority="204" operator="containsText" text="No Bill No Pay">
      <formula>NOT(ISERROR(SEARCH("No Bill No Pay",F147)))</formula>
    </cfRule>
    <cfRule type="cellIs" priority="205" operator="equal">
      <formula>"No Bill No Pay"</formula>
    </cfRule>
    <cfRule type="containsText" dxfId="196" priority="206" operator="containsText" text="Pending">
      <formula>NOT(ISERROR(SEARCH("Pending",F147)))</formula>
    </cfRule>
    <cfRule type="containsText" dxfId="195" priority="207" operator="containsText" text="Done">
      <formula>NOT(ISERROR(SEARCH("Done",F147)))</formula>
    </cfRule>
  </conditionalFormatting>
  <conditionalFormatting sqref="F158:F164">
    <cfRule type="containsText" dxfId="192" priority="195" operator="containsText" text="No Bill No Pay">
      <formula>NOT(ISERROR(SEARCH("No Bill No Pay",F158)))</formula>
    </cfRule>
    <cfRule type="cellIs" priority="196" operator="equal">
      <formula>"No Bill No Pay"</formula>
    </cfRule>
    <cfRule type="containsText" dxfId="193" priority="197" operator="containsText" text="Pending">
      <formula>NOT(ISERROR(SEARCH("Pending",F158)))</formula>
    </cfRule>
    <cfRule type="containsText" dxfId="191" priority="198" operator="containsText" text="Done">
      <formula>NOT(ISERROR(SEARCH("Done",F158)))</formula>
    </cfRule>
  </conditionalFormatting>
  <conditionalFormatting sqref="F170:F176">
    <cfRule type="containsText" dxfId="190" priority="189" operator="containsText" text="No Bill No Pay">
      <formula>NOT(ISERROR(SEARCH("No Bill No Pay",F170)))</formula>
    </cfRule>
    <cfRule type="cellIs" priority="190" operator="equal">
      <formula>"No Bill No Pay"</formula>
    </cfRule>
    <cfRule type="containsText" dxfId="188" priority="191" operator="containsText" text="Pending">
      <formula>NOT(ISERROR(SEARCH("Pending",F170)))</formula>
    </cfRule>
    <cfRule type="containsText" dxfId="189" priority="192" operator="containsText" text="Done">
      <formula>NOT(ISERROR(SEARCH("Done",F170)))</formula>
    </cfRule>
  </conditionalFormatting>
  <conditionalFormatting sqref="F182:F188">
    <cfRule type="containsText" dxfId="187" priority="183" operator="containsText" text="No Bill No Pay">
      <formula>NOT(ISERROR(SEARCH("No Bill No Pay",F182)))</formula>
    </cfRule>
    <cfRule type="cellIs" priority="184" operator="equal">
      <formula>"No Bill No Pay"</formula>
    </cfRule>
    <cfRule type="containsText" dxfId="185" priority="185" operator="containsText" text="Pending">
      <formula>NOT(ISERROR(SEARCH("Pending",F182)))</formula>
    </cfRule>
    <cfRule type="containsText" dxfId="186" priority="186" operator="containsText" text="Done">
      <formula>NOT(ISERROR(SEARCH("Done",F182)))</formula>
    </cfRule>
  </conditionalFormatting>
  <conditionalFormatting sqref="F194:F202">
    <cfRule type="containsText" dxfId="182" priority="177" operator="containsText" text="No Bill No Pay">
      <formula>NOT(ISERROR(SEARCH("No Bill No Pay",F194)))</formula>
    </cfRule>
    <cfRule type="cellIs" priority="178" operator="equal">
      <formula>"No Bill No Pay"</formula>
    </cfRule>
    <cfRule type="containsText" dxfId="183" priority="179" operator="containsText" text="Pending">
      <formula>NOT(ISERROR(SEARCH("Pending",F194)))</formula>
    </cfRule>
    <cfRule type="containsText" dxfId="184" priority="180" operator="containsText" text="Done">
      <formula>NOT(ISERROR(SEARCH("Done",F194)))</formula>
    </cfRule>
  </conditionalFormatting>
  <conditionalFormatting sqref="F207:F213">
    <cfRule type="containsText" dxfId="180" priority="171" operator="containsText" text="No Bill No Pay">
      <formula>NOT(ISERROR(SEARCH("No Bill No Pay",F207)))</formula>
    </cfRule>
    <cfRule type="cellIs" priority="172" operator="equal">
      <formula>"No Bill No Pay"</formula>
    </cfRule>
    <cfRule type="containsText" dxfId="181" priority="173" operator="containsText" text="Pending">
      <formula>NOT(ISERROR(SEARCH("Pending",F207)))</formula>
    </cfRule>
    <cfRule type="containsText" dxfId="179" priority="174" operator="containsText" text="Done">
      <formula>NOT(ISERROR(SEARCH("Done",F207)))</formula>
    </cfRule>
  </conditionalFormatting>
  <conditionalFormatting sqref="F221:F227">
    <cfRule type="containsText" dxfId="178" priority="165" operator="containsText" text="No Bill No Pay">
      <formula>NOT(ISERROR(SEARCH("No Bill No Pay",F221)))</formula>
    </cfRule>
    <cfRule type="cellIs" priority="166" operator="equal">
      <formula>"No Bill No Pay"</formula>
    </cfRule>
    <cfRule type="containsText" dxfId="176" priority="167" operator="containsText" text="Pending">
      <formula>NOT(ISERROR(SEARCH("Pending",F221)))</formula>
    </cfRule>
    <cfRule type="containsText" dxfId="177" priority="168" operator="containsText" text="Done">
      <formula>NOT(ISERROR(SEARCH("Done",F221)))</formula>
    </cfRule>
  </conditionalFormatting>
  <conditionalFormatting sqref="F233:F239">
    <cfRule type="containsText" dxfId="173" priority="156" operator="containsText" text="No Bill No Pay">
      <formula>NOT(ISERROR(SEARCH("No Bill No Pay",F233)))</formula>
    </cfRule>
    <cfRule type="cellIs" priority="157" operator="equal">
      <formula>"No Bill No Pay"</formula>
    </cfRule>
    <cfRule type="containsText" dxfId="174" priority="158" operator="containsText" text="Pending">
      <formula>NOT(ISERROR(SEARCH("Pending",F233)))</formula>
    </cfRule>
    <cfRule type="containsText" dxfId="175" priority="159" operator="containsText" text="Done">
      <formula>NOT(ISERROR(SEARCH("Done",F233)))</formula>
    </cfRule>
  </conditionalFormatting>
  <conditionalFormatting sqref="F247:F251">
    <cfRule type="containsText" dxfId="172" priority="150" operator="containsText" text="No Bill No Pay">
      <formula>NOT(ISERROR(SEARCH("No Bill No Pay",F247)))</formula>
    </cfRule>
    <cfRule type="cellIs" priority="151" operator="equal">
      <formula>"No Bill No Pay"</formula>
    </cfRule>
    <cfRule type="containsText" dxfId="170" priority="152" operator="containsText" text="Pending">
      <formula>NOT(ISERROR(SEARCH("Pending",F247)))</formula>
    </cfRule>
    <cfRule type="containsText" dxfId="171" priority="153" operator="containsText" text="Done">
      <formula>NOT(ISERROR(SEARCH("Done",F247)))</formula>
    </cfRule>
  </conditionalFormatting>
  <conditionalFormatting sqref="F256:F260">
    <cfRule type="containsText" dxfId="167" priority="144" operator="containsText" text="No Bill No Pay">
      <formula>NOT(ISERROR(SEARCH("No Bill No Pay",F256)))</formula>
    </cfRule>
    <cfRule type="cellIs" priority="145" operator="equal">
      <formula>"No Bill No Pay"</formula>
    </cfRule>
    <cfRule type="containsText" dxfId="169" priority="146" operator="containsText" text="Pending">
      <formula>NOT(ISERROR(SEARCH("Pending",F256)))</formula>
    </cfRule>
    <cfRule type="containsText" dxfId="168" priority="147" operator="containsText" text="Done">
      <formula>NOT(ISERROR(SEARCH("Done",F256)))</formula>
    </cfRule>
  </conditionalFormatting>
  <conditionalFormatting sqref="F265:F269">
    <cfRule type="containsText" dxfId="166" priority="138" operator="containsText" text="No Bill No Pay">
      <formula>NOT(ISERROR(SEARCH("No Bill No Pay",F265)))</formula>
    </cfRule>
    <cfRule type="cellIs" priority="139" operator="equal">
      <formula>"No Bill No Pay"</formula>
    </cfRule>
    <cfRule type="containsText" dxfId="164" priority="140" operator="containsText" text="Pending">
      <formula>NOT(ISERROR(SEARCH("Pending",F265)))</formula>
    </cfRule>
    <cfRule type="containsText" dxfId="165" priority="141" operator="containsText" text="Done">
      <formula>NOT(ISERROR(SEARCH("Done",F265)))</formula>
    </cfRule>
  </conditionalFormatting>
  <conditionalFormatting sqref="F274:F278">
    <cfRule type="containsText" dxfId="163" priority="132" operator="containsText" text="No Bill No Pay">
      <formula>NOT(ISERROR(SEARCH("No Bill No Pay",F274)))</formula>
    </cfRule>
    <cfRule type="cellIs" priority="133" operator="equal">
      <formula>"No Bill No Pay"</formula>
    </cfRule>
    <cfRule type="containsText" dxfId="161" priority="134" operator="containsText" text="Pending">
      <formula>NOT(ISERROR(SEARCH("Pending",F274)))</formula>
    </cfRule>
    <cfRule type="containsText" dxfId="162" priority="135" operator="containsText" text="Done">
      <formula>NOT(ISERROR(SEARCH("Done",F274)))</formula>
    </cfRule>
  </conditionalFormatting>
  <conditionalFormatting sqref="F69:L69">
    <cfRule type="containsText" dxfId="159" priority="46" operator="containsText" text="No Bill No Pay">
      <formula>NOT(ISERROR(SEARCH("No Bill No Pay",F69)))</formula>
    </cfRule>
    <cfRule type="cellIs" priority="47" operator="equal">
      <formula>"No Bill No Pay"</formula>
    </cfRule>
    <cfRule type="containsText" dxfId="160" priority="48" operator="containsText" text="Pending">
      <formula>NOT(ISERROR(SEARCH("Pending",F69)))</formula>
    </cfRule>
  </conditionalFormatting>
  <conditionalFormatting sqref="F81:L81">
    <cfRule type="containsText" dxfId="157" priority="43" operator="containsText" text="No Bill No Pay">
      <formula>NOT(ISERROR(SEARCH("No Bill No Pay",F81)))</formula>
    </cfRule>
    <cfRule type="cellIs" priority="44" operator="equal">
      <formula>"No Bill No Pay"</formula>
    </cfRule>
    <cfRule type="containsText" dxfId="158" priority="45" operator="containsText" text="Pending">
      <formula>NOT(ISERROR(SEARCH("Pending",F81)))</formula>
    </cfRule>
  </conditionalFormatting>
  <conditionalFormatting sqref="F93:L93">
    <cfRule type="containsText" dxfId="156" priority="40" operator="containsText" text="No Bill No Pay">
      <formula>NOT(ISERROR(SEARCH("No Bill No Pay",F93)))</formula>
    </cfRule>
    <cfRule type="cellIs" priority="41" operator="equal">
      <formula>"No Bill No Pay"</formula>
    </cfRule>
    <cfRule type="containsText" dxfId="155" priority="42" operator="containsText" text="Pending">
      <formula>NOT(ISERROR(SEARCH("Pending",F93)))</formula>
    </cfRule>
  </conditionalFormatting>
  <conditionalFormatting sqref="F106:L106">
    <cfRule type="containsText" dxfId="153" priority="37" operator="containsText" text="No Bill No Pay">
      <formula>NOT(ISERROR(SEARCH("No Bill No Pay",F106)))</formula>
    </cfRule>
    <cfRule type="cellIs" priority="38" operator="equal">
      <formula>"No Bill No Pay"</formula>
    </cfRule>
    <cfRule type="containsText" dxfId="154" priority="39" operator="containsText" text="Pending">
      <formula>NOT(ISERROR(SEARCH("Pending",F106)))</formula>
    </cfRule>
  </conditionalFormatting>
  <conditionalFormatting sqref="F119:L119">
    <cfRule type="containsText" dxfId="151" priority="34" operator="containsText" text="No Bill No Pay">
      <formula>NOT(ISERROR(SEARCH("No Bill No Pay",F119)))</formula>
    </cfRule>
    <cfRule type="cellIs" priority="35" operator="equal">
      <formula>"No Bill No Pay"</formula>
    </cfRule>
    <cfRule type="containsText" dxfId="152" priority="36" operator="containsText" text="Pending">
      <formula>NOT(ISERROR(SEARCH("Pending",F119)))</formula>
    </cfRule>
  </conditionalFormatting>
  <conditionalFormatting sqref="F133:L133">
    <cfRule type="containsText" dxfId="149" priority="31" operator="containsText" text="No Bill No Pay">
      <formula>NOT(ISERROR(SEARCH("No Bill No Pay",F133)))</formula>
    </cfRule>
    <cfRule type="cellIs" priority="32" operator="equal">
      <formula>"No Bill No Pay"</formula>
    </cfRule>
    <cfRule type="containsText" dxfId="150" priority="33" operator="containsText" text="Pending">
      <formula>NOT(ISERROR(SEARCH("Pending",F133)))</formula>
    </cfRule>
  </conditionalFormatting>
  <conditionalFormatting sqref="F146:L146">
    <cfRule type="containsText" dxfId="148" priority="28" operator="containsText" text="No Bill No Pay">
      <formula>NOT(ISERROR(SEARCH("No Bill No Pay",F146)))</formula>
    </cfRule>
    <cfRule type="cellIs" priority="29" operator="equal">
      <formula>"No Bill No Pay"</formula>
    </cfRule>
    <cfRule type="containsText" dxfId="147" priority="30" operator="containsText" text="Pending">
      <formula>NOT(ISERROR(SEARCH("Pending",F146)))</formula>
    </cfRule>
  </conditionalFormatting>
  <conditionalFormatting sqref="F157:L157">
    <cfRule type="containsText" dxfId="145" priority="199" operator="containsText" text="No Bill No Pay">
      <formula>NOT(ISERROR(SEARCH("No Bill No Pay",F157)))</formula>
    </cfRule>
    <cfRule type="cellIs" priority="200" operator="equal">
      <formula>"No Bill No Pay"</formula>
    </cfRule>
    <cfRule type="containsText" dxfId="146" priority="201" operator="containsText" text="Pending">
      <formula>NOT(ISERROR(SEARCH("Pending",F157)))</formula>
    </cfRule>
  </conditionalFormatting>
  <conditionalFormatting sqref="F169:L169">
    <cfRule type="containsText" dxfId="144" priority="25" operator="containsText" text="No Bill No Pay">
      <formula>NOT(ISERROR(SEARCH("No Bill No Pay",F169)))</formula>
    </cfRule>
    <cfRule type="cellIs" priority="26" operator="equal">
      <formula>"No Bill No Pay"</formula>
    </cfRule>
    <cfRule type="containsText" dxfId="143" priority="27" operator="containsText" text="Pending">
      <formula>NOT(ISERROR(SEARCH("Pending",F169)))</formula>
    </cfRule>
  </conditionalFormatting>
  <conditionalFormatting sqref="F181:L181">
    <cfRule type="containsText" dxfId="142" priority="22" operator="containsText" text="No Bill No Pay">
      <formula>NOT(ISERROR(SEARCH("No Bill No Pay",F181)))</formula>
    </cfRule>
    <cfRule type="cellIs" priority="23" operator="equal">
      <formula>"No Bill No Pay"</formula>
    </cfRule>
    <cfRule type="containsText" dxfId="141" priority="24" operator="containsText" text="Pending">
      <formula>NOT(ISERROR(SEARCH("Pending",F181)))</formula>
    </cfRule>
  </conditionalFormatting>
  <conditionalFormatting sqref="F193:L193">
    <cfRule type="containsText" dxfId="139" priority="19" operator="containsText" text="No Bill No Pay">
      <formula>NOT(ISERROR(SEARCH("No Bill No Pay",F193)))</formula>
    </cfRule>
    <cfRule type="cellIs" priority="20" operator="equal">
      <formula>"No Bill No Pay"</formula>
    </cfRule>
    <cfRule type="containsText" dxfId="140" priority="21" operator="containsText" text="Pending">
      <formula>NOT(ISERROR(SEARCH("Pending",F193)))</formula>
    </cfRule>
  </conditionalFormatting>
  <conditionalFormatting sqref="F206:L206">
    <cfRule type="containsText" dxfId="137" priority="16" operator="containsText" text="No Bill No Pay">
      <formula>NOT(ISERROR(SEARCH("No Bill No Pay",F206)))</formula>
    </cfRule>
    <cfRule type="cellIs" priority="17" operator="equal">
      <formula>"No Bill No Pay"</formula>
    </cfRule>
    <cfRule type="containsText" dxfId="138" priority="18" operator="containsText" text="Pending">
      <formula>NOT(ISERROR(SEARCH("Pending",F206)))</formula>
    </cfRule>
  </conditionalFormatting>
  <conditionalFormatting sqref="F220:L220">
    <cfRule type="containsText" dxfId="135" priority="13" operator="containsText" text="No Bill No Pay">
      <formula>NOT(ISERROR(SEARCH("No Bill No Pay",F220)))</formula>
    </cfRule>
    <cfRule type="cellIs" priority="14" operator="equal">
      <formula>"No Bill No Pay"</formula>
    </cfRule>
    <cfRule type="containsText" dxfId="136" priority="15" operator="containsText" text="Pending">
      <formula>NOT(ISERROR(SEARCH("Pending",F220)))</formula>
    </cfRule>
  </conditionalFormatting>
  <conditionalFormatting sqref="F232:L232">
    <cfRule type="containsText" dxfId="133" priority="160" operator="containsText" text="No Bill No Pay">
      <formula>NOT(ISERROR(SEARCH("No Bill No Pay",F232)))</formula>
    </cfRule>
    <cfRule type="cellIs" priority="161" operator="equal">
      <formula>"No Bill No Pay"</formula>
    </cfRule>
    <cfRule type="containsText" dxfId="134" priority="162" operator="containsText" text="Pending">
      <formula>NOT(ISERROR(SEARCH("Pending",F232)))</formula>
    </cfRule>
  </conditionalFormatting>
  <conditionalFormatting sqref="F246:L246">
    <cfRule type="containsText" dxfId="132" priority="10" operator="containsText" text="No Bill No Pay">
      <formula>NOT(ISERROR(SEARCH("No Bill No Pay",F246)))</formula>
    </cfRule>
    <cfRule type="cellIs" priority="11" operator="equal">
      <formula>"No Bill No Pay"</formula>
    </cfRule>
    <cfRule type="containsText" dxfId="131" priority="12" operator="containsText" text="Pending">
      <formula>NOT(ISERROR(SEARCH("Pending",F246)))</formula>
    </cfRule>
  </conditionalFormatting>
  <conditionalFormatting sqref="F255:L255">
    <cfRule type="containsText" dxfId="129" priority="7" operator="containsText" text="No Bill No Pay">
      <formula>NOT(ISERROR(SEARCH("No Bill No Pay",F255)))</formula>
    </cfRule>
    <cfRule type="cellIs" priority="8" operator="equal">
      <formula>"No Bill No Pay"</formula>
    </cfRule>
    <cfRule type="containsText" dxfId="130" priority="9" operator="containsText" text="Pending">
      <formula>NOT(ISERROR(SEARCH("Pending",F255)))</formula>
    </cfRule>
  </conditionalFormatting>
  <conditionalFormatting sqref="F264:L264">
    <cfRule type="containsText" dxfId="127" priority="4" operator="containsText" text="No Bill No Pay">
      <formula>NOT(ISERROR(SEARCH("No Bill No Pay",F264)))</formula>
    </cfRule>
    <cfRule type="cellIs" priority="5" operator="equal">
      <formula>"No Bill No Pay"</formula>
    </cfRule>
    <cfRule type="containsText" dxfId="128" priority="6" operator="containsText" text="Pending">
      <formula>NOT(ISERROR(SEARCH("Pending",F264)))</formula>
    </cfRule>
  </conditionalFormatting>
  <conditionalFormatting sqref="F273:L273">
    <cfRule type="containsText" dxfId="125" priority="1" operator="containsText" text="No Bill No Pay">
      <formula>NOT(ISERROR(SEARCH("No Bill No Pay",F273)))</formula>
    </cfRule>
    <cfRule type="cellIs" priority="2" operator="equal">
      <formula>"No Bill No Pay"</formula>
    </cfRule>
    <cfRule type="containsText" dxfId="126" priority="3" operator="containsText" text="Pending">
      <formula>NOT(ISERROR(SEARCH("Pending",F273)))</formula>
    </cfRule>
  </conditionalFormatting>
  <conditionalFormatting sqref="F5:O5">
    <cfRule type="containsText" dxfId="124" priority="274" operator="containsText" text="No Bill No Pay">
      <formula>NOT(ISERROR(SEARCH("No Bill No Pay",F5)))</formula>
    </cfRule>
    <cfRule type="cellIs" priority="275" operator="equal">
      <formula>"No Bill No Pay"</formula>
    </cfRule>
    <cfRule type="containsText" dxfId="123" priority="276" operator="containsText" text="Pending">
      <formula>NOT(ISERROR(SEARCH("Pending",F5)))</formula>
    </cfRule>
  </conditionalFormatting>
  <conditionalFormatting sqref="F18:O18">
    <cfRule type="containsText" dxfId="121" priority="52" operator="containsText" text="No Bill No Pay">
      <formula>NOT(ISERROR(SEARCH("No Bill No Pay",F18)))</formula>
    </cfRule>
    <cfRule type="cellIs" priority="53" operator="equal">
      <formula>"No Bill No Pay"</formula>
    </cfRule>
    <cfRule type="containsText" dxfId="122" priority="54" operator="containsText" text="Pending">
      <formula>NOT(ISERROR(SEARCH("Pending",F18)))</formula>
    </cfRule>
  </conditionalFormatting>
  <conditionalFormatting sqref="F30:O30">
    <cfRule type="containsText" dxfId="119" priority="49" operator="containsText" text="No Bill No Pay">
      <formula>NOT(ISERROR(SEARCH("No Bill No Pay",F30)))</formula>
    </cfRule>
    <cfRule type="cellIs" priority="50" operator="equal">
      <formula>"No Bill No Pay"</formula>
    </cfRule>
    <cfRule type="containsText" dxfId="120" priority="51" operator="containsText" text="Pending">
      <formula>NOT(ISERROR(SEARCH("Pending",F30)))</formula>
    </cfRule>
  </conditionalFormatting>
  <conditionalFormatting sqref="F41:O41">
    <cfRule type="containsText" dxfId="118" priority="58" operator="containsText" text="No Bill No Pay">
      <formula>NOT(ISERROR(SEARCH("No Bill No Pay",F41)))</formula>
    </cfRule>
    <cfRule type="cellIs" priority="59" operator="equal">
      <formula>"No Bill No Pay"</formula>
    </cfRule>
    <cfRule type="containsText" dxfId="117" priority="60" operator="containsText" text="Pending">
      <formula>NOT(ISERROR(SEARCH("Pending",F41)))</formula>
    </cfRule>
  </conditionalFormatting>
  <conditionalFormatting sqref="F54:O54">
    <cfRule type="containsText" dxfId="116" priority="55" operator="containsText" text="No Bill No Pay">
      <formula>NOT(ISERROR(SEARCH("No Bill No Pay",F54)))</formula>
    </cfRule>
    <cfRule type="cellIs" priority="56" operator="equal">
      <formula>"No Bill No Pay"</formula>
    </cfRule>
    <cfRule type="containsText" dxfId="115" priority="57" operator="containsText" text="Pending">
      <formula>NOT(ISERROR(SEARCH("Pending",F54)))</formula>
    </cfRule>
  </conditionalFormatting>
  <conditionalFormatting sqref="L4">
    <cfRule type="cellIs" dxfId="113" priority="127" operator="lessThan">
      <formula>1</formula>
    </cfRule>
    <cfRule type="cellIs" dxfId="114" priority="128" operator="lessThan">
      <formula>0</formula>
    </cfRule>
    <cfRule type="cellIs" dxfId="112" priority="129" operator="greaterThan">
      <formula>0</formula>
    </cfRule>
  </conditionalFormatting>
  <conditionalFormatting sqref="L6:L13">
    <cfRule type="containsText" dxfId="111" priority="268" operator="containsText" text="No">
      <formula>NOT(ISERROR(SEARCH("No",L6)))</formula>
    </cfRule>
    <cfRule type="containsText" dxfId="110" priority="269" operator="containsText" text="Yes">
      <formula>NOT(ISERROR(SEARCH("Yes",L6)))</formula>
    </cfRule>
  </conditionalFormatting>
  <conditionalFormatting sqref="L17">
    <cfRule type="cellIs" dxfId="107" priority="124" operator="lessThan">
      <formula>1</formula>
    </cfRule>
    <cfRule type="cellIs" dxfId="108" priority="125" operator="lessThan">
      <formula>0</formula>
    </cfRule>
    <cfRule type="cellIs" dxfId="109" priority="126" operator="greaterThan">
      <formula>0</formula>
    </cfRule>
  </conditionalFormatting>
  <conditionalFormatting sqref="L19:L24">
    <cfRule type="containsText" dxfId="105" priority="262" operator="containsText" text="No">
      <formula>NOT(ISERROR(SEARCH("No",L19)))</formula>
    </cfRule>
    <cfRule type="containsText" dxfId="106" priority="263" operator="containsText" text="Yes">
      <formula>NOT(ISERROR(SEARCH("Yes",L19)))</formula>
    </cfRule>
  </conditionalFormatting>
  <conditionalFormatting sqref="L29">
    <cfRule type="cellIs" dxfId="102" priority="121" operator="lessThan">
      <formula>1</formula>
    </cfRule>
    <cfRule type="cellIs" dxfId="103" priority="122" operator="lessThan">
      <formula>0</formula>
    </cfRule>
    <cfRule type="cellIs" dxfId="104" priority="123" operator="greaterThan">
      <formula>0</formula>
    </cfRule>
  </conditionalFormatting>
  <conditionalFormatting sqref="L31:L36">
    <cfRule type="containsText" dxfId="100" priority="256" operator="containsText" text="No">
      <formula>NOT(ISERROR(SEARCH("No",L31)))</formula>
    </cfRule>
    <cfRule type="containsText" dxfId="101" priority="257" operator="containsText" text="Yes">
      <formula>NOT(ISERROR(SEARCH("Yes",L31)))</formula>
    </cfRule>
  </conditionalFormatting>
  <conditionalFormatting sqref="L40">
    <cfRule type="cellIs" dxfId="99" priority="118" operator="lessThan">
      <formula>1</formula>
    </cfRule>
    <cfRule type="cellIs" dxfId="98" priority="119" operator="lessThan">
      <formula>0</formula>
    </cfRule>
    <cfRule type="cellIs" dxfId="97" priority="120" operator="greaterThan">
      <formula>0</formula>
    </cfRule>
  </conditionalFormatting>
  <conditionalFormatting sqref="L42:L47">
    <cfRule type="containsText" dxfId="95" priority="250" operator="containsText" text="No">
      <formula>NOT(ISERROR(SEARCH("No",L42)))</formula>
    </cfRule>
    <cfRule type="containsText" dxfId="96" priority="251" operator="containsText" text="Yes">
      <formula>NOT(ISERROR(SEARCH("Yes",L42)))</formula>
    </cfRule>
  </conditionalFormatting>
  <conditionalFormatting sqref="L53">
    <cfRule type="cellIs" dxfId="92" priority="115" operator="lessThan">
      <formula>1</formula>
    </cfRule>
    <cfRule type="cellIs" dxfId="94" priority="116" operator="lessThan">
      <formula>0</formula>
    </cfRule>
    <cfRule type="cellIs" dxfId="93" priority="117" operator="greaterThan">
      <formula>0</formula>
    </cfRule>
  </conditionalFormatting>
  <conditionalFormatting sqref="L55:L61">
    <cfRule type="containsText" dxfId="90" priority="244" operator="containsText" text="No">
      <formula>NOT(ISERROR(SEARCH("No",L55)))</formula>
    </cfRule>
    <cfRule type="containsText" dxfId="91" priority="245" operator="containsText" text="Yes">
      <formula>NOT(ISERROR(SEARCH("Yes",L55)))</formula>
    </cfRule>
  </conditionalFormatting>
  <conditionalFormatting sqref="L68">
    <cfRule type="cellIs" dxfId="89" priority="112" operator="lessThan">
      <formula>1</formula>
    </cfRule>
    <cfRule type="cellIs" dxfId="88" priority="113" operator="lessThan">
      <formula>0</formula>
    </cfRule>
    <cfRule type="cellIs" dxfId="87" priority="114" operator="greaterThan">
      <formula>0</formula>
    </cfRule>
  </conditionalFormatting>
  <conditionalFormatting sqref="L70:L76">
    <cfRule type="containsText" dxfId="85" priority="238" operator="containsText" text="No">
      <formula>NOT(ISERROR(SEARCH("No",L70)))</formula>
    </cfRule>
    <cfRule type="containsText" dxfId="86" priority="239" operator="containsText" text="Yes">
      <formula>NOT(ISERROR(SEARCH("Yes",L70)))</formula>
    </cfRule>
  </conditionalFormatting>
  <conditionalFormatting sqref="L80">
    <cfRule type="cellIs" dxfId="83" priority="109" operator="lessThan">
      <formula>1</formula>
    </cfRule>
    <cfRule type="cellIs" dxfId="84" priority="110" operator="lessThan">
      <formula>0</formula>
    </cfRule>
    <cfRule type="cellIs" dxfId="82" priority="111" operator="greaterThan">
      <formula>0</formula>
    </cfRule>
  </conditionalFormatting>
  <conditionalFormatting sqref="L82:L88">
    <cfRule type="containsText" dxfId="80" priority="232" operator="containsText" text="No">
      <formula>NOT(ISERROR(SEARCH("No",L82)))</formula>
    </cfRule>
    <cfRule type="containsText" dxfId="81" priority="233" operator="containsText" text="Yes">
      <formula>NOT(ISERROR(SEARCH("Yes",L82)))</formula>
    </cfRule>
  </conditionalFormatting>
  <conditionalFormatting sqref="L92">
    <cfRule type="cellIs" dxfId="79" priority="106" operator="lessThan">
      <formula>1</formula>
    </cfRule>
    <cfRule type="cellIs" dxfId="77" priority="107" operator="lessThan">
      <formula>0</formula>
    </cfRule>
    <cfRule type="cellIs" dxfId="78" priority="108" operator="greaterThan">
      <formula>0</formula>
    </cfRule>
  </conditionalFormatting>
  <conditionalFormatting sqref="L94:L100">
    <cfRule type="containsText" dxfId="75" priority="226" operator="containsText" text="No">
      <formula>NOT(ISERROR(SEARCH("No",L94)))</formula>
    </cfRule>
    <cfRule type="containsText" dxfId="76" priority="227" operator="containsText" text="Yes">
      <formula>NOT(ISERROR(SEARCH("Yes",L94)))</formula>
    </cfRule>
  </conditionalFormatting>
  <conditionalFormatting sqref="L105">
    <cfRule type="cellIs" dxfId="72" priority="103" operator="lessThan">
      <formula>1</formula>
    </cfRule>
    <cfRule type="cellIs" dxfId="73" priority="104" operator="lessThan">
      <formula>0</formula>
    </cfRule>
    <cfRule type="cellIs" dxfId="74" priority="105" operator="greaterThan">
      <formula>0</formula>
    </cfRule>
  </conditionalFormatting>
  <conditionalFormatting sqref="L107:L113">
    <cfRule type="containsText" dxfId="71" priority="220" operator="containsText" text="No">
      <formula>NOT(ISERROR(SEARCH("No",L107)))</formula>
    </cfRule>
    <cfRule type="containsText" dxfId="70" priority="221" operator="containsText" text="Yes">
      <formula>NOT(ISERROR(SEARCH("Yes",L107)))</formula>
    </cfRule>
  </conditionalFormatting>
  <conditionalFormatting sqref="L118">
    <cfRule type="cellIs" dxfId="67" priority="100" operator="lessThan">
      <formula>1</formula>
    </cfRule>
    <cfRule type="cellIs" dxfId="68" priority="101" operator="lessThan">
      <formula>0</formula>
    </cfRule>
    <cfRule type="cellIs" dxfId="69" priority="102" operator="greaterThan">
      <formula>0</formula>
    </cfRule>
  </conditionalFormatting>
  <conditionalFormatting sqref="L120:L127">
    <cfRule type="containsText" dxfId="66" priority="214" operator="containsText" text="No">
      <formula>NOT(ISERROR(SEARCH("No",L120)))</formula>
    </cfRule>
    <cfRule type="containsText" dxfId="65" priority="215" operator="containsText" text="Yes">
      <formula>NOT(ISERROR(SEARCH("Yes",L120)))</formula>
    </cfRule>
  </conditionalFormatting>
  <conditionalFormatting sqref="L132">
    <cfRule type="cellIs" dxfId="62" priority="97" operator="lessThan">
      <formula>1</formula>
    </cfRule>
    <cfRule type="cellIs" dxfId="63" priority="98" operator="lessThan">
      <formula>0</formula>
    </cfRule>
    <cfRule type="cellIs" dxfId="64" priority="99" operator="greaterThan">
      <formula>0</formula>
    </cfRule>
  </conditionalFormatting>
  <conditionalFormatting sqref="L134:L141">
    <cfRule type="containsText" dxfId="60" priority="208" operator="containsText" text="No">
      <formula>NOT(ISERROR(SEARCH("No",L134)))</formula>
    </cfRule>
    <cfRule type="containsText" dxfId="61" priority="209" operator="containsText" text="Yes">
      <formula>NOT(ISERROR(SEARCH("Yes",L134)))</formula>
    </cfRule>
  </conditionalFormatting>
  <conditionalFormatting sqref="L145">
    <cfRule type="cellIs" dxfId="57" priority="94" operator="lessThan">
      <formula>1</formula>
    </cfRule>
    <cfRule type="cellIs" dxfId="58" priority="95" operator="lessThan">
      <formula>0</formula>
    </cfRule>
    <cfRule type="cellIs" dxfId="59" priority="96" operator="greaterThan">
      <formula>0</formula>
    </cfRule>
  </conditionalFormatting>
  <conditionalFormatting sqref="L147:L153">
    <cfRule type="containsText" dxfId="56" priority="202" operator="containsText" text="No">
      <formula>NOT(ISERROR(SEARCH("No",L147)))</formula>
    </cfRule>
    <cfRule type="containsText" dxfId="55" priority="203" operator="containsText" text="Yes">
      <formula>NOT(ISERROR(SEARCH("Yes",L147)))</formula>
    </cfRule>
  </conditionalFormatting>
  <conditionalFormatting sqref="L156">
    <cfRule type="cellIs" dxfId="52" priority="91" operator="lessThan">
      <formula>1</formula>
    </cfRule>
    <cfRule type="cellIs" dxfId="53" priority="92" operator="lessThan">
      <formula>0</formula>
    </cfRule>
    <cfRule type="cellIs" dxfId="54" priority="93" operator="greaterThan">
      <formula>0</formula>
    </cfRule>
  </conditionalFormatting>
  <conditionalFormatting sqref="L158:L164">
    <cfRule type="containsText" dxfId="50" priority="193" operator="containsText" text="No">
      <formula>NOT(ISERROR(SEARCH("No",L158)))</formula>
    </cfRule>
    <cfRule type="containsText" dxfId="51" priority="194" operator="containsText" text="Yes">
      <formula>NOT(ISERROR(SEARCH("Yes",L158)))</formula>
    </cfRule>
  </conditionalFormatting>
  <conditionalFormatting sqref="L168">
    <cfRule type="cellIs" dxfId="49" priority="88" operator="lessThan">
      <formula>1</formula>
    </cfRule>
    <cfRule type="cellIs" dxfId="47" priority="89" operator="lessThan">
      <formula>0</formula>
    </cfRule>
    <cfRule type="cellIs" dxfId="48" priority="90" operator="greaterThan">
      <formula>0</formula>
    </cfRule>
  </conditionalFormatting>
  <conditionalFormatting sqref="L170:L176">
    <cfRule type="containsText" dxfId="46" priority="187" operator="containsText" text="No">
      <formula>NOT(ISERROR(SEARCH("No",L170)))</formula>
    </cfRule>
    <cfRule type="containsText" dxfId="45" priority="188" operator="containsText" text="Yes">
      <formula>NOT(ISERROR(SEARCH("Yes",L170)))</formula>
    </cfRule>
  </conditionalFormatting>
  <conditionalFormatting sqref="L180">
    <cfRule type="cellIs" dxfId="42" priority="85" operator="lessThan">
      <formula>1</formula>
    </cfRule>
    <cfRule type="cellIs" dxfId="44" priority="86" operator="lessThan">
      <formula>0</formula>
    </cfRule>
    <cfRule type="cellIs" dxfId="43" priority="87" operator="greaterThan">
      <formula>0</formula>
    </cfRule>
  </conditionalFormatting>
  <conditionalFormatting sqref="L182:L188">
    <cfRule type="containsText" dxfId="40" priority="181" operator="containsText" text="No">
      <formula>NOT(ISERROR(SEARCH("No",L182)))</formula>
    </cfRule>
    <cfRule type="containsText" dxfId="41" priority="182" operator="containsText" text="Yes">
      <formula>NOT(ISERROR(SEARCH("Yes",L182)))</formula>
    </cfRule>
  </conditionalFormatting>
  <conditionalFormatting sqref="L192">
    <cfRule type="cellIs" dxfId="37" priority="82" operator="lessThan">
      <formula>1</formula>
    </cfRule>
    <cfRule type="cellIs" dxfId="39" priority="83" operator="lessThan">
      <formula>0</formula>
    </cfRule>
    <cfRule type="cellIs" dxfId="38" priority="84" operator="greaterThan">
      <formula>0</formula>
    </cfRule>
  </conditionalFormatting>
  <conditionalFormatting sqref="L194:L202">
    <cfRule type="containsText" dxfId="35" priority="175" operator="containsText" text="No">
      <formula>NOT(ISERROR(SEARCH("No",L194)))</formula>
    </cfRule>
    <cfRule type="containsText" dxfId="36" priority="176" operator="containsText" text="Yes">
      <formula>NOT(ISERROR(SEARCH("Yes",L194)))</formula>
    </cfRule>
  </conditionalFormatting>
  <conditionalFormatting sqref="L205">
    <cfRule type="cellIs" dxfId="32" priority="79" operator="lessThan">
      <formula>1</formula>
    </cfRule>
    <cfRule type="cellIs" dxfId="33" priority="80" operator="lessThan">
      <formula>0</formula>
    </cfRule>
    <cfRule type="cellIs" dxfId="34" priority="81" operator="greaterThan">
      <formula>0</formula>
    </cfRule>
  </conditionalFormatting>
  <conditionalFormatting sqref="L207:L213">
    <cfRule type="containsText" dxfId="30" priority="169" operator="containsText" text="No">
      <formula>NOT(ISERROR(SEARCH("No",L207)))</formula>
    </cfRule>
    <cfRule type="containsText" dxfId="31" priority="170" operator="containsText" text="Yes">
      <formula>NOT(ISERROR(SEARCH("Yes",L207)))</formula>
    </cfRule>
  </conditionalFormatting>
  <conditionalFormatting sqref="L219">
    <cfRule type="cellIs" dxfId="27" priority="76" operator="lessThan">
      <formula>1</formula>
    </cfRule>
    <cfRule type="cellIs" dxfId="28" priority="77" operator="lessThan">
      <formula>0</formula>
    </cfRule>
    <cfRule type="cellIs" dxfId="29" priority="78" operator="greaterThan">
      <formula>0</formula>
    </cfRule>
  </conditionalFormatting>
  <conditionalFormatting sqref="L221:L227">
    <cfRule type="containsText" dxfId="25" priority="163" operator="containsText" text="No">
      <formula>NOT(ISERROR(SEARCH("No",L221)))</formula>
    </cfRule>
    <cfRule type="containsText" dxfId="26" priority="164" operator="containsText" text="Yes">
      <formula>NOT(ISERROR(SEARCH("Yes",L221)))</formula>
    </cfRule>
  </conditionalFormatting>
  <conditionalFormatting sqref="L231">
    <cfRule type="cellIs" dxfId="23" priority="73" operator="lessThan">
      <formula>1</formula>
    </cfRule>
    <cfRule type="cellIs" dxfId="22" priority="74" operator="lessThan">
      <formula>0</formula>
    </cfRule>
    <cfRule type="cellIs" dxfId="24" priority="75" operator="greaterThan">
      <formula>0</formula>
    </cfRule>
  </conditionalFormatting>
  <conditionalFormatting sqref="L233:L239">
    <cfRule type="containsText" dxfId="20" priority="154" operator="containsText" text="No">
      <formula>NOT(ISERROR(SEARCH("No",L233)))</formula>
    </cfRule>
    <cfRule type="containsText" dxfId="21" priority="155" operator="containsText" text="Yes">
      <formula>NOT(ISERROR(SEARCH("Yes",L233)))</formula>
    </cfRule>
  </conditionalFormatting>
  <conditionalFormatting sqref="L245">
    <cfRule type="cellIs" dxfId="19" priority="70" operator="lessThan">
      <formula>1</formula>
    </cfRule>
    <cfRule type="cellIs" dxfId="17" priority="71" operator="lessThan">
      <formula>0</formula>
    </cfRule>
    <cfRule type="cellIs" dxfId="18" priority="72" operator="greaterThan">
      <formula>0</formula>
    </cfRule>
  </conditionalFormatting>
  <conditionalFormatting sqref="L247:L251">
    <cfRule type="containsText" dxfId="15" priority="148" operator="containsText" text="No">
      <formula>NOT(ISERROR(SEARCH("No",L247)))</formula>
    </cfRule>
    <cfRule type="containsText" dxfId="16" priority="149" operator="containsText" text="Yes">
      <formula>NOT(ISERROR(SEARCH("Yes",L247)))</formula>
    </cfRule>
  </conditionalFormatting>
  <conditionalFormatting sqref="L254">
    <cfRule type="cellIs" dxfId="13" priority="67" operator="lessThan">
      <formula>1</formula>
    </cfRule>
    <cfRule type="cellIs" dxfId="14" priority="68" operator="lessThan">
      <formula>0</formula>
    </cfRule>
    <cfRule type="cellIs" dxfId="12" priority="69" operator="greaterThan">
      <formula>0</formula>
    </cfRule>
  </conditionalFormatting>
  <conditionalFormatting sqref="L256:L260">
    <cfRule type="containsText" dxfId="11" priority="142" operator="containsText" text="No">
      <formula>NOT(ISERROR(SEARCH("No",L256)))</formula>
    </cfRule>
    <cfRule type="containsText" dxfId="10" priority="143" operator="containsText" text="Yes">
      <formula>NOT(ISERROR(SEARCH("Yes",L256)))</formula>
    </cfRule>
  </conditionalFormatting>
  <conditionalFormatting sqref="L263">
    <cfRule type="cellIs" dxfId="8" priority="64" operator="lessThan">
      <formula>1</formula>
    </cfRule>
    <cfRule type="cellIs" dxfId="9" priority="65" operator="lessThan">
      <formula>0</formula>
    </cfRule>
    <cfRule type="cellIs" dxfId="7" priority="66" operator="greaterThan">
      <formula>0</formula>
    </cfRule>
  </conditionalFormatting>
  <conditionalFormatting sqref="L265:L269">
    <cfRule type="containsText" dxfId="5" priority="136" operator="containsText" text="No">
      <formula>NOT(ISERROR(SEARCH("No",L265)))</formula>
    </cfRule>
    <cfRule type="containsText" dxfId="6" priority="137" operator="containsText" text="Yes">
      <formula>NOT(ISERROR(SEARCH("Yes",L265)))</formula>
    </cfRule>
  </conditionalFormatting>
  <conditionalFormatting sqref="L272">
    <cfRule type="cellIs" dxfId="4" priority="61" operator="lessThan">
      <formula>1</formula>
    </cfRule>
    <cfRule type="cellIs" dxfId="3" priority="62" operator="lessThan">
      <formula>0</formula>
    </cfRule>
    <cfRule type="cellIs" dxfId="2" priority="63" operator="greaterThan">
      <formula>0</formula>
    </cfRule>
  </conditionalFormatting>
  <conditionalFormatting sqref="L274:L278">
    <cfRule type="containsText" dxfId="1" priority="130" operator="containsText" text="No">
      <formula>NOT(ISERROR(SEARCH("No",L274)))</formula>
    </cfRule>
    <cfRule type="containsText" dxfId="0" priority="131" operator="containsText" text="Yes">
      <formula>NOT(ISERROR(SEARCH("Yes",L274)))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2026-01-22T16:53:05Z</dcterms:created>
  <dcterms:modified xsi:type="dcterms:W3CDTF">2026-01-22T16:54:56Z</dcterms:modified>
</cp:coreProperties>
</file>